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tchup\docs\"/>
    </mc:Choice>
  </mc:AlternateContent>
  <xr:revisionPtr revIDLastSave="0" documentId="13_ncr:1_{D8592228-411D-4D58-8F59-5DFDF6FD88D2}" xr6:coauthVersionLast="47" xr6:coauthVersionMax="47" xr10:uidLastSave="{00000000-0000-0000-0000-000000000000}"/>
  <bookViews>
    <workbookView xWindow="18120" yWindow="75" windowWidth="30570" windowHeight="15375" tabRatio="500" activeTab="4" xr2:uid="{00000000-000D-0000-FFFF-FFFF00000000}"/>
  </bookViews>
  <sheets>
    <sheet name="상품코드_1월" sheetId="63" r:id="rId1"/>
    <sheet name="상품코드_2월" sheetId="64" r:id="rId2"/>
    <sheet name="상품코드_3월 " sheetId="65" r:id="rId3"/>
    <sheet name="상품코드_4월 " sheetId="66" r:id="rId4"/>
    <sheet name="상품코드_4월-NEW1" sheetId="67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7" i="67" l="1"/>
  <c r="AE27" i="67"/>
  <c r="AF27" i="67"/>
  <c r="AG27" i="67"/>
  <c r="AH27" i="67"/>
  <c r="AI27" i="67"/>
  <c r="AJ27" i="67"/>
  <c r="BF45" i="67"/>
  <c r="BE45" i="67"/>
  <c r="BD45" i="67"/>
  <c r="BC45" i="67"/>
  <c r="BB45" i="67"/>
  <c r="BA45" i="67"/>
  <c r="AZ45" i="67"/>
  <c r="AY45" i="67"/>
  <c r="AX45" i="67"/>
  <c r="AW45" i="67"/>
  <c r="AV45" i="67"/>
  <c r="AU45" i="67"/>
  <c r="AT45" i="67"/>
  <c r="AS45" i="67"/>
  <c r="AR45" i="67"/>
  <c r="AQ45" i="67"/>
  <c r="AP45" i="67"/>
  <c r="AO45" i="67"/>
  <c r="AN45" i="67"/>
  <c r="AM45" i="67"/>
  <c r="AL45" i="67"/>
  <c r="AK45" i="67"/>
  <c r="AJ45" i="67"/>
  <c r="AI45" i="67"/>
  <c r="AH45" i="67"/>
  <c r="AG45" i="67"/>
  <c r="AF45" i="67"/>
  <c r="AE45" i="67"/>
  <c r="AD45" i="67"/>
  <c r="AC45" i="67"/>
  <c r="AB45" i="67"/>
  <c r="AA45" i="67"/>
  <c r="Z45" i="67"/>
  <c r="Y45" i="67"/>
  <c r="X45" i="67"/>
  <c r="W45" i="67"/>
  <c r="V45" i="67"/>
  <c r="U45" i="67"/>
  <c r="T45" i="67"/>
  <c r="S45" i="67"/>
  <c r="R45" i="67"/>
  <c r="Q45" i="67"/>
  <c r="P45" i="67"/>
  <c r="O45" i="67"/>
  <c r="N45" i="67"/>
  <c r="M45" i="67"/>
  <c r="L45" i="67"/>
  <c r="K45" i="67"/>
  <c r="J45" i="67"/>
  <c r="I45" i="67"/>
  <c r="H45" i="67"/>
  <c r="G45" i="67"/>
  <c r="F45" i="67"/>
  <c r="E45" i="67"/>
  <c r="D45" i="67"/>
  <c r="BG44" i="67"/>
  <c r="BG43" i="67"/>
  <c r="BG42" i="67"/>
  <c r="BG41" i="67"/>
  <c r="BG40" i="67"/>
  <c r="BG39" i="67"/>
  <c r="BG38" i="67"/>
  <c r="BG37" i="67"/>
  <c r="BG36" i="67"/>
  <c r="BG35" i="67"/>
  <c r="BG34" i="67"/>
  <c r="BG33" i="67"/>
  <c r="BG32" i="67"/>
  <c r="BG31" i="67"/>
  <c r="BG30" i="67"/>
  <c r="BG29" i="67"/>
  <c r="BG28" i="67"/>
  <c r="AW27" i="67"/>
  <c r="AU27" i="67"/>
  <c r="X27" i="67"/>
  <c r="Y27" i="67"/>
  <c r="Z27" i="67"/>
  <c r="AA27" i="67"/>
  <c r="K27" i="67"/>
  <c r="L27" i="67"/>
  <c r="M27" i="67"/>
  <c r="F27" i="67"/>
  <c r="G27" i="67"/>
  <c r="H27" i="67"/>
  <c r="I27" i="67"/>
  <c r="AK27" i="67"/>
  <c r="AL27" i="67"/>
  <c r="AM27" i="67"/>
  <c r="AP27" i="67"/>
  <c r="AQ27" i="67"/>
  <c r="E27" i="67"/>
  <c r="J27" i="67"/>
  <c r="N27" i="67"/>
  <c r="O27" i="67"/>
  <c r="P27" i="67"/>
  <c r="Q27" i="67"/>
  <c r="R27" i="67"/>
  <c r="S27" i="67"/>
  <c r="T27" i="67"/>
  <c r="U27" i="67"/>
  <c r="V27" i="67"/>
  <c r="W27" i="67"/>
  <c r="AB27" i="67"/>
  <c r="AC27" i="67"/>
  <c r="AN27" i="67"/>
  <c r="AO27" i="67"/>
  <c r="AR27" i="67"/>
  <c r="AS27" i="67"/>
  <c r="AT27" i="67"/>
  <c r="AV27" i="67"/>
  <c r="AX27" i="67"/>
  <c r="AY27" i="67"/>
  <c r="AZ27" i="67"/>
  <c r="BA27" i="67"/>
  <c r="BB27" i="67"/>
  <c r="BC27" i="67"/>
  <c r="BD27" i="67"/>
  <c r="BE27" i="67"/>
  <c r="BF27" i="67"/>
  <c r="D27" i="67"/>
  <c r="BG10" i="67"/>
  <c r="BG11" i="67"/>
  <c r="BG12" i="67"/>
  <c r="BG13" i="67"/>
  <c r="BG14" i="67"/>
  <c r="BG15" i="67"/>
  <c r="BG16" i="67"/>
  <c r="BG17" i="67"/>
  <c r="BG18" i="67"/>
  <c r="BG19" i="67"/>
  <c r="BG20" i="67"/>
  <c r="BG21" i="67"/>
  <c r="BG22" i="67"/>
  <c r="BG23" i="67"/>
  <c r="BG24" i="67"/>
  <c r="BG25" i="67"/>
  <c r="BG26" i="67"/>
  <c r="BG9" i="67"/>
  <c r="N426" i="66"/>
  <c r="K426" i="66"/>
  <c r="R426" i="66" s="1"/>
  <c r="J426" i="66"/>
  <c r="S426" i="66" s="1"/>
  <c r="N425" i="66"/>
  <c r="K425" i="66"/>
  <c r="R425" i="66" s="1"/>
  <c r="J425" i="66"/>
  <c r="S425" i="66" s="1"/>
  <c r="N353" i="66"/>
  <c r="K353" i="66"/>
  <c r="R353" i="66" s="1"/>
  <c r="J353" i="66"/>
  <c r="S353" i="66" s="1"/>
  <c r="N352" i="66"/>
  <c r="K352" i="66"/>
  <c r="R352" i="66" s="1"/>
  <c r="J352" i="66"/>
  <c r="S352" i="66" s="1"/>
  <c r="S212" i="66"/>
  <c r="M212" i="66"/>
  <c r="K212" i="66"/>
  <c r="M211" i="66"/>
  <c r="K211" i="66"/>
  <c r="R211" i="66" s="1"/>
  <c r="J211" i="66"/>
  <c r="S211" i="66" s="1"/>
  <c r="M210" i="66"/>
  <c r="K210" i="66"/>
  <c r="J210" i="66"/>
  <c r="S210" i="66" s="1"/>
  <c r="O205" i="66"/>
  <c r="N205" i="66"/>
  <c r="M205" i="66"/>
  <c r="K205" i="66"/>
  <c r="J205" i="66"/>
  <c r="S205" i="66" s="1"/>
  <c r="N204" i="66"/>
  <c r="M204" i="66"/>
  <c r="K204" i="66"/>
  <c r="J204" i="66"/>
  <c r="S204" i="66" s="1"/>
  <c r="M203" i="66"/>
  <c r="K203" i="66"/>
  <c r="J203" i="66"/>
  <c r="S203" i="66" s="1"/>
  <c r="M171" i="66"/>
  <c r="L171" i="66"/>
  <c r="K171" i="66"/>
  <c r="J171" i="66"/>
  <c r="S171" i="66" s="1"/>
  <c r="M123" i="66"/>
  <c r="L123" i="66"/>
  <c r="K123" i="66"/>
  <c r="J123" i="66"/>
  <c r="S123" i="66" s="1"/>
  <c r="N113" i="66"/>
  <c r="M113" i="66"/>
  <c r="L113" i="66"/>
  <c r="K113" i="66"/>
  <c r="J113" i="66"/>
  <c r="S113" i="66" s="1"/>
  <c r="M106" i="66"/>
  <c r="L106" i="66"/>
  <c r="K106" i="66"/>
  <c r="J106" i="66"/>
  <c r="S106" i="66" s="1"/>
  <c r="N93" i="66"/>
  <c r="M93" i="66"/>
  <c r="L93" i="66"/>
  <c r="K93" i="66"/>
  <c r="J93" i="66"/>
  <c r="S93" i="66" s="1"/>
  <c r="P88" i="66"/>
  <c r="M88" i="66"/>
  <c r="L88" i="66"/>
  <c r="K88" i="66"/>
  <c r="J88" i="66"/>
  <c r="S88" i="66" s="1"/>
  <c r="BG45" i="67" l="1"/>
  <c r="BG27" i="67"/>
  <c r="R210" i="66"/>
  <c r="R204" i="66"/>
  <c r="R212" i="66"/>
  <c r="R205" i="66"/>
  <c r="R171" i="66"/>
  <c r="R203" i="66"/>
  <c r="R123" i="66"/>
  <c r="R113" i="66"/>
  <c r="R106" i="66"/>
  <c r="R93" i="66"/>
  <c r="R88" i="66"/>
  <c r="L234" i="66"/>
  <c r="M181" i="66"/>
  <c r="N399" i="66"/>
  <c r="K196" i="66" l="1"/>
  <c r="M196" i="66"/>
  <c r="M195" i="66"/>
  <c r="K195" i="66"/>
  <c r="R196" i="66"/>
  <c r="J195" i="66"/>
  <c r="S195" i="66" s="1"/>
  <c r="J196" i="66"/>
  <c r="S196" i="66" s="1"/>
  <c r="O532" i="66"/>
  <c r="N532" i="66"/>
  <c r="M532" i="66"/>
  <c r="L532" i="66"/>
  <c r="O531" i="66"/>
  <c r="N531" i="66"/>
  <c r="M531" i="66"/>
  <c r="L531" i="66"/>
  <c r="P529" i="66"/>
  <c r="P528" i="66"/>
  <c r="P527" i="66"/>
  <c r="P526" i="66"/>
  <c r="Q520" i="66"/>
  <c r="Q519" i="66"/>
  <c r="S527" i="66" s="1"/>
  <c r="P515" i="66"/>
  <c r="P514" i="66"/>
  <c r="P513" i="66"/>
  <c r="P512" i="66"/>
  <c r="Q497" i="66"/>
  <c r="P497" i="66"/>
  <c r="O497" i="66"/>
  <c r="L497" i="66"/>
  <c r="I497" i="66"/>
  <c r="H497" i="66"/>
  <c r="G497" i="66"/>
  <c r="F497" i="66"/>
  <c r="E497" i="66"/>
  <c r="D497" i="66"/>
  <c r="C497" i="66"/>
  <c r="N496" i="66"/>
  <c r="M496" i="66"/>
  <c r="K496" i="66"/>
  <c r="J496" i="66"/>
  <c r="S496" i="66" s="1"/>
  <c r="N495" i="66"/>
  <c r="M495" i="66"/>
  <c r="K495" i="66"/>
  <c r="J495" i="66"/>
  <c r="S495" i="66" s="1"/>
  <c r="N494" i="66"/>
  <c r="M494" i="66"/>
  <c r="K494" i="66"/>
  <c r="J494" i="66"/>
  <c r="S494" i="66" s="1"/>
  <c r="N493" i="66"/>
  <c r="M493" i="66"/>
  <c r="K493" i="66"/>
  <c r="J493" i="66"/>
  <c r="S493" i="66" s="1"/>
  <c r="N492" i="66"/>
  <c r="M492" i="66"/>
  <c r="K492" i="66"/>
  <c r="J492" i="66"/>
  <c r="Q490" i="66"/>
  <c r="P490" i="66"/>
  <c r="O490" i="66"/>
  <c r="M490" i="66"/>
  <c r="L490" i="66"/>
  <c r="I490" i="66"/>
  <c r="H490" i="66"/>
  <c r="G490" i="66"/>
  <c r="F490" i="66"/>
  <c r="E490" i="66"/>
  <c r="D490" i="66"/>
  <c r="C490" i="66"/>
  <c r="N488" i="66"/>
  <c r="K488" i="66"/>
  <c r="J488" i="66"/>
  <c r="S488" i="66" s="1"/>
  <c r="N487" i="66"/>
  <c r="K487" i="66"/>
  <c r="J487" i="66"/>
  <c r="S487" i="66" s="1"/>
  <c r="N486" i="66"/>
  <c r="K486" i="66"/>
  <c r="J486" i="66"/>
  <c r="S486" i="66" s="1"/>
  <c r="N485" i="66"/>
  <c r="K485" i="66"/>
  <c r="J485" i="66"/>
  <c r="S485" i="66" s="1"/>
  <c r="N484" i="66"/>
  <c r="K484" i="66"/>
  <c r="J484" i="66"/>
  <c r="S484" i="66" s="1"/>
  <c r="N483" i="66"/>
  <c r="K483" i="66"/>
  <c r="J483" i="66"/>
  <c r="S483" i="66" s="1"/>
  <c r="N482" i="66"/>
  <c r="K482" i="66"/>
  <c r="J482" i="66"/>
  <c r="S482" i="66" s="1"/>
  <c r="N481" i="66"/>
  <c r="K481" i="66"/>
  <c r="J481" i="66"/>
  <c r="S481" i="66" s="1"/>
  <c r="N480" i="66"/>
  <c r="K480" i="66"/>
  <c r="J480" i="66"/>
  <c r="S480" i="66" s="1"/>
  <c r="N479" i="66"/>
  <c r="K479" i="66"/>
  <c r="J479" i="66"/>
  <c r="S479" i="66" s="1"/>
  <c r="N478" i="66"/>
  <c r="K478" i="66"/>
  <c r="J478" i="66"/>
  <c r="S478" i="66" s="1"/>
  <c r="N477" i="66"/>
  <c r="K477" i="66"/>
  <c r="J477" i="66"/>
  <c r="S477" i="66" s="1"/>
  <c r="N476" i="66"/>
  <c r="K476" i="66"/>
  <c r="J476" i="66"/>
  <c r="S476" i="66" s="1"/>
  <c r="N475" i="66"/>
  <c r="K475" i="66"/>
  <c r="J475" i="66"/>
  <c r="S475" i="66" s="1"/>
  <c r="N474" i="66"/>
  <c r="K474" i="66"/>
  <c r="J474" i="66"/>
  <c r="S474" i="66" s="1"/>
  <c r="N473" i="66"/>
  <c r="K473" i="66"/>
  <c r="J473" i="66"/>
  <c r="S473" i="66" s="1"/>
  <c r="N472" i="66"/>
  <c r="K472" i="66"/>
  <c r="J472" i="66"/>
  <c r="S472" i="66" s="1"/>
  <c r="N471" i="66"/>
  <c r="K471" i="66"/>
  <c r="J471" i="66"/>
  <c r="S471" i="66" s="1"/>
  <c r="N470" i="66"/>
  <c r="K470" i="66"/>
  <c r="J470" i="66"/>
  <c r="S470" i="66" s="1"/>
  <c r="N469" i="66"/>
  <c r="K469" i="66"/>
  <c r="J469" i="66"/>
  <c r="S469" i="66" s="1"/>
  <c r="N468" i="66"/>
  <c r="K468" i="66"/>
  <c r="J468" i="66"/>
  <c r="S468" i="66" s="1"/>
  <c r="N467" i="66"/>
  <c r="K467" i="66"/>
  <c r="J467" i="66"/>
  <c r="S467" i="66" s="1"/>
  <c r="N466" i="66"/>
  <c r="K466" i="66"/>
  <c r="J466" i="66"/>
  <c r="S466" i="66" s="1"/>
  <c r="N465" i="66"/>
  <c r="K465" i="66"/>
  <c r="J465" i="66"/>
  <c r="S465" i="66" s="1"/>
  <c r="N464" i="66"/>
  <c r="K464" i="66"/>
  <c r="J464" i="66"/>
  <c r="S464" i="66" s="1"/>
  <c r="N463" i="66"/>
  <c r="K463" i="66"/>
  <c r="J463" i="66"/>
  <c r="S463" i="66" s="1"/>
  <c r="N462" i="66"/>
  <c r="K462" i="66"/>
  <c r="J462" i="66"/>
  <c r="S462" i="66" s="1"/>
  <c r="N461" i="66"/>
  <c r="K461" i="66"/>
  <c r="J461" i="66"/>
  <c r="S461" i="66" s="1"/>
  <c r="N460" i="66"/>
  <c r="K460" i="66"/>
  <c r="J460" i="66"/>
  <c r="S460" i="66" s="1"/>
  <c r="N459" i="66"/>
  <c r="K459" i="66"/>
  <c r="J459" i="66"/>
  <c r="S459" i="66" s="1"/>
  <c r="N458" i="66"/>
  <c r="K458" i="66"/>
  <c r="J458" i="66"/>
  <c r="S458" i="66" s="1"/>
  <c r="N457" i="66"/>
  <c r="K457" i="66"/>
  <c r="J457" i="66"/>
  <c r="S457" i="66" s="1"/>
  <c r="N456" i="66"/>
  <c r="K456" i="66"/>
  <c r="J456" i="66"/>
  <c r="S456" i="66" s="1"/>
  <c r="N455" i="66"/>
  <c r="K455" i="66"/>
  <c r="J455" i="66"/>
  <c r="S455" i="66" s="1"/>
  <c r="N454" i="66"/>
  <c r="K454" i="66"/>
  <c r="J454" i="66"/>
  <c r="S454" i="66" s="1"/>
  <c r="N453" i="66"/>
  <c r="K453" i="66"/>
  <c r="J453" i="66"/>
  <c r="S453" i="66" s="1"/>
  <c r="N452" i="66"/>
  <c r="K452" i="66"/>
  <c r="J452" i="66"/>
  <c r="S452" i="66" s="1"/>
  <c r="N451" i="66"/>
  <c r="K451" i="66"/>
  <c r="J451" i="66"/>
  <c r="S451" i="66" s="1"/>
  <c r="N450" i="66"/>
  <c r="K450" i="66"/>
  <c r="J450" i="66"/>
  <c r="S450" i="66" s="1"/>
  <c r="N449" i="66"/>
  <c r="K449" i="66"/>
  <c r="J449" i="66"/>
  <c r="S449" i="66" s="1"/>
  <c r="N448" i="66"/>
  <c r="K448" i="66"/>
  <c r="J448" i="66"/>
  <c r="S448" i="66" s="1"/>
  <c r="N447" i="66"/>
  <c r="K447" i="66"/>
  <c r="J447" i="66"/>
  <c r="S447" i="66" s="1"/>
  <c r="N446" i="66"/>
  <c r="K446" i="66"/>
  <c r="J446" i="66"/>
  <c r="S446" i="66" s="1"/>
  <c r="N445" i="66"/>
  <c r="K445" i="66"/>
  <c r="J445" i="66"/>
  <c r="S445" i="66" s="1"/>
  <c r="N444" i="66"/>
  <c r="K444" i="66"/>
  <c r="J444" i="66"/>
  <c r="S444" i="66" s="1"/>
  <c r="N443" i="66"/>
  <c r="K443" i="66"/>
  <c r="J443" i="66"/>
  <c r="S443" i="66" s="1"/>
  <c r="N442" i="66"/>
  <c r="K442" i="66"/>
  <c r="J442" i="66"/>
  <c r="S442" i="66" s="1"/>
  <c r="N441" i="66"/>
  <c r="K441" i="66"/>
  <c r="J441" i="66"/>
  <c r="S441" i="66" s="1"/>
  <c r="N440" i="66"/>
  <c r="K440" i="66"/>
  <c r="J440" i="66"/>
  <c r="S440" i="66" s="1"/>
  <c r="N439" i="66"/>
  <c r="K439" i="66"/>
  <c r="J439" i="66"/>
  <c r="S439" i="66" s="1"/>
  <c r="N438" i="66"/>
  <c r="K438" i="66"/>
  <c r="J438" i="66"/>
  <c r="S438" i="66" s="1"/>
  <c r="N437" i="66"/>
  <c r="K437" i="66"/>
  <c r="J437" i="66"/>
  <c r="S437" i="66" s="1"/>
  <c r="N436" i="66"/>
  <c r="K436" i="66"/>
  <c r="J436" i="66"/>
  <c r="S436" i="66" s="1"/>
  <c r="N435" i="66"/>
  <c r="K435" i="66"/>
  <c r="J435" i="66"/>
  <c r="S435" i="66" s="1"/>
  <c r="N434" i="66"/>
  <c r="K434" i="66"/>
  <c r="J434" i="66"/>
  <c r="S434" i="66" s="1"/>
  <c r="N433" i="66"/>
  <c r="K433" i="66"/>
  <c r="J433" i="66"/>
  <c r="S433" i="66" s="1"/>
  <c r="N432" i="66"/>
  <c r="K432" i="66"/>
  <c r="J432" i="66"/>
  <c r="S432" i="66" s="1"/>
  <c r="N431" i="66"/>
  <c r="K431" i="66"/>
  <c r="J431" i="66"/>
  <c r="S431" i="66" s="1"/>
  <c r="N430" i="66"/>
  <c r="K430" i="66"/>
  <c r="J430" i="66"/>
  <c r="S430" i="66" s="1"/>
  <c r="N429" i="66"/>
  <c r="K429" i="66"/>
  <c r="J429" i="66"/>
  <c r="S429" i="66" s="1"/>
  <c r="N428" i="66"/>
  <c r="K428" i="66"/>
  <c r="J428" i="66"/>
  <c r="S428" i="66" s="1"/>
  <c r="N427" i="66"/>
  <c r="K427" i="66"/>
  <c r="J427" i="66"/>
  <c r="S427" i="66" s="1"/>
  <c r="N424" i="66"/>
  <c r="K424" i="66"/>
  <c r="J424" i="66"/>
  <c r="S424" i="66" s="1"/>
  <c r="N423" i="66"/>
  <c r="K423" i="66"/>
  <c r="J423" i="66"/>
  <c r="S423" i="66" s="1"/>
  <c r="N422" i="66"/>
  <c r="K422" i="66"/>
  <c r="J422" i="66"/>
  <c r="S422" i="66" s="1"/>
  <c r="N421" i="66"/>
  <c r="K421" i="66"/>
  <c r="J421" i="66"/>
  <c r="S421" i="66" s="1"/>
  <c r="N420" i="66"/>
  <c r="K420" i="66"/>
  <c r="J420" i="66"/>
  <c r="S420" i="66" s="1"/>
  <c r="N419" i="66"/>
  <c r="K419" i="66"/>
  <c r="J419" i="66"/>
  <c r="N418" i="66"/>
  <c r="K418" i="66"/>
  <c r="J418" i="66"/>
  <c r="S418" i="66" s="1"/>
  <c r="Q417" i="66"/>
  <c r="P417" i="66"/>
  <c r="O417" i="66"/>
  <c r="M417" i="66"/>
  <c r="L417" i="66"/>
  <c r="I417" i="66"/>
  <c r="H417" i="66"/>
  <c r="G417" i="66"/>
  <c r="F417" i="66"/>
  <c r="E417" i="66"/>
  <c r="D417" i="66"/>
  <c r="C417" i="66"/>
  <c r="N415" i="66"/>
  <c r="K415" i="66"/>
  <c r="J415" i="66"/>
  <c r="S415" i="66" s="1"/>
  <c r="N414" i="66"/>
  <c r="K414" i="66"/>
  <c r="J414" i="66"/>
  <c r="S414" i="66" s="1"/>
  <c r="N413" i="66"/>
  <c r="K413" i="66"/>
  <c r="J413" i="66"/>
  <c r="S413" i="66" s="1"/>
  <c r="N412" i="66"/>
  <c r="K412" i="66"/>
  <c r="J412" i="66"/>
  <c r="S412" i="66" s="1"/>
  <c r="N411" i="66"/>
  <c r="K411" i="66"/>
  <c r="J411" i="66"/>
  <c r="S411" i="66" s="1"/>
  <c r="N410" i="66"/>
  <c r="K410" i="66"/>
  <c r="J410" i="66"/>
  <c r="S410" i="66" s="1"/>
  <c r="N409" i="66"/>
  <c r="K409" i="66"/>
  <c r="J409" i="66"/>
  <c r="S409" i="66" s="1"/>
  <c r="N408" i="66"/>
  <c r="K408" i="66"/>
  <c r="J408" i="66"/>
  <c r="S408" i="66" s="1"/>
  <c r="N407" i="66"/>
  <c r="K407" i="66"/>
  <c r="J407" i="66"/>
  <c r="S407" i="66" s="1"/>
  <c r="N406" i="66"/>
  <c r="K406" i="66"/>
  <c r="J406" i="66"/>
  <c r="S406" i="66" s="1"/>
  <c r="N405" i="66"/>
  <c r="K405" i="66"/>
  <c r="J405" i="66"/>
  <c r="S405" i="66" s="1"/>
  <c r="N404" i="66"/>
  <c r="K404" i="66"/>
  <c r="J404" i="66"/>
  <c r="S404" i="66" s="1"/>
  <c r="N403" i="66"/>
  <c r="K403" i="66"/>
  <c r="J403" i="66"/>
  <c r="S403" i="66" s="1"/>
  <c r="N402" i="66"/>
  <c r="K402" i="66"/>
  <c r="J402" i="66"/>
  <c r="S402" i="66" s="1"/>
  <c r="N401" i="66"/>
  <c r="K401" i="66"/>
  <c r="J401" i="66"/>
  <c r="S401" i="66" s="1"/>
  <c r="N400" i="66"/>
  <c r="K400" i="66"/>
  <c r="J400" i="66"/>
  <c r="S400" i="66" s="1"/>
  <c r="K399" i="66"/>
  <c r="J399" i="66"/>
  <c r="S399" i="66" s="1"/>
  <c r="N398" i="66"/>
  <c r="K398" i="66"/>
  <c r="J398" i="66"/>
  <c r="S398" i="66" s="1"/>
  <c r="N397" i="66"/>
  <c r="K397" i="66"/>
  <c r="J397" i="66"/>
  <c r="S397" i="66" s="1"/>
  <c r="N396" i="66"/>
  <c r="K396" i="66"/>
  <c r="J396" i="66"/>
  <c r="S396" i="66" s="1"/>
  <c r="N395" i="66"/>
  <c r="K395" i="66"/>
  <c r="J395" i="66"/>
  <c r="S395" i="66" s="1"/>
  <c r="N394" i="66"/>
  <c r="K394" i="66"/>
  <c r="J394" i="66"/>
  <c r="S394" i="66" s="1"/>
  <c r="N393" i="66"/>
  <c r="K393" i="66"/>
  <c r="J393" i="66"/>
  <c r="S393" i="66" s="1"/>
  <c r="N392" i="66"/>
  <c r="K392" i="66"/>
  <c r="J392" i="66"/>
  <c r="S392" i="66" s="1"/>
  <c r="N391" i="66"/>
  <c r="K391" i="66"/>
  <c r="J391" i="66"/>
  <c r="S391" i="66" s="1"/>
  <c r="N390" i="66"/>
  <c r="K390" i="66"/>
  <c r="J390" i="66"/>
  <c r="S390" i="66" s="1"/>
  <c r="N389" i="66"/>
  <c r="K389" i="66"/>
  <c r="J389" i="66"/>
  <c r="S389" i="66" s="1"/>
  <c r="N388" i="66"/>
  <c r="K388" i="66"/>
  <c r="J388" i="66"/>
  <c r="S388" i="66" s="1"/>
  <c r="N387" i="66"/>
  <c r="K387" i="66"/>
  <c r="J387" i="66"/>
  <c r="S387" i="66" s="1"/>
  <c r="N386" i="66"/>
  <c r="K386" i="66"/>
  <c r="J386" i="66"/>
  <c r="S386" i="66" s="1"/>
  <c r="N385" i="66"/>
  <c r="K385" i="66"/>
  <c r="J385" i="66"/>
  <c r="S385" i="66" s="1"/>
  <c r="N384" i="66"/>
  <c r="K384" i="66"/>
  <c r="J384" i="66"/>
  <c r="S384" i="66" s="1"/>
  <c r="N383" i="66"/>
  <c r="K383" i="66"/>
  <c r="J383" i="66"/>
  <c r="S383" i="66" s="1"/>
  <c r="N382" i="66"/>
  <c r="K382" i="66"/>
  <c r="J382" i="66"/>
  <c r="S382" i="66" s="1"/>
  <c r="N381" i="66"/>
  <c r="K381" i="66"/>
  <c r="J381" i="66"/>
  <c r="S381" i="66" s="1"/>
  <c r="N380" i="66"/>
  <c r="K380" i="66"/>
  <c r="J380" i="66"/>
  <c r="S380" i="66" s="1"/>
  <c r="N379" i="66"/>
  <c r="K379" i="66"/>
  <c r="J379" i="66"/>
  <c r="S379" i="66" s="1"/>
  <c r="N378" i="66"/>
  <c r="K378" i="66"/>
  <c r="J378" i="66"/>
  <c r="S378" i="66" s="1"/>
  <c r="N377" i="66"/>
  <c r="K377" i="66"/>
  <c r="J377" i="66"/>
  <c r="S377" i="66" s="1"/>
  <c r="N376" i="66"/>
  <c r="K376" i="66"/>
  <c r="J376" i="66"/>
  <c r="S376" i="66" s="1"/>
  <c r="N375" i="66"/>
  <c r="K375" i="66"/>
  <c r="J375" i="66"/>
  <c r="S375" i="66" s="1"/>
  <c r="N374" i="66"/>
  <c r="K374" i="66"/>
  <c r="J374" i="66"/>
  <c r="S374" i="66" s="1"/>
  <c r="N373" i="66"/>
  <c r="K373" i="66"/>
  <c r="J373" i="66"/>
  <c r="S373" i="66" s="1"/>
  <c r="N372" i="66"/>
  <c r="K372" i="66"/>
  <c r="J372" i="66"/>
  <c r="S372" i="66" s="1"/>
  <c r="N371" i="66"/>
  <c r="K371" i="66"/>
  <c r="J371" i="66"/>
  <c r="S371" i="66" s="1"/>
  <c r="N370" i="66"/>
  <c r="K370" i="66"/>
  <c r="J370" i="66"/>
  <c r="S370" i="66" s="1"/>
  <c r="N369" i="66"/>
  <c r="K369" i="66"/>
  <c r="J369" i="66"/>
  <c r="S369" i="66" s="1"/>
  <c r="N368" i="66"/>
  <c r="K368" i="66"/>
  <c r="J368" i="66"/>
  <c r="S368" i="66" s="1"/>
  <c r="N367" i="66"/>
  <c r="K367" i="66"/>
  <c r="J367" i="66"/>
  <c r="S367" i="66" s="1"/>
  <c r="N366" i="66"/>
  <c r="K366" i="66"/>
  <c r="J366" i="66"/>
  <c r="S366" i="66" s="1"/>
  <c r="N365" i="66"/>
  <c r="K365" i="66"/>
  <c r="J365" i="66"/>
  <c r="S365" i="66" s="1"/>
  <c r="N364" i="66"/>
  <c r="K364" i="66"/>
  <c r="J364" i="66"/>
  <c r="S364" i="66" s="1"/>
  <c r="N363" i="66"/>
  <c r="K363" i="66"/>
  <c r="J363" i="66"/>
  <c r="S363" i="66" s="1"/>
  <c r="N362" i="66"/>
  <c r="K362" i="66"/>
  <c r="J362" i="66"/>
  <c r="S362" i="66" s="1"/>
  <c r="N361" i="66"/>
  <c r="K361" i="66"/>
  <c r="J361" i="66"/>
  <c r="S361" i="66" s="1"/>
  <c r="N360" i="66"/>
  <c r="K360" i="66"/>
  <c r="J360" i="66"/>
  <c r="S360" i="66" s="1"/>
  <c r="N359" i="66"/>
  <c r="K359" i="66"/>
  <c r="J359" i="66"/>
  <c r="S359" i="66" s="1"/>
  <c r="N358" i="66"/>
  <c r="K358" i="66"/>
  <c r="J358" i="66"/>
  <c r="S358" i="66" s="1"/>
  <c r="N357" i="66"/>
  <c r="K357" i="66"/>
  <c r="J357" i="66"/>
  <c r="S357" i="66" s="1"/>
  <c r="N356" i="66"/>
  <c r="K356" i="66"/>
  <c r="J356" i="66"/>
  <c r="S356" i="66" s="1"/>
  <c r="N355" i="66"/>
  <c r="K355" i="66"/>
  <c r="J355" i="66"/>
  <c r="S355" i="66" s="1"/>
  <c r="N354" i="66"/>
  <c r="K354" i="66"/>
  <c r="J354" i="66"/>
  <c r="S354" i="66" s="1"/>
  <c r="N351" i="66"/>
  <c r="K351" i="66"/>
  <c r="J351" i="66"/>
  <c r="S351" i="66" s="1"/>
  <c r="N350" i="66"/>
  <c r="K350" i="66"/>
  <c r="J350" i="66"/>
  <c r="S350" i="66" s="1"/>
  <c r="N349" i="66"/>
  <c r="K349" i="66"/>
  <c r="J349" i="66"/>
  <c r="S349" i="66" s="1"/>
  <c r="N348" i="66"/>
  <c r="K348" i="66"/>
  <c r="J348" i="66"/>
  <c r="S348" i="66" s="1"/>
  <c r="N347" i="66"/>
  <c r="K347" i="66"/>
  <c r="J347" i="66"/>
  <c r="S347" i="66" s="1"/>
  <c r="N346" i="66"/>
  <c r="K346" i="66"/>
  <c r="J346" i="66"/>
  <c r="S346" i="66" s="1"/>
  <c r="N345" i="66"/>
  <c r="K345" i="66"/>
  <c r="J345" i="66"/>
  <c r="S345" i="66" s="1"/>
  <c r="R344" i="66"/>
  <c r="J344" i="66"/>
  <c r="S344" i="66" s="1"/>
  <c r="K343" i="66"/>
  <c r="J343" i="66"/>
  <c r="S343" i="66" s="1"/>
  <c r="Q336" i="66"/>
  <c r="P336" i="66"/>
  <c r="M335" i="66"/>
  <c r="L335" i="66"/>
  <c r="K335" i="66"/>
  <c r="J335" i="66"/>
  <c r="S335" i="66" s="1"/>
  <c r="M334" i="66"/>
  <c r="L334" i="66"/>
  <c r="K334" i="66"/>
  <c r="J334" i="66"/>
  <c r="S334" i="66" s="1"/>
  <c r="S333" i="66"/>
  <c r="K333" i="66"/>
  <c r="R333" i="66" s="1"/>
  <c r="S332" i="66"/>
  <c r="K332" i="66"/>
  <c r="R332" i="66" s="1"/>
  <c r="S331" i="66"/>
  <c r="K331" i="66"/>
  <c r="R331" i="66" s="1"/>
  <c r="M330" i="66"/>
  <c r="L330" i="66"/>
  <c r="K330" i="66"/>
  <c r="J330" i="66"/>
  <c r="S330" i="66" s="1"/>
  <c r="M329" i="66"/>
  <c r="L329" i="66"/>
  <c r="K329" i="66"/>
  <c r="J329" i="66"/>
  <c r="S329" i="66" s="1"/>
  <c r="M328" i="66"/>
  <c r="L328" i="66"/>
  <c r="K328" i="66"/>
  <c r="J328" i="66"/>
  <c r="S328" i="66" s="1"/>
  <c r="M327" i="66"/>
  <c r="L327" i="66"/>
  <c r="K327" i="66"/>
  <c r="J327" i="66"/>
  <c r="S327" i="66" s="1"/>
  <c r="K326" i="66"/>
  <c r="R326" i="66" s="1"/>
  <c r="J326" i="66"/>
  <c r="S326" i="66" s="1"/>
  <c r="K325" i="66"/>
  <c r="R325" i="66" s="1"/>
  <c r="J325" i="66"/>
  <c r="S325" i="66" s="1"/>
  <c r="K324" i="66"/>
  <c r="R324" i="66" s="1"/>
  <c r="J324" i="66"/>
  <c r="S324" i="66" s="1"/>
  <c r="K323" i="66"/>
  <c r="R323" i="66" s="1"/>
  <c r="J323" i="66"/>
  <c r="S323" i="66" s="1"/>
  <c r="K322" i="66"/>
  <c r="R322" i="66" s="1"/>
  <c r="J322" i="66"/>
  <c r="S322" i="66" s="1"/>
  <c r="K321" i="66"/>
  <c r="R321" i="66" s="1"/>
  <c r="J321" i="66"/>
  <c r="S321" i="66" s="1"/>
  <c r="K320" i="66"/>
  <c r="R320" i="66" s="1"/>
  <c r="J320" i="66"/>
  <c r="S320" i="66" s="1"/>
  <c r="K319" i="66"/>
  <c r="R319" i="66" s="1"/>
  <c r="J319" i="66"/>
  <c r="S319" i="66" s="1"/>
  <c r="K318" i="66"/>
  <c r="R318" i="66" s="1"/>
  <c r="J318" i="66"/>
  <c r="S318" i="66" s="1"/>
  <c r="K317" i="66"/>
  <c r="R317" i="66" s="1"/>
  <c r="J317" i="66"/>
  <c r="S317" i="66" s="1"/>
  <c r="K316" i="66"/>
  <c r="R316" i="66" s="1"/>
  <c r="J316" i="66"/>
  <c r="S316" i="66" s="1"/>
  <c r="M315" i="66"/>
  <c r="L315" i="66"/>
  <c r="K315" i="66"/>
  <c r="J315" i="66"/>
  <c r="S315" i="66" s="1"/>
  <c r="M314" i="66"/>
  <c r="L314" i="66"/>
  <c r="K314" i="66"/>
  <c r="J314" i="66"/>
  <c r="S314" i="66" s="1"/>
  <c r="M313" i="66"/>
  <c r="L313" i="66"/>
  <c r="K313" i="66"/>
  <c r="J313" i="66"/>
  <c r="S313" i="66" s="1"/>
  <c r="M312" i="66"/>
  <c r="L312" i="66"/>
  <c r="K312" i="66"/>
  <c r="J312" i="66"/>
  <c r="S312" i="66" s="1"/>
  <c r="M311" i="66"/>
  <c r="L311" i="66"/>
  <c r="K311" i="66"/>
  <c r="J311" i="66"/>
  <c r="S311" i="66" s="1"/>
  <c r="M310" i="66"/>
  <c r="L310" i="66"/>
  <c r="K310" i="66"/>
  <c r="J310" i="66"/>
  <c r="S310" i="66" s="1"/>
  <c r="M309" i="66"/>
  <c r="L309" i="66"/>
  <c r="K309" i="66"/>
  <c r="J309" i="66"/>
  <c r="S309" i="66" s="1"/>
  <c r="M308" i="66"/>
  <c r="L308" i="66"/>
  <c r="K308" i="66"/>
  <c r="J308" i="66"/>
  <c r="S308" i="66" s="1"/>
  <c r="M307" i="66"/>
  <c r="R307" i="66" s="1"/>
  <c r="J307" i="66"/>
  <c r="S307" i="66" s="1"/>
  <c r="M306" i="66"/>
  <c r="R306" i="66" s="1"/>
  <c r="J306" i="66"/>
  <c r="S306" i="66" s="1"/>
  <c r="M305" i="66"/>
  <c r="L305" i="66"/>
  <c r="K305" i="66"/>
  <c r="J305" i="66"/>
  <c r="S305" i="66" s="1"/>
  <c r="M304" i="66"/>
  <c r="L304" i="66"/>
  <c r="K304" i="66"/>
  <c r="J304" i="66"/>
  <c r="S304" i="66" s="1"/>
  <c r="M303" i="66"/>
  <c r="L303" i="66"/>
  <c r="K303" i="66"/>
  <c r="J303" i="66"/>
  <c r="S303" i="66" s="1"/>
  <c r="M302" i="66"/>
  <c r="L302" i="66"/>
  <c r="K302" i="66"/>
  <c r="J302" i="66"/>
  <c r="S302" i="66" s="1"/>
  <c r="K301" i="66"/>
  <c r="R301" i="66" s="1"/>
  <c r="J301" i="66"/>
  <c r="S301" i="66" s="1"/>
  <c r="K300" i="66"/>
  <c r="R300" i="66" s="1"/>
  <c r="J300" i="66"/>
  <c r="S300" i="66" s="1"/>
  <c r="M299" i="66"/>
  <c r="L299" i="66"/>
  <c r="K299" i="66"/>
  <c r="J299" i="66"/>
  <c r="S299" i="66" s="1"/>
  <c r="M298" i="66"/>
  <c r="L298" i="66"/>
  <c r="K298" i="66"/>
  <c r="J298" i="66"/>
  <c r="S298" i="66" s="1"/>
  <c r="M297" i="66"/>
  <c r="L297" i="66"/>
  <c r="K297" i="66"/>
  <c r="J297" i="66"/>
  <c r="S297" i="66" s="1"/>
  <c r="M296" i="66"/>
  <c r="L296" i="66"/>
  <c r="K296" i="66"/>
  <c r="J296" i="66"/>
  <c r="S296" i="66" s="1"/>
  <c r="M295" i="66"/>
  <c r="L295" i="66"/>
  <c r="K295" i="66"/>
  <c r="J295" i="66"/>
  <c r="S295" i="66" s="1"/>
  <c r="M294" i="66"/>
  <c r="L294" i="66"/>
  <c r="K294" i="66"/>
  <c r="J294" i="66"/>
  <c r="S294" i="66" s="1"/>
  <c r="M293" i="66"/>
  <c r="L293" i="66"/>
  <c r="K293" i="66"/>
  <c r="J293" i="66"/>
  <c r="S293" i="66" s="1"/>
  <c r="M292" i="66"/>
  <c r="L292" i="66"/>
  <c r="K292" i="66"/>
  <c r="J292" i="66"/>
  <c r="S292" i="66" s="1"/>
  <c r="M291" i="66"/>
  <c r="L291" i="66"/>
  <c r="K291" i="66"/>
  <c r="J291" i="66"/>
  <c r="S291" i="66" s="1"/>
  <c r="M290" i="66"/>
  <c r="L290" i="66"/>
  <c r="K290" i="66"/>
  <c r="J290" i="66"/>
  <c r="S290" i="66" s="1"/>
  <c r="M289" i="66"/>
  <c r="L289" i="66"/>
  <c r="K289" i="66"/>
  <c r="J289" i="66"/>
  <c r="S289" i="66" s="1"/>
  <c r="M288" i="66"/>
  <c r="L288" i="66"/>
  <c r="K288" i="66"/>
  <c r="J288" i="66"/>
  <c r="S288" i="66" s="1"/>
  <c r="M287" i="66"/>
  <c r="L287" i="66"/>
  <c r="K287" i="66"/>
  <c r="J287" i="66"/>
  <c r="S287" i="66" s="1"/>
  <c r="M286" i="66"/>
  <c r="L286" i="66"/>
  <c r="K286" i="66"/>
  <c r="J286" i="66"/>
  <c r="S286" i="66" s="1"/>
  <c r="M285" i="66"/>
  <c r="L285" i="66"/>
  <c r="K285" i="66"/>
  <c r="J285" i="66"/>
  <c r="S285" i="66" s="1"/>
  <c r="M284" i="66"/>
  <c r="L284" i="66"/>
  <c r="K284" i="66"/>
  <c r="J284" i="66"/>
  <c r="S284" i="66" s="1"/>
  <c r="M283" i="66"/>
  <c r="L283" i="66"/>
  <c r="K283" i="66"/>
  <c r="J283" i="66"/>
  <c r="S283" i="66" s="1"/>
  <c r="O282" i="66"/>
  <c r="M282" i="66"/>
  <c r="L282" i="66"/>
  <c r="K282" i="66"/>
  <c r="J282" i="66"/>
  <c r="S282" i="66" s="1"/>
  <c r="O281" i="66"/>
  <c r="M281" i="66"/>
  <c r="L281" i="66"/>
  <c r="K281" i="66"/>
  <c r="J281" i="66"/>
  <c r="S281" i="66" s="1"/>
  <c r="K280" i="66"/>
  <c r="R280" i="66" s="1"/>
  <c r="J280" i="66"/>
  <c r="S280" i="66" s="1"/>
  <c r="O279" i="66"/>
  <c r="M279" i="66"/>
  <c r="L279" i="66"/>
  <c r="K279" i="66"/>
  <c r="J279" i="66"/>
  <c r="S279" i="66" s="1"/>
  <c r="M278" i="66"/>
  <c r="K278" i="66"/>
  <c r="J278" i="66"/>
  <c r="S278" i="66" s="1"/>
  <c r="O277" i="66"/>
  <c r="M277" i="66"/>
  <c r="L277" i="66"/>
  <c r="K277" i="66"/>
  <c r="J277" i="66"/>
  <c r="S277" i="66" s="1"/>
  <c r="K276" i="66"/>
  <c r="R276" i="66" s="1"/>
  <c r="J276" i="66"/>
  <c r="S276" i="66" s="1"/>
  <c r="M275" i="66"/>
  <c r="L275" i="66"/>
  <c r="K275" i="66"/>
  <c r="J275" i="66"/>
  <c r="S275" i="66" s="1"/>
  <c r="M274" i="66"/>
  <c r="L274" i="66"/>
  <c r="K274" i="66"/>
  <c r="J274" i="66"/>
  <c r="S274" i="66" s="1"/>
  <c r="M273" i="66"/>
  <c r="L273" i="66"/>
  <c r="K273" i="66"/>
  <c r="J273" i="66"/>
  <c r="S273" i="66" s="1"/>
  <c r="O272" i="66"/>
  <c r="M272" i="66"/>
  <c r="L272" i="66"/>
  <c r="K272" i="66"/>
  <c r="J272" i="66"/>
  <c r="S272" i="66" s="1"/>
  <c r="M271" i="66"/>
  <c r="L271" i="66"/>
  <c r="K271" i="66"/>
  <c r="J271" i="66"/>
  <c r="S271" i="66" s="1"/>
  <c r="M270" i="66"/>
  <c r="L270" i="66"/>
  <c r="K270" i="66"/>
  <c r="J270" i="66"/>
  <c r="S270" i="66" s="1"/>
  <c r="M269" i="66"/>
  <c r="L269" i="66"/>
  <c r="K269" i="66"/>
  <c r="J269" i="66"/>
  <c r="S269" i="66" s="1"/>
  <c r="N268" i="66"/>
  <c r="N336" i="66" s="1"/>
  <c r="M268" i="66"/>
  <c r="L268" i="66"/>
  <c r="K268" i="66"/>
  <c r="J268" i="66"/>
  <c r="S268" i="66" s="1"/>
  <c r="P262" i="66"/>
  <c r="N262" i="66"/>
  <c r="Q260" i="66"/>
  <c r="K260" i="66"/>
  <c r="J260" i="66"/>
  <c r="S260" i="66" s="1"/>
  <c r="M259" i="66"/>
  <c r="L259" i="66"/>
  <c r="K259" i="66"/>
  <c r="J259" i="66"/>
  <c r="S259" i="66" s="1"/>
  <c r="M258" i="66"/>
  <c r="L258" i="66"/>
  <c r="K258" i="66"/>
  <c r="J258" i="66"/>
  <c r="S258" i="66" s="1"/>
  <c r="M257" i="66"/>
  <c r="L257" i="66"/>
  <c r="K257" i="66"/>
  <c r="J257" i="66"/>
  <c r="S257" i="66" s="1"/>
  <c r="M256" i="66"/>
  <c r="L256" i="66"/>
  <c r="K256" i="66"/>
  <c r="J256" i="66"/>
  <c r="S256" i="66" s="1"/>
  <c r="Q255" i="66"/>
  <c r="O255" i="66"/>
  <c r="M255" i="66"/>
  <c r="L255" i="66"/>
  <c r="K255" i="66"/>
  <c r="J255" i="66"/>
  <c r="S255" i="66" s="1"/>
  <c r="O254" i="66"/>
  <c r="M254" i="66"/>
  <c r="L254" i="66"/>
  <c r="K254" i="66"/>
  <c r="J254" i="66"/>
  <c r="S254" i="66" s="1"/>
  <c r="Q249" i="66"/>
  <c r="P248" i="66"/>
  <c r="O248" i="66"/>
  <c r="N248" i="66"/>
  <c r="M248" i="66"/>
  <c r="L248" i="66"/>
  <c r="K248" i="66"/>
  <c r="J248" i="66"/>
  <c r="S248" i="66" s="1"/>
  <c r="P247" i="66"/>
  <c r="O247" i="66"/>
  <c r="N247" i="66"/>
  <c r="M247" i="66"/>
  <c r="L247" i="66"/>
  <c r="K247" i="66"/>
  <c r="J247" i="66"/>
  <c r="S247" i="66" s="1"/>
  <c r="Q241" i="66"/>
  <c r="P241" i="66"/>
  <c r="N241" i="66"/>
  <c r="O240" i="66"/>
  <c r="M240" i="66"/>
  <c r="L240" i="66"/>
  <c r="L241" i="66" s="1"/>
  <c r="K240" i="66"/>
  <c r="J240" i="66"/>
  <c r="S240" i="66" s="1"/>
  <c r="O239" i="66"/>
  <c r="M239" i="66"/>
  <c r="K239" i="66"/>
  <c r="J239" i="66"/>
  <c r="S239" i="66" s="1"/>
  <c r="O238" i="66"/>
  <c r="M238" i="66"/>
  <c r="K238" i="66"/>
  <c r="J238" i="66"/>
  <c r="S238" i="66" s="1"/>
  <c r="P235" i="66"/>
  <c r="O235" i="66"/>
  <c r="N235" i="66"/>
  <c r="Q234" i="66"/>
  <c r="K234" i="66"/>
  <c r="J234" i="66"/>
  <c r="S234" i="66" s="1"/>
  <c r="Q233" i="66"/>
  <c r="M233" i="66"/>
  <c r="L233" i="66"/>
  <c r="K233" i="66"/>
  <c r="J233" i="66"/>
  <c r="S233" i="66" s="1"/>
  <c r="Q232" i="66"/>
  <c r="M232" i="66"/>
  <c r="L232" i="66"/>
  <c r="K232" i="66"/>
  <c r="J232" i="66"/>
  <c r="S232" i="66" s="1"/>
  <c r="Q231" i="66"/>
  <c r="M231" i="66"/>
  <c r="L231" i="66"/>
  <c r="K231" i="66"/>
  <c r="J231" i="66"/>
  <c r="S231" i="66" s="1"/>
  <c r="N224" i="66"/>
  <c r="M224" i="66"/>
  <c r="K224" i="66"/>
  <c r="J224" i="66"/>
  <c r="S224" i="66" s="1"/>
  <c r="P223" i="66"/>
  <c r="N223" i="66"/>
  <c r="M223" i="66"/>
  <c r="K223" i="66"/>
  <c r="J223" i="66"/>
  <c r="S223" i="66" s="1"/>
  <c r="P222" i="66"/>
  <c r="N222" i="66"/>
  <c r="M222" i="66"/>
  <c r="K222" i="66"/>
  <c r="J222" i="66"/>
  <c r="S222" i="66" s="1"/>
  <c r="N221" i="66"/>
  <c r="K221" i="66"/>
  <c r="J221" i="66"/>
  <c r="S221" i="66" s="1"/>
  <c r="N220" i="66"/>
  <c r="M220" i="66"/>
  <c r="K220" i="66"/>
  <c r="J220" i="66"/>
  <c r="S220" i="66" s="1"/>
  <c r="P219" i="66"/>
  <c r="N219" i="66"/>
  <c r="M219" i="66"/>
  <c r="K219" i="66"/>
  <c r="J219" i="66"/>
  <c r="S219" i="66" s="1"/>
  <c r="N218" i="66"/>
  <c r="M218" i="66"/>
  <c r="K218" i="66"/>
  <c r="J218" i="66"/>
  <c r="S218" i="66" s="1"/>
  <c r="P217" i="66"/>
  <c r="N217" i="66"/>
  <c r="M217" i="66"/>
  <c r="K217" i="66"/>
  <c r="J217" i="66"/>
  <c r="S217" i="66" s="1"/>
  <c r="N216" i="66"/>
  <c r="K216" i="66"/>
  <c r="J216" i="66"/>
  <c r="S216" i="66" s="1"/>
  <c r="N215" i="66"/>
  <c r="K215" i="66"/>
  <c r="J215" i="66"/>
  <c r="S215" i="66" s="1"/>
  <c r="P214" i="66"/>
  <c r="N214" i="66"/>
  <c r="K214" i="66"/>
  <c r="J214" i="66"/>
  <c r="S214" i="66" s="1"/>
  <c r="P213" i="66"/>
  <c r="N213" i="66"/>
  <c r="K213" i="66"/>
  <c r="J213" i="66"/>
  <c r="S213" i="66" s="1"/>
  <c r="M209" i="66"/>
  <c r="R209" i="66" s="1"/>
  <c r="J209" i="66"/>
  <c r="S209" i="66" s="1"/>
  <c r="M208" i="66"/>
  <c r="R208" i="66" s="1"/>
  <c r="J208" i="66"/>
  <c r="S208" i="66" s="1"/>
  <c r="Q207" i="66"/>
  <c r="O207" i="66"/>
  <c r="M207" i="66"/>
  <c r="K207" i="66"/>
  <c r="J207" i="66"/>
  <c r="S207" i="66" s="1"/>
  <c r="Q206" i="66"/>
  <c r="O206" i="66"/>
  <c r="M206" i="66"/>
  <c r="K206" i="66"/>
  <c r="J206" i="66"/>
  <c r="S206" i="66" s="1"/>
  <c r="O202" i="66"/>
  <c r="M202" i="66"/>
  <c r="L202" i="66"/>
  <c r="K202" i="66"/>
  <c r="J202" i="66"/>
  <c r="S202" i="66" s="1"/>
  <c r="O201" i="66"/>
  <c r="M201" i="66"/>
  <c r="L201" i="66"/>
  <c r="K201" i="66"/>
  <c r="J201" i="66"/>
  <c r="S201" i="66" s="1"/>
  <c r="M200" i="66"/>
  <c r="L200" i="66"/>
  <c r="K200" i="66"/>
  <c r="J200" i="66"/>
  <c r="S200" i="66" s="1"/>
  <c r="M199" i="66"/>
  <c r="L199" i="66"/>
  <c r="K199" i="66"/>
  <c r="J199" i="66"/>
  <c r="S199" i="66" s="1"/>
  <c r="M198" i="66"/>
  <c r="K198" i="66"/>
  <c r="J198" i="66"/>
  <c r="S198" i="66" s="1"/>
  <c r="M197" i="66"/>
  <c r="K197" i="66"/>
  <c r="J197" i="66"/>
  <c r="S197" i="66" s="1"/>
  <c r="O194" i="66"/>
  <c r="M194" i="66"/>
  <c r="L194" i="66"/>
  <c r="K194" i="66"/>
  <c r="J194" i="66"/>
  <c r="S194" i="66" s="1"/>
  <c r="O193" i="66"/>
  <c r="M193" i="66"/>
  <c r="L193" i="66"/>
  <c r="K193" i="66"/>
  <c r="J193" i="66"/>
  <c r="S193" i="66" s="1"/>
  <c r="M192" i="66"/>
  <c r="K192" i="66"/>
  <c r="J192" i="66"/>
  <c r="S192" i="66" s="1"/>
  <c r="O191" i="66"/>
  <c r="M191" i="66"/>
  <c r="L191" i="66"/>
  <c r="K191" i="66"/>
  <c r="J191" i="66"/>
  <c r="S191" i="66" s="1"/>
  <c r="O190" i="66"/>
  <c r="M190" i="66"/>
  <c r="L190" i="66"/>
  <c r="K190" i="66"/>
  <c r="J190" i="66"/>
  <c r="S190" i="66" s="1"/>
  <c r="O189" i="66"/>
  <c r="M189" i="66"/>
  <c r="L189" i="66"/>
  <c r="K189" i="66"/>
  <c r="J189" i="66"/>
  <c r="S189" i="66" s="1"/>
  <c r="P188" i="66"/>
  <c r="O188" i="66"/>
  <c r="M188" i="66"/>
  <c r="L188" i="66"/>
  <c r="K188" i="66"/>
  <c r="J188" i="66"/>
  <c r="S188" i="66" s="1"/>
  <c r="P187" i="66"/>
  <c r="N187" i="66"/>
  <c r="M187" i="66"/>
  <c r="L187" i="66"/>
  <c r="K187" i="66"/>
  <c r="J187" i="66"/>
  <c r="S187" i="66" s="1"/>
  <c r="M186" i="66"/>
  <c r="L186" i="66"/>
  <c r="K186" i="66"/>
  <c r="J186" i="66"/>
  <c r="S186" i="66" s="1"/>
  <c r="M185" i="66"/>
  <c r="L185" i="66"/>
  <c r="K185" i="66"/>
  <c r="J185" i="66"/>
  <c r="S185" i="66" s="1"/>
  <c r="P184" i="66"/>
  <c r="M184" i="66"/>
  <c r="L184" i="66"/>
  <c r="K184" i="66"/>
  <c r="J184" i="66"/>
  <c r="S184" i="66" s="1"/>
  <c r="M183" i="66"/>
  <c r="L183" i="66"/>
  <c r="K183" i="66"/>
  <c r="J183" i="66"/>
  <c r="S183" i="66" s="1"/>
  <c r="M182" i="66"/>
  <c r="L182" i="66"/>
  <c r="K182" i="66"/>
  <c r="J182" i="66"/>
  <c r="S182" i="66" s="1"/>
  <c r="L181" i="66"/>
  <c r="K181" i="66"/>
  <c r="J181" i="66"/>
  <c r="S181" i="66" s="1"/>
  <c r="M180" i="66"/>
  <c r="L180" i="66"/>
  <c r="K180" i="66"/>
  <c r="J180" i="66"/>
  <c r="S180" i="66" s="1"/>
  <c r="M179" i="66"/>
  <c r="L179" i="66"/>
  <c r="K179" i="66"/>
  <c r="J179" i="66"/>
  <c r="S179" i="66" s="1"/>
  <c r="M178" i="66"/>
  <c r="L178" i="66"/>
  <c r="K178" i="66"/>
  <c r="J178" i="66"/>
  <c r="S178" i="66" s="1"/>
  <c r="M177" i="66"/>
  <c r="L177" i="66"/>
  <c r="K177" i="66"/>
  <c r="J177" i="66"/>
  <c r="S177" i="66" s="1"/>
  <c r="M176" i="66"/>
  <c r="L176" i="66"/>
  <c r="K176" i="66"/>
  <c r="J176" i="66"/>
  <c r="S176" i="66" s="1"/>
  <c r="M175" i="66"/>
  <c r="L175" i="66"/>
  <c r="K175" i="66"/>
  <c r="J175" i="66"/>
  <c r="S175" i="66" s="1"/>
  <c r="P174" i="66"/>
  <c r="M174" i="66"/>
  <c r="L174" i="66"/>
  <c r="K174" i="66"/>
  <c r="J174" i="66"/>
  <c r="S174" i="66" s="1"/>
  <c r="M173" i="66"/>
  <c r="L173" i="66"/>
  <c r="K173" i="66"/>
  <c r="J173" i="66"/>
  <c r="S173" i="66" s="1"/>
  <c r="M172" i="66"/>
  <c r="L172" i="66"/>
  <c r="K172" i="66"/>
  <c r="J172" i="66"/>
  <c r="S172" i="66" s="1"/>
  <c r="Q158" i="66"/>
  <c r="P158" i="66"/>
  <c r="M157" i="66"/>
  <c r="L157" i="66"/>
  <c r="K157" i="66"/>
  <c r="J157" i="66"/>
  <c r="S157" i="66" s="1"/>
  <c r="M156" i="66"/>
  <c r="L156" i="66"/>
  <c r="K156" i="66"/>
  <c r="J156" i="66"/>
  <c r="S156" i="66" s="1"/>
  <c r="N155" i="66"/>
  <c r="M155" i="66"/>
  <c r="L155" i="66"/>
  <c r="K155" i="66"/>
  <c r="J155" i="66"/>
  <c r="S155" i="66" s="1"/>
  <c r="M154" i="66"/>
  <c r="L154" i="66"/>
  <c r="K154" i="66"/>
  <c r="J154" i="66"/>
  <c r="S154" i="66" s="1"/>
  <c r="M153" i="66"/>
  <c r="L153" i="66"/>
  <c r="K153" i="66"/>
  <c r="J153" i="66"/>
  <c r="S153" i="66" s="1"/>
  <c r="M152" i="66"/>
  <c r="L152" i="66"/>
  <c r="K152" i="66"/>
  <c r="J152" i="66"/>
  <c r="S152" i="66" s="1"/>
  <c r="N151" i="66"/>
  <c r="M151" i="66"/>
  <c r="L151" i="66"/>
  <c r="K151" i="66"/>
  <c r="J151" i="66"/>
  <c r="S151" i="66" s="1"/>
  <c r="O150" i="66"/>
  <c r="O158" i="66" s="1"/>
  <c r="M150" i="66"/>
  <c r="L150" i="66"/>
  <c r="K150" i="66"/>
  <c r="J150" i="66"/>
  <c r="S150" i="66" s="1"/>
  <c r="M149" i="66"/>
  <c r="L149" i="66"/>
  <c r="K149" i="66"/>
  <c r="J149" i="66"/>
  <c r="S149" i="66" s="1"/>
  <c r="Q140" i="66"/>
  <c r="P140" i="66"/>
  <c r="O140" i="66"/>
  <c r="N139" i="66"/>
  <c r="N140" i="66" s="1"/>
  <c r="M139" i="66"/>
  <c r="L139" i="66"/>
  <c r="K139" i="66"/>
  <c r="J139" i="66"/>
  <c r="S139" i="66" s="1"/>
  <c r="M138" i="66"/>
  <c r="L138" i="66"/>
  <c r="K138" i="66"/>
  <c r="J138" i="66"/>
  <c r="S138" i="66" s="1"/>
  <c r="M137" i="66"/>
  <c r="L137" i="66"/>
  <c r="K137" i="66"/>
  <c r="J137" i="66"/>
  <c r="S137" i="66" s="1"/>
  <c r="Q132" i="66"/>
  <c r="P132" i="66"/>
  <c r="O132" i="66"/>
  <c r="M132" i="66"/>
  <c r="L132" i="66"/>
  <c r="K132" i="66"/>
  <c r="N131" i="66"/>
  <c r="R131" i="66" s="1"/>
  <c r="J131" i="66"/>
  <c r="S131" i="66" s="1"/>
  <c r="N130" i="66"/>
  <c r="R130" i="66" s="1"/>
  <c r="J130" i="66"/>
  <c r="S130" i="66" s="1"/>
  <c r="N129" i="66"/>
  <c r="J129" i="66"/>
  <c r="S129" i="66" s="1"/>
  <c r="N128" i="66"/>
  <c r="R128" i="66" s="1"/>
  <c r="J128" i="66"/>
  <c r="S128" i="66" s="1"/>
  <c r="Q126" i="66"/>
  <c r="P126" i="66"/>
  <c r="O126" i="66"/>
  <c r="N126" i="66"/>
  <c r="M125" i="66"/>
  <c r="L125" i="66"/>
  <c r="K125" i="66"/>
  <c r="J125" i="66"/>
  <c r="S125" i="66" s="1"/>
  <c r="M124" i="66"/>
  <c r="L124" i="66"/>
  <c r="K124" i="66"/>
  <c r="J124" i="66"/>
  <c r="S124" i="66" s="1"/>
  <c r="M122" i="66"/>
  <c r="L122" i="66"/>
  <c r="K122" i="66"/>
  <c r="J122" i="66"/>
  <c r="S122" i="66" s="1"/>
  <c r="Q119" i="66"/>
  <c r="P119" i="66"/>
  <c r="N117" i="66"/>
  <c r="M117" i="66"/>
  <c r="L117" i="66"/>
  <c r="K117" i="66"/>
  <c r="J117" i="66"/>
  <c r="S117" i="66" s="1"/>
  <c r="O116" i="66"/>
  <c r="N116" i="66"/>
  <c r="M116" i="66"/>
  <c r="L116" i="66"/>
  <c r="K116" i="66"/>
  <c r="J116" i="66"/>
  <c r="S116" i="66" s="1"/>
  <c r="O115" i="66"/>
  <c r="N115" i="66"/>
  <c r="M115" i="66"/>
  <c r="L115" i="66"/>
  <c r="K115" i="66"/>
  <c r="J115" i="66"/>
  <c r="S115" i="66" s="1"/>
  <c r="O114" i="66"/>
  <c r="N114" i="66"/>
  <c r="M114" i="66"/>
  <c r="L114" i="66"/>
  <c r="K114" i="66"/>
  <c r="J114" i="66"/>
  <c r="S114" i="66" s="1"/>
  <c r="O112" i="66"/>
  <c r="N112" i="66"/>
  <c r="M112" i="66"/>
  <c r="L112" i="66"/>
  <c r="K112" i="66"/>
  <c r="J112" i="66"/>
  <c r="S112" i="66" s="1"/>
  <c r="M111" i="66"/>
  <c r="L111" i="66"/>
  <c r="K111" i="66"/>
  <c r="J111" i="66"/>
  <c r="S111" i="66" s="1"/>
  <c r="M110" i="66"/>
  <c r="L110" i="66"/>
  <c r="K110" i="66"/>
  <c r="J110" i="66"/>
  <c r="S110" i="66" s="1"/>
  <c r="M109" i="66"/>
  <c r="L109" i="66"/>
  <c r="K109" i="66"/>
  <c r="J109" i="66"/>
  <c r="S109" i="66" s="1"/>
  <c r="M108" i="66"/>
  <c r="L108" i="66"/>
  <c r="K108" i="66"/>
  <c r="J108" i="66"/>
  <c r="S108" i="66" s="1"/>
  <c r="M107" i="66"/>
  <c r="L107" i="66"/>
  <c r="K107" i="66"/>
  <c r="J107" i="66"/>
  <c r="S107" i="66" s="1"/>
  <c r="Q101" i="66"/>
  <c r="O101" i="66"/>
  <c r="P100" i="66"/>
  <c r="O100" i="66"/>
  <c r="I100" i="66"/>
  <c r="H100" i="66"/>
  <c r="F100" i="66"/>
  <c r="E100" i="66"/>
  <c r="C100" i="66"/>
  <c r="Q99" i="66"/>
  <c r="O99" i="66"/>
  <c r="N99" i="66"/>
  <c r="I99" i="66"/>
  <c r="H99" i="66"/>
  <c r="G99" i="66"/>
  <c r="F99" i="66"/>
  <c r="E99" i="66"/>
  <c r="C99" i="66"/>
  <c r="N98" i="66"/>
  <c r="M98" i="66"/>
  <c r="L98" i="66"/>
  <c r="K98" i="66"/>
  <c r="J98" i="66"/>
  <c r="S98" i="66" s="1"/>
  <c r="N97" i="66"/>
  <c r="M97" i="66"/>
  <c r="L97" i="66"/>
  <c r="K97" i="66"/>
  <c r="J97" i="66"/>
  <c r="S97" i="66" s="1"/>
  <c r="N96" i="66"/>
  <c r="M96" i="66"/>
  <c r="L96" i="66"/>
  <c r="K96" i="66"/>
  <c r="J96" i="66"/>
  <c r="N95" i="66"/>
  <c r="M95" i="66"/>
  <c r="L95" i="66"/>
  <c r="K95" i="66"/>
  <c r="J95" i="66"/>
  <c r="S95" i="66" s="1"/>
  <c r="N94" i="66"/>
  <c r="M94" i="66"/>
  <c r="L94" i="66"/>
  <c r="K94" i="66"/>
  <c r="J94" i="66"/>
  <c r="S94" i="66" s="1"/>
  <c r="P92" i="66"/>
  <c r="M92" i="66"/>
  <c r="L92" i="66"/>
  <c r="K92" i="66"/>
  <c r="J92" i="66"/>
  <c r="S92" i="66" s="1"/>
  <c r="P91" i="66"/>
  <c r="M91" i="66"/>
  <c r="L91" i="66"/>
  <c r="K91" i="66"/>
  <c r="J91" i="66"/>
  <c r="S91" i="66" s="1"/>
  <c r="P90" i="66"/>
  <c r="M90" i="66"/>
  <c r="L90" i="66"/>
  <c r="K90" i="66"/>
  <c r="J90" i="66"/>
  <c r="S90" i="66" s="1"/>
  <c r="P89" i="66"/>
  <c r="M89" i="66"/>
  <c r="L89" i="66"/>
  <c r="K89" i="66"/>
  <c r="J89" i="66"/>
  <c r="S89" i="66" s="1"/>
  <c r="P87" i="66"/>
  <c r="M87" i="66"/>
  <c r="L87" i="66"/>
  <c r="K87" i="66"/>
  <c r="J87" i="66"/>
  <c r="S87" i="66" s="1"/>
  <c r="Q84" i="66"/>
  <c r="P84" i="66"/>
  <c r="N84" i="66"/>
  <c r="S83" i="66"/>
  <c r="O83" i="66"/>
  <c r="M83" i="66"/>
  <c r="L83" i="66"/>
  <c r="K83" i="66"/>
  <c r="J83" i="66"/>
  <c r="S82" i="66"/>
  <c r="O82" i="66"/>
  <c r="M82" i="66"/>
  <c r="L82" i="66"/>
  <c r="K82" i="66"/>
  <c r="J82" i="66"/>
  <c r="S81" i="66"/>
  <c r="O81" i="66"/>
  <c r="M81" i="66"/>
  <c r="L81" i="66"/>
  <c r="K81" i="66"/>
  <c r="J81" i="66"/>
  <c r="S80" i="66"/>
  <c r="O80" i="66"/>
  <c r="M80" i="66"/>
  <c r="L80" i="66"/>
  <c r="K80" i="66"/>
  <c r="J80" i="66"/>
  <c r="S79" i="66"/>
  <c r="M79" i="66"/>
  <c r="L79" i="66"/>
  <c r="K79" i="66"/>
  <c r="J79" i="66"/>
  <c r="S78" i="66"/>
  <c r="M78" i="66"/>
  <c r="L78" i="66"/>
  <c r="K78" i="66"/>
  <c r="J78" i="66"/>
  <c r="S77" i="66"/>
  <c r="M77" i="66"/>
  <c r="L77" i="66"/>
  <c r="K77" i="66"/>
  <c r="J77" i="66"/>
  <c r="S76" i="66"/>
  <c r="M76" i="66"/>
  <c r="L76" i="66"/>
  <c r="K76" i="66"/>
  <c r="J76" i="66"/>
  <c r="S75" i="66"/>
  <c r="M75" i="66"/>
  <c r="L75" i="66"/>
  <c r="K75" i="66"/>
  <c r="J75" i="66"/>
  <c r="S74" i="66"/>
  <c r="M74" i="66"/>
  <c r="L74" i="66"/>
  <c r="K74" i="66"/>
  <c r="J74" i="66"/>
  <c r="S73" i="66"/>
  <c r="M73" i="66"/>
  <c r="L73" i="66"/>
  <c r="K73" i="66"/>
  <c r="J73" i="66"/>
  <c r="S72" i="66"/>
  <c r="M72" i="66"/>
  <c r="L72" i="66"/>
  <c r="K72" i="66"/>
  <c r="J72" i="66"/>
  <c r="S71" i="66"/>
  <c r="M71" i="66"/>
  <c r="L71" i="66"/>
  <c r="K71" i="66"/>
  <c r="J71" i="66"/>
  <c r="S70" i="66"/>
  <c r="M70" i="66"/>
  <c r="L70" i="66"/>
  <c r="K70" i="66"/>
  <c r="J70" i="66"/>
  <c r="S69" i="66"/>
  <c r="M69" i="66"/>
  <c r="L69" i="66"/>
  <c r="K69" i="66"/>
  <c r="J69" i="66"/>
  <c r="S68" i="66"/>
  <c r="M68" i="66"/>
  <c r="L68" i="66"/>
  <c r="K68" i="66"/>
  <c r="J68" i="66"/>
  <c r="S67" i="66"/>
  <c r="M67" i="66"/>
  <c r="L67" i="66"/>
  <c r="K67" i="66"/>
  <c r="J67" i="66"/>
  <c r="Q60" i="66"/>
  <c r="I60" i="66"/>
  <c r="H60" i="66"/>
  <c r="F60" i="66"/>
  <c r="E60" i="66"/>
  <c r="D60" i="66"/>
  <c r="C60" i="66"/>
  <c r="J59" i="66"/>
  <c r="S58" i="66"/>
  <c r="P58" i="66"/>
  <c r="N58" i="66"/>
  <c r="M58" i="66"/>
  <c r="L58" i="66"/>
  <c r="K58" i="66"/>
  <c r="J58" i="66"/>
  <c r="S57" i="66"/>
  <c r="P57" i="66"/>
  <c r="N57" i="66"/>
  <c r="M57" i="66"/>
  <c r="L57" i="66"/>
  <c r="K57" i="66"/>
  <c r="J57" i="66"/>
  <c r="S56" i="66"/>
  <c r="P56" i="66"/>
  <c r="N56" i="66"/>
  <c r="M56" i="66"/>
  <c r="L56" i="66"/>
  <c r="K56" i="66"/>
  <c r="J56" i="66"/>
  <c r="S55" i="66"/>
  <c r="P55" i="66"/>
  <c r="N55" i="66"/>
  <c r="M55" i="66"/>
  <c r="L55" i="66"/>
  <c r="K55" i="66"/>
  <c r="J55" i="66"/>
  <c r="S54" i="66"/>
  <c r="P54" i="66"/>
  <c r="N54" i="66"/>
  <c r="M54" i="66"/>
  <c r="L54" i="66"/>
  <c r="K54" i="66"/>
  <c r="J54" i="66"/>
  <c r="S53" i="66"/>
  <c r="P53" i="66"/>
  <c r="O53" i="66"/>
  <c r="O60" i="66" s="1"/>
  <c r="N53" i="66"/>
  <c r="M53" i="66"/>
  <c r="L53" i="66"/>
  <c r="K53" i="66"/>
  <c r="J53" i="66"/>
  <c r="S52" i="66"/>
  <c r="P52" i="66"/>
  <c r="N52" i="66"/>
  <c r="M52" i="66"/>
  <c r="L52" i="66"/>
  <c r="K52" i="66"/>
  <c r="J52" i="66"/>
  <c r="S51" i="66"/>
  <c r="P51" i="66"/>
  <c r="N51" i="66"/>
  <c r="M51" i="66"/>
  <c r="L51" i="66"/>
  <c r="K51" i="66"/>
  <c r="J51" i="66"/>
  <c r="S50" i="66"/>
  <c r="P50" i="66"/>
  <c r="N50" i="66"/>
  <c r="M50" i="66"/>
  <c r="L50" i="66"/>
  <c r="K50" i="66"/>
  <c r="J50" i="66"/>
  <c r="S49" i="66"/>
  <c r="P49" i="66"/>
  <c r="N49" i="66"/>
  <c r="M49" i="66"/>
  <c r="L49" i="66"/>
  <c r="K49" i="66"/>
  <c r="J49" i="66"/>
  <c r="S48" i="66"/>
  <c r="P48" i="66"/>
  <c r="N48" i="66"/>
  <c r="M48" i="66"/>
  <c r="L48" i="66"/>
  <c r="K48" i="66"/>
  <c r="J48" i="66"/>
  <c r="Q44" i="66"/>
  <c r="I44" i="66"/>
  <c r="H44" i="66"/>
  <c r="G44" i="66"/>
  <c r="F44" i="66"/>
  <c r="E44" i="66"/>
  <c r="D44" i="66"/>
  <c r="C44" i="66"/>
  <c r="L43" i="66"/>
  <c r="K43" i="66"/>
  <c r="J43" i="66"/>
  <c r="J42" i="66"/>
  <c r="S41" i="66"/>
  <c r="P41" i="66"/>
  <c r="N41" i="66"/>
  <c r="M41" i="66"/>
  <c r="L41" i="66"/>
  <c r="K41" i="66"/>
  <c r="J41" i="66"/>
  <c r="S40" i="66"/>
  <c r="P40" i="66"/>
  <c r="N40" i="66"/>
  <c r="M40" i="66"/>
  <c r="L40" i="66"/>
  <c r="K40" i="66"/>
  <c r="J40" i="66"/>
  <c r="S39" i="66"/>
  <c r="P39" i="66"/>
  <c r="N39" i="66"/>
  <c r="M39" i="66"/>
  <c r="L39" i="66"/>
  <c r="K39" i="66"/>
  <c r="J39" i="66"/>
  <c r="S38" i="66"/>
  <c r="P38" i="66"/>
  <c r="N38" i="66"/>
  <c r="M38" i="66"/>
  <c r="L38" i="66"/>
  <c r="K38" i="66"/>
  <c r="J38" i="66"/>
  <c r="S37" i="66"/>
  <c r="P37" i="66"/>
  <c r="N37" i="66"/>
  <c r="M37" i="66"/>
  <c r="L37" i="66"/>
  <c r="K37" i="66"/>
  <c r="J37" i="66"/>
  <c r="S36" i="66"/>
  <c r="P36" i="66"/>
  <c r="N36" i="66"/>
  <c r="M36" i="66"/>
  <c r="L36" i="66"/>
  <c r="K36" i="66"/>
  <c r="J36" i="66"/>
  <c r="S35" i="66"/>
  <c r="P35" i="66"/>
  <c r="N35" i="66"/>
  <c r="M35" i="66"/>
  <c r="L35" i="66"/>
  <c r="K35" i="66"/>
  <c r="J35" i="66"/>
  <c r="S34" i="66"/>
  <c r="P34" i="66"/>
  <c r="N34" i="66"/>
  <c r="M34" i="66"/>
  <c r="L34" i="66"/>
  <c r="K34" i="66"/>
  <c r="J34" i="66"/>
  <c r="S33" i="66"/>
  <c r="P33" i="66"/>
  <c r="O33" i="66"/>
  <c r="N33" i="66"/>
  <c r="M33" i="66"/>
  <c r="L33" i="66"/>
  <c r="K33" i="66"/>
  <c r="J33" i="66"/>
  <c r="S32" i="66"/>
  <c r="P32" i="66"/>
  <c r="N32" i="66"/>
  <c r="M32" i="66"/>
  <c r="L32" i="66"/>
  <c r="K32" i="66"/>
  <c r="J32" i="66"/>
  <c r="S31" i="66"/>
  <c r="P31" i="66"/>
  <c r="N31" i="66"/>
  <c r="M31" i="66"/>
  <c r="L31" i="66"/>
  <c r="K31" i="66"/>
  <c r="J31" i="66"/>
  <c r="S30" i="66"/>
  <c r="P30" i="66"/>
  <c r="N30" i="66"/>
  <c r="M30" i="66"/>
  <c r="L30" i="66"/>
  <c r="K30" i="66"/>
  <c r="J30" i="66"/>
  <c r="S29" i="66"/>
  <c r="P29" i="66"/>
  <c r="N29" i="66"/>
  <c r="M29" i="66"/>
  <c r="L29" i="66"/>
  <c r="K29" i="66"/>
  <c r="J29" i="66"/>
  <c r="S28" i="66"/>
  <c r="O28" i="66"/>
  <c r="N28" i="66"/>
  <c r="K28" i="66"/>
  <c r="J28" i="66"/>
  <c r="S27" i="66"/>
  <c r="O27" i="66"/>
  <c r="N27" i="66"/>
  <c r="K27" i="66"/>
  <c r="J27" i="66"/>
  <c r="S26" i="66"/>
  <c r="O26" i="66"/>
  <c r="N26" i="66"/>
  <c r="K26" i="66"/>
  <c r="J26" i="66"/>
  <c r="S25" i="66"/>
  <c r="O25" i="66"/>
  <c r="N25" i="66"/>
  <c r="K25" i="66"/>
  <c r="J25" i="66"/>
  <c r="Q24" i="66"/>
  <c r="N24" i="66"/>
  <c r="I24" i="66"/>
  <c r="H24" i="66"/>
  <c r="G24" i="66"/>
  <c r="F24" i="66"/>
  <c r="E24" i="66"/>
  <c r="D24" i="66"/>
  <c r="C24" i="66"/>
  <c r="S23" i="66"/>
  <c r="K23" i="66"/>
  <c r="R23" i="66" s="1"/>
  <c r="J23" i="66"/>
  <c r="S22" i="66"/>
  <c r="K22" i="66"/>
  <c r="R22" i="66" s="1"/>
  <c r="J22" i="66"/>
  <c r="S21" i="66"/>
  <c r="P21" i="66"/>
  <c r="M21" i="66"/>
  <c r="K21" i="66"/>
  <c r="J21" i="66"/>
  <c r="S20" i="66"/>
  <c r="P20" i="66"/>
  <c r="M20" i="66"/>
  <c r="K20" i="66"/>
  <c r="J20" i="66"/>
  <c r="S19" i="66"/>
  <c r="P19" i="66"/>
  <c r="M19" i="66"/>
  <c r="K19" i="66"/>
  <c r="J19" i="66"/>
  <c r="S18" i="66"/>
  <c r="P18" i="66"/>
  <c r="M18" i="66"/>
  <c r="K18" i="66"/>
  <c r="J18" i="66"/>
  <c r="S17" i="66"/>
  <c r="P17" i="66"/>
  <c r="M17" i="66"/>
  <c r="K17" i="66"/>
  <c r="J17" i="66"/>
  <c r="S16" i="66"/>
  <c r="P16" i="66"/>
  <c r="M16" i="66"/>
  <c r="K16" i="66"/>
  <c r="J16" i="66"/>
  <c r="S15" i="66"/>
  <c r="P15" i="66"/>
  <c r="M15" i="66"/>
  <c r="K15" i="66"/>
  <c r="J15" i="66"/>
  <c r="S14" i="66"/>
  <c r="P14" i="66"/>
  <c r="M14" i="66"/>
  <c r="K14" i="66"/>
  <c r="J14" i="66"/>
  <c r="S13" i="66"/>
  <c r="P13" i="66"/>
  <c r="O13" i="66"/>
  <c r="K13" i="66"/>
  <c r="J13" i="66"/>
  <c r="S12" i="66"/>
  <c r="O12" i="66"/>
  <c r="K12" i="66"/>
  <c r="J12" i="66"/>
  <c r="S11" i="66"/>
  <c r="O11" i="66"/>
  <c r="M11" i="66"/>
  <c r="L11" i="66"/>
  <c r="K11" i="66"/>
  <c r="J11" i="66"/>
  <c r="S10" i="66"/>
  <c r="O10" i="66"/>
  <c r="M10" i="66"/>
  <c r="L10" i="66"/>
  <c r="K10" i="66"/>
  <c r="J10" i="66"/>
  <c r="S9" i="66"/>
  <c r="O9" i="66"/>
  <c r="M9" i="66"/>
  <c r="L9" i="66"/>
  <c r="K9" i="66"/>
  <c r="J9" i="66"/>
  <c r="S8" i="66"/>
  <c r="O8" i="66"/>
  <c r="M8" i="66"/>
  <c r="L8" i="66"/>
  <c r="K8" i="66"/>
  <c r="J8" i="66"/>
  <c r="S7" i="66"/>
  <c r="O7" i="66"/>
  <c r="M7" i="66"/>
  <c r="L7" i="66"/>
  <c r="K7" i="66"/>
  <c r="J7" i="66"/>
  <c r="S193" i="65"/>
  <c r="S525" i="65"/>
  <c r="P517" i="65"/>
  <c r="S526" i="65" s="1"/>
  <c r="Q517" i="65"/>
  <c r="O119" i="66" l="1"/>
  <c r="R386" i="66"/>
  <c r="R432" i="66"/>
  <c r="R436" i="66"/>
  <c r="R351" i="66"/>
  <c r="R387" i="66"/>
  <c r="R364" i="66"/>
  <c r="R376" i="66"/>
  <c r="R419" i="66"/>
  <c r="R431" i="66"/>
  <c r="R479" i="66"/>
  <c r="R445" i="66"/>
  <c r="R474" i="66"/>
  <c r="R478" i="66"/>
  <c r="R496" i="66"/>
  <c r="R216" i="66"/>
  <c r="R494" i="66"/>
  <c r="R437" i="66"/>
  <c r="R215" i="66"/>
  <c r="R356" i="66"/>
  <c r="R409" i="66"/>
  <c r="R424" i="66"/>
  <c r="R447" i="66"/>
  <c r="R455" i="66"/>
  <c r="R122" i="66"/>
  <c r="R382" i="66"/>
  <c r="M241" i="66"/>
  <c r="O84" i="66"/>
  <c r="K249" i="66"/>
  <c r="R448" i="66"/>
  <c r="P532" i="66"/>
  <c r="R355" i="66"/>
  <c r="R373" i="66"/>
  <c r="R388" i="66"/>
  <c r="R240" i="66"/>
  <c r="R400" i="66"/>
  <c r="R427" i="66"/>
  <c r="R486" i="66"/>
  <c r="R418" i="66"/>
  <c r="R275" i="66"/>
  <c r="R389" i="66"/>
  <c r="R467" i="66"/>
  <c r="L235" i="66"/>
  <c r="O241" i="66"/>
  <c r="R460" i="66"/>
  <c r="M126" i="66"/>
  <c r="R238" i="66"/>
  <c r="R394" i="66"/>
  <c r="R438" i="66"/>
  <c r="R464" i="66"/>
  <c r="R468" i="66"/>
  <c r="R220" i="66"/>
  <c r="R348" i="66"/>
  <c r="R446" i="66"/>
  <c r="R461" i="66"/>
  <c r="R480" i="66"/>
  <c r="R488" i="66"/>
  <c r="R83" i="66"/>
  <c r="R399" i="66"/>
  <c r="R439" i="66"/>
  <c r="R454" i="66"/>
  <c r="R195" i="66"/>
  <c r="P531" i="66"/>
  <c r="R363" i="66"/>
  <c r="R285" i="66"/>
  <c r="R284" i="66"/>
  <c r="R112" i="66"/>
  <c r="R96" i="66"/>
  <c r="P60" i="66"/>
  <c r="R69" i="66"/>
  <c r="R89" i="66"/>
  <c r="R192" i="66"/>
  <c r="Q225" i="66"/>
  <c r="R232" i="66"/>
  <c r="N249" i="66"/>
  <c r="R269" i="66"/>
  <c r="R297" i="66"/>
  <c r="R475" i="66"/>
  <c r="R329" i="66"/>
  <c r="R283" i="66"/>
  <c r="R295" i="66"/>
  <c r="R328" i="66"/>
  <c r="R289" i="66"/>
  <c r="R278" i="66"/>
  <c r="R299" i="66"/>
  <c r="M249" i="66"/>
  <c r="R214" i="66"/>
  <c r="R110" i="66"/>
  <c r="R76" i="66"/>
  <c r="R17" i="66"/>
  <c r="R13" i="66"/>
  <c r="R55" i="66"/>
  <c r="R82" i="66"/>
  <c r="L100" i="66"/>
  <c r="R247" i="66"/>
  <c r="R309" i="66"/>
  <c r="R312" i="66"/>
  <c r="R315" i="66"/>
  <c r="R330" i="66"/>
  <c r="R368" i="66"/>
  <c r="R485" i="66"/>
  <c r="R19" i="66"/>
  <c r="R8" i="66"/>
  <c r="R10" i="66"/>
  <c r="R26" i="66"/>
  <c r="J44" i="66"/>
  <c r="R39" i="66"/>
  <c r="N60" i="66"/>
  <c r="R124" i="66"/>
  <c r="R152" i="66"/>
  <c r="R155" i="66"/>
  <c r="R181" i="66"/>
  <c r="R198" i="66"/>
  <c r="R217" i="66"/>
  <c r="R231" i="66"/>
  <c r="R274" i="66"/>
  <c r="R291" i="66"/>
  <c r="R296" i="66"/>
  <c r="R361" i="66"/>
  <c r="R372" i="66"/>
  <c r="R383" i="66"/>
  <c r="R393" i="66"/>
  <c r="R29" i="66"/>
  <c r="R52" i="66"/>
  <c r="R73" i="66"/>
  <c r="R107" i="66"/>
  <c r="R109" i="66"/>
  <c r="R365" i="66"/>
  <c r="R412" i="66"/>
  <c r="R449" i="66"/>
  <c r="R453" i="66"/>
  <c r="R176" i="66"/>
  <c r="R482" i="66"/>
  <c r="R116" i="66"/>
  <c r="R15" i="66"/>
  <c r="L101" i="66"/>
  <c r="N119" i="66"/>
  <c r="R114" i="66"/>
  <c r="R194" i="66"/>
  <c r="R347" i="66"/>
  <c r="R366" i="66"/>
  <c r="R405" i="66"/>
  <c r="R413" i="66"/>
  <c r="J490" i="66"/>
  <c r="R457" i="66"/>
  <c r="R9" i="66"/>
  <c r="N44" i="66"/>
  <c r="R182" i="66"/>
  <c r="L249" i="66"/>
  <c r="R287" i="66"/>
  <c r="R357" i="66"/>
  <c r="R359" i="66"/>
  <c r="R370" i="66"/>
  <c r="R381" i="66"/>
  <c r="R406" i="66"/>
  <c r="R428" i="66"/>
  <c r="L24" i="66"/>
  <c r="R31" i="66"/>
  <c r="R173" i="66"/>
  <c r="R185" i="66"/>
  <c r="R221" i="66"/>
  <c r="R270" i="66"/>
  <c r="R279" i="66"/>
  <c r="R308" i="66"/>
  <c r="R311" i="66"/>
  <c r="R314" i="66"/>
  <c r="R378" i="66"/>
  <c r="R385" i="66"/>
  <c r="R414" i="66"/>
  <c r="R458" i="66"/>
  <c r="R465" i="66"/>
  <c r="R472" i="66"/>
  <c r="J24" i="66"/>
  <c r="Q235" i="66"/>
  <c r="R16" i="66"/>
  <c r="R21" i="66"/>
  <c r="R72" i="66"/>
  <c r="R149" i="66"/>
  <c r="R157" i="66"/>
  <c r="R190" i="66"/>
  <c r="R197" i="66"/>
  <c r="K262" i="66"/>
  <c r="R256" i="66"/>
  <c r="R259" i="66"/>
  <c r="R271" i="66"/>
  <c r="R293" i="66"/>
  <c r="R354" i="66"/>
  <c r="R360" i="66"/>
  <c r="R375" i="66"/>
  <c r="R407" i="66"/>
  <c r="R420" i="66"/>
  <c r="R441" i="66"/>
  <c r="R58" i="66"/>
  <c r="R90" i="66"/>
  <c r="N158" i="66"/>
  <c r="R222" i="66"/>
  <c r="R277" i="66"/>
  <c r="R290" i="66"/>
  <c r="R396" i="66"/>
  <c r="R411" i="66"/>
  <c r="R415" i="66"/>
  <c r="R459" i="66"/>
  <c r="R462" i="66"/>
  <c r="R466" i="66"/>
  <c r="R473" i="66"/>
  <c r="S132" i="66"/>
  <c r="R48" i="66"/>
  <c r="S60" i="66"/>
  <c r="R56" i="66"/>
  <c r="L84" i="66"/>
  <c r="R74" i="66"/>
  <c r="R79" i="66"/>
  <c r="L119" i="66"/>
  <c r="R117" i="66"/>
  <c r="K225" i="66"/>
  <c r="R174" i="66"/>
  <c r="R202" i="66"/>
  <c r="R206" i="66"/>
  <c r="M235" i="66"/>
  <c r="K241" i="66"/>
  <c r="R258" i="66"/>
  <c r="R272" i="66"/>
  <c r="R335" i="66"/>
  <c r="R345" i="66"/>
  <c r="R358" i="66"/>
  <c r="R371" i="66"/>
  <c r="R377" i="66"/>
  <c r="R390" i="66"/>
  <c r="R429" i="66"/>
  <c r="R456" i="66"/>
  <c r="R28" i="66"/>
  <c r="M44" i="66"/>
  <c r="R32" i="66"/>
  <c r="R40" i="66"/>
  <c r="M84" i="66"/>
  <c r="K99" i="66"/>
  <c r="M119" i="66"/>
  <c r="M158" i="66"/>
  <c r="L225" i="66"/>
  <c r="P225" i="66"/>
  <c r="R178" i="66"/>
  <c r="R183" i="66"/>
  <c r="R219" i="66"/>
  <c r="R223" i="66"/>
  <c r="O249" i="66"/>
  <c r="Q262" i="66"/>
  <c r="R268" i="66"/>
  <c r="O336" i="66"/>
  <c r="R286" i="66"/>
  <c r="R298" i="66"/>
  <c r="R362" i="66"/>
  <c r="R384" i="66"/>
  <c r="R403" i="66"/>
  <c r="R410" i="66"/>
  <c r="R421" i="66"/>
  <c r="R434" i="66"/>
  <c r="R440" i="66"/>
  <c r="R469" i="66"/>
  <c r="R493" i="66"/>
  <c r="O44" i="66"/>
  <c r="S24" i="66"/>
  <c r="M60" i="66"/>
  <c r="R50" i="66"/>
  <c r="S84" i="66"/>
  <c r="R77" i="66"/>
  <c r="R92" i="66"/>
  <c r="N101" i="66"/>
  <c r="R153" i="66"/>
  <c r="R156" i="66"/>
  <c r="R172" i="66"/>
  <c r="R188" i="66"/>
  <c r="R200" i="66"/>
  <c r="P249" i="66"/>
  <c r="R282" i="66"/>
  <c r="R304" i="66"/>
  <c r="R310" i="66"/>
  <c r="R313" i="66"/>
  <c r="R349" i="66"/>
  <c r="R397" i="66"/>
  <c r="R444" i="66"/>
  <c r="R450" i="66"/>
  <c r="R463" i="66"/>
  <c r="R476" i="66"/>
  <c r="R483" i="66"/>
  <c r="R487" i="66"/>
  <c r="P24" i="66"/>
  <c r="R37" i="66"/>
  <c r="R70" i="66"/>
  <c r="R75" i="66"/>
  <c r="R138" i="66"/>
  <c r="R186" i="66"/>
  <c r="R346" i="66"/>
  <c r="R391" i="66"/>
  <c r="K490" i="66"/>
  <c r="R422" i="66"/>
  <c r="R430" i="66"/>
  <c r="R435" i="66"/>
  <c r="R470" i="66"/>
  <c r="K24" i="66"/>
  <c r="L44" i="66"/>
  <c r="R41" i="66"/>
  <c r="R57" i="66"/>
  <c r="K101" i="66"/>
  <c r="R95" i="66"/>
  <c r="M140" i="66"/>
  <c r="R154" i="66"/>
  <c r="R175" i="66"/>
  <c r="R179" i="66"/>
  <c r="R193" i="66"/>
  <c r="R207" i="66"/>
  <c r="R234" i="66"/>
  <c r="R239" i="66"/>
  <c r="R273" i="66"/>
  <c r="R294" i="66"/>
  <c r="R302" i="66"/>
  <c r="R305" i="66"/>
  <c r="R350" i="66"/>
  <c r="R369" i="66"/>
  <c r="R398" i="66"/>
  <c r="R404" i="66"/>
  <c r="N490" i="66"/>
  <c r="R451" i="66"/>
  <c r="R477" i="66"/>
  <c r="R484" i="66"/>
  <c r="M24" i="66"/>
  <c r="R36" i="66"/>
  <c r="J60" i="66"/>
  <c r="R68" i="66"/>
  <c r="R80" i="66"/>
  <c r="R151" i="66"/>
  <c r="R224" i="66"/>
  <c r="R254" i="66"/>
  <c r="K417" i="66"/>
  <c r="O24" i="66"/>
  <c r="R11" i="66"/>
  <c r="R20" i="66"/>
  <c r="R27" i="66"/>
  <c r="R34" i="66"/>
  <c r="K60" i="66"/>
  <c r="R54" i="66"/>
  <c r="M100" i="66"/>
  <c r="R97" i="66"/>
  <c r="R108" i="66"/>
  <c r="R111" i="66"/>
  <c r="R115" i="66"/>
  <c r="K126" i="66"/>
  <c r="R125" i="66"/>
  <c r="R139" i="66"/>
  <c r="R177" i="66"/>
  <c r="R184" i="66"/>
  <c r="R187" i="66"/>
  <c r="R201" i="66"/>
  <c r="R292" i="66"/>
  <c r="R343" i="66"/>
  <c r="R379" i="66"/>
  <c r="R392" i="66"/>
  <c r="R395" i="66"/>
  <c r="R401" i="66"/>
  <c r="R408" i="66"/>
  <c r="S419" i="66"/>
  <c r="S490" i="66" s="1"/>
  <c r="R423" i="66"/>
  <c r="R442" i="66"/>
  <c r="R471" i="66"/>
  <c r="R481" i="66"/>
  <c r="J497" i="66"/>
  <c r="R18" i="66"/>
  <c r="R33" i="66"/>
  <c r="R38" i="66"/>
  <c r="L60" i="66"/>
  <c r="R71" i="66"/>
  <c r="R78" i="66"/>
  <c r="N100" i="66"/>
  <c r="L126" i="66"/>
  <c r="N132" i="66"/>
  <c r="R191" i="66"/>
  <c r="R218" i="66"/>
  <c r="R257" i="66"/>
  <c r="R260" i="66"/>
  <c r="R281" i="66"/>
  <c r="R303" i="66"/>
  <c r="R327" i="66"/>
  <c r="R334" i="66"/>
  <c r="K497" i="66"/>
  <c r="R51" i="66"/>
  <c r="R91" i="66"/>
  <c r="K235" i="66"/>
  <c r="R452" i="66"/>
  <c r="M497" i="66"/>
  <c r="R14" i="66"/>
  <c r="K84" i="66"/>
  <c r="M101" i="66"/>
  <c r="J100" i="66"/>
  <c r="L158" i="66"/>
  <c r="N225" i="66"/>
  <c r="L262" i="66"/>
  <c r="R367" i="66"/>
  <c r="R374" i="66"/>
  <c r="R380" i="66"/>
  <c r="R402" i="66"/>
  <c r="R433" i="66"/>
  <c r="R443" i="66"/>
  <c r="N497" i="66"/>
  <c r="R495" i="66"/>
  <c r="R12" i="66"/>
  <c r="S44" i="66"/>
  <c r="R30" i="66"/>
  <c r="R35" i="66"/>
  <c r="R53" i="66"/>
  <c r="P99" i="66"/>
  <c r="R98" i="66"/>
  <c r="K140" i="66"/>
  <c r="S225" i="66"/>
  <c r="R180" i="66"/>
  <c r="R189" i="66"/>
  <c r="R199" i="66"/>
  <c r="R213" i="66"/>
  <c r="S241" i="66"/>
  <c r="M262" i="66"/>
  <c r="R288" i="66"/>
  <c r="R492" i="66"/>
  <c r="S336" i="66"/>
  <c r="S262" i="66"/>
  <c r="S417" i="66"/>
  <c r="S126" i="66"/>
  <c r="S235" i="66"/>
  <c r="S249" i="66"/>
  <c r="S158" i="66"/>
  <c r="S119" i="66"/>
  <c r="S140" i="66"/>
  <c r="K44" i="66"/>
  <c r="L336" i="66"/>
  <c r="R67" i="66"/>
  <c r="S96" i="66"/>
  <c r="S101" i="66" s="1"/>
  <c r="L99" i="66"/>
  <c r="P101" i="66"/>
  <c r="R150" i="66"/>
  <c r="O225" i="66"/>
  <c r="R233" i="66"/>
  <c r="K158" i="66"/>
  <c r="J417" i="66"/>
  <c r="M99" i="66"/>
  <c r="K100" i="66"/>
  <c r="R137" i="66"/>
  <c r="O262" i="66"/>
  <c r="S492" i="66"/>
  <c r="S497" i="66" s="1"/>
  <c r="J99" i="66"/>
  <c r="R7" i="66"/>
  <c r="R81" i="66"/>
  <c r="R94" i="66"/>
  <c r="K119" i="66"/>
  <c r="R129" i="66"/>
  <c r="R132" i="66" s="1"/>
  <c r="R248" i="66"/>
  <c r="R255" i="66"/>
  <c r="N417" i="66"/>
  <c r="L140" i="66"/>
  <c r="M225" i="66"/>
  <c r="R25" i="66"/>
  <c r="R87" i="66"/>
  <c r="P44" i="66"/>
  <c r="R49" i="66"/>
  <c r="K336" i="66"/>
  <c r="M336" i="66"/>
  <c r="K191" i="65"/>
  <c r="N54" i="65"/>
  <c r="N473" i="65"/>
  <c r="K325" i="65"/>
  <c r="Q229" i="65"/>
  <c r="M271" i="65"/>
  <c r="K288" i="65"/>
  <c r="R241" i="66" l="1"/>
  <c r="K498" i="66"/>
  <c r="R60" i="66"/>
  <c r="R336" i="66"/>
  <c r="R249" i="66"/>
  <c r="R126" i="66"/>
  <c r="R262" i="66"/>
  <c r="R140" i="66"/>
  <c r="R225" i="66"/>
  <c r="R417" i="66"/>
  <c r="R490" i="66"/>
  <c r="R119" i="66"/>
  <c r="R497" i="66"/>
  <c r="R235" i="66"/>
  <c r="N503" i="66"/>
  <c r="P507" i="66" s="1"/>
  <c r="R158" i="66"/>
  <c r="L503" i="66"/>
  <c r="N517" i="66" s="1"/>
  <c r="N520" i="66" s="1"/>
  <c r="R101" i="66"/>
  <c r="R24" i="66"/>
  <c r="K503" i="66"/>
  <c r="M517" i="66" s="1"/>
  <c r="M520" i="66" s="1"/>
  <c r="R44" i="66"/>
  <c r="R84" i="66"/>
  <c r="S498" i="66"/>
  <c r="M503" i="66" s="1"/>
  <c r="S331" i="65"/>
  <c r="S330" i="65"/>
  <c r="S329" i="65"/>
  <c r="R329" i="65"/>
  <c r="R330" i="65"/>
  <c r="R331" i="65"/>
  <c r="K331" i="65"/>
  <c r="K330" i="65"/>
  <c r="K329" i="65"/>
  <c r="N502" i="66" l="1"/>
  <c r="L516" i="66" s="1"/>
  <c r="L519" i="66" s="1"/>
  <c r="R498" i="66"/>
  <c r="M502" i="66" s="1"/>
  <c r="O508" i="66" s="1"/>
  <c r="L502" i="66"/>
  <c r="O506" i="66" s="1"/>
  <c r="P505" i="66"/>
  <c r="L517" i="66"/>
  <c r="L520" i="66" s="1"/>
  <c r="P506" i="66"/>
  <c r="K502" i="66"/>
  <c r="O505" i="66" s="1"/>
  <c r="P503" i="66"/>
  <c r="O517" i="66"/>
  <c r="O520" i="66" s="1"/>
  <c r="P508" i="66"/>
  <c r="O117" i="65"/>
  <c r="O116" i="65"/>
  <c r="O115" i="65"/>
  <c r="O114" i="65"/>
  <c r="P21" i="65"/>
  <c r="P20" i="65"/>
  <c r="P19" i="65"/>
  <c r="P18" i="65"/>
  <c r="O516" i="66" l="1"/>
  <c r="O519" i="66" s="1"/>
  <c r="O507" i="66"/>
  <c r="N516" i="66"/>
  <c r="N519" i="66" s="1"/>
  <c r="P502" i="66"/>
  <c r="P510" i="66"/>
  <c r="M516" i="66"/>
  <c r="M519" i="66" s="1"/>
  <c r="P517" i="66"/>
  <c r="O510" i="66"/>
  <c r="P520" i="66"/>
  <c r="N214" i="65"/>
  <c r="P519" i="66" l="1"/>
  <c r="S526" i="66" s="1"/>
  <c r="S528" i="66" s="1"/>
  <c r="P516" i="66"/>
  <c r="O210" i="65"/>
  <c r="P189" i="65"/>
  <c r="P188" i="65"/>
  <c r="P215" i="65"/>
  <c r="N215" i="65"/>
  <c r="N156" i="65"/>
  <c r="K156" i="65"/>
  <c r="M17" i="65"/>
  <c r="P17" i="65"/>
  <c r="P16" i="65"/>
  <c r="P29" i="65"/>
  <c r="O253" i="65"/>
  <c r="O190" i="65"/>
  <c r="O191" i="65"/>
  <c r="O7" i="65"/>
  <c r="K7" i="65"/>
  <c r="O204" i="65"/>
  <c r="O25" i="65"/>
  <c r="K309" i="65"/>
  <c r="K321" i="65" l="1"/>
  <c r="M193" i="65"/>
  <c r="K193" i="65"/>
  <c r="R193" i="65" s="1"/>
  <c r="J193" i="65" l="1"/>
  <c r="N113" i="65"/>
  <c r="N115" i="65"/>
  <c r="N116" i="65"/>
  <c r="N117" i="65"/>
  <c r="N118" i="65"/>
  <c r="N114" i="65"/>
  <c r="P15" i="65"/>
  <c r="P13" i="65"/>
  <c r="P14" i="65"/>
  <c r="N29" i="65"/>
  <c r="O530" i="65"/>
  <c r="N530" i="65"/>
  <c r="M530" i="65"/>
  <c r="L530" i="65"/>
  <c r="O529" i="65"/>
  <c r="N529" i="65"/>
  <c r="M529" i="65"/>
  <c r="L529" i="65"/>
  <c r="P527" i="65"/>
  <c r="P526" i="65"/>
  <c r="P525" i="65"/>
  <c r="P524" i="65"/>
  <c r="Q518" i="65"/>
  <c r="P513" i="65"/>
  <c r="P512" i="65"/>
  <c r="P511" i="65"/>
  <c r="P510" i="65"/>
  <c r="Q495" i="65"/>
  <c r="P495" i="65"/>
  <c r="O495" i="65"/>
  <c r="L495" i="65"/>
  <c r="I495" i="65"/>
  <c r="H495" i="65"/>
  <c r="G495" i="65"/>
  <c r="F495" i="65"/>
  <c r="E495" i="65"/>
  <c r="D495" i="65"/>
  <c r="C495" i="65"/>
  <c r="N494" i="65"/>
  <c r="M494" i="65"/>
  <c r="K494" i="65"/>
  <c r="J494" i="65"/>
  <c r="S494" i="65" s="1"/>
  <c r="N493" i="65"/>
  <c r="M493" i="65"/>
  <c r="K493" i="65"/>
  <c r="R493" i="65" s="1"/>
  <c r="J493" i="65"/>
  <c r="S493" i="65" s="1"/>
  <c r="N492" i="65"/>
  <c r="M492" i="65"/>
  <c r="K492" i="65"/>
  <c r="R492" i="65" s="1"/>
  <c r="J492" i="65"/>
  <c r="S492" i="65" s="1"/>
  <c r="N491" i="65"/>
  <c r="M491" i="65"/>
  <c r="K491" i="65"/>
  <c r="J491" i="65"/>
  <c r="N490" i="65"/>
  <c r="N495" i="65" s="1"/>
  <c r="M490" i="65"/>
  <c r="K490" i="65"/>
  <c r="J490" i="65"/>
  <c r="S490" i="65" s="1"/>
  <c r="Q488" i="65"/>
  <c r="P488" i="65"/>
  <c r="O488" i="65"/>
  <c r="M488" i="65"/>
  <c r="L488" i="65"/>
  <c r="I488" i="65"/>
  <c r="H488" i="65"/>
  <c r="G488" i="65"/>
  <c r="F488" i="65"/>
  <c r="E488" i="65"/>
  <c r="D488" i="65"/>
  <c r="C488" i="65"/>
  <c r="N486" i="65"/>
  <c r="K486" i="65"/>
  <c r="J486" i="65"/>
  <c r="S486" i="65" s="1"/>
  <c r="N485" i="65"/>
  <c r="K485" i="65"/>
  <c r="R485" i="65" s="1"/>
  <c r="J485" i="65"/>
  <c r="S485" i="65" s="1"/>
  <c r="N484" i="65"/>
  <c r="K484" i="65"/>
  <c r="R484" i="65" s="1"/>
  <c r="J484" i="65"/>
  <c r="S484" i="65" s="1"/>
  <c r="N483" i="65"/>
  <c r="K483" i="65"/>
  <c r="J483" i="65"/>
  <c r="S483" i="65" s="1"/>
  <c r="N482" i="65"/>
  <c r="K482" i="65"/>
  <c r="J482" i="65"/>
  <c r="S482" i="65" s="1"/>
  <c r="N481" i="65"/>
  <c r="K481" i="65"/>
  <c r="R481" i="65" s="1"/>
  <c r="J481" i="65"/>
  <c r="S481" i="65" s="1"/>
  <c r="N480" i="65"/>
  <c r="K480" i="65"/>
  <c r="J480" i="65"/>
  <c r="S480" i="65" s="1"/>
  <c r="N479" i="65"/>
  <c r="K479" i="65"/>
  <c r="J479" i="65"/>
  <c r="S479" i="65" s="1"/>
  <c r="N478" i="65"/>
  <c r="K478" i="65"/>
  <c r="J478" i="65"/>
  <c r="S478" i="65" s="1"/>
  <c r="N477" i="65"/>
  <c r="K477" i="65"/>
  <c r="R477" i="65" s="1"/>
  <c r="J477" i="65"/>
  <c r="S477" i="65" s="1"/>
  <c r="N476" i="65"/>
  <c r="K476" i="65"/>
  <c r="J476" i="65"/>
  <c r="S476" i="65" s="1"/>
  <c r="N475" i="65"/>
  <c r="K475" i="65"/>
  <c r="J475" i="65"/>
  <c r="S475" i="65" s="1"/>
  <c r="N474" i="65"/>
  <c r="K474" i="65"/>
  <c r="J474" i="65"/>
  <c r="S474" i="65" s="1"/>
  <c r="K473" i="65"/>
  <c r="J473" i="65"/>
  <c r="S473" i="65" s="1"/>
  <c r="N472" i="65"/>
  <c r="K472" i="65"/>
  <c r="J472" i="65"/>
  <c r="S472" i="65" s="1"/>
  <c r="N471" i="65"/>
  <c r="K471" i="65"/>
  <c r="J471" i="65"/>
  <c r="S471" i="65" s="1"/>
  <c r="N470" i="65"/>
  <c r="K470" i="65"/>
  <c r="J470" i="65"/>
  <c r="S470" i="65" s="1"/>
  <c r="N469" i="65"/>
  <c r="K469" i="65"/>
  <c r="R469" i="65" s="1"/>
  <c r="J469" i="65"/>
  <c r="S469" i="65" s="1"/>
  <c r="N468" i="65"/>
  <c r="K468" i="65"/>
  <c r="J468" i="65"/>
  <c r="S468" i="65" s="1"/>
  <c r="N467" i="65"/>
  <c r="K467" i="65"/>
  <c r="J467" i="65"/>
  <c r="S467" i="65" s="1"/>
  <c r="N466" i="65"/>
  <c r="K466" i="65"/>
  <c r="J466" i="65"/>
  <c r="S466" i="65" s="1"/>
  <c r="N465" i="65"/>
  <c r="K465" i="65"/>
  <c r="R465" i="65" s="1"/>
  <c r="J465" i="65"/>
  <c r="S465" i="65" s="1"/>
  <c r="N464" i="65"/>
  <c r="K464" i="65"/>
  <c r="R464" i="65" s="1"/>
  <c r="J464" i="65"/>
  <c r="S464" i="65" s="1"/>
  <c r="N463" i="65"/>
  <c r="K463" i="65"/>
  <c r="J463" i="65"/>
  <c r="S463" i="65" s="1"/>
  <c r="S462" i="65"/>
  <c r="N462" i="65"/>
  <c r="R462" i="65" s="1"/>
  <c r="K462" i="65"/>
  <c r="J462" i="65"/>
  <c r="N461" i="65"/>
  <c r="K461" i="65"/>
  <c r="J461" i="65"/>
  <c r="S461" i="65" s="1"/>
  <c r="N460" i="65"/>
  <c r="K460" i="65"/>
  <c r="J460" i="65"/>
  <c r="S460" i="65" s="1"/>
  <c r="N459" i="65"/>
  <c r="K459" i="65"/>
  <c r="J459" i="65"/>
  <c r="S459" i="65" s="1"/>
  <c r="N458" i="65"/>
  <c r="K458" i="65"/>
  <c r="J458" i="65"/>
  <c r="S458" i="65" s="1"/>
  <c r="N457" i="65"/>
  <c r="K457" i="65"/>
  <c r="J457" i="65"/>
  <c r="S457" i="65" s="1"/>
  <c r="N456" i="65"/>
  <c r="K456" i="65"/>
  <c r="J456" i="65"/>
  <c r="S456" i="65" s="1"/>
  <c r="N455" i="65"/>
  <c r="K455" i="65"/>
  <c r="J455" i="65"/>
  <c r="S455" i="65" s="1"/>
  <c r="N454" i="65"/>
  <c r="K454" i="65"/>
  <c r="J454" i="65"/>
  <c r="S454" i="65" s="1"/>
  <c r="N453" i="65"/>
  <c r="K453" i="65"/>
  <c r="J453" i="65"/>
  <c r="S453" i="65" s="1"/>
  <c r="N452" i="65"/>
  <c r="K452" i="65"/>
  <c r="J452" i="65"/>
  <c r="S452" i="65" s="1"/>
  <c r="N451" i="65"/>
  <c r="K451" i="65"/>
  <c r="J451" i="65"/>
  <c r="S451" i="65" s="1"/>
  <c r="N450" i="65"/>
  <c r="K450" i="65"/>
  <c r="J450" i="65"/>
  <c r="S450" i="65" s="1"/>
  <c r="N449" i="65"/>
  <c r="K449" i="65"/>
  <c r="J449" i="65"/>
  <c r="S449" i="65" s="1"/>
  <c r="N448" i="65"/>
  <c r="K448" i="65"/>
  <c r="J448" i="65"/>
  <c r="S448" i="65" s="1"/>
  <c r="N447" i="65"/>
  <c r="K447" i="65"/>
  <c r="J447" i="65"/>
  <c r="S447" i="65" s="1"/>
  <c r="N446" i="65"/>
  <c r="K446" i="65"/>
  <c r="J446" i="65"/>
  <c r="S446" i="65" s="1"/>
  <c r="N445" i="65"/>
  <c r="R445" i="65" s="1"/>
  <c r="K445" i="65"/>
  <c r="J445" i="65"/>
  <c r="S445" i="65" s="1"/>
  <c r="N444" i="65"/>
  <c r="K444" i="65"/>
  <c r="J444" i="65"/>
  <c r="S444" i="65" s="1"/>
  <c r="N443" i="65"/>
  <c r="K443" i="65"/>
  <c r="J443" i="65"/>
  <c r="S443" i="65" s="1"/>
  <c r="N442" i="65"/>
  <c r="K442" i="65"/>
  <c r="J442" i="65"/>
  <c r="S442" i="65" s="1"/>
  <c r="N441" i="65"/>
  <c r="K441" i="65"/>
  <c r="J441" i="65"/>
  <c r="S441" i="65" s="1"/>
  <c r="N440" i="65"/>
  <c r="K440" i="65"/>
  <c r="J440" i="65"/>
  <c r="S440" i="65" s="1"/>
  <c r="N439" i="65"/>
  <c r="K439" i="65"/>
  <c r="J439" i="65"/>
  <c r="S439" i="65" s="1"/>
  <c r="N438" i="65"/>
  <c r="K438" i="65"/>
  <c r="J438" i="65"/>
  <c r="S438" i="65" s="1"/>
  <c r="N437" i="65"/>
  <c r="K437" i="65"/>
  <c r="J437" i="65"/>
  <c r="S437" i="65" s="1"/>
  <c r="N436" i="65"/>
  <c r="K436" i="65"/>
  <c r="J436" i="65"/>
  <c r="S436" i="65" s="1"/>
  <c r="N435" i="65"/>
  <c r="K435" i="65"/>
  <c r="J435" i="65"/>
  <c r="S435" i="65" s="1"/>
  <c r="N434" i="65"/>
  <c r="K434" i="65"/>
  <c r="J434" i="65"/>
  <c r="S434" i="65" s="1"/>
  <c r="N433" i="65"/>
  <c r="K433" i="65"/>
  <c r="R433" i="65" s="1"/>
  <c r="J433" i="65"/>
  <c r="S433" i="65" s="1"/>
  <c r="N432" i="65"/>
  <c r="K432" i="65"/>
  <c r="J432" i="65"/>
  <c r="S432" i="65" s="1"/>
  <c r="N431" i="65"/>
  <c r="K431" i="65"/>
  <c r="J431" i="65"/>
  <c r="S431" i="65" s="1"/>
  <c r="N430" i="65"/>
  <c r="K430" i="65"/>
  <c r="J430" i="65"/>
  <c r="S430" i="65" s="1"/>
  <c r="N429" i="65"/>
  <c r="K429" i="65"/>
  <c r="J429" i="65"/>
  <c r="S429" i="65" s="1"/>
  <c r="N428" i="65"/>
  <c r="K428" i="65"/>
  <c r="J428" i="65"/>
  <c r="S428" i="65" s="1"/>
  <c r="N427" i="65"/>
  <c r="K427" i="65"/>
  <c r="J427" i="65"/>
  <c r="S427" i="65" s="1"/>
  <c r="N426" i="65"/>
  <c r="K426" i="65"/>
  <c r="J426" i="65"/>
  <c r="S426" i="65" s="1"/>
  <c r="N425" i="65"/>
  <c r="K425" i="65"/>
  <c r="R425" i="65" s="1"/>
  <c r="J425" i="65"/>
  <c r="S425" i="65" s="1"/>
  <c r="N424" i="65"/>
  <c r="K424" i="65"/>
  <c r="R424" i="65" s="1"/>
  <c r="J424" i="65"/>
  <c r="S424" i="65" s="1"/>
  <c r="N423" i="65"/>
  <c r="K423" i="65"/>
  <c r="J423" i="65"/>
  <c r="S423" i="65" s="1"/>
  <c r="N422" i="65"/>
  <c r="K422" i="65"/>
  <c r="J422" i="65"/>
  <c r="S422" i="65" s="1"/>
  <c r="N421" i="65"/>
  <c r="K421" i="65"/>
  <c r="J421" i="65"/>
  <c r="S421" i="65" s="1"/>
  <c r="N420" i="65"/>
  <c r="K420" i="65"/>
  <c r="R420" i="65" s="1"/>
  <c r="J420" i="65"/>
  <c r="S420" i="65" s="1"/>
  <c r="N419" i="65"/>
  <c r="K419" i="65"/>
  <c r="J419" i="65"/>
  <c r="S419" i="65" s="1"/>
  <c r="N418" i="65"/>
  <c r="K418" i="65"/>
  <c r="J418" i="65"/>
  <c r="S418" i="65" s="1"/>
  <c r="N417" i="65"/>
  <c r="K417" i="65"/>
  <c r="J417" i="65"/>
  <c r="N416" i="65"/>
  <c r="K416" i="65"/>
  <c r="J416" i="65"/>
  <c r="S416" i="65" s="1"/>
  <c r="Q415" i="65"/>
  <c r="P415" i="65"/>
  <c r="O415" i="65"/>
  <c r="M415" i="65"/>
  <c r="L415" i="65"/>
  <c r="I415" i="65"/>
  <c r="H415" i="65"/>
  <c r="G415" i="65"/>
  <c r="F415" i="65"/>
  <c r="E415" i="65"/>
  <c r="D415" i="65"/>
  <c r="C415" i="65"/>
  <c r="N413" i="65"/>
  <c r="K413" i="65"/>
  <c r="J413" i="65"/>
  <c r="S413" i="65" s="1"/>
  <c r="N412" i="65"/>
  <c r="K412" i="65"/>
  <c r="J412" i="65"/>
  <c r="S412" i="65" s="1"/>
  <c r="N411" i="65"/>
  <c r="K411" i="65"/>
  <c r="J411" i="65"/>
  <c r="S411" i="65" s="1"/>
  <c r="N410" i="65"/>
  <c r="K410" i="65"/>
  <c r="J410" i="65"/>
  <c r="S410" i="65" s="1"/>
  <c r="N409" i="65"/>
  <c r="K409" i="65"/>
  <c r="J409" i="65"/>
  <c r="S409" i="65" s="1"/>
  <c r="N408" i="65"/>
  <c r="K408" i="65"/>
  <c r="R408" i="65" s="1"/>
  <c r="J408" i="65"/>
  <c r="S408" i="65" s="1"/>
  <c r="N407" i="65"/>
  <c r="K407" i="65"/>
  <c r="J407" i="65"/>
  <c r="S407" i="65" s="1"/>
  <c r="N406" i="65"/>
  <c r="K406" i="65"/>
  <c r="J406" i="65"/>
  <c r="S406" i="65" s="1"/>
  <c r="N405" i="65"/>
  <c r="K405" i="65"/>
  <c r="J405" i="65"/>
  <c r="S405" i="65" s="1"/>
  <c r="N404" i="65"/>
  <c r="K404" i="65"/>
  <c r="R404" i="65" s="1"/>
  <c r="J404" i="65"/>
  <c r="S404" i="65" s="1"/>
  <c r="N403" i="65"/>
  <c r="K403" i="65"/>
  <c r="J403" i="65"/>
  <c r="S403" i="65" s="1"/>
  <c r="N402" i="65"/>
  <c r="K402" i="65"/>
  <c r="J402" i="65"/>
  <c r="S402" i="65" s="1"/>
  <c r="N401" i="65"/>
  <c r="K401" i="65"/>
  <c r="J401" i="65"/>
  <c r="S401" i="65" s="1"/>
  <c r="N400" i="65"/>
  <c r="K400" i="65"/>
  <c r="J400" i="65"/>
  <c r="S400" i="65" s="1"/>
  <c r="N399" i="65"/>
  <c r="K399" i="65"/>
  <c r="J399" i="65"/>
  <c r="S399" i="65" s="1"/>
  <c r="N398" i="65"/>
  <c r="K398" i="65"/>
  <c r="J398" i="65"/>
  <c r="S398" i="65" s="1"/>
  <c r="N397" i="65"/>
  <c r="K397" i="65"/>
  <c r="J397" i="65"/>
  <c r="S397" i="65" s="1"/>
  <c r="N396" i="65"/>
  <c r="K396" i="65"/>
  <c r="J396" i="65"/>
  <c r="S396" i="65" s="1"/>
  <c r="N395" i="65"/>
  <c r="K395" i="65"/>
  <c r="J395" i="65"/>
  <c r="S395" i="65" s="1"/>
  <c r="N394" i="65"/>
  <c r="K394" i="65"/>
  <c r="J394" i="65"/>
  <c r="S394" i="65" s="1"/>
  <c r="N393" i="65"/>
  <c r="K393" i="65"/>
  <c r="J393" i="65"/>
  <c r="S393" i="65" s="1"/>
  <c r="N392" i="65"/>
  <c r="K392" i="65"/>
  <c r="J392" i="65"/>
  <c r="S392" i="65" s="1"/>
  <c r="N391" i="65"/>
  <c r="K391" i="65"/>
  <c r="R391" i="65" s="1"/>
  <c r="J391" i="65"/>
  <c r="S391" i="65" s="1"/>
  <c r="N390" i="65"/>
  <c r="K390" i="65"/>
  <c r="J390" i="65"/>
  <c r="S390" i="65" s="1"/>
  <c r="N389" i="65"/>
  <c r="K389" i="65"/>
  <c r="J389" i="65"/>
  <c r="S389" i="65" s="1"/>
  <c r="N388" i="65"/>
  <c r="K388" i="65"/>
  <c r="J388" i="65"/>
  <c r="S388" i="65" s="1"/>
  <c r="N387" i="65"/>
  <c r="K387" i="65"/>
  <c r="J387" i="65"/>
  <c r="S387" i="65" s="1"/>
  <c r="N386" i="65"/>
  <c r="K386" i="65"/>
  <c r="J386" i="65"/>
  <c r="S386" i="65" s="1"/>
  <c r="N385" i="65"/>
  <c r="K385" i="65"/>
  <c r="J385" i="65"/>
  <c r="S385" i="65" s="1"/>
  <c r="N384" i="65"/>
  <c r="K384" i="65"/>
  <c r="J384" i="65"/>
  <c r="S384" i="65" s="1"/>
  <c r="N383" i="65"/>
  <c r="K383" i="65"/>
  <c r="J383" i="65"/>
  <c r="S383" i="65" s="1"/>
  <c r="N382" i="65"/>
  <c r="K382" i="65"/>
  <c r="R382" i="65" s="1"/>
  <c r="J382" i="65"/>
  <c r="S382" i="65" s="1"/>
  <c r="N381" i="65"/>
  <c r="K381" i="65"/>
  <c r="J381" i="65"/>
  <c r="S381" i="65" s="1"/>
  <c r="N380" i="65"/>
  <c r="K380" i="65"/>
  <c r="J380" i="65"/>
  <c r="S380" i="65" s="1"/>
  <c r="N379" i="65"/>
  <c r="K379" i="65"/>
  <c r="R379" i="65" s="1"/>
  <c r="J379" i="65"/>
  <c r="S379" i="65" s="1"/>
  <c r="N378" i="65"/>
  <c r="K378" i="65"/>
  <c r="J378" i="65"/>
  <c r="S378" i="65" s="1"/>
  <c r="N377" i="65"/>
  <c r="K377" i="65"/>
  <c r="J377" i="65"/>
  <c r="S377" i="65" s="1"/>
  <c r="N376" i="65"/>
  <c r="K376" i="65"/>
  <c r="R376" i="65" s="1"/>
  <c r="J376" i="65"/>
  <c r="S376" i="65" s="1"/>
  <c r="N375" i="65"/>
  <c r="K375" i="65"/>
  <c r="J375" i="65"/>
  <c r="S375" i="65" s="1"/>
  <c r="N374" i="65"/>
  <c r="K374" i="65"/>
  <c r="R374" i="65" s="1"/>
  <c r="J374" i="65"/>
  <c r="S374" i="65" s="1"/>
  <c r="N373" i="65"/>
  <c r="K373" i="65"/>
  <c r="J373" i="65"/>
  <c r="S373" i="65" s="1"/>
  <c r="N372" i="65"/>
  <c r="K372" i="65"/>
  <c r="R372" i="65" s="1"/>
  <c r="J372" i="65"/>
  <c r="S372" i="65" s="1"/>
  <c r="N371" i="65"/>
  <c r="K371" i="65"/>
  <c r="J371" i="65"/>
  <c r="S371" i="65" s="1"/>
  <c r="N370" i="65"/>
  <c r="K370" i="65"/>
  <c r="R370" i="65" s="1"/>
  <c r="J370" i="65"/>
  <c r="S370" i="65" s="1"/>
  <c r="N369" i="65"/>
  <c r="K369" i="65"/>
  <c r="J369" i="65"/>
  <c r="S369" i="65" s="1"/>
  <c r="N368" i="65"/>
  <c r="K368" i="65"/>
  <c r="J368" i="65"/>
  <c r="S368" i="65" s="1"/>
  <c r="N367" i="65"/>
  <c r="K367" i="65"/>
  <c r="J367" i="65"/>
  <c r="S367" i="65" s="1"/>
  <c r="N366" i="65"/>
  <c r="K366" i="65"/>
  <c r="J366" i="65"/>
  <c r="S366" i="65" s="1"/>
  <c r="N365" i="65"/>
  <c r="K365" i="65"/>
  <c r="J365" i="65"/>
  <c r="S365" i="65" s="1"/>
  <c r="N364" i="65"/>
  <c r="K364" i="65"/>
  <c r="J364" i="65"/>
  <c r="S364" i="65" s="1"/>
  <c r="N363" i="65"/>
  <c r="K363" i="65"/>
  <c r="J363" i="65"/>
  <c r="S363" i="65" s="1"/>
  <c r="N362" i="65"/>
  <c r="K362" i="65"/>
  <c r="J362" i="65"/>
  <c r="S362" i="65" s="1"/>
  <c r="N361" i="65"/>
  <c r="K361" i="65"/>
  <c r="J361" i="65"/>
  <c r="S361" i="65" s="1"/>
  <c r="N360" i="65"/>
  <c r="K360" i="65"/>
  <c r="J360" i="65"/>
  <c r="S360" i="65" s="1"/>
  <c r="N359" i="65"/>
  <c r="K359" i="65"/>
  <c r="J359" i="65"/>
  <c r="S359" i="65" s="1"/>
  <c r="N358" i="65"/>
  <c r="K358" i="65"/>
  <c r="J358" i="65"/>
  <c r="S358" i="65" s="1"/>
  <c r="N357" i="65"/>
  <c r="K357" i="65"/>
  <c r="J357" i="65"/>
  <c r="S357" i="65" s="1"/>
  <c r="N356" i="65"/>
  <c r="K356" i="65"/>
  <c r="J356" i="65"/>
  <c r="S356" i="65" s="1"/>
  <c r="N355" i="65"/>
  <c r="K355" i="65"/>
  <c r="J355" i="65"/>
  <c r="S355" i="65" s="1"/>
  <c r="N354" i="65"/>
  <c r="K354" i="65"/>
  <c r="J354" i="65"/>
  <c r="S354" i="65" s="1"/>
  <c r="N353" i="65"/>
  <c r="K353" i="65"/>
  <c r="J353" i="65"/>
  <c r="S353" i="65" s="1"/>
  <c r="N352" i="65"/>
  <c r="K352" i="65"/>
  <c r="J352" i="65"/>
  <c r="S352" i="65" s="1"/>
  <c r="N351" i="65"/>
  <c r="K351" i="65"/>
  <c r="J351" i="65"/>
  <c r="S351" i="65" s="1"/>
  <c r="N350" i="65"/>
  <c r="K350" i="65"/>
  <c r="J350" i="65"/>
  <c r="S350" i="65" s="1"/>
  <c r="N349" i="65"/>
  <c r="K349" i="65"/>
  <c r="J349" i="65"/>
  <c r="S349" i="65" s="1"/>
  <c r="N348" i="65"/>
  <c r="K348" i="65"/>
  <c r="J348" i="65"/>
  <c r="S348" i="65" s="1"/>
  <c r="N347" i="65"/>
  <c r="K347" i="65"/>
  <c r="R347" i="65" s="1"/>
  <c r="J347" i="65"/>
  <c r="S347" i="65" s="1"/>
  <c r="N346" i="65"/>
  <c r="K346" i="65"/>
  <c r="J346" i="65"/>
  <c r="S346" i="65" s="1"/>
  <c r="N345" i="65"/>
  <c r="K345" i="65"/>
  <c r="J345" i="65"/>
  <c r="S345" i="65" s="1"/>
  <c r="N344" i="65"/>
  <c r="K344" i="65"/>
  <c r="J344" i="65"/>
  <c r="N343" i="65"/>
  <c r="K343" i="65"/>
  <c r="J343" i="65"/>
  <c r="S343" i="65" s="1"/>
  <c r="R342" i="65"/>
  <c r="J342" i="65"/>
  <c r="S342" i="65" s="1"/>
  <c r="K341" i="65"/>
  <c r="J341" i="65"/>
  <c r="S341" i="65" s="1"/>
  <c r="Q334" i="65"/>
  <c r="P334" i="65"/>
  <c r="M333" i="65"/>
  <c r="L333" i="65"/>
  <c r="K333" i="65"/>
  <c r="J333" i="65"/>
  <c r="S333" i="65" s="1"/>
  <c r="M332" i="65"/>
  <c r="L332" i="65"/>
  <c r="K332" i="65"/>
  <c r="J332" i="65"/>
  <c r="S332" i="65" s="1"/>
  <c r="M328" i="65"/>
  <c r="L328" i="65"/>
  <c r="K328" i="65"/>
  <c r="J328" i="65"/>
  <c r="S328" i="65" s="1"/>
  <c r="M327" i="65"/>
  <c r="L327" i="65"/>
  <c r="K327" i="65"/>
  <c r="J327" i="65"/>
  <c r="S327" i="65" s="1"/>
  <c r="M326" i="65"/>
  <c r="L326" i="65"/>
  <c r="K326" i="65"/>
  <c r="J326" i="65"/>
  <c r="S326" i="65" s="1"/>
  <c r="M325" i="65"/>
  <c r="L325" i="65"/>
  <c r="J325" i="65"/>
  <c r="S325" i="65" s="1"/>
  <c r="K324" i="65"/>
  <c r="R324" i="65" s="1"/>
  <c r="J324" i="65"/>
  <c r="S324" i="65" s="1"/>
  <c r="K323" i="65"/>
  <c r="R323" i="65" s="1"/>
  <c r="J323" i="65"/>
  <c r="S323" i="65" s="1"/>
  <c r="K322" i="65"/>
  <c r="R322" i="65" s="1"/>
  <c r="J322" i="65"/>
  <c r="S322" i="65" s="1"/>
  <c r="R321" i="65"/>
  <c r="J321" i="65"/>
  <c r="S321" i="65" s="1"/>
  <c r="K320" i="65"/>
  <c r="R320" i="65" s="1"/>
  <c r="J320" i="65"/>
  <c r="S320" i="65" s="1"/>
  <c r="K319" i="65"/>
  <c r="R319" i="65" s="1"/>
  <c r="J319" i="65"/>
  <c r="S319" i="65" s="1"/>
  <c r="K318" i="65"/>
  <c r="R318" i="65" s="1"/>
  <c r="J318" i="65"/>
  <c r="S318" i="65" s="1"/>
  <c r="K317" i="65"/>
  <c r="R317" i="65" s="1"/>
  <c r="J317" i="65"/>
  <c r="S317" i="65" s="1"/>
  <c r="K316" i="65"/>
  <c r="R316" i="65" s="1"/>
  <c r="J316" i="65"/>
  <c r="S316" i="65" s="1"/>
  <c r="K315" i="65"/>
  <c r="R315" i="65" s="1"/>
  <c r="J315" i="65"/>
  <c r="S315" i="65" s="1"/>
  <c r="K314" i="65"/>
  <c r="R314" i="65" s="1"/>
  <c r="J314" i="65"/>
  <c r="S314" i="65" s="1"/>
  <c r="M313" i="65"/>
  <c r="L313" i="65"/>
  <c r="K313" i="65"/>
  <c r="J313" i="65"/>
  <c r="S313" i="65" s="1"/>
  <c r="M312" i="65"/>
  <c r="L312" i="65"/>
  <c r="K312" i="65"/>
  <c r="J312" i="65"/>
  <c r="S312" i="65" s="1"/>
  <c r="M311" i="65"/>
  <c r="L311" i="65"/>
  <c r="K311" i="65"/>
  <c r="J311" i="65"/>
  <c r="S311" i="65" s="1"/>
  <c r="M310" i="65"/>
  <c r="L310" i="65"/>
  <c r="K310" i="65"/>
  <c r="J310" i="65"/>
  <c r="S310" i="65" s="1"/>
  <c r="M309" i="65"/>
  <c r="L309" i="65"/>
  <c r="J309" i="65"/>
  <c r="S309" i="65" s="1"/>
  <c r="M308" i="65"/>
  <c r="L308" i="65"/>
  <c r="K308" i="65"/>
  <c r="J308" i="65"/>
  <c r="S308" i="65" s="1"/>
  <c r="M307" i="65"/>
  <c r="L307" i="65"/>
  <c r="K307" i="65"/>
  <c r="J307" i="65"/>
  <c r="S307" i="65" s="1"/>
  <c r="M306" i="65"/>
  <c r="L306" i="65"/>
  <c r="K306" i="65"/>
  <c r="J306" i="65"/>
  <c r="S306" i="65" s="1"/>
  <c r="M305" i="65"/>
  <c r="R305" i="65" s="1"/>
  <c r="J305" i="65"/>
  <c r="S305" i="65" s="1"/>
  <c r="M304" i="65"/>
  <c r="R304" i="65" s="1"/>
  <c r="J304" i="65"/>
  <c r="S304" i="65" s="1"/>
  <c r="M303" i="65"/>
  <c r="L303" i="65"/>
  <c r="K303" i="65"/>
  <c r="J303" i="65"/>
  <c r="S303" i="65" s="1"/>
  <c r="M302" i="65"/>
  <c r="L302" i="65"/>
  <c r="K302" i="65"/>
  <c r="J302" i="65"/>
  <c r="S302" i="65" s="1"/>
  <c r="M301" i="65"/>
  <c r="L301" i="65"/>
  <c r="K301" i="65"/>
  <c r="J301" i="65"/>
  <c r="S301" i="65" s="1"/>
  <c r="M300" i="65"/>
  <c r="L300" i="65"/>
  <c r="K300" i="65"/>
  <c r="J300" i="65"/>
  <c r="S300" i="65" s="1"/>
  <c r="K299" i="65"/>
  <c r="R299" i="65" s="1"/>
  <c r="J299" i="65"/>
  <c r="S299" i="65" s="1"/>
  <c r="K298" i="65"/>
  <c r="R298" i="65" s="1"/>
  <c r="J298" i="65"/>
  <c r="S298" i="65" s="1"/>
  <c r="M297" i="65"/>
  <c r="L297" i="65"/>
  <c r="K297" i="65"/>
  <c r="J297" i="65"/>
  <c r="S297" i="65" s="1"/>
  <c r="M296" i="65"/>
  <c r="L296" i="65"/>
  <c r="K296" i="65"/>
  <c r="J296" i="65"/>
  <c r="S296" i="65" s="1"/>
  <c r="M295" i="65"/>
  <c r="L295" i="65"/>
  <c r="K295" i="65"/>
  <c r="J295" i="65"/>
  <c r="S295" i="65" s="1"/>
  <c r="M294" i="65"/>
  <c r="L294" i="65"/>
  <c r="K294" i="65"/>
  <c r="J294" i="65"/>
  <c r="S294" i="65" s="1"/>
  <c r="M293" i="65"/>
  <c r="L293" i="65"/>
  <c r="K293" i="65"/>
  <c r="J293" i="65"/>
  <c r="S293" i="65" s="1"/>
  <c r="M292" i="65"/>
  <c r="L292" i="65"/>
  <c r="K292" i="65"/>
  <c r="J292" i="65"/>
  <c r="S292" i="65" s="1"/>
  <c r="M291" i="65"/>
  <c r="L291" i="65"/>
  <c r="K291" i="65"/>
  <c r="J291" i="65"/>
  <c r="S291" i="65" s="1"/>
  <c r="M290" i="65"/>
  <c r="L290" i="65"/>
  <c r="K290" i="65"/>
  <c r="J290" i="65"/>
  <c r="S290" i="65" s="1"/>
  <c r="M289" i="65"/>
  <c r="L289" i="65"/>
  <c r="K289" i="65"/>
  <c r="J289" i="65"/>
  <c r="S289" i="65" s="1"/>
  <c r="M288" i="65"/>
  <c r="L288" i="65"/>
  <c r="J288" i="65"/>
  <c r="S288" i="65" s="1"/>
  <c r="M287" i="65"/>
  <c r="L287" i="65"/>
  <c r="K287" i="65"/>
  <c r="J287" i="65"/>
  <c r="S287" i="65" s="1"/>
  <c r="M286" i="65"/>
  <c r="L286" i="65"/>
  <c r="K286" i="65"/>
  <c r="J286" i="65"/>
  <c r="S286" i="65" s="1"/>
  <c r="M285" i="65"/>
  <c r="L285" i="65"/>
  <c r="K285" i="65"/>
  <c r="J285" i="65"/>
  <c r="S285" i="65" s="1"/>
  <c r="M284" i="65"/>
  <c r="L284" i="65"/>
  <c r="K284" i="65"/>
  <c r="J284" i="65"/>
  <c r="S284" i="65" s="1"/>
  <c r="M283" i="65"/>
  <c r="L283" i="65"/>
  <c r="K283" i="65"/>
  <c r="J283" i="65"/>
  <c r="S283" i="65" s="1"/>
  <c r="M282" i="65"/>
  <c r="L282" i="65"/>
  <c r="K282" i="65"/>
  <c r="J282" i="65"/>
  <c r="S282" i="65" s="1"/>
  <c r="M281" i="65"/>
  <c r="L281" i="65"/>
  <c r="K281" i="65"/>
  <c r="J281" i="65"/>
  <c r="S281" i="65" s="1"/>
  <c r="O280" i="65"/>
  <c r="M280" i="65"/>
  <c r="L280" i="65"/>
  <c r="K280" i="65"/>
  <c r="J280" i="65"/>
  <c r="S280" i="65" s="1"/>
  <c r="O279" i="65"/>
  <c r="M279" i="65"/>
  <c r="L279" i="65"/>
  <c r="K279" i="65"/>
  <c r="J279" i="65"/>
  <c r="S279" i="65" s="1"/>
  <c r="K278" i="65"/>
  <c r="R278" i="65" s="1"/>
  <c r="J278" i="65"/>
  <c r="S278" i="65" s="1"/>
  <c r="O277" i="65"/>
  <c r="M277" i="65"/>
  <c r="L277" i="65"/>
  <c r="K277" i="65"/>
  <c r="J277" i="65"/>
  <c r="S277" i="65" s="1"/>
  <c r="M276" i="65"/>
  <c r="K276" i="65"/>
  <c r="J276" i="65"/>
  <c r="S276" i="65" s="1"/>
  <c r="O275" i="65"/>
  <c r="M275" i="65"/>
  <c r="L275" i="65"/>
  <c r="K275" i="65"/>
  <c r="J275" i="65"/>
  <c r="S275" i="65" s="1"/>
  <c r="K274" i="65"/>
  <c r="R274" i="65" s="1"/>
  <c r="J274" i="65"/>
  <c r="S274" i="65" s="1"/>
  <c r="M273" i="65"/>
  <c r="L273" i="65"/>
  <c r="K273" i="65"/>
  <c r="J273" i="65"/>
  <c r="S273" i="65" s="1"/>
  <c r="M272" i="65"/>
  <c r="L272" i="65"/>
  <c r="K272" i="65"/>
  <c r="J272" i="65"/>
  <c r="S272" i="65" s="1"/>
  <c r="L271" i="65"/>
  <c r="K271" i="65"/>
  <c r="J271" i="65"/>
  <c r="S271" i="65" s="1"/>
  <c r="O270" i="65"/>
  <c r="M270" i="65"/>
  <c r="L270" i="65"/>
  <c r="K270" i="65"/>
  <c r="J270" i="65"/>
  <c r="S270" i="65" s="1"/>
  <c r="M269" i="65"/>
  <c r="L269" i="65"/>
  <c r="K269" i="65"/>
  <c r="J269" i="65"/>
  <c r="S269" i="65" s="1"/>
  <c r="M268" i="65"/>
  <c r="L268" i="65"/>
  <c r="K268" i="65"/>
  <c r="J268" i="65"/>
  <c r="S268" i="65" s="1"/>
  <c r="M267" i="65"/>
  <c r="L267" i="65"/>
  <c r="K267" i="65"/>
  <c r="J267" i="65"/>
  <c r="S267" i="65" s="1"/>
  <c r="N266" i="65"/>
  <c r="N334" i="65" s="1"/>
  <c r="M266" i="65"/>
  <c r="L266" i="65"/>
  <c r="K266" i="65"/>
  <c r="J266" i="65"/>
  <c r="S266" i="65" s="1"/>
  <c r="P260" i="65"/>
  <c r="N260" i="65"/>
  <c r="Q258" i="65"/>
  <c r="K258" i="65"/>
  <c r="J258" i="65"/>
  <c r="S258" i="65" s="1"/>
  <c r="M257" i="65"/>
  <c r="L257" i="65"/>
  <c r="K257" i="65"/>
  <c r="J257" i="65"/>
  <c r="S257" i="65" s="1"/>
  <c r="M256" i="65"/>
  <c r="L256" i="65"/>
  <c r="K256" i="65"/>
  <c r="J256" i="65"/>
  <c r="S256" i="65" s="1"/>
  <c r="M255" i="65"/>
  <c r="L255" i="65"/>
  <c r="K255" i="65"/>
  <c r="J255" i="65"/>
  <c r="S255" i="65" s="1"/>
  <c r="M254" i="65"/>
  <c r="L254" i="65"/>
  <c r="K254" i="65"/>
  <c r="J254" i="65"/>
  <c r="S254" i="65" s="1"/>
  <c r="Q253" i="65"/>
  <c r="M253" i="65"/>
  <c r="L253" i="65"/>
  <c r="K253" i="65"/>
  <c r="J253" i="65"/>
  <c r="S253" i="65" s="1"/>
  <c r="O252" i="65"/>
  <c r="O260" i="65" s="1"/>
  <c r="M252" i="65"/>
  <c r="L252" i="65"/>
  <c r="K252" i="65"/>
  <c r="J252" i="65"/>
  <c r="S252" i="65" s="1"/>
  <c r="Q247" i="65"/>
  <c r="P246" i="65"/>
  <c r="O246" i="65"/>
  <c r="N246" i="65"/>
  <c r="M246" i="65"/>
  <c r="L246" i="65"/>
  <c r="K246" i="65"/>
  <c r="J246" i="65"/>
  <c r="S246" i="65" s="1"/>
  <c r="P245" i="65"/>
  <c r="P247" i="65" s="1"/>
  <c r="O245" i="65"/>
  <c r="N245" i="65"/>
  <c r="M245" i="65"/>
  <c r="L245" i="65"/>
  <c r="K245" i="65"/>
  <c r="J245" i="65"/>
  <c r="S245" i="65" s="1"/>
  <c r="Q239" i="65"/>
  <c r="P239" i="65"/>
  <c r="N239" i="65"/>
  <c r="O238" i="65"/>
  <c r="M238" i="65"/>
  <c r="L238" i="65"/>
  <c r="L239" i="65" s="1"/>
  <c r="K238" i="65"/>
  <c r="J238" i="65"/>
  <c r="S238" i="65" s="1"/>
  <c r="O237" i="65"/>
  <c r="M237" i="65"/>
  <c r="K237" i="65"/>
  <c r="J237" i="65"/>
  <c r="S237" i="65" s="1"/>
  <c r="O236" i="65"/>
  <c r="M236" i="65"/>
  <c r="K236" i="65"/>
  <c r="J236" i="65"/>
  <c r="S236" i="65" s="1"/>
  <c r="P233" i="65"/>
  <c r="O233" i="65"/>
  <c r="N233" i="65"/>
  <c r="Q232" i="65"/>
  <c r="M232" i="65"/>
  <c r="L232" i="65"/>
  <c r="K232" i="65"/>
  <c r="J232" i="65"/>
  <c r="S232" i="65" s="1"/>
  <c r="Q231" i="65"/>
  <c r="M231" i="65"/>
  <c r="L231" i="65"/>
  <c r="K231" i="65"/>
  <c r="J231" i="65"/>
  <c r="S231" i="65" s="1"/>
  <c r="Q230" i="65"/>
  <c r="M230" i="65"/>
  <c r="L230" i="65"/>
  <c r="K230" i="65"/>
  <c r="J230" i="65"/>
  <c r="S230" i="65" s="1"/>
  <c r="M229" i="65"/>
  <c r="L229" i="65"/>
  <c r="K229" i="65"/>
  <c r="J229" i="65"/>
  <c r="S229" i="65" s="1"/>
  <c r="N222" i="65"/>
  <c r="M222" i="65"/>
  <c r="K222" i="65"/>
  <c r="J222" i="65"/>
  <c r="S222" i="65" s="1"/>
  <c r="P221" i="65"/>
  <c r="N221" i="65"/>
  <c r="M221" i="65"/>
  <c r="K221" i="65"/>
  <c r="J221" i="65"/>
  <c r="S221" i="65" s="1"/>
  <c r="P220" i="65"/>
  <c r="N220" i="65"/>
  <c r="M220" i="65"/>
  <c r="K220" i="65"/>
  <c r="J220" i="65"/>
  <c r="S220" i="65" s="1"/>
  <c r="N219" i="65"/>
  <c r="K219" i="65"/>
  <c r="J219" i="65"/>
  <c r="S219" i="65" s="1"/>
  <c r="N218" i="65"/>
  <c r="M218" i="65"/>
  <c r="K218" i="65"/>
  <c r="J218" i="65"/>
  <c r="S218" i="65" s="1"/>
  <c r="P217" i="65"/>
  <c r="N217" i="65"/>
  <c r="M217" i="65"/>
  <c r="K217" i="65"/>
  <c r="J217" i="65"/>
  <c r="S217" i="65" s="1"/>
  <c r="N216" i="65"/>
  <c r="M216" i="65"/>
  <c r="K216" i="65"/>
  <c r="J216" i="65"/>
  <c r="S216" i="65" s="1"/>
  <c r="M215" i="65"/>
  <c r="K215" i="65"/>
  <c r="J215" i="65"/>
  <c r="S215" i="65" s="1"/>
  <c r="K214" i="65"/>
  <c r="R214" i="65" s="1"/>
  <c r="J214" i="65"/>
  <c r="S214" i="65" s="1"/>
  <c r="N213" i="65"/>
  <c r="K213" i="65"/>
  <c r="R213" i="65" s="1"/>
  <c r="J213" i="65"/>
  <c r="S213" i="65" s="1"/>
  <c r="P212" i="65"/>
  <c r="N212" i="65"/>
  <c r="K212" i="65"/>
  <c r="J212" i="65"/>
  <c r="S212" i="65" s="1"/>
  <c r="P211" i="65"/>
  <c r="N211" i="65"/>
  <c r="K211" i="65"/>
  <c r="J211" i="65"/>
  <c r="S211" i="65" s="1"/>
  <c r="N210" i="65"/>
  <c r="M210" i="65"/>
  <c r="K210" i="65"/>
  <c r="J210" i="65"/>
  <c r="S210" i="65" s="1"/>
  <c r="N209" i="65"/>
  <c r="M209" i="65"/>
  <c r="K209" i="65"/>
  <c r="J209" i="65"/>
  <c r="S209" i="65" s="1"/>
  <c r="M208" i="65"/>
  <c r="K208" i="65"/>
  <c r="J208" i="65"/>
  <c r="S208" i="65" s="1"/>
  <c r="M207" i="65"/>
  <c r="R207" i="65" s="1"/>
  <c r="J207" i="65"/>
  <c r="S207" i="65" s="1"/>
  <c r="M206" i="65"/>
  <c r="R206" i="65" s="1"/>
  <c r="J206" i="65"/>
  <c r="S206" i="65" s="1"/>
  <c r="Q205" i="65"/>
  <c r="O205" i="65"/>
  <c r="M205" i="65"/>
  <c r="K205" i="65"/>
  <c r="J205" i="65"/>
  <c r="S205" i="65" s="1"/>
  <c r="Q204" i="65"/>
  <c r="M204" i="65"/>
  <c r="K204" i="65"/>
  <c r="J204" i="65"/>
  <c r="S204" i="65" s="1"/>
  <c r="M203" i="65"/>
  <c r="K203" i="65"/>
  <c r="J203" i="65"/>
  <c r="S203" i="65" s="1"/>
  <c r="M202" i="65"/>
  <c r="K202" i="65"/>
  <c r="J202" i="65"/>
  <c r="S202" i="65" s="1"/>
  <c r="O201" i="65"/>
  <c r="M201" i="65"/>
  <c r="L201" i="65"/>
  <c r="K201" i="65"/>
  <c r="J201" i="65"/>
  <c r="S201" i="65" s="1"/>
  <c r="O200" i="65"/>
  <c r="M200" i="65"/>
  <c r="L200" i="65"/>
  <c r="K200" i="65"/>
  <c r="J200" i="65"/>
  <c r="S200" i="65" s="1"/>
  <c r="M199" i="65"/>
  <c r="L199" i="65"/>
  <c r="K199" i="65"/>
  <c r="J199" i="65"/>
  <c r="S199" i="65" s="1"/>
  <c r="M198" i="65"/>
  <c r="L198" i="65"/>
  <c r="K198" i="65"/>
  <c r="J198" i="65"/>
  <c r="S198" i="65" s="1"/>
  <c r="M197" i="65"/>
  <c r="K197" i="65"/>
  <c r="J197" i="65"/>
  <c r="S197" i="65" s="1"/>
  <c r="M196" i="65"/>
  <c r="K196" i="65"/>
  <c r="J196" i="65"/>
  <c r="S196" i="65" s="1"/>
  <c r="O195" i="65"/>
  <c r="M195" i="65"/>
  <c r="L195" i="65"/>
  <c r="K195" i="65"/>
  <c r="J195" i="65"/>
  <c r="S195" i="65" s="1"/>
  <c r="O194" i="65"/>
  <c r="M194" i="65"/>
  <c r="L194" i="65"/>
  <c r="K194" i="65"/>
  <c r="J194" i="65"/>
  <c r="S194" i="65" s="1"/>
  <c r="O192" i="65"/>
  <c r="M192" i="65"/>
  <c r="L192" i="65"/>
  <c r="K192" i="65"/>
  <c r="J192" i="65"/>
  <c r="S192" i="65" s="1"/>
  <c r="M191" i="65"/>
  <c r="L191" i="65"/>
  <c r="J191" i="65"/>
  <c r="S191" i="65" s="1"/>
  <c r="M190" i="65"/>
  <c r="L190" i="65"/>
  <c r="K190" i="65"/>
  <c r="J190" i="65"/>
  <c r="S190" i="65" s="1"/>
  <c r="O189" i="65"/>
  <c r="M189" i="65"/>
  <c r="L189" i="65"/>
  <c r="K189" i="65"/>
  <c r="J189" i="65"/>
  <c r="S189" i="65" s="1"/>
  <c r="N188" i="65"/>
  <c r="M188" i="65"/>
  <c r="L188" i="65"/>
  <c r="K188" i="65"/>
  <c r="J188" i="65"/>
  <c r="S188" i="65" s="1"/>
  <c r="M187" i="65"/>
  <c r="L187" i="65"/>
  <c r="K187" i="65"/>
  <c r="J187" i="65"/>
  <c r="S187" i="65" s="1"/>
  <c r="M186" i="65"/>
  <c r="L186" i="65"/>
  <c r="K186" i="65"/>
  <c r="J186" i="65"/>
  <c r="S186" i="65" s="1"/>
  <c r="P185" i="65"/>
  <c r="M185" i="65"/>
  <c r="L185" i="65"/>
  <c r="K185" i="65"/>
  <c r="J185" i="65"/>
  <c r="S185" i="65" s="1"/>
  <c r="M184" i="65"/>
  <c r="L184" i="65"/>
  <c r="K184" i="65"/>
  <c r="J184" i="65"/>
  <c r="S184" i="65" s="1"/>
  <c r="M183" i="65"/>
  <c r="L183" i="65"/>
  <c r="K183" i="65"/>
  <c r="J183" i="65"/>
  <c r="S183" i="65" s="1"/>
  <c r="M182" i="65"/>
  <c r="L182" i="65"/>
  <c r="K182" i="65"/>
  <c r="J182" i="65"/>
  <c r="S182" i="65" s="1"/>
  <c r="M181" i="65"/>
  <c r="L181" i="65"/>
  <c r="K181" i="65"/>
  <c r="J181" i="65"/>
  <c r="S181" i="65" s="1"/>
  <c r="M180" i="65"/>
  <c r="L180" i="65"/>
  <c r="K180" i="65"/>
  <c r="J180" i="65"/>
  <c r="S180" i="65" s="1"/>
  <c r="M179" i="65"/>
  <c r="L179" i="65"/>
  <c r="K179" i="65"/>
  <c r="J179" i="65"/>
  <c r="S179" i="65" s="1"/>
  <c r="M178" i="65"/>
  <c r="L178" i="65"/>
  <c r="K178" i="65"/>
  <c r="J178" i="65"/>
  <c r="S178" i="65" s="1"/>
  <c r="M177" i="65"/>
  <c r="L177" i="65"/>
  <c r="K177" i="65"/>
  <c r="J177" i="65"/>
  <c r="S177" i="65" s="1"/>
  <c r="M176" i="65"/>
  <c r="L176" i="65"/>
  <c r="K176" i="65"/>
  <c r="J176" i="65"/>
  <c r="S176" i="65" s="1"/>
  <c r="M175" i="65"/>
  <c r="L175" i="65"/>
  <c r="K175" i="65"/>
  <c r="J175" i="65"/>
  <c r="S175" i="65" s="1"/>
  <c r="P174" i="65"/>
  <c r="M174" i="65"/>
  <c r="L174" i="65"/>
  <c r="K174" i="65"/>
  <c r="J174" i="65"/>
  <c r="S174" i="65" s="1"/>
  <c r="M173" i="65"/>
  <c r="L173" i="65"/>
  <c r="K173" i="65"/>
  <c r="J173" i="65"/>
  <c r="S173" i="65" s="1"/>
  <c r="M172" i="65"/>
  <c r="L172" i="65"/>
  <c r="K172" i="65"/>
  <c r="J172" i="65"/>
  <c r="S172" i="65" s="1"/>
  <c r="Q159" i="65"/>
  <c r="P159" i="65"/>
  <c r="M158" i="65"/>
  <c r="L158" i="65"/>
  <c r="K158" i="65"/>
  <c r="J158" i="65"/>
  <c r="S158" i="65" s="1"/>
  <c r="M157" i="65"/>
  <c r="L157" i="65"/>
  <c r="K157" i="65"/>
  <c r="J157" i="65"/>
  <c r="S157" i="65" s="1"/>
  <c r="M156" i="65"/>
  <c r="L156" i="65"/>
  <c r="R156" i="65" s="1"/>
  <c r="J156" i="65"/>
  <c r="S156" i="65" s="1"/>
  <c r="M155" i="65"/>
  <c r="L155" i="65"/>
  <c r="K155" i="65"/>
  <c r="J155" i="65"/>
  <c r="S155" i="65" s="1"/>
  <c r="M154" i="65"/>
  <c r="L154" i="65"/>
  <c r="K154" i="65"/>
  <c r="J154" i="65"/>
  <c r="S154" i="65" s="1"/>
  <c r="M153" i="65"/>
  <c r="L153" i="65"/>
  <c r="K153" i="65"/>
  <c r="J153" i="65"/>
  <c r="S153" i="65" s="1"/>
  <c r="N152" i="65"/>
  <c r="N159" i="65" s="1"/>
  <c r="M152" i="65"/>
  <c r="L152" i="65"/>
  <c r="K152" i="65"/>
  <c r="J152" i="65"/>
  <c r="S152" i="65" s="1"/>
  <c r="O151" i="65"/>
  <c r="O159" i="65" s="1"/>
  <c r="M151" i="65"/>
  <c r="L151" i="65"/>
  <c r="K151" i="65"/>
  <c r="J151" i="65"/>
  <c r="S151" i="65" s="1"/>
  <c r="M150" i="65"/>
  <c r="L150" i="65"/>
  <c r="K150" i="65"/>
  <c r="J150" i="65"/>
  <c r="S150" i="65" s="1"/>
  <c r="Q141" i="65"/>
  <c r="P141" i="65"/>
  <c r="O141" i="65"/>
  <c r="N140" i="65"/>
  <c r="N141" i="65" s="1"/>
  <c r="M140" i="65"/>
  <c r="L140" i="65"/>
  <c r="K140" i="65"/>
  <c r="J140" i="65"/>
  <c r="S140" i="65" s="1"/>
  <c r="M139" i="65"/>
  <c r="L139" i="65"/>
  <c r="K139" i="65"/>
  <c r="J139" i="65"/>
  <c r="S139" i="65" s="1"/>
  <c r="M138" i="65"/>
  <c r="L138" i="65"/>
  <c r="K138" i="65"/>
  <c r="J138" i="65"/>
  <c r="S138" i="65" s="1"/>
  <c r="Q133" i="65"/>
  <c r="P133" i="65"/>
  <c r="O133" i="65"/>
  <c r="M133" i="65"/>
  <c r="L133" i="65"/>
  <c r="K133" i="65"/>
  <c r="N132" i="65"/>
  <c r="R132" i="65" s="1"/>
  <c r="J132" i="65"/>
  <c r="S132" i="65" s="1"/>
  <c r="N131" i="65"/>
  <c r="R131" i="65" s="1"/>
  <c r="J131" i="65"/>
  <c r="S131" i="65" s="1"/>
  <c r="N130" i="65"/>
  <c r="R130" i="65" s="1"/>
  <c r="J130" i="65"/>
  <c r="S130" i="65" s="1"/>
  <c r="N129" i="65"/>
  <c r="J129" i="65"/>
  <c r="S129" i="65" s="1"/>
  <c r="Q127" i="65"/>
  <c r="P127" i="65"/>
  <c r="O127" i="65"/>
  <c r="N127" i="65"/>
  <c r="M126" i="65"/>
  <c r="L126" i="65"/>
  <c r="K126" i="65"/>
  <c r="R126" i="65" s="1"/>
  <c r="J126" i="65"/>
  <c r="S126" i="65" s="1"/>
  <c r="M125" i="65"/>
  <c r="L125" i="65"/>
  <c r="K125" i="65"/>
  <c r="J125" i="65"/>
  <c r="S125" i="65" s="1"/>
  <c r="M124" i="65"/>
  <c r="L124" i="65"/>
  <c r="K124" i="65"/>
  <c r="J124" i="65"/>
  <c r="S124" i="65" s="1"/>
  <c r="M123" i="65"/>
  <c r="L123" i="65"/>
  <c r="K123" i="65"/>
  <c r="J123" i="65"/>
  <c r="S123" i="65" s="1"/>
  <c r="Q120" i="65"/>
  <c r="P120" i="65"/>
  <c r="O120" i="65"/>
  <c r="M118" i="65"/>
  <c r="L118" i="65"/>
  <c r="K118" i="65"/>
  <c r="J118" i="65"/>
  <c r="S118" i="65" s="1"/>
  <c r="M117" i="65"/>
  <c r="L117" i="65"/>
  <c r="K117" i="65"/>
  <c r="J117" i="65"/>
  <c r="S117" i="65" s="1"/>
  <c r="M116" i="65"/>
  <c r="L116" i="65"/>
  <c r="K116" i="65"/>
  <c r="J116" i="65"/>
  <c r="S116" i="65" s="1"/>
  <c r="M115" i="65"/>
  <c r="L115" i="65"/>
  <c r="K115" i="65"/>
  <c r="J115" i="65"/>
  <c r="S115" i="65" s="1"/>
  <c r="M114" i="65"/>
  <c r="L114" i="65"/>
  <c r="K114" i="65"/>
  <c r="J114" i="65"/>
  <c r="S114" i="65" s="1"/>
  <c r="M113" i="65"/>
  <c r="L113" i="65"/>
  <c r="K113" i="65"/>
  <c r="J113" i="65"/>
  <c r="S113" i="65" s="1"/>
  <c r="M112" i="65"/>
  <c r="L112" i="65"/>
  <c r="K112" i="65"/>
  <c r="J112" i="65"/>
  <c r="S112" i="65" s="1"/>
  <c r="M111" i="65"/>
  <c r="L111" i="65"/>
  <c r="K111" i="65"/>
  <c r="J111" i="65"/>
  <c r="S111" i="65" s="1"/>
  <c r="M110" i="65"/>
  <c r="L110" i="65"/>
  <c r="K110" i="65"/>
  <c r="J110" i="65"/>
  <c r="S110" i="65" s="1"/>
  <c r="M109" i="65"/>
  <c r="L109" i="65"/>
  <c r="K109" i="65"/>
  <c r="J109" i="65"/>
  <c r="S109" i="65" s="1"/>
  <c r="M108" i="65"/>
  <c r="L108" i="65"/>
  <c r="K108" i="65"/>
  <c r="J108" i="65"/>
  <c r="S108" i="65" s="1"/>
  <c r="M107" i="65"/>
  <c r="L107" i="65"/>
  <c r="K107" i="65"/>
  <c r="J107" i="65"/>
  <c r="S107" i="65" s="1"/>
  <c r="Q102" i="65"/>
  <c r="O102" i="65"/>
  <c r="P101" i="65"/>
  <c r="O101" i="65"/>
  <c r="I101" i="65"/>
  <c r="H101" i="65"/>
  <c r="F101" i="65"/>
  <c r="E101" i="65"/>
  <c r="D101" i="65"/>
  <c r="C101" i="65"/>
  <c r="Q100" i="65"/>
  <c r="O100" i="65"/>
  <c r="N100" i="65"/>
  <c r="I100" i="65"/>
  <c r="H100" i="65"/>
  <c r="G100" i="65"/>
  <c r="F100" i="65"/>
  <c r="E100" i="65"/>
  <c r="D100" i="65"/>
  <c r="C100" i="65"/>
  <c r="N99" i="65"/>
  <c r="M99" i="65"/>
  <c r="L99" i="65"/>
  <c r="K99" i="65"/>
  <c r="J99" i="65"/>
  <c r="S99" i="65" s="1"/>
  <c r="N98" i="65"/>
  <c r="M98" i="65"/>
  <c r="L98" i="65"/>
  <c r="K98" i="65"/>
  <c r="J98" i="65"/>
  <c r="S98" i="65" s="1"/>
  <c r="N97" i="65"/>
  <c r="M97" i="65"/>
  <c r="L97" i="65"/>
  <c r="K97" i="65"/>
  <c r="J97" i="65"/>
  <c r="S97" i="65" s="1"/>
  <c r="N96" i="65"/>
  <c r="M96" i="65"/>
  <c r="L96" i="65"/>
  <c r="K96" i="65"/>
  <c r="J96" i="65"/>
  <c r="S96" i="65" s="1"/>
  <c r="N95" i="65"/>
  <c r="M95" i="65"/>
  <c r="L95" i="65"/>
  <c r="K95" i="65"/>
  <c r="J95" i="65"/>
  <c r="S95" i="65" s="1"/>
  <c r="N94" i="65"/>
  <c r="M94" i="65"/>
  <c r="L94" i="65"/>
  <c r="K94" i="65"/>
  <c r="J94" i="65"/>
  <c r="S94" i="65" s="1"/>
  <c r="P93" i="65"/>
  <c r="M93" i="65"/>
  <c r="L93" i="65"/>
  <c r="K93" i="65"/>
  <c r="J93" i="65"/>
  <c r="S93" i="65" s="1"/>
  <c r="P92" i="65"/>
  <c r="M92" i="65"/>
  <c r="L92" i="65"/>
  <c r="K92" i="65"/>
  <c r="J92" i="65"/>
  <c r="S92" i="65" s="1"/>
  <c r="P91" i="65"/>
  <c r="M91" i="65"/>
  <c r="L91" i="65"/>
  <c r="K91" i="65"/>
  <c r="J91" i="65"/>
  <c r="S91" i="65" s="1"/>
  <c r="P90" i="65"/>
  <c r="M90" i="65"/>
  <c r="L90" i="65"/>
  <c r="K90" i="65"/>
  <c r="J90" i="65"/>
  <c r="S90" i="65" s="1"/>
  <c r="P89" i="65"/>
  <c r="M89" i="65"/>
  <c r="L89" i="65"/>
  <c r="K89" i="65"/>
  <c r="J89" i="65"/>
  <c r="S89" i="65" s="1"/>
  <c r="P88" i="65"/>
  <c r="M88" i="65"/>
  <c r="L88" i="65"/>
  <c r="K88" i="65"/>
  <c r="J88" i="65"/>
  <c r="Q85" i="65"/>
  <c r="P85" i="65"/>
  <c r="N85" i="65"/>
  <c r="S84" i="65"/>
  <c r="O84" i="65"/>
  <c r="M84" i="65"/>
  <c r="L84" i="65"/>
  <c r="K84" i="65"/>
  <c r="J84" i="65"/>
  <c r="S83" i="65"/>
  <c r="O83" i="65"/>
  <c r="M83" i="65"/>
  <c r="L83" i="65"/>
  <c r="K83" i="65"/>
  <c r="J83" i="65"/>
  <c r="S82" i="65"/>
  <c r="O82" i="65"/>
  <c r="M82" i="65"/>
  <c r="L82" i="65"/>
  <c r="K82" i="65"/>
  <c r="J82" i="65"/>
  <c r="S81" i="65"/>
  <c r="O81" i="65"/>
  <c r="M81" i="65"/>
  <c r="L81" i="65"/>
  <c r="K81" i="65"/>
  <c r="J81" i="65"/>
  <c r="S80" i="65"/>
  <c r="M80" i="65"/>
  <c r="L80" i="65"/>
  <c r="K80" i="65"/>
  <c r="J80" i="65"/>
  <c r="S79" i="65"/>
  <c r="M79" i="65"/>
  <c r="L79" i="65"/>
  <c r="K79" i="65"/>
  <c r="J79" i="65"/>
  <c r="S78" i="65"/>
  <c r="M78" i="65"/>
  <c r="L78" i="65"/>
  <c r="K78" i="65"/>
  <c r="R78" i="65" s="1"/>
  <c r="J78" i="65"/>
  <c r="S77" i="65"/>
  <c r="M77" i="65"/>
  <c r="L77" i="65"/>
  <c r="K77" i="65"/>
  <c r="J77" i="65"/>
  <c r="S76" i="65"/>
  <c r="M76" i="65"/>
  <c r="L76" i="65"/>
  <c r="K76" i="65"/>
  <c r="J76" i="65"/>
  <c r="S75" i="65"/>
  <c r="M75" i="65"/>
  <c r="L75" i="65"/>
  <c r="K75" i="65"/>
  <c r="J75" i="65"/>
  <c r="S74" i="65"/>
  <c r="M74" i="65"/>
  <c r="L74" i="65"/>
  <c r="K74" i="65"/>
  <c r="J74" i="65"/>
  <c r="S73" i="65"/>
  <c r="M73" i="65"/>
  <c r="L73" i="65"/>
  <c r="K73" i="65"/>
  <c r="J73" i="65"/>
  <c r="S72" i="65"/>
  <c r="M72" i="65"/>
  <c r="L72" i="65"/>
  <c r="K72" i="65"/>
  <c r="J72" i="65"/>
  <c r="S71" i="65"/>
  <c r="M71" i="65"/>
  <c r="L71" i="65"/>
  <c r="K71" i="65"/>
  <c r="J71" i="65"/>
  <c r="S70" i="65"/>
  <c r="M70" i="65"/>
  <c r="L70" i="65"/>
  <c r="K70" i="65"/>
  <c r="J70" i="65"/>
  <c r="S69" i="65"/>
  <c r="M69" i="65"/>
  <c r="L69" i="65"/>
  <c r="K69" i="65"/>
  <c r="J69" i="65"/>
  <c r="S68" i="65"/>
  <c r="M68" i="65"/>
  <c r="L68" i="65"/>
  <c r="K68" i="65"/>
  <c r="J68" i="65"/>
  <c r="Q61" i="65"/>
  <c r="I61" i="65"/>
  <c r="H61" i="65"/>
  <c r="F61" i="65"/>
  <c r="E61" i="65"/>
  <c r="D61" i="65"/>
  <c r="C61" i="65"/>
  <c r="J60" i="65"/>
  <c r="S59" i="65"/>
  <c r="P59" i="65"/>
  <c r="N59" i="65"/>
  <c r="M59" i="65"/>
  <c r="L59" i="65"/>
  <c r="K59" i="65"/>
  <c r="J59" i="65"/>
  <c r="S58" i="65"/>
  <c r="P58" i="65"/>
  <c r="N58" i="65"/>
  <c r="M58" i="65"/>
  <c r="L58" i="65"/>
  <c r="K58" i="65"/>
  <c r="J58" i="65"/>
  <c r="S57" i="65"/>
  <c r="P57" i="65"/>
  <c r="N57" i="65"/>
  <c r="M57" i="65"/>
  <c r="L57" i="65"/>
  <c r="K57" i="65"/>
  <c r="J57" i="65"/>
  <c r="S56" i="65"/>
  <c r="P56" i="65"/>
  <c r="N56" i="65"/>
  <c r="M56" i="65"/>
  <c r="L56" i="65"/>
  <c r="K56" i="65"/>
  <c r="J56" i="65"/>
  <c r="S55" i="65"/>
  <c r="P55" i="65"/>
  <c r="N55" i="65"/>
  <c r="M55" i="65"/>
  <c r="L55" i="65"/>
  <c r="K55" i="65"/>
  <c r="J55" i="65"/>
  <c r="S54" i="65"/>
  <c r="P54" i="65"/>
  <c r="M54" i="65"/>
  <c r="L54" i="65"/>
  <c r="K54" i="65"/>
  <c r="J54" i="65"/>
  <c r="S53" i="65"/>
  <c r="P53" i="65"/>
  <c r="O53" i="65"/>
  <c r="O61" i="65" s="1"/>
  <c r="N53" i="65"/>
  <c r="M53" i="65"/>
  <c r="L53" i="65"/>
  <c r="K53" i="65"/>
  <c r="J53" i="65"/>
  <c r="S52" i="65"/>
  <c r="P52" i="65"/>
  <c r="N52" i="65"/>
  <c r="M52" i="65"/>
  <c r="L52" i="65"/>
  <c r="K52" i="65"/>
  <c r="J52" i="65"/>
  <c r="S51" i="65"/>
  <c r="P51" i="65"/>
  <c r="N51" i="65"/>
  <c r="M51" i="65"/>
  <c r="L51" i="65"/>
  <c r="K51" i="65"/>
  <c r="J51" i="65"/>
  <c r="S50" i="65"/>
  <c r="P50" i="65"/>
  <c r="N50" i="65"/>
  <c r="M50" i="65"/>
  <c r="L50" i="65"/>
  <c r="K50" i="65"/>
  <c r="J50" i="65"/>
  <c r="S49" i="65"/>
  <c r="P49" i="65"/>
  <c r="N49" i="65"/>
  <c r="M49" i="65"/>
  <c r="L49" i="65"/>
  <c r="K49" i="65"/>
  <c r="J49" i="65"/>
  <c r="S48" i="65"/>
  <c r="P48" i="65"/>
  <c r="N48" i="65"/>
  <c r="M48" i="65"/>
  <c r="L48" i="65"/>
  <c r="K48" i="65"/>
  <c r="J48" i="65"/>
  <c r="Q44" i="65"/>
  <c r="I44" i="65"/>
  <c r="H44" i="65"/>
  <c r="G44" i="65"/>
  <c r="F44" i="65"/>
  <c r="E44" i="65"/>
  <c r="D44" i="65"/>
  <c r="C44" i="65"/>
  <c r="L43" i="65"/>
  <c r="K43" i="65"/>
  <c r="J43" i="65"/>
  <c r="J42" i="65"/>
  <c r="S41" i="65"/>
  <c r="P41" i="65"/>
  <c r="N41" i="65"/>
  <c r="M41" i="65"/>
  <c r="L41" i="65"/>
  <c r="K41" i="65"/>
  <c r="J41" i="65"/>
  <c r="S40" i="65"/>
  <c r="P40" i="65"/>
  <c r="N40" i="65"/>
  <c r="M40" i="65"/>
  <c r="L40" i="65"/>
  <c r="K40" i="65"/>
  <c r="J40" i="65"/>
  <c r="S39" i="65"/>
  <c r="P39" i="65"/>
  <c r="N39" i="65"/>
  <c r="M39" i="65"/>
  <c r="L39" i="65"/>
  <c r="K39" i="65"/>
  <c r="J39" i="65"/>
  <c r="S38" i="65"/>
  <c r="P38" i="65"/>
  <c r="N38" i="65"/>
  <c r="M38" i="65"/>
  <c r="L38" i="65"/>
  <c r="K38" i="65"/>
  <c r="J38" i="65"/>
  <c r="S37" i="65"/>
  <c r="P37" i="65"/>
  <c r="N37" i="65"/>
  <c r="M37" i="65"/>
  <c r="L37" i="65"/>
  <c r="K37" i="65"/>
  <c r="J37" i="65"/>
  <c r="S36" i="65"/>
  <c r="P36" i="65"/>
  <c r="N36" i="65"/>
  <c r="M36" i="65"/>
  <c r="L36" i="65"/>
  <c r="K36" i="65"/>
  <c r="J36" i="65"/>
  <c r="S35" i="65"/>
  <c r="P35" i="65"/>
  <c r="N35" i="65"/>
  <c r="M35" i="65"/>
  <c r="L35" i="65"/>
  <c r="K35" i="65"/>
  <c r="J35" i="65"/>
  <c r="S34" i="65"/>
  <c r="P34" i="65"/>
  <c r="N34" i="65"/>
  <c r="M34" i="65"/>
  <c r="L34" i="65"/>
  <c r="K34" i="65"/>
  <c r="J34" i="65"/>
  <c r="S33" i="65"/>
  <c r="P33" i="65"/>
  <c r="O33" i="65"/>
  <c r="N33" i="65"/>
  <c r="M33" i="65"/>
  <c r="L33" i="65"/>
  <c r="K33" i="65"/>
  <c r="J33" i="65"/>
  <c r="S32" i="65"/>
  <c r="P32" i="65"/>
  <c r="N32" i="65"/>
  <c r="M32" i="65"/>
  <c r="L32" i="65"/>
  <c r="K32" i="65"/>
  <c r="J32" i="65"/>
  <c r="S31" i="65"/>
  <c r="P31" i="65"/>
  <c r="N31" i="65"/>
  <c r="M31" i="65"/>
  <c r="L31" i="65"/>
  <c r="K31" i="65"/>
  <c r="J31" i="65"/>
  <c r="S30" i="65"/>
  <c r="P30" i="65"/>
  <c r="N30" i="65"/>
  <c r="M30" i="65"/>
  <c r="L30" i="65"/>
  <c r="K30" i="65"/>
  <c r="J30" i="65"/>
  <c r="S29" i="65"/>
  <c r="M29" i="65"/>
  <c r="L29" i="65"/>
  <c r="K29" i="65"/>
  <c r="J29" i="65"/>
  <c r="S28" i="65"/>
  <c r="O28" i="65"/>
  <c r="N28" i="65"/>
  <c r="K28" i="65"/>
  <c r="J28" i="65"/>
  <c r="S27" i="65"/>
  <c r="O27" i="65"/>
  <c r="N27" i="65"/>
  <c r="K27" i="65"/>
  <c r="J27" i="65"/>
  <c r="S26" i="65"/>
  <c r="O26" i="65"/>
  <c r="N26" i="65"/>
  <c r="K26" i="65"/>
  <c r="J26" i="65"/>
  <c r="S25" i="65"/>
  <c r="N25" i="65"/>
  <c r="K25" i="65"/>
  <c r="J25" i="65"/>
  <c r="Q24" i="65"/>
  <c r="I24" i="65"/>
  <c r="H24" i="65"/>
  <c r="G24" i="65"/>
  <c r="F24" i="65"/>
  <c r="E24" i="65"/>
  <c r="D24" i="65"/>
  <c r="C24" i="65"/>
  <c r="S23" i="65"/>
  <c r="K23" i="65"/>
  <c r="R23" i="65" s="1"/>
  <c r="J23" i="65"/>
  <c r="S22" i="65"/>
  <c r="K22" i="65"/>
  <c r="R22" i="65" s="1"/>
  <c r="J22" i="65"/>
  <c r="S21" i="65"/>
  <c r="M21" i="65"/>
  <c r="K21" i="65"/>
  <c r="J21" i="65"/>
  <c r="S20" i="65"/>
  <c r="M20" i="65"/>
  <c r="K20" i="65"/>
  <c r="J20" i="65"/>
  <c r="S19" i="65"/>
  <c r="M19" i="65"/>
  <c r="K19" i="65"/>
  <c r="J19" i="65"/>
  <c r="S18" i="65"/>
  <c r="M18" i="65"/>
  <c r="K18" i="65"/>
  <c r="J18" i="65"/>
  <c r="S17" i="65"/>
  <c r="N24" i="65"/>
  <c r="K17" i="65"/>
  <c r="J17" i="65"/>
  <c r="S16" i="65"/>
  <c r="M16" i="65"/>
  <c r="K16" i="65"/>
  <c r="J16" i="65"/>
  <c r="S15" i="65"/>
  <c r="M15" i="65"/>
  <c r="K15" i="65"/>
  <c r="J15" i="65"/>
  <c r="S14" i="65"/>
  <c r="M14" i="65"/>
  <c r="K14" i="65"/>
  <c r="J14" i="65"/>
  <c r="S13" i="65"/>
  <c r="O13" i="65"/>
  <c r="K13" i="65"/>
  <c r="J13" i="65"/>
  <c r="S12" i="65"/>
  <c r="O12" i="65"/>
  <c r="K12" i="65"/>
  <c r="J12" i="65"/>
  <c r="S11" i="65"/>
  <c r="O11" i="65"/>
  <c r="M11" i="65"/>
  <c r="L11" i="65"/>
  <c r="K11" i="65"/>
  <c r="J11" i="65"/>
  <c r="S10" i="65"/>
  <c r="O10" i="65"/>
  <c r="M10" i="65"/>
  <c r="L10" i="65"/>
  <c r="K10" i="65"/>
  <c r="J10" i="65"/>
  <c r="S9" i="65"/>
  <c r="O9" i="65"/>
  <c r="M9" i="65"/>
  <c r="L9" i="65"/>
  <c r="K9" i="65"/>
  <c r="J9" i="65"/>
  <c r="S8" i="65"/>
  <c r="O8" i="65"/>
  <c r="M8" i="65"/>
  <c r="L8" i="65"/>
  <c r="K8" i="65"/>
  <c r="J8" i="65"/>
  <c r="S7" i="65"/>
  <c r="M7" i="65"/>
  <c r="L7" i="65"/>
  <c r="J7" i="65"/>
  <c r="S522" i="64"/>
  <c r="S521" i="64"/>
  <c r="R19" i="65" l="1"/>
  <c r="R398" i="65"/>
  <c r="R436" i="65"/>
  <c r="R444" i="65"/>
  <c r="R395" i="65"/>
  <c r="R360" i="65"/>
  <c r="R384" i="65"/>
  <c r="R208" i="65"/>
  <c r="R215" i="65"/>
  <c r="R454" i="65"/>
  <c r="R486" i="65"/>
  <c r="R413" i="65"/>
  <c r="R455" i="65"/>
  <c r="L233" i="65"/>
  <c r="R367" i="65"/>
  <c r="R416" i="65"/>
  <c r="R432" i="65"/>
  <c r="R471" i="65"/>
  <c r="R13" i="65"/>
  <c r="R403" i="65"/>
  <c r="R407" i="65"/>
  <c r="R411" i="65"/>
  <c r="R440" i="65"/>
  <c r="R345" i="65"/>
  <c r="R388" i="65"/>
  <c r="R457" i="65"/>
  <c r="R461" i="65"/>
  <c r="R491" i="65"/>
  <c r="R494" i="65"/>
  <c r="R361" i="65"/>
  <c r="R369" i="65"/>
  <c r="R373" i="65"/>
  <c r="R422" i="65"/>
  <c r="R90" i="65"/>
  <c r="Q233" i="65"/>
  <c r="R346" i="65"/>
  <c r="R385" i="65"/>
  <c r="R438" i="65"/>
  <c r="R231" i="65"/>
  <c r="R362" i="65"/>
  <c r="R474" i="65"/>
  <c r="R197" i="65"/>
  <c r="R309" i="65"/>
  <c r="R359" i="65"/>
  <c r="R390" i="65"/>
  <c r="R410" i="65"/>
  <c r="R428" i="65"/>
  <c r="R435" i="65"/>
  <c r="R439" i="65"/>
  <c r="R458" i="65"/>
  <c r="R476" i="65"/>
  <c r="M495" i="65"/>
  <c r="R150" i="65"/>
  <c r="R14" i="65"/>
  <c r="R115" i="65"/>
  <c r="R139" i="65"/>
  <c r="R306" i="65"/>
  <c r="R354" i="65"/>
  <c r="R358" i="65"/>
  <c r="R381" i="65"/>
  <c r="R396" i="65"/>
  <c r="R443" i="65"/>
  <c r="R447" i="65"/>
  <c r="R451" i="65"/>
  <c r="R312" i="65"/>
  <c r="R459" i="65"/>
  <c r="R466" i="65"/>
  <c r="R110" i="65"/>
  <c r="K247" i="65"/>
  <c r="R343" i="65"/>
  <c r="R378" i="65"/>
  <c r="M120" i="65"/>
  <c r="R310" i="65"/>
  <c r="R333" i="65"/>
  <c r="R363" i="65"/>
  <c r="R452" i="65"/>
  <c r="R463" i="65"/>
  <c r="R478" i="65"/>
  <c r="R175" i="65"/>
  <c r="R178" i="65"/>
  <c r="R181" i="65"/>
  <c r="R184" i="65"/>
  <c r="R199" i="65"/>
  <c r="R257" i="65"/>
  <c r="R344" i="65"/>
  <c r="R348" i="65"/>
  <c r="R371" i="65"/>
  <c r="R375" i="65"/>
  <c r="R426" i="65"/>
  <c r="R460" i="65"/>
  <c r="R108" i="65"/>
  <c r="R212" i="65"/>
  <c r="N247" i="65"/>
  <c r="R356" i="65"/>
  <c r="R383" i="65"/>
  <c r="R441" i="65"/>
  <c r="R58" i="65"/>
  <c r="P102" i="65"/>
  <c r="R123" i="65"/>
  <c r="R294" i="65"/>
  <c r="R364" i="65"/>
  <c r="R387" i="65"/>
  <c r="R419" i="65"/>
  <c r="R423" i="65"/>
  <c r="R453" i="65"/>
  <c r="R479" i="65"/>
  <c r="R111" i="65"/>
  <c r="R255" i="65"/>
  <c r="R273" i="65"/>
  <c r="R194" i="65"/>
  <c r="R357" i="65"/>
  <c r="R380" i="65"/>
  <c r="R442" i="65"/>
  <c r="R446" i="65"/>
  <c r="R472" i="65"/>
  <c r="R421" i="65"/>
  <c r="R473" i="65"/>
  <c r="R219" i="65"/>
  <c r="M247" i="65"/>
  <c r="R114" i="65"/>
  <c r="R96" i="65"/>
  <c r="R50" i="65"/>
  <c r="R191" i="65"/>
  <c r="R38" i="65"/>
  <c r="Q223" i="65"/>
  <c r="R26" i="65"/>
  <c r="P530" i="65"/>
  <c r="R366" i="65"/>
  <c r="R313" i="65"/>
  <c r="R203" i="65"/>
  <c r="R192" i="65"/>
  <c r="R154" i="65"/>
  <c r="R49" i="65"/>
  <c r="R16" i="65"/>
  <c r="K24" i="65"/>
  <c r="R18" i="65"/>
  <c r="R41" i="65"/>
  <c r="R406" i="65"/>
  <c r="R409" i="65"/>
  <c r="R418" i="65"/>
  <c r="R467" i="65"/>
  <c r="R190" i="65"/>
  <c r="R97" i="65"/>
  <c r="R117" i="65"/>
  <c r="R140" i="65"/>
  <c r="R222" i="65"/>
  <c r="R238" i="65"/>
  <c r="R291" i="65"/>
  <c r="R301" i="65"/>
  <c r="R332" i="65"/>
  <c r="R389" i="65"/>
  <c r="R490" i="65"/>
  <c r="R36" i="65"/>
  <c r="P61" i="65"/>
  <c r="R112" i="65"/>
  <c r="R174" i="65"/>
  <c r="R59" i="65"/>
  <c r="R95" i="65"/>
  <c r="N223" i="65"/>
  <c r="R201" i="65"/>
  <c r="R204" i="65"/>
  <c r="O247" i="65"/>
  <c r="R254" i="65"/>
  <c r="R308" i="65"/>
  <c r="R326" i="65"/>
  <c r="R349" i="65"/>
  <c r="R392" i="65"/>
  <c r="R399" i="65"/>
  <c r="R448" i="65"/>
  <c r="R17" i="65"/>
  <c r="R25" i="65"/>
  <c r="R80" i="65"/>
  <c r="R289" i="65"/>
  <c r="R386" i="65"/>
  <c r="R468" i="65"/>
  <c r="R20" i="65"/>
  <c r="R68" i="65"/>
  <c r="M260" i="65"/>
  <c r="R292" i="65"/>
  <c r="R311" i="65"/>
  <c r="R8" i="65"/>
  <c r="R10" i="65"/>
  <c r="R56" i="65"/>
  <c r="R89" i="65"/>
  <c r="R113" i="65"/>
  <c r="R118" i="65"/>
  <c r="L127" i="65"/>
  <c r="R196" i="65"/>
  <c r="R202" i="65"/>
  <c r="R229" i="65"/>
  <c r="R236" i="65"/>
  <c r="R272" i="65"/>
  <c r="R350" i="65"/>
  <c r="R377" i="65"/>
  <c r="R393" i="65"/>
  <c r="R400" i="65"/>
  <c r="R429" i="65"/>
  <c r="R449" i="65"/>
  <c r="R475" i="65"/>
  <c r="R482" i="65"/>
  <c r="L223" i="65"/>
  <c r="R15" i="65"/>
  <c r="S133" i="65"/>
  <c r="R157" i="65"/>
  <c r="R200" i="65"/>
  <c r="R209" i="65"/>
  <c r="M233" i="65"/>
  <c r="O239" i="65"/>
  <c r="R284" i="65"/>
  <c r="R35" i="65"/>
  <c r="L120" i="65"/>
  <c r="R21" i="65"/>
  <c r="R125" i="65"/>
  <c r="R187" i="65"/>
  <c r="R221" i="65"/>
  <c r="R258" i="65"/>
  <c r="R276" i="65"/>
  <c r="R287" i="65"/>
  <c r="R290" i="65"/>
  <c r="R351" i="65"/>
  <c r="R365" i="65"/>
  <c r="R394" i="65"/>
  <c r="R397" i="65"/>
  <c r="R427" i="65"/>
  <c r="R430" i="65"/>
  <c r="R456" i="65"/>
  <c r="R483" i="65"/>
  <c r="R300" i="65"/>
  <c r="R303" i="65"/>
  <c r="R355" i="65"/>
  <c r="R368" i="65"/>
  <c r="R405" i="65"/>
  <c r="R412" i="65"/>
  <c r="R437" i="65"/>
  <c r="R179" i="65"/>
  <c r="O334" i="65"/>
  <c r="R450" i="65"/>
  <c r="R480" i="65"/>
  <c r="K495" i="65"/>
  <c r="R39" i="65"/>
  <c r="R74" i="65"/>
  <c r="M101" i="65"/>
  <c r="R176" i="65"/>
  <c r="R182" i="65"/>
  <c r="R230" i="65"/>
  <c r="R256" i="65"/>
  <c r="R307" i="65"/>
  <c r="R9" i="65"/>
  <c r="R11" i="65"/>
  <c r="N101" i="65"/>
  <c r="R109" i="65"/>
  <c r="R158" i="65"/>
  <c r="R198" i="65"/>
  <c r="L247" i="65"/>
  <c r="Q260" i="65"/>
  <c r="R352" i="65"/>
  <c r="R402" i="65"/>
  <c r="R431" i="65"/>
  <c r="R434" i="65"/>
  <c r="R470" i="65"/>
  <c r="P24" i="65"/>
  <c r="P529" i="65"/>
  <c r="J495" i="65"/>
  <c r="R401" i="65"/>
  <c r="R353" i="65"/>
  <c r="R283" i="65"/>
  <c r="R297" i="65"/>
  <c r="R328" i="65"/>
  <c r="R286" i="65"/>
  <c r="R270" i="65"/>
  <c r="S334" i="65"/>
  <c r="R281" i="65"/>
  <c r="R295" i="65"/>
  <c r="R268" i="65"/>
  <c r="R279" i="65"/>
  <c r="R282" i="65"/>
  <c r="R296" i="65"/>
  <c r="R302" i="65"/>
  <c r="R327" i="65"/>
  <c r="R266" i="65"/>
  <c r="R271" i="65"/>
  <c r="R293" i="65"/>
  <c r="R285" i="65"/>
  <c r="R269" i="65"/>
  <c r="R275" i="65"/>
  <c r="R280" i="65"/>
  <c r="R288" i="65"/>
  <c r="R325" i="65"/>
  <c r="R253" i="65"/>
  <c r="S260" i="65"/>
  <c r="L260" i="65"/>
  <c r="S247" i="65"/>
  <c r="R246" i="65"/>
  <c r="K239" i="65"/>
  <c r="K233" i="65"/>
  <c r="R177" i="65"/>
  <c r="R180" i="65"/>
  <c r="R183" i="65"/>
  <c r="R188" i="65"/>
  <c r="R218" i="65"/>
  <c r="R186" i="65"/>
  <c r="M223" i="65"/>
  <c r="P223" i="65"/>
  <c r="R210" i="65"/>
  <c r="R216" i="65"/>
  <c r="R173" i="65"/>
  <c r="R189" i="65"/>
  <c r="R185" i="65"/>
  <c r="R217" i="65"/>
  <c r="R211" i="65"/>
  <c r="R155" i="65"/>
  <c r="R153" i="65"/>
  <c r="M159" i="65"/>
  <c r="R152" i="65"/>
  <c r="L141" i="65"/>
  <c r="M141" i="65"/>
  <c r="K141" i="65"/>
  <c r="R124" i="65"/>
  <c r="K127" i="65"/>
  <c r="P100" i="65"/>
  <c r="M102" i="65"/>
  <c r="R94" i="65"/>
  <c r="L101" i="65"/>
  <c r="R92" i="65"/>
  <c r="N102" i="65"/>
  <c r="M100" i="65"/>
  <c r="R99" i="65"/>
  <c r="R73" i="65"/>
  <c r="O85" i="65"/>
  <c r="R76" i="65"/>
  <c r="R69" i="65"/>
  <c r="R81" i="65"/>
  <c r="R83" i="65"/>
  <c r="R72" i="65"/>
  <c r="R70" i="65"/>
  <c r="R75" i="65"/>
  <c r="R82" i="65"/>
  <c r="R53" i="65"/>
  <c r="M61" i="65"/>
  <c r="S61" i="65"/>
  <c r="R55" i="65"/>
  <c r="R54" i="65"/>
  <c r="R52" i="65"/>
  <c r="R29" i="65"/>
  <c r="R27" i="65"/>
  <c r="J44" i="65"/>
  <c r="R33" i="65"/>
  <c r="P44" i="65"/>
  <c r="R30" i="65"/>
  <c r="R32" i="65"/>
  <c r="J24" i="65"/>
  <c r="L24" i="65"/>
  <c r="R12" i="65"/>
  <c r="M24" i="65"/>
  <c r="O24" i="65"/>
  <c r="R34" i="65"/>
  <c r="J100" i="65"/>
  <c r="S88" i="65"/>
  <c r="S102" i="65" s="1"/>
  <c r="N120" i="65"/>
  <c r="R116" i="65"/>
  <c r="S223" i="65"/>
  <c r="K488" i="65"/>
  <c r="K61" i="65"/>
  <c r="R48" i="65"/>
  <c r="S159" i="65"/>
  <c r="K223" i="65"/>
  <c r="R172" i="65"/>
  <c r="S239" i="65"/>
  <c r="K334" i="65"/>
  <c r="R267" i="65"/>
  <c r="N488" i="65"/>
  <c r="R495" i="65"/>
  <c r="M44" i="65"/>
  <c r="L44" i="65"/>
  <c r="R77" i="65"/>
  <c r="K100" i="65"/>
  <c r="R88" i="65"/>
  <c r="K102" i="65"/>
  <c r="R31" i="65"/>
  <c r="L61" i="65"/>
  <c r="L100" i="65"/>
  <c r="L102" i="65"/>
  <c r="S141" i="65"/>
  <c r="R195" i="65"/>
  <c r="K260" i="65"/>
  <c r="R252" i="65"/>
  <c r="J415" i="65"/>
  <c r="S127" i="65"/>
  <c r="K415" i="65"/>
  <c r="N44" i="65"/>
  <c r="M85" i="65"/>
  <c r="L85" i="65"/>
  <c r="S44" i="65"/>
  <c r="R28" i="65"/>
  <c r="J61" i="65"/>
  <c r="R71" i="65"/>
  <c r="S85" i="65"/>
  <c r="R84" i="65"/>
  <c r="R93" i="65"/>
  <c r="R205" i="65"/>
  <c r="R220" i="65"/>
  <c r="R237" i="65"/>
  <c r="R239" i="65" s="1"/>
  <c r="M239" i="65"/>
  <c r="R277" i="65"/>
  <c r="S24" i="65"/>
  <c r="R40" i="65"/>
  <c r="R57" i="65"/>
  <c r="M127" i="65"/>
  <c r="N133" i="65"/>
  <c r="R129" i="65"/>
  <c r="R133" i="65" s="1"/>
  <c r="O223" i="65"/>
  <c r="K159" i="65"/>
  <c r="R151" i="65"/>
  <c r="L334" i="65"/>
  <c r="R7" i="65"/>
  <c r="S120" i="65"/>
  <c r="M334" i="65"/>
  <c r="N415" i="65"/>
  <c r="R37" i="65"/>
  <c r="K44" i="65"/>
  <c r="O44" i="65"/>
  <c r="N61" i="65"/>
  <c r="R51" i="65"/>
  <c r="R79" i="65"/>
  <c r="R91" i="65"/>
  <c r="J101" i="65"/>
  <c r="R98" i="65"/>
  <c r="K120" i="65"/>
  <c r="R107" i="65"/>
  <c r="L159" i="65"/>
  <c r="S233" i="65"/>
  <c r="J488" i="65"/>
  <c r="K85" i="65"/>
  <c r="R245" i="65"/>
  <c r="R341" i="65"/>
  <c r="R417" i="65"/>
  <c r="R138" i="65"/>
  <c r="R232" i="65"/>
  <c r="S344" i="65"/>
  <c r="S415" i="65" s="1"/>
  <c r="S417" i="65"/>
  <c r="S488" i="65" s="1"/>
  <c r="S491" i="65"/>
  <c r="S495" i="65" s="1"/>
  <c r="K101" i="65"/>
  <c r="M201" i="64"/>
  <c r="M202" i="64"/>
  <c r="M269" i="64"/>
  <c r="M268" i="64"/>
  <c r="O244" i="64"/>
  <c r="O245" i="64"/>
  <c r="M231" i="64"/>
  <c r="R488" i="65" l="1"/>
  <c r="R247" i="65"/>
  <c r="R127" i="65"/>
  <c r="R233" i="65"/>
  <c r="R260" i="65"/>
  <c r="N501" i="65"/>
  <c r="L515" i="65" s="1"/>
  <c r="R24" i="65"/>
  <c r="R141" i="65"/>
  <c r="R159" i="65"/>
  <c r="R415" i="65"/>
  <c r="R496" i="65" s="1"/>
  <c r="M500" i="65" s="1"/>
  <c r="R334" i="65"/>
  <c r="L501" i="65"/>
  <c r="N515" i="65" s="1"/>
  <c r="N518" i="65" s="1"/>
  <c r="R85" i="65"/>
  <c r="R44" i="65"/>
  <c r="K496" i="65"/>
  <c r="R102" i="65"/>
  <c r="R223" i="65"/>
  <c r="R120" i="65"/>
  <c r="K501" i="65"/>
  <c r="S496" i="65"/>
  <c r="M501" i="65" s="1"/>
  <c r="R61" i="65"/>
  <c r="O274" i="64"/>
  <c r="O191" i="64"/>
  <c r="N156" i="64"/>
  <c r="N17" i="64"/>
  <c r="Q203" i="64"/>
  <c r="O25" i="64"/>
  <c r="R202" i="64"/>
  <c r="J201" i="64"/>
  <c r="S201" i="64" s="1"/>
  <c r="J202" i="64"/>
  <c r="S202" i="64" s="1"/>
  <c r="K202" i="64"/>
  <c r="K201" i="64"/>
  <c r="R201" i="64" s="1"/>
  <c r="K49" i="64"/>
  <c r="K48" i="64"/>
  <c r="S28" i="64"/>
  <c r="S27" i="64"/>
  <c r="S26" i="64"/>
  <c r="S25" i="64"/>
  <c r="L500" i="65" l="1"/>
  <c r="N514" i="65" s="1"/>
  <c r="N517" i="65" s="1"/>
  <c r="N500" i="65"/>
  <c r="O505" i="65" s="1"/>
  <c r="P505" i="65"/>
  <c r="P504" i="65"/>
  <c r="K500" i="65"/>
  <c r="M514" i="65" s="1"/>
  <c r="M517" i="65" s="1"/>
  <c r="O515" i="65"/>
  <c r="O518" i="65" s="1"/>
  <c r="P506" i="65"/>
  <c r="L518" i="65"/>
  <c r="O506" i="65"/>
  <c r="O514" i="65"/>
  <c r="O517" i="65" s="1"/>
  <c r="P503" i="65"/>
  <c r="P501" i="65"/>
  <c r="M515" i="65"/>
  <c r="M518" i="65" s="1"/>
  <c r="K13" i="64"/>
  <c r="S349" i="63"/>
  <c r="S393" i="63"/>
  <c r="O267" i="63"/>
  <c r="S520" i="63"/>
  <c r="O504" i="65" l="1"/>
  <c r="L514" i="65"/>
  <c r="P508" i="65"/>
  <c r="P500" i="65"/>
  <c r="O503" i="65"/>
  <c r="O508" i="65" s="1"/>
  <c r="P518" i="65"/>
  <c r="L517" i="65"/>
  <c r="P514" i="65"/>
  <c r="P515" i="65"/>
  <c r="M268" i="63"/>
  <c r="M155" i="63"/>
  <c r="L154" i="63" l="1"/>
  <c r="L78" i="63"/>
  <c r="L73" i="63"/>
  <c r="L70" i="63"/>
  <c r="L68" i="63"/>
  <c r="L31" i="63"/>
  <c r="L33" i="63"/>
  <c r="L29" i="63"/>
  <c r="O207" i="63" l="1"/>
  <c r="N207" i="63"/>
  <c r="K156" i="64"/>
  <c r="O252" i="64"/>
  <c r="O251" i="64"/>
  <c r="Q252" i="64"/>
  <c r="O249" i="63"/>
  <c r="O33" i="63"/>
  <c r="O250" i="63" l="1"/>
  <c r="Q201" i="63"/>
  <c r="K78" i="63"/>
  <c r="K48" i="63"/>
  <c r="O526" i="64"/>
  <c r="N526" i="64"/>
  <c r="M526" i="64"/>
  <c r="L526" i="64"/>
  <c r="O525" i="64"/>
  <c r="N525" i="64"/>
  <c r="M525" i="64"/>
  <c r="L525" i="64"/>
  <c r="P523" i="64"/>
  <c r="P522" i="64"/>
  <c r="P521" i="64"/>
  <c r="P520" i="64"/>
  <c r="R514" i="64"/>
  <c r="Q514" i="64"/>
  <c r="Q513" i="64"/>
  <c r="P509" i="64"/>
  <c r="P508" i="64"/>
  <c r="P507" i="64"/>
  <c r="P506" i="64"/>
  <c r="Q491" i="64"/>
  <c r="P491" i="64"/>
  <c r="O491" i="64"/>
  <c r="L491" i="64"/>
  <c r="I491" i="64"/>
  <c r="H491" i="64"/>
  <c r="G491" i="64"/>
  <c r="F491" i="64"/>
  <c r="E491" i="64"/>
  <c r="D491" i="64"/>
  <c r="C491" i="64"/>
  <c r="S490" i="64"/>
  <c r="R490" i="64"/>
  <c r="N490" i="64"/>
  <c r="M490" i="64"/>
  <c r="K490" i="64"/>
  <c r="J490" i="64"/>
  <c r="N489" i="64"/>
  <c r="M489" i="64"/>
  <c r="K489" i="64"/>
  <c r="R489" i="64" s="1"/>
  <c r="J489" i="64"/>
  <c r="S489" i="64" s="1"/>
  <c r="S488" i="64"/>
  <c r="N488" i="64"/>
  <c r="M488" i="64"/>
  <c r="R488" i="64" s="1"/>
  <c r="K488" i="64"/>
  <c r="J488" i="64"/>
  <c r="N487" i="64"/>
  <c r="M487" i="64"/>
  <c r="K487" i="64"/>
  <c r="J487" i="64"/>
  <c r="S487" i="64" s="1"/>
  <c r="N486" i="64"/>
  <c r="M486" i="64"/>
  <c r="K486" i="64"/>
  <c r="J486" i="64"/>
  <c r="S486" i="64" s="1"/>
  <c r="Q484" i="64"/>
  <c r="P484" i="64"/>
  <c r="O484" i="64"/>
  <c r="M484" i="64"/>
  <c r="L484" i="64"/>
  <c r="I484" i="64"/>
  <c r="H484" i="64"/>
  <c r="G484" i="64"/>
  <c r="F484" i="64"/>
  <c r="E484" i="64"/>
  <c r="D484" i="64"/>
  <c r="C484" i="64"/>
  <c r="N482" i="64"/>
  <c r="K482" i="64"/>
  <c r="J482" i="64"/>
  <c r="S482" i="64" s="1"/>
  <c r="N481" i="64"/>
  <c r="K481" i="64"/>
  <c r="J481" i="64"/>
  <c r="S481" i="64" s="1"/>
  <c r="N480" i="64"/>
  <c r="K480" i="64"/>
  <c r="J480" i="64"/>
  <c r="S480" i="64" s="1"/>
  <c r="N479" i="64"/>
  <c r="K479" i="64"/>
  <c r="J479" i="64"/>
  <c r="S479" i="64" s="1"/>
  <c r="N478" i="64"/>
  <c r="K478" i="64"/>
  <c r="J478" i="64"/>
  <c r="S478" i="64" s="1"/>
  <c r="N477" i="64"/>
  <c r="K477" i="64"/>
  <c r="J477" i="64"/>
  <c r="S477" i="64" s="1"/>
  <c r="S476" i="64"/>
  <c r="N476" i="64"/>
  <c r="K476" i="64"/>
  <c r="J476" i="64"/>
  <c r="N475" i="64"/>
  <c r="K475" i="64"/>
  <c r="J475" i="64"/>
  <c r="S475" i="64" s="1"/>
  <c r="N474" i="64"/>
  <c r="K474" i="64"/>
  <c r="J474" i="64"/>
  <c r="S474" i="64" s="1"/>
  <c r="N473" i="64"/>
  <c r="K473" i="64"/>
  <c r="J473" i="64"/>
  <c r="S473" i="64" s="1"/>
  <c r="N472" i="64"/>
  <c r="K472" i="64"/>
  <c r="J472" i="64"/>
  <c r="S472" i="64" s="1"/>
  <c r="N471" i="64"/>
  <c r="K471" i="64"/>
  <c r="J471" i="64"/>
  <c r="S471" i="64" s="1"/>
  <c r="N470" i="64"/>
  <c r="K470" i="64"/>
  <c r="J470" i="64"/>
  <c r="S470" i="64" s="1"/>
  <c r="N469" i="64"/>
  <c r="K469" i="64"/>
  <c r="J469" i="64"/>
  <c r="S469" i="64" s="1"/>
  <c r="N468" i="64"/>
  <c r="K468" i="64"/>
  <c r="J468" i="64"/>
  <c r="S468" i="64" s="1"/>
  <c r="N467" i="64"/>
  <c r="K467" i="64"/>
  <c r="J467" i="64"/>
  <c r="S467" i="64" s="1"/>
  <c r="N466" i="64"/>
  <c r="K466" i="64"/>
  <c r="J466" i="64"/>
  <c r="S466" i="64" s="1"/>
  <c r="N465" i="64"/>
  <c r="K465" i="64"/>
  <c r="J465" i="64"/>
  <c r="S465" i="64" s="1"/>
  <c r="N464" i="64"/>
  <c r="R464" i="64" s="1"/>
  <c r="K464" i="64"/>
  <c r="J464" i="64"/>
  <c r="S464" i="64" s="1"/>
  <c r="N463" i="64"/>
  <c r="K463" i="64"/>
  <c r="J463" i="64"/>
  <c r="S463" i="64" s="1"/>
  <c r="N462" i="64"/>
  <c r="K462" i="64"/>
  <c r="J462" i="64"/>
  <c r="S462" i="64" s="1"/>
  <c r="N461" i="64"/>
  <c r="K461" i="64"/>
  <c r="J461" i="64"/>
  <c r="S461" i="64" s="1"/>
  <c r="S460" i="64"/>
  <c r="N460" i="64"/>
  <c r="K460" i="64"/>
  <c r="J460" i="64"/>
  <c r="N459" i="64"/>
  <c r="K459" i="64"/>
  <c r="R459" i="64" s="1"/>
  <c r="J459" i="64"/>
  <c r="S459" i="64" s="1"/>
  <c r="N458" i="64"/>
  <c r="K458" i="64"/>
  <c r="J458" i="64"/>
  <c r="S458" i="64" s="1"/>
  <c r="N457" i="64"/>
  <c r="K457" i="64"/>
  <c r="J457" i="64"/>
  <c r="S457" i="64" s="1"/>
  <c r="N456" i="64"/>
  <c r="K456" i="64"/>
  <c r="J456" i="64"/>
  <c r="S456" i="64" s="1"/>
  <c r="S455" i="64"/>
  <c r="N455" i="64"/>
  <c r="K455" i="64"/>
  <c r="J455" i="64"/>
  <c r="S454" i="64"/>
  <c r="N454" i="64"/>
  <c r="K454" i="64"/>
  <c r="J454" i="64"/>
  <c r="N453" i="64"/>
  <c r="K453" i="64"/>
  <c r="J453" i="64"/>
  <c r="S453" i="64" s="1"/>
  <c r="N452" i="64"/>
  <c r="K452" i="64"/>
  <c r="J452" i="64"/>
  <c r="S452" i="64" s="1"/>
  <c r="N451" i="64"/>
  <c r="K451" i="64"/>
  <c r="J451" i="64"/>
  <c r="S451" i="64" s="1"/>
  <c r="N450" i="64"/>
  <c r="K450" i="64"/>
  <c r="J450" i="64"/>
  <c r="S450" i="64" s="1"/>
  <c r="N449" i="64"/>
  <c r="K449" i="64"/>
  <c r="J449" i="64"/>
  <c r="S449" i="64" s="1"/>
  <c r="N448" i="64"/>
  <c r="K448" i="64"/>
  <c r="J448" i="64"/>
  <c r="S448" i="64" s="1"/>
  <c r="N447" i="64"/>
  <c r="K447" i="64"/>
  <c r="J447" i="64"/>
  <c r="S447" i="64" s="1"/>
  <c r="N446" i="64"/>
  <c r="K446" i="64"/>
  <c r="J446" i="64"/>
  <c r="S446" i="64" s="1"/>
  <c r="N445" i="64"/>
  <c r="K445" i="64"/>
  <c r="J445" i="64"/>
  <c r="S445" i="64" s="1"/>
  <c r="N444" i="64"/>
  <c r="K444" i="64"/>
  <c r="J444" i="64"/>
  <c r="S444" i="64" s="1"/>
  <c r="S443" i="64"/>
  <c r="N443" i="64"/>
  <c r="K443" i="64"/>
  <c r="J443" i="64"/>
  <c r="N442" i="64"/>
  <c r="K442" i="64"/>
  <c r="J442" i="64"/>
  <c r="S442" i="64" s="1"/>
  <c r="N441" i="64"/>
  <c r="K441" i="64"/>
  <c r="J441" i="64"/>
  <c r="S441" i="64" s="1"/>
  <c r="N440" i="64"/>
  <c r="K440" i="64"/>
  <c r="J440" i="64"/>
  <c r="S440" i="64" s="1"/>
  <c r="N439" i="64"/>
  <c r="K439" i="64"/>
  <c r="J439" i="64"/>
  <c r="S439" i="64" s="1"/>
  <c r="N438" i="64"/>
  <c r="K438" i="64"/>
  <c r="J438" i="64"/>
  <c r="S438" i="64" s="1"/>
  <c r="N437" i="64"/>
  <c r="K437" i="64"/>
  <c r="J437" i="64"/>
  <c r="S437" i="64" s="1"/>
  <c r="N436" i="64"/>
  <c r="K436" i="64"/>
  <c r="J436" i="64"/>
  <c r="S436" i="64" s="1"/>
  <c r="N435" i="64"/>
  <c r="K435" i="64"/>
  <c r="J435" i="64"/>
  <c r="S435" i="64" s="1"/>
  <c r="N434" i="64"/>
  <c r="K434" i="64"/>
  <c r="J434" i="64"/>
  <c r="S434" i="64" s="1"/>
  <c r="N433" i="64"/>
  <c r="K433" i="64"/>
  <c r="J433" i="64"/>
  <c r="S433" i="64" s="1"/>
  <c r="N432" i="64"/>
  <c r="K432" i="64"/>
  <c r="J432" i="64"/>
  <c r="S432" i="64" s="1"/>
  <c r="S431" i="64"/>
  <c r="N431" i="64"/>
  <c r="K431" i="64"/>
  <c r="R431" i="64" s="1"/>
  <c r="J431" i="64"/>
  <c r="N430" i="64"/>
  <c r="K430" i="64"/>
  <c r="J430" i="64"/>
  <c r="S430" i="64" s="1"/>
  <c r="N429" i="64"/>
  <c r="K429" i="64"/>
  <c r="J429" i="64"/>
  <c r="S429" i="64" s="1"/>
  <c r="N428" i="64"/>
  <c r="K428" i="64"/>
  <c r="J428" i="64"/>
  <c r="S428" i="64" s="1"/>
  <c r="N427" i="64"/>
  <c r="K427" i="64"/>
  <c r="J427" i="64"/>
  <c r="S427" i="64" s="1"/>
  <c r="N426" i="64"/>
  <c r="K426" i="64"/>
  <c r="J426" i="64"/>
  <c r="S426" i="64" s="1"/>
  <c r="N425" i="64"/>
  <c r="K425" i="64"/>
  <c r="R425" i="64" s="1"/>
  <c r="J425" i="64"/>
  <c r="S425" i="64" s="1"/>
  <c r="N424" i="64"/>
  <c r="K424" i="64"/>
  <c r="J424" i="64"/>
  <c r="S424" i="64" s="1"/>
  <c r="N423" i="64"/>
  <c r="K423" i="64"/>
  <c r="J423" i="64"/>
  <c r="S423" i="64" s="1"/>
  <c r="N422" i="64"/>
  <c r="K422" i="64"/>
  <c r="J422" i="64"/>
  <c r="S422" i="64" s="1"/>
  <c r="N421" i="64"/>
  <c r="K421" i="64"/>
  <c r="J421" i="64"/>
  <c r="S421" i="64" s="1"/>
  <c r="N420" i="64"/>
  <c r="K420" i="64"/>
  <c r="J420" i="64"/>
  <c r="S420" i="64" s="1"/>
  <c r="N419" i="64"/>
  <c r="R419" i="64" s="1"/>
  <c r="K419" i="64"/>
  <c r="J419" i="64"/>
  <c r="S419" i="64" s="1"/>
  <c r="N418" i="64"/>
  <c r="K418" i="64"/>
  <c r="J418" i="64"/>
  <c r="S418" i="64" s="1"/>
  <c r="S417" i="64"/>
  <c r="N417" i="64"/>
  <c r="K417" i="64"/>
  <c r="J417" i="64"/>
  <c r="N416" i="64"/>
  <c r="K416" i="64"/>
  <c r="J416" i="64"/>
  <c r="S416" i="64" s="1"/>
  <c r="N415" i="64"/>
  <c r="K415" i="64"/>
  <c r="R415" i="64" s="1"/>
  <c r="J415" i="64"/>
  <c r="S415" i="64" s="1"/>
  <c r="N414" i="64"/>
  <c r="K414" i="64"/>
  <c r="J414" i="64"/>
  <c r="S414" i="64" s="1"/>
  <c r="N413" i="64"/>
  <c r="K413" i="64"/>
  <c r="J413" i="64"/>
  <c r="S412" i="64"/>
  <c r="N412" i="64"/>
  <c r="R412" i="64" s="1"/>
  <c r="K412" i="64"/>
  <c r="J412" i="64"/>
  <c r="Q411" i="64"/>
  <c r="P411" i="64"/>
  <c r="O411" i="64"/>
  <c r="M411" i="64"/>
  <c r="L411" i="64"/>
  <c r="I411" i="64"/>
  <c r="H411" i="64"/>
  <c r="G411" i="64"/>
  <c r="F411" i="64"/>
  <c r="E411" i="64"/>
  <c r="D411" i="64"/>
  <c r="C411" i="64"/>
  <c r="N409" i="64"/>
  <c r="K409" i="64"/>
  <c r="J409" i="64"/>
  <c r="S409" i="64" s="1"/>
  <c r="N408" i="64"/>
  <c r="K408" i="64"/>
  <c r="R408" i="64" s="1"/>
  <c r="J408" i="64"/>
  <c r="S408" i="64" s="1"/>
  <c r="N407" i="64"/>
  <c r="K407" i="64"/>
  <c r="J407" i="64"/>
  <c r="S407" i="64" s="1"/>
  <c r="N406" i="64"/>
  <c r="K406" i="64"/>
  <c r="J406" i="64"/>
  <c r="S406" i="64" s="1"/>
  <c r="N405" i="64"/>
  <c r="K405" i="64"/>
  <c r="J405" i="64"/>
  <c r="S405" i="64" s="1"/>
  <c r="N404" i="64"/>
  <c r="K404" i="64"/>
  <c r="J404" i="64"/>
  <c r="S404" i="64" s="1"/>
  <c r="N403" i="64"/>
  <c r="K403" i="64"/>
  <c r="J403" i="64"/>
  <c r="S403" i="64" s="1"/>
  <c r="N402" i="64"/>
  <c r="K402" i="64"/>
  <c r="J402" i="64"/>
  <c r="S402" i="64" s="1"/>
  <c r="N401" i="64"/>
  <c r="K401" i="64"/>
  <c r="J401" i="64"/>
  <c r="S401" i="64" s="1"/>
  <c r="N400" i="64"/>
  <c r="K400" i="64"/>
  <c r="J400" i="64"/>
  <c r="S400" i="64" s="1"/>
  <c r="S399" i="64"/>
  <c r="N399" i="64"/>
  <c r="K399" i="64"/>
  <c r="J399" i="64"/>
  <c r="N398" i="64"/>
  <c r="K398" i="64"/>
  <c r="J398" i="64"/>
  <c r="S398" i="64" s="1"/>
  <c r="N397" i="64"/>
  <c r="K397" i="64"/>
  <c r="J397" i="64"/>
  <c r="S397" i="64" s="1"/>
  <c r="N396" i="64"/>
  <c r="K396" i="64"/>
  <c r="J396" i="64"/>
  <c r="S396" i="64" s="1"/>
  <c r="N395" i="64"/>
  <c r="K395" i="64"/>
  <c r="J395" i="64"/>
  <c r="S395" i="64" s="1"/>
  <c r="N394" i="64"/>
  <c r="K394" i="64"/>
  <c r="J394" i="64"/>
  <c r="S394" i="64" s="1"/>
  <c r="N393" i="64"/>
  <c r="K393" i="64"/>
  <c r="R393" i="64" s="1"/>
  <c r="J393" i="64"/>
  <c r="S393" i="64" s="1"/>
  <c r="S392" i="64"/>
  <c r="N392" i="64"/>
  <c r="K392" i="64"/>
  <c r="J392" i="64"/>
  <c r="N391" i="64"/>
  <c r="K391" i="64"/>
  <c r="J391" i="64"/>
  <c r="S391" i="64" s="1"/>
  <c r="N390" i="64"/>
  <c r="K390" i="64"/>
  <c r="J390" i="64"/>
  <c r="S390" i="64" s="1"/>
  <c r="N389" i="64"/>
  <c r="K389" i="64"/>
  <c r="R389" i="64" s="1"/>
  <c r="J389" i="64"/>
  <c r="S389" i="64" s="1"/>
  <c r="R388" i="64"/>
  <c r="N388" i="64"/>
  <c r="K388" i="64"/>
  <c r="J388" i="64"/>
  <c r="S388" i="64" s="1"/>
  <c r="N387" i="64"/>
  <c r="K387" i="64"/>
  <c r="J387" i="64"/>
  <c r="S387" i="64" s="1"/>
  <c r="N386" i="64"/>
  <c r="K386" i="64"/>
  <c r="R386" i="64" s="1"/>
  <c r="J386" i="64"/>
  <c r="S386" i="64" s="1"/>
  <c r="N385" i="64"/>
  <c r="K385" i="64"/>
  <c r="J385" i="64"/>
  <c r="S385" i="64" s="1"/>
  <c r="N384" i="64"/>
  <c r="K384" i="64"/>
  <c r="J384" i="64"/>
  <c r="S384" i="64" s="1"/>
  <c r="N383" i="64"/>
  <c r="K383" i="64"/>
  <c r="J383" i="64"/>
  <c r="S383" i="64" s="1"/>
  <c r="N382" i="64"/>
  <c r="K382" i="64"/>
  <c r="R382" i="64" s="1"/>
  <c r="J382" i="64"/>
  <c r="S382" i="64" s="1"/>
  <c r="N381" i="64"/>
  <c r="K381" i="64"/>
  <c r="J381" i="64"/>
  <c r="S381" i="64" s="1"/>
  <c r="N380" i="64"/>
  <c r="K380" i="64"/>
  <c r="J380" i="64"/>
  <c r="S380" i="64" s="1"/>
  <c r="N379" i="64"/>
  <c r="K379" i="64"/>
  <c r="J379" i="64"/>
  <c r="S379" i="64" s="1"/>
  <c r="N378" i="64"/>
  <c r="K378" i="64"/>
  <c r="J378" i="64"/>
  <c r="S378" i="64" s="1"/>
  <c r="N377" i="64"/>
  <c r="K377" i="64"/>
  <c r="J377" i="64"/>
  <c r="S377" i="64" s="1"/>
  <c r="N376" i="64"/>
  <c r="K376" i="64"/>
  <c r="J376" i="64"/>
  <c r="S376" i="64" s="1"/>
  <c r="N375" i="64"/>
  <c r="K375" i="64"/>
  <c r="J375" i="64"/>
  <c r="S375" i="64" s="1"/>
  <c r="N374" i="64"/>
  <c r="K374" i="64"/>
  <c r="J374" i="64"/>
  <c r="S374" i="64" s="1"/>
  <c r="N373" i="64"/>
  <c r="K373" i="64"/>
  <c r="J373" i="64"/>
  <c r="S373" i="64" s="1"/>
  <c r="N372" i="64"/>
  <c r="K372" i="64"/>
  <c r="J372" i="64"/>
  <c r="S372" i="64" s="1"/>
  <c r="N371" i="64"/>
  <c r="K371" i="64"/>
  <c r="J371" i="64"/>
  <c r="S371" i="64" s="1"/>
  <c r="S370" i="64"/>
  <c r="N370" i="64"/>
  <c r="K370" i="64"/>
  <c r="R370" i="64" s="1"/>
  <c r="J370" i="64"/>
  <c r="S369" i="64"/>
  <c r="N369" i="64"/>
  <c r="K369" i="64"/>
  <c r="J369" i="64"/>
  <c r="N368" i="64"/>
  <c r="K368" i="64"/>
  <c r="R368" i="64" s="1"/>
  <c r="J368" i="64"/>
  <c r="S368" i="64" s="1"/>
  <c r="N367" i="64"/>
  <c r="R367" i="64" s="1"/>
  <c r="K367" i="64"/>
  <c r="J367" i="64"/>
  <c r="S367" i="64" s="1"/>
  <c r="N366" i="64"/>
  <c r="K366" i="64"/>
  <c r="J366" i="64"/>
  <c r="S366" i="64" s="1"/>
  <c r="N365" i="64"/>
  <c r="K365" i="64"/>
  <c r="J365" i="64"/>
  <c r="S365" i="64" s="1"/>
  <c r="N364" i="64"/>
  <c r="K364" i="64"/>
  <c r="R364" i="64" s="1"/>
  <c r="J364" i="64"/>
  <c r="S364" i="64" s="1"/>
  <c r="N363" i="64"/>
  <c r="R363" i="64" s="1"/>
  <c r="K363" i="64"/>
  <c r="J363" i="64"/>
  <c r="S363" i="64" s="1"/>
  <c r="N362" i="64"/>
  <c r="K362" i="64"/>
  <c r="J362" i="64"/>
  <c r="S362" i="64" s="1"/>
  <c r="N361" i="64"/>
  <c r="K361" i="64"/>
  <c r="R361" i="64" s="1"/>
  <c r="J361" i="64"/>
  <c r="S361" i="64" s="1"/>
  <c r="N360" i="64"/>
  <c r="K360" i="64"/>
  <c r="J360" i="64"/>
  <c r="S360" i="64" s="1"/>
  <c r="N359" i="64"/>
  <c r="K359" i="64"/>
  <c r="R359" i="64" s="1"/>
  <c r="J359" i="64"/>
  <c r="S359" i="64" s="1"/>
  <c r="S358" i="64"/>
  <c r="N358" i="64"/>
  <c r="K358" i="64"/>
  <c r="J358" i="64"/>
  <c r="N357" i="64"/>
  <c r="K357" i="64"/>
  <c r="J357" i="64"/>
  <c r="S357" i="64" s="1"/>
  <c r="N356" i="64"/>
  <c r="K356" i="64"/>
  <c r="J356" i="64"/>
  <c r="S356" i="64" s="1"/>
  <c r="N355" i="64"/>
  <c r="K355" i="64"/>
  <c r="J355" i="64"/>
  <c r="S355" i="64" s="1"/>
  <c r="N354" i="64"/>
  <c r="K354" i="64"/>
  <c r="J354" i="64"/>
  <c r="S354" i="64" s="1"/>
  <c r="N353" i="64"/>
  <c r="K353" i="64"/>
  <c r="J353" i="64"/>
  <c r="S353" i="64" s="1"/>
  <c r="N352" i="64"/>
  <c r="K352" i="64"/>
  <c r="J352" i="64"/>
  <c r="S352" i="64" s="1"/>
  <c r="N351" i="64"/>
  <c r="K351" i="64"/>
  <c r="J351" i="64"/>
  <c r="S351" i="64" s="1"/>
  <c r="N350" i="64"/>
  <c r="K350" i="64"/>
  <c r="J350" i="64"/>
  <c r="S350" i="64" s="1"/>
  <c r="N349" i="64"/>
  <c r="K349" i="64"/>
  <c r="J349" i="64"/>
  <c r="S349" i="64" s="1"/>
  <c r="N348" i="64"/>
  <c r="K348" i="64"/>
  <c r="J348" i="64"/>
  <c r="S348" i="64" s="1"/>
  <c r="N347" i="64"/>
  <c r="K347" i="64"/>
  <c r="J347" i="64"/>
  <c r="S347" i="64" s="1"/>
  <c r="R346" i="64"/>
  <c r="N346" i="64"/>
  <c r="K346" i="64"/>
  <c r="J346" i="64"/>
  <c r="S346" i="64" s="1"/>
  <c r="N345" i="64"/>
  <c r="K345" i="64"/>
  <c r="J345" i="64"/>
  <c r="S345" i="64" s="1"/>
  <c r="N344" i="64"/>
  <c r="K344" i="64"/>
  <c r="J344" i="64"/>
  <c r="S344" i="64" s="1"/>
  <c r="N343" i="64"/>
  <c r="K343" i="64"/>
  <c r="J343" i="64"/>
  <c r="S343" i="64" s="1"/>
  <c r="N342" i="64"/>
  <c r="K342" i="64"/>
  <c r="J342" i="64"/>
  <c r="S342" i="64" s="1"/>
  <c r="N341" i="64"/>
  <c r="K341" i="64"/>
  <c r="R341" i="64" s="1"/>
  <c r="J341" i="64"/>
  <c r="N340" i="64"/>
  <c r="K340" i="64"/>
  <c r="J340" i="64"/>
  <c r="S340" i="64" s="1"/>
  <c r="S339" i="64"/>
  <c r="N339" i="64"/>
  <c r="K339" i="64"/>
  <c r="J339" i="64"/>
  <c r="R338" i="64"/>
  <c r="J338" i="64"/>
  <c r="S338" i="64" s="1"/>
  <c r="K337" i="64"/>
  <c r="R337" i="64" s="1"/>
  <c r="J337" i="64"/>
  <c r="S337" i="64" s="1"/>
  <c r="Q330" i="64"/>
  <c r="P330" i="64"/>
  <c r="M329" i="64"/>
  <c r="L329" i="64"/>
  <c r="K329" i="64"/>
  <c r="J329" i="64"/>
  <c r="S329" i="64" s="1"/>
  <c r="M328" i="64"/>
  <c r="L328" i="64"/>
  <c r="K328" i="64"/>
  <c r="R328" i="64" s="1"/>
  <c r="J328" i="64"/>
  <c r="S328" i="64" s="1"/>
  <c r="M327" i="64"/>
  <c r="L327" i="64"/>
  <c r="K327" i="64"/>
  <c r="J327" i="64"/>
  <c r="S327" i="64" s="1"/>
  <c r="M326" i="64"/>
  <c r="L326" i="64"/>
  <c r="K326" i="64"/>
  <c r="J326" i="64"/>
  <c r="S326" i="64" s="1"/>
  <c r="M325" i="64"/>
  <c r="L325" i="64"/>
  <c r="K325" i="64"/>
  <c r="R325" i="64" s="1"/>
  <c r="J325" i="64"/>
  <c r="S325" i="64" s="1"/>
  <c r="M324" i="64"/>
  <c r="L324" i="64"/>
  <c r="K324" i="64"/>
  <c r="J324" i="64"/>
  <c r="S324" i="64" s="1"/>
  <c r="K323" i="64"/>
  <c r="R323" i="64" s="1"/>
  <c r="J323" i="64"/>
  <c r="S323" i="64" s="1"/>
  <c r="K322" i="64"/>
  <c r="R322" i="64" s="1"/>
  <c r="J322" i="64"/>
  <c r="S322" i="64" s="1"/>
  <c r="K321" i="64"/>
  <c r="R321" i="64" s="1"/>
  <c r="J321" i="64"/>
  <c r="S321" i="64" s="1"/>
  <c r="K320" i="64"/>
  <c r="R320" i="64" s="1"/>
  <c r="J320" i="64"/>
  <c r="S320" i="64" s="1"/>
  <c r="S319" i="64"/>
  <c r="K319" i="64"/>
  <c r="R319" i="64" s="1"/>
  <c r="J319" i="64"/>
  <c r="K318" i="64"/>
  <c r="R318" i="64" s="1"/>
  <c r="J318" i="64"/>
  <c r="S318" i="64" s="1"/>
  <c r="K317" i="64"/>
  <c r="R317" i="64" s="1"/>
  <c r="J317" i="64"/>
  <c r="S317" i="64" s="1"/>
  <c r="K316" i="64"/>
  <c r="R316" i="64" s="1"/>
  <c r="J316" i="64"/>
  <c r="S316" i="64" s="1"/>
  <c r="K315" i="64"/>
  <c r="R315" i="64" s="1"/>
  <c r="J315" i="64"/>
  <c r="S315" i="64" s="1"/>
  <c r="K314" i="64"/>
  <c r="R314" i="64" s="1"/>
  <c r="J314" i="64"/>
  <c r="S314" i="64" s="1"/>
  <c r="K313" i="64"/>
  <c r="R313" i="64" s="1"/>
  <c r="J313" i="64"/>
  <c r="S313" i="64" s="1"/>
  <c r="M312" i="64"/>
  <c r="L312" i="64"/>
  <c r="K312" i="64"/>
  <c r="R312" i="64" s="1"/>
  <c r="J312" i="64"/>
  <c r="S312" i="64" s="1"/>
  <c r="M311" i="64"/>
  <c r="L311" i="64"/>
  <c r="K311" i="64"/>
  <c r="J311" i="64"/>
  <c r="S311" i="64" s="1"/>
  <c r="M310" i="64"/>
  <c r="L310" i="64"/>
  <c r="K310" i="64"/>
  <c r="R310" i="64" s="1"/>
  <c r="J310" i="64"/>
  <c r="S310" i="64" s="1"/>
  <c r="M309" i="64"/>
  <c r="L309" i="64"/>
  <c r="K309" i="64"/>
  <c r="J309" i="64"/>
  <c r="S309" i="64" s="1"/>
  <c r="S308" i="64"/>
  <c r="M308" i="64"/>
  <c r="L308" i="64"/>
  <c r="K308" i="64"/>
  <c r="J308" i="64"/>
  <c r="S307" i="64"/>
  <c r="M307" i="64"/>
  <c r="L307" i="64"/>
  <c r="K307" i="64"/>
  <c r="J307" i="64"/>
  <c r="M306" i="64"/>
  <c r="L306" i="64"/>
  <c r="K306" i="64"/>
  <c r="R306" i="64" s="1"/>
  <c r="J306" i="64"/>
  <c r="S306" i="64" s="1"/>
  <c r="M305" i="64"/>
  <c r="L305" i="64"/>
  <c r="K305" i="64"/>
  <c r="J305" i="64"/>
  <c r="S305" i="64" s="1"/>
  <c r="M304" i="64"/>
  <c r="R304" i="64" s="1"/>
  <c r="J304" i="64"/>
  <c r="S304" i="64" s="1"/>
  <c r="M303" i="64"/>
  <c r="R303" i="64" s="1"/>
  <c r="J303" i="64"/>
  <c r="S303" i="64" s="1"/>
  <c r="M302" i="64"/>
  <c r="L302" i="64"/>
  <c r="K302" i="64"/>
  <c r="J302" i="64"/>
  <c r="S302" i="64" s="1"/>
  <c r="M301" i="64"/>
  <c r="L301" i="64"/>
  <c r="K301" i="64"/>
  <c r="J301" i="64"/>
  <c r="S301" i="64" s="1"/>
  <c r="M300" i="64"/>
  <c r="L300" i="64"/>
  <c r="K300" i="64"/>
  <c r="J300" i="64"/>
  <c r="S300" i="64" s="1"/>
  <c r="M299" i="64"/>
  <c r="L299" i="64"/>
  <c r="K299" i="64"/>
  <c r="J299" i="64"/>
  <c r="S299" i="64" s="1"/>
  <c r="R298" i="64"/>
  <c r="K298" i="64"/>
  <c r="J298" i="64"/>
  <c r="S298" i="64" s="1"/>
  <c r="K297" i="64"/>
  <c r="R297" i="64" s="1"/>
  <c r="J297" i="64"/>
  <c r="S297" i="64" s="1"/>
  <c r="M296" i="64"/>
  <c r="L296" i="64"/>
  <c r="K296" i="64"/>
  <c r="J296" i="64"/>
  <c r="S296" i="64" s="1"/>
  <c r="M295" i="64"/>
  <c r="L295" i="64"/>
  <c r="K295" i="64"/>
  <c r="J295" i="64"/>
  <c r="S295" i="64" s="1"/>
  <c r="M294" i="64"/>
  <c r="L294" i="64"/>
  <c r="K294" i="64"/>
  <c r="R294" i="64" s="1"/>
  <c r="J294" i="64"/>
  <c r="S294" i="64" s="1"/>
  <c r="M293" i="64"/>
  <c r="L293" i="64"/>
  <c r="K293" i="64"/>
  <c r="J293" i="64"/>
  <c r="S293" i="64" s="1"/>
  <c r="M292" i="64"/>
  <c r="L292" i="64"/>
  <c r="K292" i="64"/>
  <c r="J292" i="64"/>
  <c r="S292" i="64" s="1"/>
  <c r="M291" i="64"/>
  <c r="L291" i="64"/>
  <c r="K291" i="64"/>
  <c r="R291" i="64" s="1"/>
  <c r="J291" i="64"/>
  <c r="S291" i="64" s="1"/>
  <c r="M290" i="64"/>
  <c r="L290" i="64"/>
  <c r="K290" i="64"/>
  <c r="J290" i="64"/>
  <c r="S290" i="64" s="1"/>
  <c r="M289" i="64"/>
  <c r="L289" i="64"/>
  <c r="K289" i="64"/>
  <c r="J289" i="64"/>
  <c r="S289" i="64" s="1"/>
  <c r="M288" i="64"/>
  <c r="L288" i="64"/>
  <c r="K288" i="64"/>
  <c r="R288" i="64" s="1"/>
  <c r="J288" i="64"/>
  <c r="S288" i="64" s="1"/>
  <c r="M287" i="64"/>
  <c r="L287" i="64"/>
  <c r="R287" i="64" s="1"/>
  <c r="J287" i="64"/>
  <c r="S287" i="64" s="1"/>
  <c r="M286" i="64"/>
  <c r="L286" i="64"/>
  <c r="K286" i="64"/>
  <c r="J286" i="64"/>
  <c r="S286" i="64" s="1"/>
  <c r="M285" i="64"/>
  <c r="L285" i="64"/>
  <c r="K285" i="64"/>
  <c r="J285" i="64"/>
  <c r="S285" i="64" s="1"/>
  <c r="M284" i="64"/>
  <c r="L284" i="64"/>
  <c r="K284" i="64"/>
  <c r="J284" i="64"/>
  <c r="S284" i="64" s="1"/>
  <c r="M283" i="64"/>
  <c r="L283" i="64"/>
  <c r="K283" i="64"/>
  <c r="J283" i="64"/>
  <c r="S283" i="64" s="1"/>
  <c r="M282" i="64"/>
  <c r="L282" i="64"/>
  <c r="K282" i="64"/>
  <c r="J282" i="64"/>
  <c r="S282" i="64" s="1"/>
  <c r="M281" i="64"/>
  <c r="L281" i="64"/>
  <c r="K281" i="64"/>
  <c r="J281" i="64"/>
  <c r="S281" i="64" s="1"/>
  <c r="M280" i="64"/>
  <c r="L280" i="64"/>
  <c r="K280" i="64"/>
  <c r="J280" i="64"/>
  <c r="S280" i="64" s="1"/>
  <c r="O279" i="64"/>
  <c r="M279" i="64"/>
  <c r="L279" i="64"/>
  <c r="K279" i="64"/>
  <c r="J279" i="64"/>
  <c r="S279" i="64" s="1"/>
  <c r="O278" i="64"/>
  <c r="M278" i="64"/>
  <c r="L278" i="64"/>
  <c r="K278" i="64"/>
  <c r="J278" i="64"/>
  <c r="S278" i="64" s="1"/>
  <c r="K277" i="64"/>
  <c r="R277" i="64" s="1"/>
  <c r="J277" i="64"/>
  <c r="S277" i="64" s="1"/>
  <c r="O276" i="64"/>
  <c r="M276" i="64"/>
  <c r="L276" i="64"/>
  <c r="K276" i="64"/>
  <c r="R276" i="64" s="1"/>
  <c r="J276" i="64"/>
  <c r="S276" i="64" s="1"/>
  <c r="M275" i="64"/>
  <c r="K275" i="64"/>
  <c r="J275" i="64"/>
  <c r="S275" i="64" s="1"/>
  <c r="M274" i="64"/>
  <c r="L274" i="64"/>
  <c r="K274" i="64"/>
  <c r="J274" i="64"/>
  <c r="S274" i="64" s="1"/>
  <c r="K273" i="64"/>
  <c r="R273" i="64" s="1"/>
  <c r="J273" i="64"/>
  <c r="S273" i="64" s="1"/>
  <c r="M272" i="64"/>
  <c r="L272" i="64"/>
  <c r="K272" i="64"/>
  <c r="J272" i="64"/>
  <c r="S272" i="64" s="1"/>
  <c r="M271" i="64"/>
  <c r="L271" i="64"/>
  <c r="K271" i="64"/>
  <c r="J271" i="64"/>
  <c r="S271" i="64" s="1"/>
  <c r="M270" i="64"/>
  <c r="L270" i="64"/>
  <c r="K270" i="64"/>
  <c r="J270" i="64"/>
  <c r="S270" i="64" s="1"/>
  <c r="S269" i="64"/>
  <c r="O269" i="64"/>
  <c r="L269" i="64"/>
  <c r="K269" i="64"/>
  <c r="J269" i="64"/>
  <c r="L268" i="64"/>
  <c r="K268" i="64"/>
  <c r="J268" i="64"/>
  <c r="S268" i="64" s="1"/>
  <c r="M267" i="64"/>
  <c r="L267" i="64"/>
  <c r="K267" i="64"/>
  <c r="J267" i="64"/>
  <c r="S267" i="64" s="1"/>
  <c r="M266" i="64"/>
  <c r="L266" i="64"/>
  <c r="K266" i="64"/>
  <c r="J266" i="64"/>
  <c r="S266" i="64" s="1"/>
  <c r="N265" i="64"/>
  <c r="N330" i="64" s="1"/>
  <c r="M265" i="64"/>
  <c r="L265" i="64"/>
  <c r="K265" i="64"/>
  <c r="J265" i="64"/>
  <c r="S265" i="64" s="1"/>
  <c r="P259" i="64"/>
  <c r="O259" i="64"/>
  <c r="N259" i="64"/>
  <c r="Q257" i="64"/>
  <c r="K257" i="64"/>
  <c r="R257" i="64" s="1"/>
  <c r="J257" i="64"/>
  <c r="S257" i="64" s="1"/>
  <c r="M256" i="64"/>
  <c r="L256" i="64"/>
  <c r="K256" i="64"/>
  <c r="J256" i="64"/>
  <c r="S256" i="64" s="1"/>
  <c r="M255" i="64"/>
  <c r="R255" i="64" s="1"/>
  <c r="L255" i="64"/>
  <c r="K255" i="64"/>
  <c r="J255" i="64"/>
  <c r="S255" i="64" s="1"/>
  <c r="M254" i="64"/>
  <c r="L254" i="64"/>
  <c r="K254" i="64"/>
  <c r="J254" i="64"/>
  <c r="S254" i="64" s="1"/>
  <c r="M253" i="64"/>
  <c r="L253" i="64"/>
  <c r="K253" i="64"/>
  <c r="J253" i="64"/>
  <c r="S253" i="64" s="1"/>
  <c r="Q259" i="64"/>
  <c r="M252" i="64"/>
  <c r="L252" i="64"/>
  <c r="K252" i="64"/>
  <c r="J252" i="64"/>
  <c r="S252" i="64" s="1"/>
  <c r="M251" i="64"/>
  <c r="L251" i="64"/>
  <c r="K251" i="64"/>
  <c r="J251" i="64"/>
  <c r="S251" i="64" s="1"/>
  <c r="Q246" i="64"/>
  <c r="O246" i="64"/>
  <c r="P245" i="64"/>
  <c r="N245" i="64"/>
  <c r="M245" i="64"/>
  <c r="L245" i="64"/>
  <c r="K245" i="64"/>
  <c r="J245" i="64"/>
  <c r="S245" i="64" s="1"/>
  <c r="P244" i="64"/>
  <c r="N244" i="64"/>
  <c r="M244" i="64"/>
  <c r="M246" i="64" s="1"/>
  <c r="L244" i="64"/>
  <c r="L246" i="64" s="1"/>
  <c r="K244" i="64"/>
  <c r="J244" i="64"/>
  <c r="S244" i="64" s="1"/>
  <c r="Q238" i="64"/>
  <c r="P238" i="64"/>
  <c r="N238" i="64"/>
  <c r="O237" i="64"/>
  <c r="M237" i="64"/>
  <c r="L237" i="64"/>
  <c r="L238" i="64" s="1"/>
  <c r="K237" i="64"/>
  <c r="J237" i="64"/>
  <c r="S237" i="64" s="1"/>
  <c r="O236" i="64"/>
  <c r="M236" i="64"/>
  <c r="K236" i="64"/>
  <c r="J236" i="64"/>
  <c r="S236" i="64" s="1"/>
  <c r="O235" i="64"/>
  <c r="M235" i="64"/>
  <c r="K235" i="64"/>
  <c r="J235" i="64"/>
  <c r="S235" i="64" s="1"/>
  <c r="P232" i="64"/>
  <c r="O232" i="64"/>
  <c r="N232" i="64"/>
  <c r="Q231" i="64"/>
  <c r="L231" i="64"/>
  <c r="K231" i="64"/>
  <c r="J231" i="64"/>
  <c r="S231" i="64" s="1"/>
  <c r="Q230" i="64"/>
  <c r="M230" i="64"/>
  <c r="L230" i="64"/>
  <c r="K230" i="64"/>
  <c r="J230" i="64"/>
  <c r="S230" i="64" s="1"/>
  <c r="Q229" i="64"/>
  <c r="M229" i="64"/>
  <c r="L229" i="64"/>
  <c r="K229" i="64"/>
  <c r="J229" i="64"/>
  <c r="S229" i="64" s="1"/>
  <c r="Q228" i="64"/>
  <c r="M228" i="64"/>
  <c r="L228" i="64"/>
  <c r="K228" i="64"/>
  <c r="J228" i="64"/>
  <c r="S228" i="64" s="1"/>
  <c r="N221" i="64"/>
  <c r="M221" i="64"/>
  <c r="K221" i="64"/>
  <c r="J221" i="64"/>
  <c r="S221" i="64" s="1"/>
  <c r="P220" i="64"/>
  <c r="N220" i="64"/>
  <c r="M220" i="64"/>
  <c r="K220" i="64"/>
  <c r="R220" i="64" s="1"/>
  <c r="J220" i="64"/>
  <c r="S220" i="64" s="1"/>
  <c r="P219" i="64"/>
  <c r="N219" i="64"/>
  <c r="M219" i="64"/>
  <c r="K219" i="64"/>
  <c r="J219" i="64"/>
  <c r="S219" i="64" s="1"/>
  <c r="S218" i="64"/>
  <c r="N218" i="64"/>
  <c r="K218" i="64"/>
  <c r="J218" i="64"/>
  <c r="N217" i="64"/>
  <c r="M217" i="64"/>
  <c r="K217" i="64"/>
  <c r="J217" i="64"/>
  <c r="S217" i="64" s="1"/>
  <c r="P216" i="64"/>
  <c r="N216" i="64"/>
  <c r="M216" i="64"/>
  <c r="K216" i="64"/>
  <c r="J216" i="64"/>
  <c r="S216" i="64" s="1"/>
  <c r="N215" i="64"/>
  <c r="M215" i="64"/>
  <c r="K215" i="64"/>
  <c r="J215" i="64"/>
  <c r="S215" i="64" s="1"/>
  <c r="P214" i="64"/>
  <c r="N214" i="64"/>
  <c r="M214" i="64"/>
  <c r="K214" i="64"/>
  <c r="J214" i="64"/>
  <c r="S214" i="64" s="1"/>
  <c r="S213" i="64"/>
  <c r="K213" i="64"/>
  <c r="R213" i="64" s="1"/>
  <c r="J213" i="64"/>
  <c r="N212" i="64"/>
  <c r="K212" i="64"/>
  <c r="J212" i="64"/>
  <c r="S212" i="64" s="1"/>
  <c r="P211" i="64"/>
  <c r="N211" i="64"/>
  <c r="K211" i="64"/>
  <c r="J211" i="64"/>
  <c r="S211" i="64" s="1"/>
  <c r="P210" i="64"/>
  <c r="N210" i="64"/>
  <c r="K210" i="64"/>
  <c r="J210" i="64"/>
  <c r="S210" i="64" s="1"/>
  <c r="O209" i="64"/>
  <c r="N209" i="64"/>
  <c r="M209" i="64"/>
  <c r="K209" i="64"/>
  <c r="J209" i="64"/>
  <c r="S209" i="64" s="1"/>
  <c r="N208" i="64"/>
  <c r="M208" i="64"/>
  <c r="K208" i="64"/>
  <c r="J208" i="64"/>
  <c r="S208" i="64" s="1"/>
  <c r="M207" i="64"/>
  <c r="K207" i="64"/>
  <c r="J207" i="64"/>
  <c r="S207" i="64" s="1"/>
  <c r="M206" i="64"/>
  <c r="R206" i="64" s="1"/>
  <c r="J206" i="64"/>
  <c r="S206" i="64" s="1"/>
  <c r="M205" i="64"/>
  <c r="R205" i="64" s="1"/>
  <c r="J205" i="64"/>
  <c r="S205" i="64" s="1"/>
  <c r="Q204" i="64"/>
  <c r="O204" i="64"/>
  <c r="M204" i="64"/>
  <c r="K204" i="64"/>
  <c r="J204" i="64"/>
  <c r="S204" i="64" s="1"/>
  <c r="O203" i="64"/>
  <c r="M203" i="64"/>
  <c r="K203" i="64"/>
  <c r="J203" i="64"/>
  <c r="S203" i="64" s="1"/>
  <c r="O200" i="64"/>
  <c r="M200" i="64"/>
  <c r="L200" i="64"/>
  <c r="K200" i="64"/>
  <c r="J200" i="64"/>
  <c r="S200" i="64" s="1"/>
  <c r="O199" i="64"/>
  <c r="M199" i="64"/>
  <c r="L199" i="64"/>
  <c r="K199" i="64"/>
  <c r="J199" i="64"/>
  <c r="S199" i="64" s="1"/>
  <c r="M198" i="64"/>
  <c r="L198" i="64"/>
  <c r="K198" i="64"/>
  <c r="J198" i="64"/>
  <c r="S198" i="64" s="1"/>
  <c r="M197" i="64"/>
  <c r="L197" i="64"/>
  <c r="K197" i="64"/>
  <c r="J197" i="64"/>
  <c r="S197" i="64" s="1"/>
  <c r="M196" i="64"/>
  <c r="K196" i="64"/>
  <c r="J196" i="64"/>
  <c r="S196" i="64" s="1"/>
  <c r="M195" i="64"/>
  <c r="K195" i="64"/>
  <c r="J195" i="64"/>
  <c r="S195" i="64" s="1"/>
  <c r="O194" i="64"/>
  <c r="M194" i="64"/>
  <c r="L194" i="64"/>
  <c r="K194" i="64"/>
  <c r="J194" i="64"/>
  <c r="S194" i="64" s="1"/>
  <c r="O193" i="64"/>
  <c r="M193" i="64"/>
  <c r="L193" i="64"/>
  <c r="K193" i="64"/>
  <c r="J193" i="64"/>
  <c r="S193" i="64" s="1"/>
  <c r="O192" i="64"/>
  <c r="M192" i="64"/>
  <c r="L192" i="64"/>
  <c r="K192" i="64"/>
  <c r="J192" i="64"/>
  <c r="S192" i="64" s="1"/>
  <c r="M191" i="64"/>
  <c r="L191" i="64"/>
  <c r="K191" i="64"/>
  <c r="J191" i="64"/>
  <c r="S191" i="64" s="1"/>
  <c r="O190" i="64"/>
  <c r="M190" i="64"/>
  <c r="L190" i="64"/>
  <c r="K190" i="64"/>
  <c r="J190" i="64"/>
  <c r="S190" i="64" s="1"/>
  <c r="P189" i="64"/>
  <c r="O189" i="64"/>
  <c r="M189" i="64"/>
  <c r="L189" i="64"/>
  <c r="K189" i="64"/>
  <c r="J189" i="64"/>
  <c r="S189" i="64" s="1"/>
  <c r="P188" i="64"/>
  <c r="N188" i="64"/>
  <c r="M188" i="64"/>
  <c r="L188" i="64"/>
  <c r="K188" i="64"/>
  <c r="J188" i="64"/>
  <c r="S188" i="64" s="1"/>
  <c r="M187" i="64"/>
  <c r="L187" i="64"/>
  <c r="K187" i="64"/>
  <c r="J187" i="64"/>
  <c r="S187" i="64" s="1"/>
  <c r="M186" i="64"/>
  <c r="L186" i="64"/>
  <c r="K186" i="64"/>
  <c r="J186" i="64"/>
  <c r="S186" i="64" s="1"/>
  <c r="P185" i="64"/>
  <c r="M185" i="64"/>
  <c r="L185" i="64"/>
  <c r="K185" i="64"/>
  <c r="J185" i="64"/>
  <c r="S185" i="64" s="1"/>
  <c r="M184" i="64"/>
  <c r="L184" i="64"/>
  <c r="K184" i="64"/>
  <c r="J184" i="64"/>
  <c r="S184" i="64" s="1"/>
  <c r="M183" i="64"/>
  <c r="L183" i="64"/>
  <c r="K183" i="64"/>
  <c r="J183" i="64"/>
  <c r="S183" i="64" s="1"/>
  <c r="M182" i="64"/>
  <c r="L182" i="64"/>
  <c r="K182" i="64"/>
  <c r="J182" i="64"/>
  <c r="S182" i="64" s="1"/>
  <c r="M181" i="64"/>
  <c r="L181" i="64"/>
  <c r="K181" i="64"/>
  <c r="J181" i="64"/>
  <c r="S181" i="64" s="1"/>
  <c r="M180" i="64"/>
  <c r="L180" i="64"/>
  <c r="K180" i="64"/>
  <c r="J180" i="64"/>
  <c r="S180" i="64" s="1"/>
  <c r="M179" i="64"/>
  <c r="L179" i="64"/>
  <c r="K179" i="64"/>
  <c r="J179" i="64"/>
  <c r="S179" i="64" s="1"/>
  <c r="M178" i="64"/>
  <c r="L178" i="64"/>
  <c r="K178" i="64"/>
  <c r="R178" i="64" s="1"/>
  <c r="J178" i="64"/>
  <c r="S178" i="64" s="1"/>
  <c r="M177" i="64"/>
  <c r="L177" i="64"/>
  <c r="K177" i="64"/>
  <c r="J177" i="64"/>
  <c r="S177" i="64" s="1"/>
  <c r="M176" i="64"/>
  <c r="L176" i="64"/>
  <c r="K176" i="64"/>
  <c r="R176" i="64" s="1"/>
  <c r="J176" i="64"/>
  <c r="S176" i="64" s="1"/>
  <c r="M175" i="64"/>
  <c r="L175" i="64"/>
  <c r="K175" i="64"/>
  <c r="J175" i="64"/>
  <c r="S175" i="64" s="1"/>
  <c r="P174" i="64"/>
  <c r="M174" i="64"/>
  <c r="L174" i="64"/>
  <c r="K174" i="64"/>
  <c r="J174" i="64"/>
  <c r="S174" i="64" s="1"/>
  <c r="M173" i="64"/>
  <c r="L173" i="64"/>
  <c r="K173" i="64"/>
  <c r="J173" i="64"/>
  <c r="S173" i="64" s="1"/>
  <c r="M172" i="64"/>
  <c r="L172" i="64"/>
  <c r="K172" i="64"/>
  <c r="J172" i="64"/>
  <c r="S172" i="64" s="1"/>
  <c r="Q159" i="64"/>
  <c r="P159" i="64"/>
  <c r="M158" i="64"/>
  <c r="L158" i="64"/>
  <c r="K158" i="64"/>
  <c r="R158" i="64" s="1"/>
  <c r="J158" i="64"/>
  <c r="S158" i="64" s="1"/>
  <c r="M157" i="64"/>
  <c r="L157" i="64"/>
  <c r="K157" i="64"/>
  <c r="J157" i="64"/>
  <c r="S157" i="64" s="1"/>
  <c r="M156" i="64"/>
  <c r="L156" i="64"/>
  <c r="J156" i="64"/>
  <c r="S156" i="64" s="1"/>
  <c r="M155" i="64"/>
  <c r="L155" i="64"/>
  <c r="K155" i="64"/>
  <c r="R155" i="64" s="1"/>
  <c r="J155" i="64"/>
  <c r="S155" i="64" s="1"/>
  <c r="M154" i="64"/>
  <c r="L154" i="64"/>
  <c r="K154" i="64"/>
  <c r="J154" i="64"/>
  <c r="S154" i="64" s="1"/>
  <c r="M153" i="64"/>
  <c r="L153" i="64"/>
  <c r="K153" i="64"/>
  <c r="J153" i="64"/>
  <c r="S153" i="64" s="1"/>
  <c r="N152" i="64"/>
  <c r="M152" i="64"/>
  <c r="L152" i="64"/>
  <c r="K152" i="64"/>
  <c r="R152" i="64" s="1"/>
  <c r="J152" i="64"/>
  <c r="S152" i="64" s="1"/>
  <c r="O151" i="64"/>
  <c r="O159" i="64" s="1"/>
  <c r="M151" i="64"/>
  <c r="L151" i="64"/>
  <c r="K151" i="64"/>
  <c r="J151" i="64"/>
  <c r="S151" i="64" s="1"/>
  <c r="M150" i="64"/>
  <c r="L150" i="64"/>
  <c r="K150" i="64"/>
  <c r="J150" i="64"/>
  <c r="S150" i="64" s="1"/>
  <c r="Q141" i="64"/>
  <c r="P141" i="64"/>
  <c r="O141" i="64"/>
  <c r="N140" i="64"/>
  <c r="N141" i="64" s="1"/>
  <c r="M140" i="64"/>
  <c r="L140" i="64"/>
  <c r="K140" i="64"/>
  <c r="J140" i="64"/>
  <c r="S140" i="64" s="1"/>
  <c r="M139" i="64"/>
  <c r="L139" i="64"/>
  <c r="K139" i="64"/>
  <c r="J139" i="64"/>
  <c r="S139" i="64" s="1"/>
  <c r="M138" i="64"/>
  <c r="L138" i="64"/>
  <c r="K138" i="64"/>
  <c r="J138" i="64"/>
  <c r="S138" i="64" s="1"/>
  <c r="Q133" i="64"/>
  <c r="P133" i="64"/>
  <c r="O133" i="64"/>
  <c r="M133" i="64"/>
  <c r="L133" i="64"/>
  <c r="K133" i="64"/>
  <c r="N132" i="64"/>
  <c r="R132" i="64" s="1"/>
  <c r="J132" i="64"/>
  <c r="S132" i="64" s="1"/>
  <c r="N131" i="64"/>
  <c r="R131" i="64" s="1"/>
  <c r="J131" i="64"/>
  <c r="S131" i="64" s="1"/>
  <c r="N130" i="64"/>
  <c r="R130" i="64" s="1"/>
  <c r="J130" i="64"/>
  <c r="S130" i="64" s="1"/>
  <c r="N129" i="64"/>
  <c r="R129" i="64" s="1"/>
  <c r="J129" i="64"/>
  <c r="S129" i="64" s="1"/>
  <c r="Q127" i="64"/>
  <c r="P127" i="64"/>
  <c r="O127" i="64"/>
  <c r="N127" i="64"/>
  <c r="M126" i="64"/>
  <c r="L126" i="64"/>
  <c r="K126" i="64"/>
  <c r="J126" i="64"/>
  <c r="S126" i="64" s="1"/>
  <c r="M125" i="64"/>
  <c r="L125" i="64"/>
  <c r="K125" i="64"/>
  <c r="J125" i="64"/>
  <c r="S125" i="64" s="1"/>
  <c r="M124" i="64"/>
  <c r="L124" i="64"/>
  <c r="K124" i="64"/>
  <c r="J124" i="64"/>
  <c r="S124" i="64" s="1"/>
  <c r="M123" i="64"/>
  <c r="L123" i="64"/>
  <c r="K123" i="64"/>
  <c r="J123" i="64"/>
  <c r="S123" i="64" s="1"/>
  <c r="Q120" i="64"/>
  <c r="P120" i="64"/>
  <c r="O120" i="64"/>
  <c r="N118" i="64"/>
  <c r="M118" i="64"/>
  <c r="L118" i="64"/>
  <c r="K118" i="64"/>
  <c r="J118" i="64"/>
  <c r="S118" i="64" s="1"/>
  <c r="N117" i="64"/>
  <c r="M117" i="64"/>
  <c r="L117" i="64"/>
  <c r="K117" i="64"/>
  <c r="J117" i="64"/>
  <c r="S117" i="64" s="1"/>
  <c r="N116" i="64"/>
  <c r="M116" i="64"/>
  <c r="L116" i="64"/>
  <c r="K116" i="64"/>
  <c r="J116" i="64"/>
  <c r="S116" i="64" s="1"/>
  <c r="N115" i="64"/>
  <c r="M115" i="64"/>
  <c r="L115" i="64"/>
  <c r="K115" i="64"/>
  <c r="J115" i="64"/>
  <c r="S115" i="64" s="1"/>
  <c r="N114" i="64"/>
  <c r="M114" i="64"/>
  <c r="L114" i="64"/>
  <c r="K114" i="64"/>
  <c r="J114" i="64"/>
  <c r="S114" i="64" s="1"/>
  <c r="M113" i="64"/>
  <c r="L113" i="64"/>
  <c r="K113" i="64"/>
  <c r="R113" i="64" s="1"/>
  <c r="J113" i="64"/>
  <c r="S113" i="64" s="1"/>
  <c r="M112" i="64"/>
  <c r="L112" i="64"/>
  <c r="K112" i="64"/>
  <c r="J112" i="64"/>
  <c r="S112" i="64" s="1"/>
  <c r="M111" i="64"/>
  <c r="L111" i="64"/>
  <c r="K111" i="64"/>
  <c r="J111" i="64"/>
  <c r="S111" i="64" s="1"/>
  <c r="M110" i="64"/>
  <c r="L110" i="64"/>
  <c r="K110" i="64"/>
  <c r="R110" i="64" s="1"/>
  <c r="J110" i="64"/>
  <c r="S110" i="64" s="1"/>
  <c r="M109" i="64"/>
  <c r="L109" i="64"/>
  <c r="K109" i="64"/>
  <c r="J109" i="64"/>
  <c r="S109" i="64" s="1"/>
  <c r="M108" i="64"/>
  <c r="L108" i="64"/>
  <c r="K108" i="64"/>
  <c r="J108" i="64"/>
  <c r="S108" i="64" s="1"/>
  <c r="M107" i="64"/>
  <c r="L107" i="64"/>
  <c r="K107" i="64"/>
  <c r="J107" i="64"/>
  <c r="S107" i="64" s="1"/>
  <c r="Q102" i="64"/>
  <c r="O102" i="64"/>
  <c r="P101" i="64"/>
  <c r="O101" i="64"/>
  <c r="I101" i="64"/>
  <c r="H101" i="64"/>
  <c r="F101" i="64"/>
  <c r="E101" i="64"/>
  <c r="D101" i="64"/>
  <c r="C101" i="64"/>
  <c r="Q100" i="64"/>
  <c r="O100" i="64"/>
  <c r="N100" i="64"/>
  <c r="I100" i="64"/>
  <c r="H100" i="64"/>
  <c r="G100" i="64"/>
  <c r="F100" i="64"/>
  <c r="E100" i="64"/>
  <c r="D100" i="64"/>
  <c r="C100" i="64"/>
  <c r="N99" i="64"/>
  <c r="M99" i="64"/>
  <c r="L99" i="64"/>
  <c r="K99" i="64"/>
  <c r="J99" i="64"/>
  <c r="S99" i="64" s="1"/>
  <c r="N98" i="64"/>
  <c r="M98" i="64"/>
  <c r="L98" i="64"/>
  <c r="K98" i="64"/>
  <c r="J98" i="64"/>
  <c r="S98" i="64" s="1"/>
  <c r="N97" i="64"/>
  <c r="M97" i="64"/>
  <c r="L97" i="64"/>
  <c r="K97" i="64"/>
  <c r="J97" i="64"/>
  <c r="N96" i="64"/>
  <c r="M96" i="64"/>
  <c r="L96" i="64"/>
  <c r="K96" i="64"/>
  <c r="J96" i="64"/>
  <c r="S96" i="64" s="1"/>
  <c r="N95" i="64"/>
  <c r="M95" i="64"/>
  <c r="L95" i="64"/>
  <c r="K95" i="64"/>
  <c r="J95" i="64"/>
  <c r="S95" i="64" s="1"/>
  <c r="N94" i="64"/>
  <c r="M94" i="64"/>
  <c r="L94" i="64"/>
  <c r="K94" i="64"/>
  <c r="J94" i="64"/>
  <c r="S94" i="64" s="1"/>
  <c r="P93" i="64"/>
  <c r="M93" i="64"/>
  <c r="L93" i="64"/>
  <c r="K93" i="64"/>
  <c r="R93" i="64" s="1"/>
  <c r="J93" i="64"/>
  <c r="S93" i="64" s="1"/>
  <c r="P92" i="64"/>
  <c r="M92" i="64"/>
  <c r="L92" i="64"/>
  <c r="K92" i="64"/>
  <c r="J92" i="64"/>
  <c r="S92" i="64" s="1"/>
  <c r="P91" i="64"/>
  <c r="M91" i="64"/>
  <c r="L91" i="64"/>
  <c r="K91" i="64"/>
  <c r="J91" i="64"/>
  <c r="S91" i="64" s="1"/>
  <c r="S90" i="64"/>
  <c r="P90" i="64"/>
  <c r="M90" i="64"/>
  <c r="L90" i="64"/>
  <c r="K90" i="64"/>
  <c r="J90" i="64"/>
  <c r="P89" i="64"/>
  <c r="M89" i="64"/>
  <c r="L89" i="64"/>
  <c r="K89" i="64"/>
  <c r="J89" i="64"/>
  <c r="S89" i="64" s="1"/>
  <c r="P88" i="64"/>
  <c r="M88" i="64"/>
  <c r="L88" i="64"/>
  <c r="K88" i="64"/>
  <c r="J88" i="64"/>
  <c r="S88" i="64" s="1"/>
  <c r="Q85" i="64"/>
  <c r="P85" i="64"/>
  <c r="N85" i="64"/>
  <c r="S84" i="64"/>
  <c r="O84" i="64"/>
  <c r="M84" i="64"/>
  <c r="L84" i="64"/>
  <c r="K84" i="64"/>
  <c r="J84" i="64"/>
  <c r="S83" i="64"/>
  <c r="O83" i="64"/>
  <c r="M83" i="64"/>
  <c r="L83" i="64"/>
  <c r="K83" i="64"/>
  <c r="J83" i="64"/>
  <c r="S82" i="64"/>
  <c r="O82" i="64"/>
  <c r="M82" i="64"/>
  <c r="L82" i="64"/>
  <c r="K82" i="64"/>
  <c r="J82" i="64"/>
  <c r="S81" i="64"/>
  <c r="O81" i="64"/>
  <c r="M81" i="64"/>
  <c r="L81" i="64"/>
  <c r="K81" i="64"/>
  <c r="J81" i="64"/>
  <c r="S80" i="64"/>
  <c r="M80" i="64"/>
  <c r="L80" i="64"/>
  <c r="K80" i="64"/>
  <c r="J80" i="64"/>
  <c r="S79" i="64"/>
  <c r="M79" i="64"/>
  <c r="L79" i="64"/>
  <c r="K79" i="64"/>
  <c r="J79" i="64"/>
  <c r="S78" i="64"/>
  <c r="M78" i="64"/>
  <c r="L78" i="64"/>
  <c r="K78" i="64"/>
  <c r="J78" i="64"/>
  <c r="S77" i="64"/>
  <c r="M77" i="64"/>
  <c r="L77" i="64"/>
  <c r="K77" i="64"/>
  <c r="J77" i="64"/>
  <c r="S76" i="64"/>
  <c r="M76" i="64"/>
  <c r="L76" i="64"/>
  <c r="K76" i="64"/>
  <c r="J76" i="64"/>
  <c r="S75" i="64"/>
  <c r="M75" i="64"/>
  <c r="L75" i="64"/>
  <c r="K75" i="64"/>
  <c r="J75" i="64"/>
  <c r="S74" i="64"/>
  <c r="M74" i="64"/>
  <c r="L74" i="64"/>
  <c r="K74" i="64"/>
  <c r="J74" i="64"/>
  <c r="S73" i="64"/>
  <c r="M73" i="64"/>
  <c r="L73" i="64"/>
  <c r="K73" i="64"/>
  <c r="J73" i="64"/>
  <c r="S72" i="64"/>
  <c r="M72" i="64"/>
  <c r="L72" i="64"/>
  <c r="K72" i="64"/>
  <c r="J72" i="64"/>
  <c r="S71" i="64"/>
  <c r="M71" i="64"/>
  <c r="L71" i="64"/>
  <c r="K71" i="64"/>
  <c r="R71" i="64" s="1"/>
  <c r="J71" i="64"/>
  <c r="S70" i="64"/>
  <c r="M70" i="64"/>
  <c r="L70" i="64"/>
  <c r="K70" i="64"/>
  <c r="J70" i="64"/>
  <c r="S69" i="64"/>
  <c r="M69" i="64"/>
  <c r="L69" i="64"/>
  <c r="K69" i="64"/>
  <c r="R69" i="64" s="1"/>
  <c r="J69" i="64"/>
  <c r="S68" i="64"/>
  <c r="M68" i="64"/>
  <c r="L68" i="64"/>
  <c r="K68" i="64"/>
  <c r="J68" i="64"/>
  <c r="Q61" i="64"/>
  <c r="I61" i="64"/>
  <c r="H61" i="64"/>
  <c r="F61" i="64"/>
  <c r="E61" i="64"/>
  <c r="D61" i="64"/>
  <c r="C61" i="64"/>
  <c r="J60" i="64"/>
  <c r="S59" i="64"/>
  <c r="P59" i="64"/>
  <c r="N59" i="64"/>
  <c r="M59" i="64"/>
  <c r="L59" i="64"/>
  <c r="K59" i="64"/>
  <c r="J59" i="64"/>
  <c r="S58" i="64"/>
  <c r="P58" i="64"/>
  <c r="N58" i="64"/>
  <c r="M58" i="64"/>
  <c r="L58" i="64"/>
  <c r="K58" i="64"/>
  <c r="J58" i="64"/>
  <c r="S57" i="64"/>
  <c r="P57" i="64"/>
  <c r="N57" i="64"/>
  <c r="M57" i="64"/>
  <c r="L57" i="64"/>
  <c r="K57" i="64"/>
  <c r="J57" i="64"/>
  <c r="S56" i="64"/>
  <c r="P56" i="64"/>
  <c r="N56" i="64"/>
  <c r="M56" i="64"/>
  <c r="L56" i="64"/>
  <c r="K56" i="64"/>
  <c r="J56" i="64"/>
  <c r="S55" i="64"/>
  <c r="P55" i="64"/>
  <c r="N55" i="64"/>
  <c r="M55" i="64"/>
  <c r="L55" i="64"/>
  <c r="K55" i="64"/>
  <c r="J55" i="64"/>
  <c r="S54" i="64"/>
  <c r="P54" i="64"/>
  <c r="N54" i="64"/>
  <c r="M54" i="64"/>
  <c r="L54" i="64"/>
  <c r="K54" i="64"/>
  <c r="J54" i="64"/>
  <c r="S53" i="64"/>
  <c r="P53" i="64"/>
  <c r="O53" i="64"/>
  <c r="O61" i="64" s="1"/>
  <c r="N53" i="64"/>
  <c r="M53" i="64"/>
  <c r="L53" i="64"/>
  <c r="K53" i="64"/>
  <c r="J53" i="64"/>
  <c r="S52" i="64"/>
  <c r="P52" i="64"/>
  <c r="N52" i="64"/>
  <c r="M52" i="64"/>
  <c r="L52" i="64"/>
  <c r="K52" i="64"/>
  <c r="J52" i="64"/>
  <c r="S51" i="64"/>
  <c r="P51" i="64"/>
  <c r="N51" i="64"/>
  <c r="M51" i="64"/>
  <c r="L51" i="64"/>
  <c r="K51" i="64"/>
  <c r="J51" i="64"/>
  <c r="S50" i="64"/>
  <c r="P50" i="64"/>
  <c r="N50" i="64"/>
  <c r="M50" i="64"/>
  <c r="L50" i="64"/>
  <c r="K50" i="64"/>
  <c r="J50" i="64"/>
  <c r="S49" i="64"/>
  <c r="P49" i="64"/>
  <c r="N49" i="64"/>
  <c r="M49" i="64"/>
  <c r="L49" i="64"/>
  <c r="J49" i="64"/>
  <c r="S48" i="64"/>
  <c r="P48" i="64"/>
  <c r="N48" i="64"/>
  <c r="M48" i="64"/>
  <c r="L48" i="64"/>
  <c r="J48" i="64"/>
  <c r="Q44" i="64"/>
  <c r="I44" i="64"/>
  <c r="H44" i="64"/>
  <c r="G44" i="64"/>
  <c r="F44" i="64"/>
  <c r="E44" i="64"/>
  <c r="D44" i="64"/>
  <c r="C44" i="64"/>
  <c r="L43" i="64"/>
  <c r="K43" i="64"/>
  <c r="J43" i="64"/>
  <c r="J42" i="64"/>
  <c r="S41" i="64"/>
  <c r="P41" i="64"/>
  <c r="N41" i="64"/>
  <c r="M41" i="64"/>
  <c r="L41" i="64"/>
  <c r="K41" i="64"/>
  <c r="J41" i="64"/>
  <c r="S40" i="64"/>
  <c r="P40" i="64"/>
  <c r="N40" i="64"/>
  <c r="M40" i="64"/>
  <c r="L40" i="64"/>
  <c r="K40" i="64"/>
  <c r="J40" i="64"/>
  <c r="S39" i="64"/>
  <c r="P39" i="64"/>
  <c r="N39" i="64"/>
  <c r="M39" i="64"/>
  <c r="L39" i="64"/>
  <c r="K39" i="64"/>
  <c r="J39" i="64"/>
  <c r="S38" i="64"/>
  <c r="P38" i="64"/>
  <c r="N38" i="64"/>
  <c r="M38" i="64"/>
  <c r="L38" i="64"/>
  <c r="K38" i="64"/>
  <c r="J38" i="64"/>
  <c r="S37" i="64"/>
  <c r="P37" i="64"/>
  <c r="N37" i="64"/>
  <c r="M37" i="64"/>
  <c r="L37" i="64"/>
  <c r="K37" i="64"/>
  <c r="J37" i="64"/>
  <c r="S36" i="64"/>
  <c r="P36" i="64"/>
  <c r="N36" i="64"/>
  <c r="M36" i="64"/>
  <c r="L36" i="64"/>
  <c r="K36" i="64"/>
  <c r="J36" i="64"/>
  <c r="S35" i="64"/>
  <c r="P35" i="64"/>
  <c r="N35" i="64"/>
  <c r="M35" i="64"/>
  <c r="L35" i="64"/>
  <c r="K35" i="64"/>
  <c r="R35" i="64" s="1"/>
  <c r="J35" i="64"/>
  <c r="S34" i="64"/>
  <c r="P34" i="64"/>
  <c r="N34" i="64"/>
  <c r="M34" i="64"/>
  <c r="L34" i="64"/>
  <c r="K34" i="64"/>
  <c r="J34" i="64"/>
  <c r="S33" i="64"/>
  <c r="P33" i="64"/>
  <c r="O33" i="64"/>
  <c r="N33" i="64"/>
  <c r="M33" i="64"/>
  <c r="L33" i="64"/>
  <c r="K33" i="64"/>
  <c r="J33" i="64"/>
  <c r="S32" i="64"/>
  <c r="P32" i="64"/>
  <c r="N32" i="64"/>
  <c r="M32" i="64"/>
  <c r="L32" i="64"/>
  <c r="K32" i="64"/>
  <c r="J32" i="64"/>
  <c r="S31" i="64"/>
  <c r="P31" i="64"/>
  <c r="N31" i="64"/>
  <c r="M31" i="64"/>
  <c r="L31" i="64"/>
  <c r="K31" i="64"/>
  <c r="J31" i="64"/>
  <c r="S30" i="64"/>
  <c r="P30" i="64"/>
  <c r="N30" i="64"/>
  <c r="M30" i="64"/>
  <c r="L30" i="64"/>
  <c r="K30" i="64"/>
  <c r="J30" i="64"/>
  <c r="S29" i="64"/>
  <c r="P29" i="64"/>
  <c r="N29" i="64"/>
  <c r="M29" i="64"/>
  <c r="L29" i="64"/>
  <c r="K29" i="64"/>
  <c r="J29" i="64"/>
  <c r="O28" i="64"/>
  <c r="N28" i="64"/>
  <c r="K28" i="64"/>
  <c r="R28" i="64" s="1"/>
  <c r="J28" i="64"/>
  <c r="O27" i="64"/>
  <c r="N27" i="64"/>
  <c r="K27" i="64"/>
  <c r="J27" i="64"/>
  <c r="O26" i="64"/>
  <c r="N26" i="64"/>
  <c r="K26" i="64"/>
  <c r="J26" i="64"/>
  <c r="N25" i="64"/>
  <c r="K25" i="64"/>
  <c r="J25" i="64"/>
  <c r="Q24" i="64"/>
  <c r="I24" i="64"/>
  <c r="H24" i="64"/>
  <c r="G24" i="64"/>
  <c r="F24" i="64"/>
  <c r="E24" i="64"/>
  <c r="D24" i="64"/>
  <c r="C24" i="64"/>
  <c r="S23" i="64"/>
  <c r="K23" i="64"/>
  <c r="R23" i="64" s="1"/>
  <c r="J23" i="64"/>
  <c r="S22" i="64"/>
  <c r="K22" i="64"/>
  <c r="R22" i="64" s="1"/>
  <c r="J22" i="64"/>
  <c r="S21" i="64"/>
  <c r="M21" i="64"/>
  <c r="K21" i="64"/>
  <c r="J21" i="64"/>
  <c r="S20" i="64"/>
  <c r="M20" i="64"/>
  <c r="K20" i="64"/>
  <c r="J20" i="64"/>
  <c r="S19" i="64"/>
  <c r="M19" i="64"/>
  <c r="K19" i="64"/>
  <c r="J19" i="64"/>
  <c r="S18" i="64"/>
  <c r="M18" i="64"/>
  <c r="K18" i="64"/>
  <c r="J18" i="64"/>
  <c r="S17" i="64"/>
  <c r="N24" i="64"/>
  <c r="M17" i="64"/>
  <c r="K17" i="64"/>
  <c r="J17" i="64"/>
  <c r="S16" i="64"/>
  <c r="P16" i="64"/>
  <c r="M16" i="64"/>
  <c r="K16" i="64"/>
  <c r="R16" i="64" s="1"/>
  <c r="J16" i="64"/>
  <c r="S15" i="64"/>
  <c r="P15" i="64"/>
  <c r="M15" i="64"/>
  <c r="K15" i="64"/>
  <c r="J15" i="64"/>
  <c r="S14" i="64"/>
  <c r="P14" i="64"/>
  <c r="P24" i="64" s="1"/>
  <c r="M14" i="64"/>
  <c r="K14" i="64"/>
  <c r="J14" i="64"/>
  <c r="S13" i="64"/>
  <c r="O13" i="64"/>
  <c r="R13" i="64"/>
  <c r="J13" i="64"/>
  <c r="S12" i="64"/>
  <c r="O12" i="64"/>
  <c r="K12" i="64"/>
  <c r="R12" i="64" s="1"/>
  <c r="J12" i="64"/>
  <c r="S11" i="64"/>
  <c r="O11" i="64"/>
  <c r="M11" i="64"/>
  <c r="L11" i="64"/>
  <c r="K11" i="64"/>
  <c r="R11" i="64" s="1"/>
  <c r="J11" i="64"/>
  <c r="S10" i="64"/>
  <c r="O10" i="64"/>
  <c r="M10" i="64"/>
  <c r="L10" i="64"/>
  <c r="K10" i="64"/>
  <c r="R10" i="64" s="1"/>
  <c r="J10" i="64"/>
  <c r="S9" i="64"/>
  <c r="O9" i="64"/>
  <c r="M9" i="64"/>
  <c r="L9" i="64"/>
  <c r="K9" i="64"/>
  <c r="R9" i="64" s="1"/>
  <c r="J9" i="64"/>
  <c r="S8" i="64"/>
  <c r="O8" i="64"/>
  <c r="M8" i="64"/>
  <c r="L8" i="64"/>
  <c r="K8" i="64"/>
  <c r="R8" i="64" s="1"/>
  <c r="J8" i="64"/>
  <c r="S7" i="64"/>
  <c r="O7" i="64"/>
  <c r="M7" i="64"/>
  <c r="L7" i="64"/>
  <c r="K7" i="64"/>
  <c r="J7" i="64"/>
  <c r="R20" i="64" l="1"/>
  <c r="R279" i="64"/>
  <c r="R189" i="64"/>
  <c r="R184" i="64"/>
  <c r="M102" i="64"/>
  <c r="R77" i="64"/>
  <c r="R204" i="64"/>
  <c r="R26" i="64"/>
  <c r="P526" i="64"/>
  <c r="R82" i="64"/>
  <c r="R452" i="64"/>
  <c r="R467" i="64"/>
  <c r="R475" i="64"/>
  <c r="P100" i="64"/>
  <c r="R73" i="64"/>
  <c r="R194" i="64"/>
  <c r="R208" i="64"/>
  <c r="R84" i="64"/>
  <c r="R98" i="64"/>
  <c r="R75" i="64"/>
  <c r="R200" i="64"/>
  <c r="R96" i="64"/>
  <c r="R109" i="64"/>
  <c r="R112" i="64"/>
  <c r="R235" i="64"/>
  <c r="O238" i="64"/>
  <c r="R267" i="64"/>
  <c r="O330" i="64"/>
  <c r="R300" i="64"/>
  <c r="R350" i="64"/>
  <c r="R369" i="64"/>
  <c r="R401" i="64"/>
  <c r="R405" i="64"/>
  <c r="R437" i="64"/>
  <c r="R441" i="64"/>
  <c r="R486" i="64"/>
  <c r="R380" i="64"/>
  <c r="R383" i="64"/>
  <c r="R449" i="64"/>
  <c r="R453" i="64"/>
  <c r="R468" i="64"/>
  <c r="R307" i="64"/>
  <c r="R343" i="64"/>
  <c r="R215" i="64"/>
  <c r="R253" i="64"/>
  <c r="R265" i="64"/>
  <c r="R270" i="64"/>
  <c r="R282" i="64"/>
  <c r="R285" i="64"/>
  <c r="R362" i="64"/>
  <c r="R366" i="64"/>
  <c r="R373" i="64"/>
  <c r="R394" i="64"/>
  <c r="R402" i="64"/>
  <c r="R442" i="64"/>
  <c r="R457" i="64"/>
  <c r="O44" i="64"/>
  <c r="R81" i="64"/>
  <c r="R83" i="64"/>
  <c r="R99" i="64"/>
  <c r="R195" i="64"/>
  <c r="R212" i="64"/>
  <c r="R244" i="64"/>
  <c r="R423" i="64"/>
  <c r="R454" i="64"/>
  <c r="R461" i="64"/>
  <c r="R465" i="64"/>
  <c r="R473" i="64"/>
  <c r="R487" i="64"/>
  <c r="R50" i="64"/>
  <c r="R90" i="64"/>
  <c r="M330" i="64"/>
  <c r="R79" i="64"/>
  <c r="M141" i="64"/>
  <c r="M159" i="64"/>
  <c r="R324" i="64"/>
  <c r="R327" i="64"/>
  <c r="R348" i="64"/>
  <c r="R352" i="64"/>
  <c r="R356" i="64"/>
  <c r="R374" i="64"/>
  <c r="R443" i="64"/>
  <c r="R41" i="64"/>
  <c r="R54" i="64"/>
  <c r="O85" i="64"/>
  <c r="N120" i="64"/>
  <c r="S133" i="64"/>
  <c r="P222" i="64"/>
  <c r="N246" i="64"/>
  <c r="R286" i="64"/>
  <c r="R378" i="64"/>
  <c r="R447" i="64"/>
  <c r="R462" i="64"/>
  <c r="R470" i="64"/>
  <c r="R474" i="64"/>
  <c r="R125" i="64"/>
  <c r="R133" i="64"/>
  <c r="R210" i="64"/>
  <c r="R221" i="64"/>
  <c r="P246" i="64"/>
  <c r="R266" i="64"/>
  <c r="R278" i="64"/>
  <c r="R308" i="64"/>
  <c r="R345" i="64"/>
  <c r="R396" i="64"/>
  <c r="R455" i="64"/>
  <c r="R482" i="64"/>
  <c r="S491" i="64"/>
  <c r="M120" i="64"/>
  <c r="L24" i="64"/>
  <c r="R31" i="64"/>
  <c r="R36" i="64"/>
  <c r="M24" i="64"/>
  <c r="R51" i="64"/>
  <c r="R118" i="64"/>
  <c r="R138" i="64"/>
  <c r="R177" i="64"/>
  <c r="R180" i="64"/>
  <c r="R190" i="64"/>
  <c r="R217" i="64"/>
  <c r="Q232" i="64"/>
  <c r="R231" i="64"/>
  <c r="R236" i="64"/>
  <c r="R269" i="64"/>
  <c r="R299" i="64"/>
  <c r="R305" i="64"/>
  <c r="R371" i="64"/>
  <c r="R432" i="64"/>
  <c r="R456" i="64"/>
  <c r="R476" i="64"/>
  <c r="P525" i="64"/>
  <c r="M44" i="64"/>
  <c r="O24" i="64"/>
  <c r="R14" i="64"/>
  <c r="R27" i="64"/>
  <c r="R33" i="64"/>
  <c r="R38" i="64"/>
  <c r="R88" i="64"/>
  <c r="R95" i="64"/>
  <c r="R116" i="64"/>
  <c r="R124" i="64"/>
  <c r="L141" i="64"/>
  <c r="R154" i="64"/>
  <c r="R157" i="64"/>
  <c r="R172" i="64"/>
  <c r="R193" i="64"/>
  <c r="R199" i="64"/>
  <c r="M238" i="64"/>
  <c r="R275" i="64"/>
  <c r="R302" i="64"/>
  <c r="R344" i="64"/>
  <c r="R358" i="64"/>
  <c r="R392" i="64"/>
  <c r="R406" i="64"/>
  <c r="R480" i="64"/>
  <c r="R58" i="64"/>
  <c r="M85" i="64"/>
  <c r="L102" i="64"/>
  <c r="R108" i="64"/>
  <c r="R111" i="64"/>
  <c r="R114" i="64"/>
  <c r="L127" i="64"/>
  <c r="R175" i="64"/>
  <c r="R196" i="64"/>
  <c r="R218" i="64"/>
  <c r="R272" i="64"/>
  <c r="R281" i="64"/>
  <c r="R284" i="64"/>
  <c r="R290" i="64"/>
  <c r="R293" i="64"/>
  <c r="R296" i="64"/>
  <c r="R422" i="64"/>
  <c r="R440" i="64"/>
  <c r="R450" i="64"/>
  <c r="R460" i="64"/>
  <c r="L44" i="64"/>
  <c r="R40" i="64"/>
  <c r="R55" i="64"/>
  <c r="R91" i="64"/>
  <c r="R197" i="64"/>
  <c r="R400" i="64"/>
  <c r="J484" i="64"/>
  <c r="R427" i="64"/>
  <c r="R451" i="64"/>
  <c r="R15" i="64"/>
  <c r="P44" i="64"/>
  <c r="R48" i="64"/>
  <c r="R80" i="64"/>
  <c r="P102" i="64"/>
  <c r="N159" i="64"/>
  <c r="M222" i="64"/>
  <c r="R191" i="64"/>
  <c r="R417" i="64"/>
  <c r="R471" i="64"/>
  <c r="M491" i="64"/>
  <c r="R32" i="64"/>
  <c r="N61" i="64"/>
  <c r="R52" i="64"/>
  <c r="R57" i="64"/>
  <c r="L100" i="64"/>
  <c r="R115" i="64"/>
  <c r="N133" i="64"/>
  <c r="O222" i="64"/>
  <c r="R211" i="64"/>
  <c r="R214" i="64"/>
  <c r="R230" i="64"/>
  <c r="L259" i="64"/>
  <c r="R256" i="64"/>
  <c r="L330" i="64"/>
  <c r="R311" i="64"/>
  <c r="R326" i="64"/>
  <c r="R329" i="64"/>
  <c r="R397" i="64"/>
  <c r="R420" i="64"/>
  <c r="N491" i="64"/>
  <c r="R37" i="64"/>
  <c r="R39" i="64"/>
  <c r="P61" i="64"/>
  <c r="R94" i="64"/>
  <c r="R117" i="64"/>
  <c r="R140" i="64"/>
  <c r="R174" i="64"/>
  <c r="R182" i="64"/>
  <c r="R192" i="64"/>
  <c r="N222" i="64"/>
  <c r="L232" i="64"/>
  <c r="M259" i="64"/>
  <c r="R268" i="64"/>
  <c r="R274" i="64"/>
  <c r="R309" i="64"/>
  <c r="R349" i="64"/>
  <c r="R448" i="64"/>
  <c r="R458" i="64"/>
  <c r="R416" i="64"/>
  <c r="R18" i="64"/>
  <c r="R21" i="64"/>
  <c r="R29" i="64"/>
  <c r="R74" i="64"/>
  <c r="L101" i="64"/>
  <c r="R153" i="64"/>
  <c r="R156" i="64"/>
  <c r="R188" i="64"/>
  <c r="R198" i="64"/>
  <c r="R301" i="64"/>
  <c r="R381" i="64"/>
  <c r="R384" i="64"/>
  <c r="R387" i="64"/>
  <c r="R414" i="64"/>
  <c r="R428" i="64"/>
  <c r="R435" i="64"/>
  <c r="M101" i="64"/>
  <c r="M127" i="64"/>
  <c r="R126" i="64"/>
  <c r="R209" i="64"/>
  <c r="R271" i="64"/>
  <c r="R280" i="64"/>
  <c r="R283" i="64"/>
  <c r="R289" i="64"/>
  <c r="R292" i="64"/>
  <c r="R295" i="64"/>
  <c r="R339" i="64"/>
  <c r="R391" i="64"/>
  <c r="R398" i="64"/>
  <c r="J491" i="64"/>
  <c r="L61" i="64"/>
  <c r="R59" i="64"/>
  <c r="R72" i="64"/>
  <c r="N101" i="64"/>
  <c r="L120" i="64"/>
  <c r="R123" i="64"/>
  <c r="R127" i="64" s="1"/>
  <c r="S141" i="64"/>
  <c r="M232" i="64"/>
  <c r="K491" i="64"/>
  <c r="R491" i="64" s="1"/>
  <c r="R203" i="64"/>
  <c r="J411" i="64"/>
  <c r="R254" i="64"/>
  <c r="R252" i="64"/>
  <c r="S259" i="64"/>
  <c r="K259" i="64"/>
  <c r="R245" i="64"/>
  <c r="S246" i="64"/>
  <c r="S238" i="64"/>
  <c r="R237" i="64"/>
  <c r="R238" i="64" s="1"/>
  <c r="R229" i="64"/>
  <c r="K232" i="64"/>
  <c r="S232" i="64"/>
  <c r="R219" i="64"/>
  <c r="R216" i="64"/>
  <c r="R207" i="64"/>
  <c r="R186" i="64"/>
  <c r="R185" i="64"/>
  <c r="R183" i="64"/>
  <c r="R181" i="64"/>
  <c r="R179" i="64"/>
  <c r="K222" i="64"/>
  <c r="R150" i="64"/>
  <c r="K159" i="64"/>
  <c r="K127" i="64"/>
  <c r="S127" i="64"/>
  <c r="K120" i="64"/>
  <c r="S120" i="64"/>
  <c r="R97" i="64"/>
  <c r="J101" i="64"/>
  <c r="R92" i="64"/>
  <c r="K100" i="64"/>
  <c r="K141" i="64"/>
  <c r="R78" i="64"/>
  <c r="R76" i="64"/>
  <c r="K85" i="64"/>
  <c r="S85" i="64"/>
  <c r="R70" i="64"/>
  <c r="R68" i="64"/>
  <c r="R56" i="64"/>
  <c r="R53" i="64"/>
  <c r="K61" i="64"/>
  <c r="S61" i="64"/>
  <c r="J61" i="64"/>
  <c r="R34" i="64"/>
  <c r="J44" i="64"/>
  <c r="K44" i="64"/>
  <c r="S44" i="64"/>
  <c r="R25" i="64"/>
  <c r="R19" i="64"/>
  <c r="K24" i="64"/>
  <c r="S24" i="64"/>
  <c r="R17" i="64"/>
  <c r="R385" i="64"/>
  <c r="R355" i="64"/>
  <c r="R365" i="64"/>
  <c r="R375" i="64"/>
  <c r="R379" i="64"/>
  <c r="R424" i="64"/>
  <c r="R434" i="64"/>
  <c r="K411" i="64"/>
  <c r="R342" i="64"/>
  <c r="R372" i="64"/>
  <c r="R395" i="64"/>
  <c r="R409" i="64"/>
  <c r="R418" i="64"/>
  <c r="R421" i="64"/>
  <c r="R438" i="64"/>
  <c r="R477" i="64"/>
  <c r="R445" i="64"/>
  <c r="R481" i="64"/>
  <c r="R399" i="64"/>
  <c r="N484" i="64"/>
  <c r="R413" i="64"/>
  <c r="R376" i="64"/>
  <c r="R403" i="64"/>
  <c r="R429" i="64"/>
  <c r="R439" i="64"/>
  <c r="R478" i="64"/>
  <c r="R353" i="64"/>
  <c r="R357" i="64"/>
  <c r="R360" i="64"/>
  <c r="R377" i="64"/>
  <c r="R390" i="64"/>
  <c r="R404" i="64"/>
  <c r="R407" i="64"/>
  <c r="R426" i="64"/>
  <c r="R436" i="64"/>
  <c r="R446" i="64"/>
  <c r="R472" i="64"/>
  <c r="R340" i="64"/>
  <c r="R347" i="64"/>
  <c r="R354" i="64"/>
  <c r="K484" i="64"/>
  <c r="R430" i="64"/>
  <c r="R433" i="64"/>
  <c r="R466" i="64"/>
  <c r="R469" i="64"/>
  <c r="R479" i="64"/>
  <c r="R351" i="64"/>
  <c r="R444" i="64"/>
  <c r="R463" i="64"/>
  <c r="J24" i="64"/>
  <c r="S222" i="64"/>
  <c r="S159" i="64"/>
  <c r="S330" i="64"/>
  <c r="J100" i="64"/>
  <c r="M61" i="64"/>
  <c r="M100" i="64"/>
  <c r="K101" i="64"/>
  <c r="R187" i="64"/>
  <c r="R30" i="64"/>
  <c r="R139" i="64"/>
  <c r="K238" i="64"/>
  <c r="N411" i="64"/>
  <c r="R89" i="64"/>
  <c r="K246" i="64"/>
  <c r="N102" i="64"/>
  <c r="S341" i="64"/>
  <c r="S411" i="64" s="1"/>
  <c r="R49" i="64"/>
  <c r="Q222" i="64"/>
  <c r="K330" i="64"/>
  <c r="L159" i="64"/>
  <c r="R251" i="64"/>
  <c r="S413" i="64"/>
  <c r="S484" i="64" s="1"/>
  <c r="R7" i="64"/>
  <c r="L85" i="64"/>
  <c r="K102" i="64"/>
  <c r="R151" i="64"/>
  <c r="N44" i="64"/>
  <c r="R107" i="64"/>
  <c r="R173" i="64"/>
  <c r="L222" i="64"/>
  <c r="S97" i="64"/>
  <c r="S102" i="64" s="1"/>
  <c r="R228" i="64"/>
  <c r="N417" i="63"/>
  <c r="K417" i="63"/>
  <c r="N344" i="63"/>
  <c r="N337" i="63"/>
  <c r="K344" i="63"/>
  <c r="R246" i="64" l="1"/>
  <c r="R85" i="64"/>
  <c r="R330" i="64"/>
  <c r="R259" i="64"/>
  <c r="R232" i="64"/>
  <c r="R44" i="64"/>
  <c r="N497" i="64"/>
  <c r="L511" i="64" s="1"/>
  <c r="R411" i="64"/>
  <c r="R141" i="64"/>
  <c r="L497" i="64"/>
  <c r="N511" i="64" s="1"/>
  <c r="N514" i="64" s="1"/>
  <c r="R61" i="64"/>
  <c r="R120" i="64"/>
  <c r="R159" i="64"/>
  <c r="R102" i="64"/>
  <c r="S492" i="64"/>
  <c r="M497" i="64" s="1"/>
  <c r="O511" i="64" s="1"/>
  <c r="O514" i="64" s="1"/>
  <c r="R222" i="64"/>
  <c r="K497" i="64"/>
  <c r="P499" i="64" s="1"/>
  <c r="R24" i="64"/>
  <c r="K492" i="64"/>
  <c r="R484" i="64"/>
  <c r="R492" i="64"/>
  <c r="M496" i="64" s="1"/>
  <c r="O502" i="64" s="1"/>
  <c r="P520" i="63"/>
  <c r="P518" i="63"/>
  <c r="P521" i="63"/>
  <c r="P519" i="63"/>
  <c r="O523" i="63"/>
  <c r="N523" i="63"/>
  <c r="M523" i="63"/>
  <c r="L523" i="63"/>
  <c r="O524" i="63"/>
  <c r="N524" i="63"/>
  <c r="M524" i="63"/>
  <c r="L524" i="63"/>
  <c r="P505" i="63"/>
  <c r="P504" i="63"/>
  <c r="R512" i="63"/>
  <c r="Q512" i="63"/>
  <c r="S519" i="63" s="1"/>
  <c r="Q511" i="63"/>
  <c r="P507" i="63"/>
  <c r="P506" i="63"/>
  <c r="P328" i="63"/>
  <c r="Q328" i="63"/>
  <c r="M306" i="63"/>
  <c r="L306" i="63"/>
  <c r="K306" i="63"/>
  <c r="M298" i="63"/>
  <c r="K299" i="63"/>
  <c r="K298" i="63"/>
  <c r="L298" i="63"/>
  <c r="J298" i="63"/>
  <c r="S298" i="63" s="1"/>
  <c r="N257" i="63"/>
  <c r="O257" i="63"/>
  <c r="P257" i="63"/>
  <c r="S83" i="63"/>
  <c r="S84" i="63"/>
  <c r="S82" i="63"/>
  <c r="S81" i="63"/>
  <c r="S79" i="63"/>
  <c r="S80" i="63"/>
  <c r="S78" i="63"/>
  <c r="S77" i="63"/>
  <c r="S76" i="63"/>
  <c r="S75" i="63"/>
  <c r="S74" i="63"/>
  <c r="S73" i="63"/>
  <c r="S72" i="63"/>
  <c r="S71" i="63"/>
  <c r="S70" i="63"/>
  <c r="S69" i="63"/>
  <c r="S68" i="63"/>
  <c r="S58" i="63"/>
  <c r="S57" i="63"/>
  <c r="S56" i="63"/>
  <c r="S51" i="63"/>
  <c r="S52" i="63"/>
  <c r="S53" i="63"/>
  <c r="S54" i="63"/>
  <c r="S55" i="63"/>
  <c r="S59" i="63"/>
  <c r="S50" i="63"/>
  <c r="S49" i="63"/>
  <c r="S48" i="63"/>
  <c r="S28" i="63"/>
  <c r="S27" i="63"/>
  <c r="S26" i="63"/>
  <c r="S25" i="63"/>
  <c r="S41" i="63"/>
  <c r="S40" i="63"/>
  <c r="S39" i="63"/>
  <c r="S38" i="63"/>
  <c r="S37" i="63"/>
  <c r="S36" i="63"/>
  <c r="S35" i="63"/>
  <c r="S34" i="63"/>
  <c r="S33" i="63"/>
  <c r="S32" i="63"/>
  <c r="S31" i="63"/>
  <c r="S30" i="63"/>
  <c r="S29" i="63"/>
  <c r="P501" i="64" l="1"/>
  <c r="N496" i="64"/>
  <c r="O501" i="64" s="1"/>
  <c r="L496" i="64"/>
  <c r="N510" i="64" s="1"/>
  <c r="N513" i="64" s="1"/>
  <c r="P500" i="64"/>
  <c r="K496" i="64"/>
  <c r="M510" i="64" s="1"/>
  <c r="M513" i="64" s="1"/>
  <c r="P502" i="64"/>
  <c r="M511" i="64"/>
  <c r="M514" i="64" s="1"/>
  <c r="P497" i="64"/>
  <c r="O510" i="64"/>
  <c r="O513" i="64" s="1"/>
  <c r="L514" i="64"/>
  <c r="P523" i="63"/>
  <c r="P524" i="63"/>
  <c r="R298" i="63"/>
  <c r="S22" i="63"/>
  <c r="S21" i="63"/>
  <c r="S20" i="63"/>
  <c r="S19" i="63"/>
  <c r="S18" i="63"/>
  <c r="S17" i="63"/>
  <c r="S16" i="63"/>
  <c r="S15" i="63"/>
  <c r="S14" i="63"/>
  <c r="S13" i="63"/>
  <c r="S12" i="63"/>
  <c r="S10" i="63"/>
  <c r="S9" i="63"/>
  <c r="S8" i="63"/>
  <c r="S7" i="63"/>
  <c r="O500" i="64" l="1"/>
  <c r="L510" i="64"/>
  <c r="L513" i="64" s="1"/>
  <c r="P504" i="64"/>
  <c r="O499" i="64"/>
  <c r="O504" i="64" s="1"/>
  <c r="P496" i="64"/>
  <c r="P511" i="64"/>
  <c r="P514" i="64"/>
  <c r="P510" i="64"/>
  <c r="P513" i="64"/>
  <c r="P243" i="63"/>
  <c r="P242" i="63"/>
  <c r="M228" i="63"/>
  <c r="M227" i="63"/>
  <c r="M226" i="63"/>
  <c r="L226" i="63"/>
  <c r="N242" i="63"/>
  <c r="L253" i="63"/>
  <c r="L252" i="63"/>
  <c r="L251" i="63"/>
  <c r="L249" i="63" l="1"/>
  <c r="L250" i="63"/>
  <c r="M250" i="63"/>
  <c r="M249" i="63" l="1"/>
  <c r="M253" i="63"/>
  <c r="M252" i="63"/>
  <c r="M251" i="63"/>
  <c r="K272" i="63"/>
  <c r="M277" i="63"/>
  <c r="M278" i="63"/>
  <c r="M276" i="63"/>
  <c r="M274" i="63"/>
  <c r="M272" i="63"/>
  <c r="L277" i="63"/>
  <c r="L276" i="63"/>
  <c r="L274" i="63"/>
  <c r="L272" i="63"/>
  <c r="L268" i="63"/>
  <c r="M140" i="63" l="1"/>
  <c r="L155" i="63"/>
  <c r="L156" i="63"/>
  <c r="M156" i="63"/>
  <c r="M154" i="63"/>
  <c r="M157" i="63"/>
  <c r="L158" i="63"/>
  <c r="L114" i="63"/>
  <c r="L115" i="63"/>
  <c r="L116" i="63"/>
  <c r="L117" i="63"/>
  <c r="L118" i="63"/>
  <c r="L113" i="63"/>
  <c r="M114" i="63"/>
  <c r="M115" i="63"/>
  <c r="M116" i="63"/>
  <c r="M117" i="63"/>
  <c r="M118" i="63"/>
  <c r="M113" i="63"/>
  <c r="L124" i="63"/>
  <c r="L125" i="63"/>
  <c r="L126" i="63"/>
  <c r="L123" i="63"/>
  <c r="M124" i="63"/>
  <c r="M125" i="63"/>
  <c r="M126" i="63"/>
  <c r="M123" i="63"/>
  <c r="M150" i="63"/>
  <c r="M151" i="63"/>
  <c r="L153" i="63"/>
  <c r="L95" i="63"/>
  <c r="L96" i="63"/>
  <c r="L97" i="63"/>
  <c r="L98" i="63"/>
  <c r="L99" i="63"/>
  <c r="L94" i="63"/>
  <c r="M95" i="63"/>
  <c r="M96" i="63"/>
  <c r="M97" i="63"/>
  <c r="M98" i="63"/>
  <c r="M99" i="63"/>
  <c r="M94" i="63"/>
  <c r="L89" i="63"/>
  <c r="L90" i="63"/>
  <c r="L91" i="63"/>
  <c r="L92" i="63"/>
  <c r="L93" i="63"/>
  <c r="L88" i="63"/>
  <c r="M89" i="63"/>
  <c r="M90" i="63"/>
  <c r="M91" i="63"/>
  <c r="M92" i="63"/>
  <c r="M93" i="63"/>
  <c r="M88" i="63"/>
  <c r="L81" i="63"/>
  <c r="L79" i="63"/>
  <c r="L80" i="63"/>
  <c r="L77" i="63"/>
  <c r="L76" i="63"/>
  <c r="L75" i="63"/>
  <c r="L74" i="63"/>
  <c r="L72" i="63"/>
  <c r="L71" i="63"/>
  <c r="L69" i="63"/>
  <c r="M81" i="63"/>
  <c r="M79" i="63"/>
  <c r="M80" i="63"/>
  <c r="M78" i="63"/>
  <c r="M77" i="63"/>
  <c r="M74" i="63"/>
  <c r="M71" i="63"/>
  <c r="M69" i="63"/>
  <c r="M76" i="63"/>
  <c r="M75" i="63"/>
  <c r="M73" i="63"/>
  <c r="M72" i="63"/>
  <c r="M70" i="63"/>
  <c r="M68" i="63"/>
  <c r="L138" i="63"/>
  <c r="M138" i="63"/>
  <c r="L139" i="63"/>
  <c r="M139" i="63"/>
  <c r="L83" i="63"/>
  <c r="L84" i="63"/>
  <c r="L82" i="63"/>
  <c r="M83" i="63"/>
  <c r="M84" i="63"/>
  <c r="M82" i="63"/>
  <c r="L49" i="63"/>
  <c r="L50" i="63"/>
  <c r="L51" i="63"/>
  <c r="L52" i="63"/>
  <c r="L53" i="63"/>
  <c r="L54" i="63"/>
  <c r="L55" i="63"/>
  <c r="L56" i="63"/>
  <c r="L57" i="63"/>
  <c r="L58" i="63"/>
  <c r="L59" i="63"/>
  <c r="L48" i="63"/>
  <c r="M49" i="63"/>
  <c r="M50" i="63"/>
  <c r="M51" i="63"/>
  <c r="M52" i="63"/>
  <c r="M53" i="63"/>
  <c r="M54" i="63"/>
  <c r="M55" i="63"/>
  <c r="M56" i="63"/>
  <c r="M57" i="63"/>
  <c r="M58" i="63"/>
  <c r="M59" i="63"/>
  <c r="M48" i="63"/>
  <c r="L32" i="63"/>
  <c r="L34" i="63"/>
  <c r="L35" i="63"/>
  <c r="L36" i="63"/>
  <c r="L37" i="63"/>
  <c r="L38" i="63"/>
  <c r="L39" i="63"/>
  <c r="L40" i="63"/>
  <c r="L41" i="63"/>
  <c r="L30" i="63"/>
  <c r="M31" i="63"/>
  <c r="M33" i="63"/>
  <c r="M34" i="63"/>
  <c r="M35" i="63"/>
  <c r="M36" i="63"/>
  <c r="M37" i="63"/>
  <c r="M38" i="63"/>
  <c r="M39" i="63"/>
  <c r="M40" i="63"/>
  <c r="M41" i="63"/>
  <c r="M21" i="63"/>
  <c r="M19" i="63"/>
  <c r="M20" i="63"/>
  <c r="M18" i="63"/>
  <c r="M16" i="63"/>
  <c r="M15" i="63"/>
  <c r="M14" i="63"/>
  <c r="L8" i="63"/>
  <c r="L9" i="63"/>
  <c r="L10" i="63"/>
  <c r="L11" i="63"/>
  <c r="L7" i="63"/>
  <c r="M8" i="63"/>
  <c r="M9" i="63"/>
  <c r="M10" i="63"/>
  <c r="M11" i="63"/>
  <c r="M7" i="63"/>
  <c r="M17" i="63"/>
  <c r="N17" i="63"/>
  <c r="M327" i="63"/>
  <c r="L327" i="63"/>
  <c r="K327" i="63"/>
  <c r="J327" i="63"/>
  <c r="S327" i="63" s="1"/>
  <c r="M326" i="63"/>
  <c r="L326" i="63"/>
  <c r="K326" i="63"/>
  <c r="J326" i="63"/>
  <c r="S326" i="63" s="1"/>
  <c r="M325" i="63"/>
  <c r="L325" i="63"/>
  <c r="K325" i="63"/>
  <c r="J325" i="63"/>
  <c r="S325" i="63" s="1"/>
  <c r="M324" i="63"/>
  <c r="L324" i="63"/>
  <c r="K324" i="63"/>
  <c r="J324" i="63"/>
  <c r="S324" i="63" s="1"/>
  <c r="M323" i="63"/>
  <c r="L323" i="63"/>
  <c r="K323" i="63"/>
  <c r="J323" i="63"/>
  <c r="S323" i="63" s="1"/>
  <c r="M322" i="63"/>
  <c r="L322" i="63"/>
  <c r="K322" i="63"/>
  <c r="J322" i="63"/>
  <c r="S322" i="63" s="1"/>
  <c r="K321" i="63"/>
  <c r="R321" i="63" s="1"/>
  <c r="J321" i="63"/>
  <c r="S321" i="63" s="1"/>
  <c r="K320" i="63"/>
  <c r="R320" i="63" s="1"/>
  <c r="J320" i="63"/>
  <c r="S320" i="63" s="1"/>
  <c r="K319" i="63"/>
  <c r="R319" i="63" s="1"/>
  <c r="J319" i="63"/>
  <c r="S319" i="63" s="1"/>
  <c r="K318" i="63"/>
  <c r="R318" i="63" s="1"/>
  <c r="J318" i="63"/>
  <c r="S318" i="63" s="1"/>
  <c r="K317" i="63"/>
  <c r="R317" i="63" s="1"/>
  <c r="J317" i="63"/>
  <c r="S317" i="63" s="1"/>
  <c r="K316" i="63"/>
  <c r="R316" i="63" s="1"/>
  <c r="J316" i="63"/>
  <c r="S316" i="63" s="1"/>
  <c r="K315" i="63"/>
  <c r="R315" i="63" s="1"/>
  <c r="J315" i="63"/>
  <c r="S315" i="63" s="1"/>
  <c r="K314" i="63"/>
  <c r="R314" i="63" s="1"/>
  <c r="J314" i="63"/>
  <c r="S314" i="63" s="1"/>
  <c r="K313" i="63"/>
  <c r="R313" i="63" s="1"/>
  <c r="J313" i="63"/>
  <c r="S313" i="63" s="1"/>
  <c r="K312" i="63"/>
  <c r="R312" i="63" s="1"/>
  <c r="J312" i="63"/>
  <c r="S312" i="63" s="1"/>
  <c r="K311" i="63"/>
  <c r="R311" i="63" s="1"/>
  <c r="J311" i="63"/>
  <c r="S311" i="63" s="1"/>
  <c r="M310" i="63"/>
  <c r="L310" i="63"/>
  <c r="K310" i="63"/>
  <c r="J310" i="63"/>
  <c r="S310" i="63" s="1"/>
  <c r="M309" i="63"/>
  <c r="L309" i="63"/>
  <c r="K309" i="63"/>
  <c r="J309" i="63"/>
  <c r="S309" i="63" s="1"/>
  <c r="M308" i="63"/>
  <c r="L308" i="63"/>
  <c r="K308" i="63"/>
  <c r="J308" i="63"/>
  <c r="S308" i="63" s="1"/>
  <c r="M307" i="63"/>
  <c r="L307" i="63"/>
  <c r="K307" i="63"/>
  <c r="J307" i="63"/>
  <c r="S307" i="63" s="1"/>
  <c r="R306" i="63"/>
  <c r="J306" i="63"/>
  <c r="S306" i="63" s="1"/>
  <c r="M305" i="63"/>
  <c r="L305" i="63"/>
  <c r="K305" i="63"/>
  <c r="J305" i="63"/>
  <c r="S305" i="63" s="1"/>
  <c r="M304" i="63"/>
  <c r="L304" i="63"/>
  <c r="K304" i="63"/>
  <c r="J304" i="63"/>
  <c r="S304" i="63" s="1"/>
  <c r="M303" i="63"/>
  <c r="L303" i="63"/>
  <c r="K303" i="63"/>
  <c r="J303" i="63"/>
  <c r="S303" i="63" s="1"/>
  <c r="M302" i="63"/>
  <c r="R302" i="63" s="1"/>
  <c r="J302" i="63"/>
  <c r="S302" i="63" s="1"/>
  <c r="M301" i="63"/>
  <c r="R301" i="63" s="1"/>
  <c r="J301" i="63"/>
  <c r="S301" i="63" s="1"/>
  <c r="M300" i="63"/>
  <c r="L300" i="63"/>
  <c r="K300" i="63"/>
  <c r="J300" i="63"/>
  <c r="S300" i="63" s="1"/>
  <c r="M299" i="63"/>
  <c r="L299" i="63"/>
  <c r="J299" i="63"/>
  <c r="S299" i="63" s="1"/>
  <c r="M297" i="63"/>
  <c r="L297" i="63"/>
  <c r="K297" i="63"/>
  <c r="J297" i="63"/>
  <c r="S297" i="63" s="1"/>
  <c r="K296" i="63"/>
  <c r="R296" i="63" s="1"/>
  <c r="J296" i="63"/>
  <c r="S296" i="63" s="1"/>
  <c r="K295" i="63"/>
  <c r="R295" i="63" s="1"/>
  <c r="J295" i="63"/>
  <c r="S295" i="63" s="1"/>
  <c r="M294" i="63"/>
  <c r="L294" i="63"/>
  <c r="K294" i="63"/>
  <c r="J294" i="63"/>
  <c r="S294" i="63" s="1"/>
  <c r="M293" i="63"/>
  <c r="L293" i="63"/>
  <c r="K293" i="63"/>
  <c r="J293" i="63"/>
  <c r="S293" i="63" s="1"/>
  <c r="M292" i="63"/>
  <c r="L292" i="63"/>
  <c r="K292" i="63"/>
  <c r="J292" i="63"/>
  <c r="S292" i="63" s="1"/>
  <c r="M291" i="63"/>
  <c r="L291" i="63"/>
  <c r="K291" i="63"/>
  <c r="J291" i="63"/>
  <c r="S291" i="63" s="1"/>
  <c r="M290" i="63"/>
  <c r="L290" i="63"/>
  <c r="K290" i="63"/>
  <c r="J290" i="63"/>
  <c r="S290" i="63" s="1"/>
  <c r="M289" i="63"/>
  <c r="L289" i="63"/>
  <c r="K289" i="63"/>
  <c r="J289" i="63"/>
  <c r="S289" i="63" s="1"/>
  <c r="M288" i="63"/>
  <c r="L288" i="63"/>
  <c r="K288" i="63"/>
  <c r="J288" i="63"/>
  <c r="S288" i="63" s="1"/>
  <c r="M287" i="63"/>
  <c r="L287" i="63"/>
  <c r="K287" i="63"/>
  <c r="J287" i="63"/>
  <c r="S287" i="63" s="1"/>
  <c r="M286" i="63"/>
  <c r="L286" i="63"/>
  <c r="K286" i="63"/>
  <c r="J286" i="63"/>
  <c r="S286" i="63" s="1"/>
  <c r="M285" i="63"/>
  <c r="L285" i="63"/>
  <c r="J285" i="63"/>
  <c r="S285" i="63" s="1"/>
  <c r="M284" i="63"/>
  <c r="L284" i="63"/>
  <c r="K284" i="63"/>
  <c r="J284" i="63"/>
  <c r="S284" i="63" s="1"/>
  <c r="M283" i="63"/>
  <c r="L283" i="63"/>
  <c r="K283" i="63"/>
  <c r="J283" i="63"/>
  <c r="S283" i="63" s="1"/>
  <c r="M282" i="63"/>
  <c r="L282" i="63"/>
  <c r="K282" i="63"/>
  <c r="J282" i="63"/>
  <c r="S282" i="63" s="1"/>
  <c r="M281" i="63"/>
  <c r="L281" i="63"/>
  <c r="K281" i="63"/>
  <c r="J281" i="63"/>
  <c r="S281" i="63" s="1"/>
  <c r="M280" i="63"/>
  <c r="L280" i="63"/>
  <c r="K280" i="63"/>
  <c r="J280" i="63"/>
  <c r="S280" i="63" s="1"/>
  <c r="M279" i="63"/>
  <c r="L279" i="63"/>
  <c r="K279" i="63"/>
  <c r="J279" i="63"/>
  <c r="S279" i="63" s="1"/>
  <c r="L278" i="63"/>
  <c r="K278" i="63"/>
  <c r="J278" i="63"/>
  <c r="S278" i="63" s="1"/>
  <c r="O277" i="63"/>
  <c r="J277" i="63"/>
  <c r="S277" i="63" s="1"/>
  <c r="O276" i="63"/>
  <c r="J276" i="63"/>
  <c r="S276" i="63" s="1"/>
  <c r="K275" i="63"/>
  <c r="J275" i="63"/>
  <c r="S275" i="63" s="1"/>
  <c r="O274" i="63"/>
  <c r="J274" i="63"/>
  <c r="S274" i="63" s="1"/>
  <c r="M273" i="63"/>
  <c r="K273" i="63"/>
  <c r="J273" i="63"/>
  <c r="S273" i="63" s="1"/>
  <c r="O272" i="63"/>
  <c r="J272" i="63"/>
  <c r="S272" i="63" s="1"/>
  <c r="K271" i="63"/>
  <c r="J271" i="63"/>
  <c r="S271" i="63" s="1"/>
  <c r="M270" i="63"/>
  <c r="L270" i="63"/>
  <c r="K270" i="63"/>
  <c r="J270" i="63"/>
  <c r="S270" i="63" s="1"/>
  <c r="M269" i="63"/>
  <c r="L269" i="63"/>
  <c r="K269" i="63"/>
  <c r="J269" i="63"/>
  <c r="S269" i="63" s="1"/>
  <c r="J268" i="63"/>
  <c r="S268" i="63" s="1"/>
  <c r="M267" i="63"/>
  <c r="L267" i="63"/>
  <c r="J267" i="63"/>
  <c r="S267" i="63" s="1"/>
  <c r="M266" i="63"/>
  <c r="L266" i="63"/>
  <c r="K266" i="63"/>
  <c r="J266" i="63"/>
  <c r="S266" i="63" s="1"/>
  <c r="M265" i="63"/>
  <c r="L265" i="63"/>
  <c r="K265" i="63"/>
  <c r="J265" i="63"/>
  <c r="S265" i="63" s="1"/>
  <c r="M264" i="63"/>
  <c r="L264" i="63"/>
  <c r="K264" i="63"/>
  <c r="J264" i="63"/>
  <c r="S264" i="63" s="1"/>
  <c r="N263" i="63"/>
  <c r="N328" i="63" s="1"/>
  <c r="M263" i="63"/>
  <c r="L263" i="63"/>
  <c r="K263" i="63"/>
  <c r="J263" i="63"/>
  <c r="S263" i="63" s="1"/>
  <c r="Q255" i="63"/>
  <c r="K255" i="63"/>
  <c r="J255" i="63"/>
  <c r="S255" i="63" s="1"/>
  <c r="M254" i="63"/>
  <c r="M257" i="63" s="1"/>
  <c r="L254" i="63"/>
  <c r="L257" i="63" s="1"/>
  <c r="K254" i="63"/>
  <c r="J254" i="63"/>
  <c r="S254" i="63" s="1"/>
  <c r="K253" i="63"/>
  <c r="J253" i="63"/>
  <c r="S253" i="63" s="1"/>
  <c r="J252" i="63"/>
  <c r="S252" i="63" s="1"/>
  <c r="J251" i="63"/>
  <c r="S251" i="63" s="1"/>
  <c r="Q250" i="63"/>
  <c r="J250" i="63"/>
  <c r="S250" i="63" s="1"/>
  <c r="J249" i="63"/>
  <c r="S249" i="63" s="1"/>
  <c r="Q257" i="63" l="1"/>
  <c r="K328" i="63"/>
  <c r="L328" i="63"/>
  <c r="M328" i="63"/>
  <c r="O328" i="63"/>
  <c r="R323" i="63"/>
  <c r="S328" i="63"/>
  <c r="S257" i="63"/>
  <c r="K257" i="63"/>
  <c r="R324" i="63"/>
  <c r="R327" i="63"/>
  <c r="R255" i="63"/>
  <c r="R303" i="63"/>
  <c r="R269" i="63"/>
  <c r="R272" i="63"/>
  <c r="R286" i="63"/>
  <c r="R325" i="63"/>
  <c r="R267" i="63"/>
  <c r="R281" i="63"/>
  <c r="R287" i="63"/>
  <c r="R292" i="63"/>
  <c r="R297" i="63"/>
  <c r="R289" i="63"/>
  <c r="R294" i="63"/>
  <c r="R305" i="63"/>
  <c r="R293" i="63"/>
  <c r="R309" i="63"/>
  <c r="R273" i="63"/>
  <c r="R276" i="63"/>
  <c r="R271" i="63"/>
  <c r="R274" i="63"/>
  <c r="R279" i="63"/>
  <c r="R288" i="63"/>
  <c r="R263" i="63"/>
  <c r="R268" i="63"/>
  <c r="R280" i="63"/>
  <c r="R308" i="63"/>
  <c r="R266" i="63"/>
  <c r="R275" i="63"/>
  <c r="R283" i="63"/>
  <c r="R291" i="63"/>
  <c r="R299" i="63"/>
  <c r="R326" i="63"/>
  <c r="R278" i="63"/>
  <c r="R300" i="63"/>
  <c r="R304" i="63"/>
  <c r="R284" i="63"/>
  <c r="R307" i="63"/>
  <c r="R264" i="63"/>
  <c r="R322" i="63"/>
  <c r="R290" i="63"/>
  <c r="R310" i="63"/>
  <c r="R265" i="63"/>
  <c r="R282" i="63"/>
  <c r="R270" i="63"/>
  <c r="R277" i="63"/>
  <c r="R285" i="63"/>
  <c r="R249" i="63"/>
  <c r="R252" i="63"/>
  <c r="R250" i="63"/>
  <c r="R253" i="63"/>
  <c r="R254" i="63"/>
  <c r="R251" i="63"/>
  <c r="N495" i="63" l="1"/>
  <c r="R328" i="63"/>
  <c r="R257" i="63"/>
  <c r="L509" i="63" l="1"/>
  <c r="L512" i="63" s="1"/>
  <c r="P499" i="63"/>
  <c r="N494" i="63"/>
  <c r="N156" i="63"/>
  <c r="K155" i="63"/>
  <c r="K114" i="63"/>
  <c r="K116" i="63"/>
  <c r="K117" i="63"/>
  <c r="K118" i="63"/>
  <c r="K113" i="63"/>
  <c r="K124" i="63"/>
  <c r="K125" i="63"/>
  <c r="K126" i="63"/>
  <c r="K123" i="63"/>
  <c r="K90" i="63"/>
  <c r="K92" i="63"/>
  <c r="K154" i="63"/>
  <c r="K153" i="63"/>
  <c r="K157" i="63"/>
  <c r="K77" i="63"/>
  <c r="K74" i="63"/>
  <c r="K71" i="63"/>
  <c r="K69" i="63"/>
  <c r="K75" i="63"/>
  <c r="K95" i="63"/>
  <c r="K96" i="63"/>
  <c r="K97" i="63"/>
  <c r="K94" i="63"/>
  <c r="N98" i="63"/>
  <c r="N99" i="63"/>
  <c r="O7" i="63"/>
  <c r="O151" i="63"/>
  <c r="O81" i="63"/>
  <c r="O53" i="63"/>
  <c r="P31" i="63"/>
  <c r="P32" i="63"/>
  <c r="P33" i="63"/>
  <c r="P34" i="63"/>
  <c r="P35" i="63"/>
  <c r="P36" i="63"/>
  <c r="P37" i="63"/>
  <c r="P38" i="63"/>
  <c r="P39" i="63"/>
  <c r="P40" i="63"/>
  <c r="P41" i="63"/>
  <c r="P30" i="63"/>
  <c r="P29" i="63"/>
  <c r="P49" i="63"/>
  <c r="P50" i="63"/>
  <c r="P51" i="63"/>
  <c r="P52" i="63"/>
  <c r="P53" i="63"/>
  <c r="P54" i="63"/>
  <c r="P55" i="63"/>
  <c r="P56" i="63"/>
  <c r="P57" i="63"/>
  <c r="P58" i="63"/>
  <c r="P59" i="63"/>
  <c r="P48" i="63"/>
  <c r="K50" i="63"/>
  <c r="K51" i="63"/>
  <c r="K52" i="63"/>
  <c r="K53" i="63"/>
  <c r="K54" i="63"/>
  <c r="K55" i="63"/>
  <c r="K56" i="63"/>
  <c r="K57" i="63"/>
  <c r="K58" i="63"/>
  <c r="K59" i="63"/>
  <c r="N49" i="63"/>
  <c r="N50" i="63"/>
  <c r="N52" i="63"/>
  <c r="N53" i="63"/>
  <c r="N55" i="63"/>
  <c r="N56" i="63"/>
  <c r="N57" i="63"/>
  <c r="N58" i="63"/>
  <c r="N59" i="63"/>
  <c r="K32" i="63"/>
  <c r="K33" i="63"/>
  <c r="K35" i="63"/>
  <c r="K36" i="63"/>
  <c r="K37" i="63"/>
  <c r="K38" i="63"/>
  <c r="K39" i="63"/>
  <c r="K40" i="63"/>
  <c r="K41" i="63"/>
  <c r="K80" i="63"/>
  <c r="K138" i="63"/>
  <c r="K29" i="63"/>
  <c r="K139" i="63"/>
  <c r="K83" i="63"/>
  <c r="K84" i="63"/>
  <c r="K82" i="63"/>
  <c r="K12" i="63"/>
  <c r="K8" i="63"/>
  <c r="K9" i="63"/>
  <c r="K10" i="63"/>
  <c r="K11" i="63"/>
  <c r="K21" i="63"/>
  <c r="K19" i="63"/>
  <c r="K18" i="63"/>
  <c r="K16" i="63"/>
  <c r="K15" i="63"/>
  <c r="K14" i="63"/>
  <c r="L508" i="63" l="1"/>
  <c r="L511" i="63" s="1"/>
  <c r="O499" i="63"/>
  <c r="K13" i="63"/>
  <c r="N35" i="63"/>
  <c r="N36" i="63"/>
  <c r="N38" i="63"/>
  <c r="N39" i="63"/>
  <c r="N41" i="63"/>
  <c r="K17" i="63"/>
  <c r="P189" i="63" l="1"/>
  <c r="P217" i="63"/>
  <c r="N140" i="63"/>
  <c r="P14" i="63" l="1"/>
  <c r="Q227" i="63"/>
  <c r="Q226" i="63"/>
  <c r="P212" i="63"/>
  <c r="P214" i="63"/>
  <c r="P218" i="63"/>
  <c r="N212" i="63"/>
  <c r="P15" i="63"/>
  <c r="P16" i="63"/>
  <c r="Q489" i="63" l="1"/>
  <c r="P489" i="63"/>
  <c r="O489" i="63"/>
  <c r="L489" i="63"/>
  <c r="I489" i="63"/>
  <c r="H489" i="63"/>
  <c r="G489" i="63"/>
  <c r="F489" i="63"/>
  <c r="E489" i="63"/>
  <c r="D489" i="63"/>
  <c r="C489" i="63"/>
  <c r="N488" i="63"/>
  <c r="M488" i="63"/>
  <c r="K488" i="63"/>
  <c r="J488" i="63"/>
  <c r="S488" i="63" s="1"/>
  <c r="N487" i="63"/>
  <c r="M487" i="63"/>
  <c r="K487" i="63"/>
  <c r="J487" i="63"/>
  <c r="S487" i="63" s="1"/>
  <c r="N486" i="63"/>
  <c r="M486" i="63"/>
  <c r="K486" i="63"/>
  <c r="J486" i="63"/>
  <c r="S486" i="63" s="1"/>
  <c r="N485" i="63"/>
  <c r="M485" i="63"/>
  <c r="K485" i="63"/>
  <c r="J485" i="63"/>
  <c r="S485" i="63" s="1"/>
  <c r="N484" i="63"/>
  <c r="M484" i="63"/>
  <c r="K484" i="63"/>
  <c r="J484" i="63"/>
  <c r="S484" i="63" s="1"/>
  <c r="Q482" i="63"/>
  <c r="P482" i="63"/>
  <c r="O482" i="63"/>
  <c r="M482" i="63"/>
  <c r="L482" i="63"/>
  <c r="I482" i="63"/>
  <c r="H482" i="63"/>
  <c r="G482" i="63"/>
  <c r="F482" i="63"/>
  <c r="E482" i="63"/>
  <c r="D482" i="63"/>
  <c r="C482" i="63"/>
  <c r="N480" i="63"/>
  <c r="K480" i="63"/>
  <c r="J480" i="63"/>
  <c r="S480" i="63" s="1"/>
  <c r="N479" i="63"/>
  <c r="K479" i="63"/>
  <c r="J479" i="63"/>
  <c r="S479" i="63" s="1"/>
  <c r="N478" i="63"/>
  <c r="K478" i="63"/>
  <c r="J478" i="63"/>
  <c r="S478" i="63" s="1"/>
  <c r="N477" i="63"/>
  <c r="K477" i="63"/>
  <c r="J477" i="63"/>
  <c r="S477" i="63" s="1"/>
  <c r="N476" i="63"/>
  <c r="K476" i="63"/>
  <c r="J476" i="63"/>
  <c r="S476" i="63" s="1"/>
  <c r="N475" i="63"/>
  <c r="K475" i="63"/>
  <c r="J475" i="63"/>
  <c r="S475" i="63" s="1"/>
  <c r="N474" i="63"/>
  <c r="K474" i="63"/>
  <c r="J474" i="63"/>
  <c r="S474" i="63" s="1"/>
  <c r="N473" i="63"/>
  <c r="K473" i="63"/>
  <c r="J473" i="63"/>
  <c r="S473" i="63" s="1"/>
  <c r="N472" i="63"/>
  <c r="K472" i="63"/>
  <c r="J472" i="63"/>
  <c r="S472" i="63" s="1"/>
  <c r="N471" i="63"/>
  <c r="K471" i="63"/>
  <c r="J471" i="63"/>
  <c r="S471" i="63" s="1"/>
  <c r="N470" i="63"/>
  <c r="K470" i="63"/>
  <c r="J470" i="63"/>
  <c r="S470" i="63" s="1"/>
  <c r="N469" i="63"/>
  <c r="K469" i="63"/>
  <c r="J469" i="63"/>
  <c r="S469" i="63" s="1"/>
  <c r="N468" i="63"/>
  <c r="K468" i="63"/>
  <c r="J468" i="63"/>
  <c r="S468" i="63" s="1"/>
  <c r="N467" i="63"/>
  <c r="K467" i="63"/>
  <c r="J467" i="63"/>
  <c r="S467" i="63" s="1"/>
  <c r="N466" i="63"/>
  <c r="K466" i="63"/>
  <c r="J466" i="63"/>
  <c r="S466" i="63" s="1"/>
  <c r="N465" i="63"/>
  <c r="K465" i="63"/>
  <c r="J465" i="63"/>
  <c r="S465" i="63" s="1"/>
  <c r="N464" i="63"/>
  <c r="K464" i="63"/>
  <c r="J464" i="63"/>
  <c r="S464" i="63" s="1"/>
  <c r="N463" i="63"/>
  <c r="K463" i="63"/>
  <c r="J463" i="63"/>
  <c r="S463" i="63" s="1"/>
  <c r="N462" i="63"/>
  <c r="K462" i="63"/>
  <c r="J462" i="63"/>
  <c r="S462" i="63" s="1"/>
  <c r="N461" i="63"/>
  <c r="K461" i="63"/>
  <c r="J461" i="63"/>
  <c r="S461" i="63" s="1"/>
  <c r="N460" i="63"/>
  <c r="K460" i="63"/>
  <c r="J460" i="63"/>
  <c r="S460" i="63" s="1"/>
  <c r="N459" i="63"/>
  <c r="K459" i="63"/>
  <c r="J459" i="63"/>
  <c r="S459" i="63" s="1"/>
  <c r="N458" i="63"/>
  <c r="K458" i="63"/>
  <c r="J458" i="63"/>
  <c r="S458" i="63" s="1"/>
  <c r="N457" i="63"/>
  <c r="K457" i="63"/>
  <c r="J457" i="63"/>
  <c r="S457" i="63" s="1"/>
  <c r="N456" i="63"/>
  <c r="K456" i="63"/>
  <c r="J456" i="63"/>
  <c r="S456" i="63" s="1"/>
  <c r="N455" i="63"/>
  <c r="K455" i="63"/>
  <c r="J455" i="63"/>
  <c r="S455" i="63" s="1"/>
  <c r="N454" i="63"/>
  <c r="K454" i="63"/>
  <c r="J454" i="63"/>
  <c r="S454" i="63" s="1"/>
  <c r="N453" i="63"/>
  <c r="K453" i="63"/>
  <c r="J453" i="63"/>
  <c r="S453" i="63" s="1"/>
  <c r="N452" i="63"/>
  <c r="K452" i="63"/>
  <c r="J452" i="63"/>
  <c r="S452" i="63" s="1"/>
  <c r="N451" i="63"/>
  <c r="K451" i="63"/>
  <c r="J451" i="63"/>
  <c r="S451" i="63" s="1"/>
  <c r="N450" i="63"/>
  <c r="K450" i="63"/>
  <c r="J450" i="63"/>
  <c r="S450" i="63" s="1"/>
  <c r="N449" i="63"/>
  <c r="K449" i="63"/>
  <c r="J449" i="63"/>
  <c r="S449" i="63" s="1"/>
  <c r="N448" i="63"/>
  <c r="K448" i="63"/>
  <c r="J448" i="63"/>
  <c r="S448" i="63" s="1"/>
  <c r="N447" i="63"/>
  <c r="K447" i="63"/>
  <c r="J447" i="63"/>
  <c r="S447" i="63" s="1"/>
  <c r="N446" i="63"/>
  <c r="K446" i="63"/>
  <c r="J446" i="63"/>
  <c r="S446" i="63" s="1"/>
  <c r="N445" i="63"/>
  <c r="K445" i="63"/>
  <c r="J445" i="63"/>
  <c r="S445" i="63" s="1"/>
  <c r="N444" i="63"/>
  <c r="K444" i="63"/>
  <c r="J444" i="63"/>
  <c r="S444" i="63" s="1"/>
  <c r="N443" i="63"/>
  <c r="K443" i="63"/>
  <c r="J443" i="63"/>
  <c r="S443" i="63" s="1"/>
  <c r="N442" i="63"/>
  <c r="K442" i="63"/>
  <c r="J442" i="63"/>
  <c r="S442" i="63" s="1"/>
  <c r="N441" i="63"/>
  <c r="K441" i="63"/>
  <c r="J441" i="63"/>
  <c r="S441" i="63" s="1"/>
  <c r="N440" i="63"/>
  <c r="K440" i="63"/>
  <c r="J440" i="63"/>
  <c r="S440" i="63" s="1"/>
  <c r="N439" i="63"/>
  <c r="K439" i="63"/>
  <c r="J439" i="63"/>
  <c r="S439" i="63" s="1"/>
  <c r="N438" i="63"/>
  <c r="K438" i="63"/>
  <c r="J438" i="63"/>
  <c r="S438" i="63" s="1"/>
  <c r="N437" i="63"/>
  <c r="K437" i="63"/>
  <c r="J437" i="63"/>
  <c r="S437" i="63" s="1"/>
  <c r="N436" i="63"/>
  <c r="K436" i="63"/>
  <c r="J436" i="63"/>
  <c r="S436" i="63" s="1"/>
  <c r="N435" i="63"/>
  <c r="K435" i="63"/>
  <c r="J435" i="63"/>
  <c r="S435" i="63" s="1"/>
  <c r="N434" i="63"/>
  <c r="K434" i="63"/>
  <c r="J434" i="63"/>
  <c r="S434" i="63" s="1"/>
  <c r="N433" i="63"/>
  <c r="K433" i="63"/>
  <c r="J433" i="63"/>
  <c r="S433" i="63" s="1"/>
  <c r="N432" i="63"/>
  <c r="K432" i="63"/>
  <c r="J432" i="63"/>
  <c r="S432" i="63" s="1"/>
  <c r="N431" i="63"/>
  <c r="K431" i="63"/>
  <c r="J431" i="63"/>
  <c r="S431" i="63" s="1"/>
  <c r="N430" i="63"/>
  <c r="K430" i="63"/>
  <c r="J430" i="63"/>
  <c r="S430" i="63" s="1"/>
  <c r="N429" i="63"/>
  <c r="K429" i="63"/>
  <c r="J429" i="63"/>
  <c r="S429" i="63" s="1"/>
  <c r="N428" i="63"/>
  <c r="K428" i="63"/>
  <c r="J428" i="63"/>
  <c r="S428" i="63" s="1"/>
  <c r="N427" i="63"/>
  <c r="K427" i="63"/>
  <c r="J427" i="63"/>
  <c r="S427" i="63" s="1"/>
  <c r="N426" i="63"/>
  <c r="K426" i="63"/>
  <c r="J426" i="63"/>
  <c r="S426" i="63" s="1"/>
  <c r="N425" i="63"/>
  <c r="K425" i="63"/>
  <c r="J425" i="63"/>
  <c r="S425" i="63" s="1"/>
  <c r="N424" i="63"/>
  <c r="K424" i="63"/>
  <c r="J424" i="63"/>
  <c r="S424" i="63" s="1"/>
  <c r="N423" i="63"/>
  <c r="K423" i="63"/>
  <c r="J423" i="63"/>
  <c r="S423" i="63" s="1"/>
  <c r="N422" i="63"/>
  <c r="K422" i="63"/>
  <c r="J422" i="63"/>
  <c r="S422" i="63" s="1"/>
  <c r="N421" i="63"/>
  <c r="K421" i="63"/>
  <c r="J421" i="63"/>
  <c r="S421" i="63" s="1"/>
  <c r="N420" i="63"/>
  <c r="K420" i="63"/>
  <c r="J420" i="63"/>
  <c r="S420" i="63" s="1"/>
  <c r="N419" i="63"/>
  <c r="K419" i="63"/>
  <c r="J419" i="63"/>
  <c r="S419" i="63" s="1"/>
  <c r="N418" i="63"/>
  <c r="K418" i="63"/>
  <c r="J418" i="63"/>
  <c r="S418" i="63" s="1"/>
  <c r="J417" i="63"/>
  <c r="S417" i="63" s="1"/>
  <c r="N416" i="63"/>
  <c r="K416" i="63"/>
  <c r="J416" i="63"/>
  <c r="S416" i="63" s="1"/>
  <c r="N415" i="63"/>
  <c r="K415" i="63"/>
  <c r="J415" i="63"/>
  <c r="S415" i="63" s="1"/>
  <c r="N414" i="63"/>
  <c r="K414" i="63"/>
  <c r="J414" i="63"/>
  <c r="S414" i="63" s="1"/>
  <c r="N413" i="63"/>
  <c r="K413" i="63"/>
  <c r="J413" i="63"/>
  <c r="S413" i="63" s="1"/>
  <c r="N412" i="63"/>
  <c r="K412" i="63"/>
  <c r="J412" i="63"/>
  <c r="S412" i="63" s="1"/>
  <c r="N411" i="63"/>
  <c r="K411" i="63"/>
  <c r="J411" i="63"/>
  <c r="N410" i="63"/>
  <c r="K410" i="63"/>
  <c r="J410" i="63"/>
  <c r="S410" i="63" s="1"/>
  <c r="Q409" i="63"/>
  <c r="P409" i="63"/>
  <c r="O409" i="63"/>
  <c r="M409" i="63"/>
  <c r="L409" i="63"/>
  <c r="I409" i="63"/>
  <c r="H409" i="63"/>
  <c r="G409" i="63"/>
  <c r="F409" i="63"/>
  <c r="E409" i="63"/>
  <c r="D409" i="63"/>
  <c r="C409" i="63"/>
  <c r="N407" i="63"/>
  <c r="K407" i="63"/>
  <c r="J407" i="63"/>
  <c r="S407" i="63" s="1"/>
  <c r="N406" i="63"/>
  <c r="K406" i="63"/>
  <c r="J406" i="63"/>
  <c r="S406" i="63" s="1"/>
  <c r="N405" i="63"/>
  <c r="K405" i="63"/>
  <c r="J405" i="63"/>
  <c r="S405" i="63" s="1"/>
  <c r="N404" i="63"/>
  <c r="K404" i="63"/>
  <c r="J404" i="63"/>
  <c r="S404" i="63" s="1"/>
  <c r="N403" i="63"/>
  <c r="K403" i="63"/>
  <c r="J403" i="63"/>
  <c r="S403" i="63" s="1"/>
  <c r="N402" i="63"/>
  <c r="K402" i="63"/>
  <c r="J402" i="63"/>
  <c r="S402" i="63" s="1"/>
  <c r="N401" i="63"/>
  <c r="K401" i="63"/>
  <c r="J401" i="63"/>
  <c r="S401" i="63" s="1"/>
  <c r="N400" i="63"/>
  <c r="K400" i="63"/>
  <c r="J400" i="63"/>
  <c r="S400" i="63" s="1"/>
  <c r="N399" i="63"/>
  <c r="K399" i="63"/>
  <c r="J399" i="63"/>
  <c r="S399" i="63" s="1"/>
  <c r="N398" i="63"/>
  <c r="K398" i="63"/>
  <c r="J398" i="63"/>
  <c r="S398" i="63" s="1"/>
  <c r="N397" i="63"/>
  <c r="K397" i="63"/>
  <c r="J397" i="63"/>
  <c r="S397" i="63" s="1"/>
  <c r="N396" i="63"/>
  <c r="K396" i="63"/>
  <c r="J396" i="63"/>
  <c r="S396" i="63" s="1"/>
  <c r="N395" i="63"/>
  <c r="K395" i="63"/>
  <c r="J395" i="63"/>
  <c r="S395" i="63" s="1"/>
  <c r="N394" i="63"/>
  <c r="K394" i="63"/>
  <c r="J394" i="63"/>
  <c r="S394" i="63" s="1"/>
  <c r="N393" i="63"/>
  <c r="K393" i="63"/>
  <c r="J393" i="63"/>
  <c r="N392" i="63"/>
  <c r="K392" i="63"/>
  <c r="J392" i="63"/>
  <c r="S392" i="63" s="1"/>
  <c r="N391" i="63"/>
  <c r="K391" i="63"/>
  <c r="J391" i="63"/>
  <c r="S391" i="63" s="1"/>
  <c r="N390" i="63"/>
  <c r="K390" i="63"/>
  <c r="J390" i="63"/>
  <c r="S390" i="63" s="1"/>
  <c r="N389" i="63"/>
  <c r="K389" i="63"/>
  <c r="J389" i="63"/>
  <c r="S389" i="63" s="1"/>
  <c r="N388" i="63"/>
  <c r="K388" i="63"/>
  <c r="J388" i="63"/>
  <c r="S388" i="63" s="1"/>
  <c r="N387" i="63"/>
  <c r="K387" i="63"/>
  <c r="J387" i="63"/>
  <c r="S387" i="63" s="1"/>
  <c r="N386" i="63"/>
  <c r="K386" i="63"/>
  <c r="J386" i="63"/>
  <c r="S386" i="63" s="1"/>
  <c r="N385" i="63"/>
  <c r="K385" i="63"/>
  <c r="J385" i="63"/>
  <c r="S385" i="63" s="1"/>
  <c r="N384" i="63"/>
  <c r="K384" i="63"/>
  <c r="J384" i="63"/>
  <c r="S384" i="63" s="1"/>
  <c r="N383" i="63"/>
  <c r="K383" i="63"/>
  <c r="J383" i="63"/>
  <c r="S383" i="63" s="1"/>
  <c r="N382" i="63"/>
  <c r="K382" i="63"/>
  <c r="J382" i="63"/>
  <c r="S382" i="63" s="1"/>
  <c r="N381" i="63"/>
  <c r="K381" i="63"/>
  <c r="J381" i="63"/>
  <c r="S381" i="63" s="1"/>
  <c r="N380" i="63"/>
  <c r="K380" i="63"/>
  <c r="J380" i="63"/>
  <c r="S380" i="63" s="1"/>
  <c r="N379" i="63"/>
  <c r="K379" i="63"/>
  <c r="J379" i="63"/>
  <c r="S379" i="63" s="1"/>
  <c r="N378" i="63"/>
  <c r="K378" i="63"/>
  <c r="J378" i="63"/>
  <c r="S378" i="63" s="1"/>
  <c r="N377" i="63"/>
  <c r="K377" i="63"/>
  <c r="J377" i="63"/>
  <c r="S377" i="63" s="1"/>
  <c r="N376" i="63"/>
  <c r="K376" i="63"/>
  <c r="J376" i="63"/>
  <c r="S376" i="63" s="1"/>
  <c r="N375" i="63"/>
  <c r="K375" i="63"/>
  <c r="J375" i="63"/>
  <c r="S375" i="63" s="1"/>
  <c r="N374" i="63"/>
  <c r="K374" i="63"/>
  <c r="J374" i="63"/>
  <c r="S374" i="63" s="1"/>
  <c r="N373" i="63"/>
  <c r="K373" i="63"/>
  <c r="J373" i="63"/>
  <c r="S373" i="63" s="1"/>
  <c r="N372" i="63"/>
  <c r="K372" i="63"/>
  <c r="J372" i="63"/>
  <c r="S372" i="63" s="1"/>
  <c r="N371" i="63"/>
  <c r="K371" i="63"/>
  <c r="J371" i="63"/>
  <c r="S371" i="63" s="1"/>
  <c r="N370" i="63"/>
  <c r="K370" i="63"/>
  <c r="J370" i="63"/>
  <c r="S370" i="63" s="1"/>
  <c r="N369" i="63"/>
  <c r="K369" i="63"/>
  <c r="J369" i="63"/>
  <c r="S369" i="63" s="1"/>
  <c r="N368" i="63"/>
  <c r="K368" i="63"/>
  <c r="J368" i="63"/>
  <c r="S368" i="63" s="1"/>
  <c r="N367" i="63"/>
  <c r="K367" i="63"/>
  <c r="J367" i="63"/>
  <c r="S367" i="63" s="1"/>
  <c r="N366" i="63"/>
  <c r="K366" i="63"/>
  <c r="J366" i="63"/>
  <c r="S366" i="63" s="1"/>
  <c r="N365" i="63"/>
  <c r="K365" i="63"/>
  <c r="J365" i="63"/>
  <c r="S365" i="63" s="1"/>
  <c r="N364" i="63"/>
  <c r="K364" i="63"/>
  <c r="J364" i="63"/>
  <c r="S364" i="63" s="1"/>
  <c r="N363" i="63"/>
  <c r="K363" i="63"/>
  <c r="J363" i="63"/>
  <c r="S363" i="63" s="1"/>
  <c r="N362" i="63"/>
  <c r="K362" i="63"/>
  <c r="J362" i="63"/>
  <c r="S362" i="63" s="1"/>
  <c r="N361" i="63"/>
  <c r="K361" i="63"/>
  <c r="J361" i="63"/>
  <c r="S361" i="63" s="1"/>
  <c r="N360" i="63"/>
  <c r="K360" i="63"/>
  <c r="J360" i="63"/>
  <c r="S360" i="63" s="1"/>
  <c r="N359" i="63"/>
  <c r="K359" i="63"/>
  <c r="J359" i="63"/>
  <c r="S359" i="63" s="1"/>
  <c r="N358" i="63"/>
  <c r="K358" i="63"/>
  <c r="J358" i="63"/>
  <c r="S358" i="63" s="1"/>
  <c r="N357" i="63"/>
  <c r="K357" i="63"/>
  <c r="J357" i="63"/>
  <c r="S357" i="63" s="1"/>
  <c r="N356" i="63"/>
  <c r="K356" i="63"/>
  <c r="J356" i="63"/>
  <c r="S356" i="63" s="1"/>
  <c r="N355" i="63"/>
  <c r="K355" i="63"/>
  <c r="J355" i="63"/>
  <c r="S355" i="63" s="1"/>
  <c r="N354" i="63"/>
  <c r="K354" i="63"/>
  <c r="J354" i="63"/>
  <c r="S354" i="63" s="1"/>
  <c r="N353" i="63"/>
  <c r="K353" i="63"/>
  <c r="J353" i="63"/>
  <c r="S353" i="63" s="1"/>
  <c r="N352" i="63"/>
  <c r="K352" i="63"/>
  <c r="J352" i="63"/>
  <c r="S352" i="63" s="1"/>
  <c r="N351" i="63"/>
  <c r="K351" i="63"/>
  <c r="J351" i="63"/>
  <c r="S351" i="63" s="1"/>
  <c r="N350" i="63"/>
  <c r="K350" i="63"/>
  <c r="J350" i="63"/>
  <c r="S350" i="63" s="1"/>
  <c r="N349" i="63"/>
  <c r="K349" i="63"/>
  <c r="J349" i="63"/>
  <c r="N348" i="63"/>
  <c r="K348" i="63"/>
  <c r="J348" i="63"/>
  <c r="S348" i="63" s="1"/>
  <c r="N347" i="63"/>
  <c r="K347" i="63"/>
  <c r="J347" i="63"/>
  <c r="S347" i="63" s="1"/>
  <c r="N346" i="63"/>
  <c r="K346" i="63"/>
  <c r="J346" i="63"/>
  <c r="S346" i="63" s="1"/>
  <c r="N345" i="63"/>
  <c r="K345" i="63"/>
  <c r="J345" i="63"/>
  <c r="S345" i="63" s="1"/>
  <c r="J344" i="63"/>
  <c r="S344" i="63" s="1"/>
  <c r="N343" i="63"/>
  <c r="K343" i="63"/>
  <c r="J343" i="63"/>
  <c r="S343" i="63" s="1"/>
  <c r="N342" i="63"/>
  <c r="K342" i="63"/>
  <c r="J342" i="63"/>
  <c r="S342" i="63" s="1"/>
  <c r="N341" i="63"/>
  <c r="K341" i="63"/>
  <c r="J341" i="63"/>
  <c r="S341" i="63" s="1"/>
  <c r="N340" i="63"/>
  <c r="K340" i="63"/>
  <c r="J340" i="63"/>
  <c r="S340" i="63" s="1"/>
  <c r="N339" i="63"/>
  <c r="K339" i="63"/>
  <c r="J339" i="63"/>
  <c r="S339" i="63" s="1"/>
  <c r="N338" i="63"/>
  <c r="K338" i="63"/>
  <c r="J338" i="63"/>
  <c r="K337" i="63"/>
  <c r="J337" i="63"/>
  <c r="S337" i="63" s="1"/>
  <c r="R336" i="63"/>
  <c r="J336" i="63"/>
  <c r="S336" i="63" s="1"/>
  <c r="K335" i="63"/>
  <c r="R335" i="63" s="1"/>
  <c r="J335" i="63"/>
  <c r="S335" i="63" s="1"/>
  <c r="N243" i="63"/>
  <c r="M243" i="63"/>
  <c r="L243" i="63"/>
  <c r="K243" i="63"/>
  <c r="J243" i="63"/>
  <c r="S243" i="63" s="1"/>
  <c r="Q244" i="63"/>
  <c r="M242" i="63"/>
  <c r="L242" i="63"/>
  <c r="K242" i="63"/>
  <c r="J242" i="63"/>
  <c r="S242" i="63" s="1"/>
  <c r="Q236" i="63"/>
  <c r="P236" i="63"/>
  <c r="N236" i="63"/>
  <c r="O235" i="63"/>
  <c r="M235" i="63"/>
  <c r="L235" i="63"/>
  <c r="K235" i="63"/>
  <c r="J235" i="63"/>
  <c r="S235" i="63" s="1"/>
  <c r="O234" i="63"/>
  <c r="M234" i="63"/>
  <c r="K234" i="63"/>
  <c r="J234" i="63"/>
  <c r="S234" i="63" s="1"/>
  <c r="O233" i="63"/>
  <c r="M233" i="63"/>
  <c r="K233" i="63"/>
  <c r="J233" i="63"/>
  <c r="S233" i="63" s="1"/>
  <c r="P230" i="63"/>
  <c r="O230" i="63"/>
  <c r="Q229" i="63"/>
  <c r="L229" i="63"/>
  <c r="K229" i="63"/>
  <c r="J229" i="63"/>
  <c r="S229" i="63" s="1"/>
  <c r="Q228" i="63"/>
  <c r="L228" i="63"/>
  <c r="K228" i="63"/>
  <c r="J228" i="63"/>
  <c r="S228" i="63" s="1"/>
  <c r="L227" i="63"/>
  <c r="K227" i="63"/>
  <c r="J227" i="63"/>
  <c r="S227" i="63" s="1"/>
  <c r="K226" i="63"/>
  <c r="J226" i="63"/>
  <c r="S226" i="63" s="1"/>
  <c r="N219" i="63"/>
  <c r="M219" i="63"/>
  <c r="K219" i="63"/>
  <c r="J219" i="63"/>
  <c r="S219" i="63" s="1"/>
  <c r="N218" i="63"/>
  <c r="M218" i="63"/>
  <c r="K218" i="63"/>
  <c r="J218" i="63"/>
  <c r="S218" i="63" s="1"/>
  <c r="N217" i="63"/>
  <c r="M217" i="63"/>
  <c r="K217" i="63"/>
  <c r="J217" i="63"/>
  <c r="S217" i="63" s="1"/>
  <c r="N216" i="63"/>
  <c r="K216" i="63"/>
  <c r="J216" i="63"/>
  <c r="S216" i="63" s="1"/>
  <c r="N215" i="63"/>
  <c r="M215" i="63"/>
  <c r="K215" i="63"/>
  <c r="J215" i="63"/>
  <c r="S215" i="63" s="1"/>
  <c r="N214" i="63"/>
  <c r="M214" i="63"/>
  <c r="K214" i="63"/>
  <c r="J214" i="63"/>
  <c r="S214" i="63" s="1"/>
  <c r="N213" i="63"/>
  <c r="M213" i="63"/>
  <c r="K213" i="63"/>
  <c r="J213" i="63"/>
  <c r="S213" i="63" s="1"/>
  <c r="M212" i="63"/>
  <c r="K212" i="63"/>
  <c r="J212" i="63"/>
  <c r="S212" i="63" s="1"/>
  <c r="K211" i="63"/>
  <c r="R211" i="63" s="1"/>
  <c r="J211" i="63"/>
  <c r="S211" i="63" s="1"/>
  <c r="N210" i="63"/>
  <c r="K210" i="63"/>
  <c r="J210" i="63"/>
  <c r="S210" i="63" s="1"/>
  <c r="P209" i="63"/>
  <c r="N209" i="63"/>
  <c r="K209" i="63"/>
  <c r="J209" i="63"/>
  <c r="S209" i="63" s="1"/>
  <c r="P208" i="63"/>
  <c r="N208" i="63"/>
  <c r="K208" i="63"/>
  <c r="J208" i="63"/>
  <c r="S208" i="63" s="1"/>
  <c r="M207" i="63"/>
  <c r="K207" i="63"/>
  <c r="J207" i="63"/>
  <c r="S207" i="63" s="1"/>
  <c r="N206" i="63"/>
  <c r="M206" i="63"/>
  <c r="K206" i="63"/>
  <c r="J206" i="63"/>
  <c r="S206" i="63" s="1"/>
  <c r="M205" i="63"/>
  <c r="K205" i="63"/>
  <c r="J205" i="63"/>
  <c r="S205" i="63" s="1"/>
  <c r="M204" i="63"/>
  <c r="R204" i="63" s="1"/>
  <c r="J204" i="63"/>
  <c r="S204" i="63" s="1"/>
  <c r="M203" i="63"/>
  <c r="R203" i="63" s="1"/>
  <c r="J203" i="63"/>
  <c r="S203" i="63" s="1"/>
  <c r="Q202" i="63"/>
  <c r="O202" i="63"/>
  <c r="M202" i="63"/>
  <c r="K202" i="63"/>
  <c r="J202" i="63"/>
  <c r="S202" i="63" s="1"/>
  <c r="O201" i="63"/>
  <c r="M201" i="63"/>
  <c r="K201" i="63"/>
  <c r="J201" i="63"/>
  <c r="S201" i="63" s="1"/>
  <c r="O200" i="63"/>
  <c r="M200" i="63"/>
  <c r="L200" i="63"/>
  <c r="K200" i="63"/>
  <c r="J200" i="63"/>
  <c r="S200" i="63" s="1"/>
  <c r="O199" i="63"/>
  <c r="M199" i="63"/>
  <c r="L199" i="63"/>
  <c r="K199" i="63"/>
  <c r="J199" i="63"/>
  <c r="S199" i="63" s="1"/>
  <c r="M198" i="63"/>
  <c r="L198" i="63"/>
  <c r="K198" i="63"/>
  <c r="J198" i="63"/>
  <c r="S198" i="63" s="1"/>
  <c r="M197" i="63"/>
  <c r="L197" i="63"/>
  <c r="K197" i="63"/>
  <c r="J197" i="63"/>
  <c r="S197" i="63" s="1"/>
  <c r="M196" i="63"/>
  <c r="K196" i="63"/>
  <c r="J196" i="63"/>
  <c r="S196" i="63" s="1"/>
  <c r="M195" i="63"/>
  <c r="K195" i="63"/>
  <c r="J195" i="63"/>
  <c r="S195" i="63" s="1"/>
  <c r="O194" i="63"/>
  <c r="M194" i="63"/>
  <c r="L194" i="63"/>
  <c r="K194" i="63"/>
  <c r="J194" i="63"/>
  <c r="S194" i="63" s="1"/>
  <c r="O193" i="63"/>
  <c r="M193" i="63"/>
  <c r="L193" i="63"/>
  <c r="K193" i="63"/>
  <c r="J193" i="63"/>
  <c r="S193" i="63" s="1"/>
  <c r="O192" i="63"/>
  <c r="M192" i="63"/>
  <c r="L192" i="63"/>
  <c r="K192" i="63"/>
  <c r="J192" i="63"/>
  <c r="S192" i="63" s="1"/>
  <c r="O191" i="63"/>
  <c r="M191" i="63"/>
  <c r="L191" i="63"/>
  <c r="K191" i="63"/>
  <c r="J191" i="63"/>
  <c r="S191" i="63" s="1"/>
  <c r="O190" i="63"/>
  <c r="M190" i="63"/>
  <c r="L190" i="63"/>
  <c r="K190" i="63"/>
  <c r="J190" i="63"/>
  <c r="S190" i="63" s="1"/>
  <c r="O189" i="63"/>
  <c r="M189" i="63"/>
  <c r="L189" i="63"/>
  <c r="K189" i="63"/>
  <c r="J189" i="63"/>
  <c r="S189" i="63" s="1"/>
  <c r="P188" i="63"/>
  <c r="N188" i="63"/>
  <c r="M188" i="63"/>
  <c r="L188" i="63"/>
  <c r="K188" i="63"/>
  <c r="J188" i="63"/>
  <c r="S188" i="63" s="1"/>
  <c r="M187" i="63"/>
  <c r="L187" i="63"/>
  <c r="K187" i="63"/>
  <c r="J187" i="63"/>
  <c r="S187" i="63" s="1"/>
  <c r="M186" i="63"/>
  <c r="L186" i="63"/>
  <c r="K186" i="63"/>
  <c r="J186" i="63"/>
  <c r="S186" i="63" s="1"/>
  <c r="P185" i="63"/>
  <c r="M185" i="63"/>
  <c r="L185" i="63"/>
  <c r="K185" i="63"/>
  <c r="J185" i="63"/>
  <c r="S185" i="63" s="1"/>
  <c r="M184" i="63"/>
  <c r="L184" i="63"/>
  <c r="K184" i="63"/>
  <c r="J184" i="63"/>
  <c r="S184" i="63" s="1"/>
  <c r="M183" i="63"/>
  <c r="L183" i="63"/>
  <c r="K183" i="63"/>
  <c r="J183" i="63"/>
  <c r="S183" i="63" s="1"/>
  <c r="M182" i="63"/>
  <c r="L182" i="63"/>
  <c r="K182" i="63"/>
  <c r="J182" i="63"/>
  <c r="S182" i="63" s="1"/>
  <c r="M181" i="63"/>
  <c r="L181" i="63"/>
  <c r="K181" i="63"/>
  <c r="J181" i="63"/>
  <c r="S181" i="63" s="1"/>
  <c r="M180" i="63"/>
  <c r="L180" i="63"/>
  <c r="K180" i="63"/>
  <c r="J180" i="63"/>
  <c r="S180" i="63" s="1"/>
  <c r="M179" i="63"/>
  <c r="L179" i="63"/>
  <c r="K179" i="63"/>
  <c r="J179" i="63"/>
  <c r="S179" i="63" s="1"/>
  <c r="M178" i="63"/>
  <c r="L178" i="63"/>
  <c r="K178" i="63"/>
  <c r="J178" i="63"/>
  <c r="S178" i="63" s="1"/>
  <c r="M177" i="63"/>
  <c r="L177" i="63"/>
  <c r="K177" i="63"/>
  <c r="J177" i="63"/>
  <c r="S177" i="63" s="1"/>
  <c r="M176" i="63"/>
  <c r="L176" i="63"/>
  <c r="K176" i="63"/>
  <c r="J176" i="63"/>
  <c r="S176" i="63" s="1"/>
  <c r="M175" i="63"/>
  <c r="L175" i="63"/>
  <c r="K175" i="63"/>
  <c r="J175" i="63"/>
  <c r="S175" i="63" s="1"/>
  <c r="P174" i="63"/>
  <c r="M174" i="63"/>
  <c r="L174" i="63"/>
  <c r="K174" i="63"/>
  <c r="J174" i="63"/>
  <c r="S174" i="63" s="1"/>
  <c r="M173" i="63"/>
  <c r="L173" i="63"/>
  <c r="K173" i="63"/>
  <c r="J173" i="63"/>
  <c r="S173" i="63" s="1"/>
  <c r="M172" i="63"/>
  <c r="L172" i="63"/>
  <c r="K172" i="63"/>
  <c r="J172" i="63"/>
  <c r="S172" i="63" s="1"/>
  <c r="Q159" i="63"/>
  <c r="P159" i="63"/>
  <c r="O159" i="63"/>
  <c r="M158" i="63"/>
  <c r="K158" i="63"/>
  <c r="J158" i="63"/>
  <c r="S158" i="63" s="1"/>
  <c r="L157" i="63"/>
  <c r="J157" i="63"/>
  <c r="S157" i="63" s="1"/>
  <c r="J156" i="63"/>
  <c r="S156" i="63" s="1"/>
  <c r="J155" i="63"/>
  <c r="S155" i="63" s="1"/>
  <c r="J154" i="63"/>
  <c r="S154" i="63" s="1"/>
  <c r="M153" i="63"/>
  <c r="J153" i="63"/>
  <c r="S153" i="63" s="1"/>
  <c r="N152" i="63"/>
  <c r="M152" i="63"/>
  <c r="L152" i="63"/>
  <c r="K152" i="63"/>
  <c r="J152" i="63"/>
  <c r="S152" i="63" s="1"/>
  <c r="L151" i="63"/>
  <c r="J151" i="63"/>
  <c r="S151" i="63" s="1"/>
  <c r="L150" i="63"/>
  <c r="J150" i="63"/>
  <c r="S150" i="63" s="1"/>
  <c r="Q141" i="63"/>
  <c r="P141" i="63"/>
  <c r="O141" i="63"/>
  <c r="N141" i="63"/>
  <c r="L140" i="63"/>
  <c r="K140" i="63"/>
  <c r="J140" i="63"/>
  <c r="S140" i="63" s="1"/>
  <c r="J139" i="63"/>
  <c r="S139" i="63" s="1"/>
  <c r="J138" i="63"/>
  <c r="S138" i="63" s="1"/>
  <c r="Q133" i="63"/>
  <c r="P133" i="63"/>
  <c r="O133" i="63"/>
  <c r="N132" i="63"/>
  <c r="J132" i="63"/>
  <c r="S132" i="63" s="1"/>
  <c r="N131" i="63"/>
  <c r="J131" i="63"/>
  <c r="S131" i="63" s="1"/>
  <c r="N130" i="63"/>
  <c r="J130" i="63"/>
  <c r="S130" i="63" s="1"/>
  <c r="N129" i="63"/>
  <c r="J129" i="63"/>
  <c r="S129" i="63" s="1"/>
  <c r="Q127" i="63"/>
  <c r="P127" i="63"/>
  <c r="O127" i="63"/>
  <c r="N127" i="63"/>
  <c r="J126" i="63"/>
  <c r="S126" i="63" s="1"/>
  <c r="J125" i="63"/>
  <c r="S125" i="63" s="1"/>
  <c r="J124" i="63"/>
  <c r="S124" i="63" s="1"/>
  <c r="J123" i="63"/>
  <c r="S123" i="63" s="1"/>
  <c r="Q120" i="63"/>
  <c r="P120" i="63"/>
  <c r="O120" i="63"/>
  <c r="N118" i="63"/>
  <c r="J118" i="63"/>
  <c r="S118" i="63" s="1"/>
  <c r="N117" i="63"/>
  <c r="J117" i="63"/>
  <c r="S117" i="63" s="1"/>
  <c r="N116" i="63"/>
  <c r="J116" i="63"/>
  <c r="S116" i="63" s="1"/>
  <c r="N115" i="63"/>
  <c r="J115" i="63"/>
  <c r="S115" i="63" s="1"/>
  <c r="N114" i="63"/>
  <c r="J114" i="63"/>
  <c r="S114" i="63" s="1"/>
  <c r="J113" i="63"/>
  <c r="S113" i="63" s="1"/>
  <c r="M112" i="63"/>
  <c r="L112" i="63"/>
  <c r="K112" i="63"/>
  <c r="J112" i="63"/>
  <c r="S112" i="63" s="1"/>
  <c r="M111" i="63"/>
  <c r="L111" i="63"/>
  <c r="K111" i="63"/>
  <c r="J111" i="63"/>
  <c r="S111" i="63" s="1"/>
  <c r="M110" i="63"/>
  <c r="L110" i="63"/>
  <c r="K110" i="63"/>
  <c r="J110" i="63"/>
  <c r="S110" i="63" s="1"/>
  <c r="M109" i="63"/>
  <c r="L109" i="63"/>
  <c r="K109" i="63"/>
  <c r="J109" i="63"/>
  <c r="S109" i="63" s="1"/>
  <c r="M108" i="63"/>
  <c r="L108" i="63"/>
  <c r="K108" i="63"/>
  <c r="J108" i="63"/>
  <c r="S108" i="63" s="1"/>
  <c r="M107" i="63"/>
  <c r="L107" i="63"/>
  <c r="K107" i="63"/>
  <c r="J107" i="63"/>
  <c r="S107" i="63" s="1"/>
  <c r="Q102" i="63"/>
  <c r="O102" i="63"/>
  <c r="P101" i="63"/>
  <c r="O101" i="63"/>
  <c r="I101" i="63"/>
  <c r="H101" i="63"/>
  <c r="F101" i="63"/>
  <c r="E101" i="63"/>
  <c r="D101" i="63"/>
  <c r="C101" i="63"/>
  <c r="Q100" i="63"/>
  <c r="O100" i="63"/>
  <c r="N100" i="63"/>
  <c r="I100" i="63"/>
  <c r="H100" i="63"/>
  <c r="G100" i="63"/>
  <c r="F100" i="63"/>
  <c r="E100" i="63"/>
  <c r="D100" i="63"/>
  <c r="C100" i="63"/>
  <c r="J99" i="63"/>
  <c r="S99" i="63" s="1"/>
  <c r="J98" i="63"/>
  <c r="S98" i="63" s="1"/>
  <c r="J97" i="63"/>
  <c r="S97" i="63" s="1"/>
  <c r="J96" i="63"/>
  <c r="S96" i="63" s="1"/>
  <c r="J95" i="63"/>
  <c r="S95" i="63" s="1"/>
  <c r="J94" i="63"/>
  <c r="S94" i="63" s="1"/>
  <c r="P93" i="63"/>
  <c r="J93" i="63"/>
  <c r="S93" i="63" s="1"/>
  <c r="P92" i="63"/>
  <c r="J92" i="63"/>
  <c r="S92" i="63" s="1"/>
  <c r="P91" i="63"/>
  <c r="J91" i="63"/>
  <c r="S91" i="63" s="1"/>
  <c r="P90" i="63"/>
  <c r="J90" i="63"/>
  <c r="S90" i="63" s="1"/>
  <c r="P89" i="63"/>
  <c r="J89" i="63"/>
  <c r="S89" i="63" s="1"/>
  <c r="P88" i="63"/>
  <c r="J88" i="63"/>
  <c r="S88" i="63" s="1"/>
  <c r="Q85" i="63"/>
  <c r="P85" i="63"/>
  <c r="N85" i="63"/>
  <c r="O84" i="63"/>
  <c r="J84" i="63"/>
  <c r="O83" i="63"/>
  <c r="J83" i="63"/>
  <c r="O82" i="63"/>
  <c r="J82" i="63"/>
  <c r="J81" i="63"/>
  <c r="J80" i="63"/>
  <c r="J79" i="63"/>
  <c r="J78" i="63"/>
  <c r="J77" i="63"/>
  <c r="J76" i="63"/>
  <c r="J75" i="63"/>
  <c r="J74" i="63"/>
  <c r="J73" i="63"/>
  <c r="J72" i="63"/>
  <c r="J71" i="63"/>
  <c r="J70" i="63"/>
  <c r="J69" i="63"/>
  <c r="J68" i="63"/>
  <c r="Q61" i="63"/>
  <c r="I61" i="63"/>
  <c r="H61" i="63"/>
  <c r="F61" i="63"/>
  <c r="E61" i="63"/>
  <c r="D61" i="63"/>
  <c r="C61" i="63"/>
  <c r="J60" i="63"/>
  <c r="J59" i="63"/>
  <c r="J58" i="63"/>
  <c r="J57" i="63"/>
  <c r="J56" i="63"/>
  <c r="J55" i="63"/>
  <c r="J54" i="63"/>
  <c r="O61" i="63"/>
  <c r="J53" i="63"/>
  <c r="J52" i="63"/>
  <c r="J51" i="63"/>
  <c r="J50" i="63"/>
  <c r="J49" i="63"/>
  <c r="J48" i="63"/>
  <c r="Q44" i="63"/>
  <c r="I44" i="63"/>
  <c r="H44" i="63"/>
  <c r="G44" i="63"/>
  <c r="F44" i="63"/>
  <c r="E44" i="63"/>
  <c r="D44" i="63"/>
  <c r="C44" i="63"/>
  <c r="L43" i="63"/>
  <c r="K43" i="63"/>
  <c r="J43" i="63"/>
  <c r="J42" i="63"/>
  <c r="J41" i="63"/>
  <c r="J40" i="63"/>
  <c r="J39" i="63"/>
  <c r="J38" i="63"/>
  <c r="J37" i="63"/>
  <c r="J36" i="63"/>
  <c r="J35" i="63"/>
  <c r="J34" i="63"/>
  <c r="J33" i="63"/>
  <c r="J32" i="63"/>
  <c r="J31" i="63"/>
  <c r="J30" i="63"/>
  <c r="J29" i="63"/>
  <c r="O28" i="63"/>
  <c r="N28" i="63"/>
  <c r="K28" i="63"/>
  <c r="J28" i="63"/>
  <c r="O27" i="63"/>
  <c r="N27" i="63"/>
  <c r="K27" i="63"/>
  <c r="J27" i="63"/>
  <c r="O26" i="63"/>
  <c r="N26" i="63"/>
  <c r="K26" i="63"/>
  <c r="J26" i="63"/>
  <c r="O25" i="63"/>
  <c r="N25" i="63"/>
  <c r="K25" i="63"/>
  <c r="J25" i="63"/>
  <c r="Q24" i="63"/>
  <c r="P24" i="63"/>
  <c r="I24" i="63"/>
  <c r="H24" i="63"/>
  <c r="G24" i="63"/>
  <c r="F24" i="63"/>
  <c r="E24" i="63"/>
  <c r="D24" i="63"/>
  <c r="C24" i="63"/>
  <c r="S23" i="63"/>
  <c r="K23" i="63"/>
  <c r="R23" i="63" s="1"/>
  <c r="J23" i="63"/>
  <c r="K22" i="63"/>
  <c r="R22" i="63" s="1"/>
  <c r="J22" i="63"/>
  <c r="J21" i="63"/>
  <c r="J20" i="63"/>
  <c r="J19" i="63"/>
  <c r="J18" i="63"/>
  <c r="J17" i="63"/>
  <c r="N24" i="63"/>
  <c r="J16" i="63"/>
  <c r="J15" i="63"/>
  <c r="J14" i="63"/>
  <c r="O13" i="63"/>
  <c r="J13" i="63"/>
  <c r="O12" i="63"/>
  <c r="J12" i="63"/>
  <c r="S11" i="63"/>
  <c r="O11" i="63"/>
  <c r="J11" i="63"/>
  <c r="O10" i="63"/>
  <c r="J10" i="63"/>
  <c r="O9" i="63"/>
  <c r="J9" i="63"/>
  <c r="O8" i="63"/>
  <c r="J8" i="63"/>
  <c r="J7" i="63"/>
  <c r="R242" i="63" l="1"/>
  <c r="R420" i="63"/>
  <c r="R424" i="63"/>
  <c r="R428" i="63"/>
  <c r="R348" i="63"/>
  <c r="R352" i="63"/>
  <c r="R478" i="63"/>
  <c r="R422" i="63"/>
  <c r="R426" i="63"/>
  <c r="R345" i="63"/>
  <c r="R423" i="63"/>
  <c r="R427" i="63"/>
  <c r="R479" i="63"/>
  <c r="R432" i="63"/>
  <c r="R339" i="63"/>
  <c r="R387" i="63"/>
  <c r="R108" i="63"/>
  <c r="R356" i="63"/>
  <c r="R368" i="63"/>
  <c r="R384" i="63"/>
  <c r="R343" i="63"/>
  <c r="R351" i="63"/>
  <c r="R486" i="63"/>
  <c r="R214" i="63"/>
  <c r="R468" i="63"/>
  <c r="R472" i="63"/>
  <c r="R476" i="63"/>
  <c r="R156" i="63"/>
  <c r="R437" i="63"/>
  <c r="R445" i="63"/>
  <c r="R208" i="63"/>
  <c r="K489" i="63"/>
  <c r="R438" i="63"/>
  <c r="R450" i="63"/>
  <c r="R467" i="63"/>
  <c r="R471" i="63"/>
  <c r="R196" i="63"/>
  <c r="Q230" i="63"/>
  <c r="R382" i="63"/>
  <c r="R402" i="63"/>
  <c r="R416" i="63"/>
  <c r="R454" i="63"/>
  <c r="R458" i="63"/>
  <c r="R462" i="63"/>
  <c r="R435" i="63"/>
  <c r="R439" i="63"/>
  <c r="R443" i="63"/>
  <c r="R18" i="63"/>
  <c r="R363" i="63"/>
  <c r="R367" i="63"/>
  <c r="R375" i="63"/>
  <c r="R383" i="63"/>
  <c r="R395" i="63"/>
  <c r="R413" i="63"/>
  <c r="R459" i="63"/>
  <c r="O236" i="63"/>
  <c r="R425" i="63"/>
  <c r="R436" i="63"/>
  <c r="R440" i="63"/>
  <c r="R444" i="63"/>
  <c r="R185" i="63"/>
  <c r="R360" i="63"/>
  <c r="R364" i="63"/>
  <c r="R372" i="63"/>
  <c r="R376" i="63"/>
  <c r="R414" i="63"/>
  <c r="R448" i="63"/>
  <c r="R452" i="63"/>
  <c r="R460" i="63"/>
  <c r="R464" i="63"/>
  <c r="R433" i="63"/>
  <c r="R449" i="63"/>
  <c r="R357" i="63"/>
  <c r="R381" i="63"/>
  <c r="R385" i="63"/>
  <c r="R401" i="63"/>
  <c r="R8" i="63"/>
  <c r="R59" i="63"/>
  <c r="L101" i="63"/>
  <c r="R392" i="63"/>
  <c r="R396" i="63"/>
  <c r="R12" i="63"/>
  <c r="R138" i="63"/>
  <c r="R195" i="63"/>
  <c r="R340" i="63"/>
  <c r="R347" i="63"/>
  <c r="R355" i="63"/>
  <c r="R362" i="63"/>
  <c r="R370" i="63"/>
  <c r="R389" i="63"/>
  <c r="R410" i="63"/>
  <c r="R446" i="63"/>
  <c r="R457" i="63"/>
  <c r="R475" i="63"/>
  <c r="R485" i="63"/>
  <c r="R488" i="63"/>
  <c r="R56" i="63"/>
  <c r="R110" i="63"/>
  <c r="R359" i="63"/>
  <c r="R157" i="63"/>
  <c r="R234" i="63"/>
  <c r="R337" i="63"/>
  <c r="R341" i="63"/>
  <c r="R371" i="63"/>
  <c r="R386" i="63"/>
  <c r="R405" i="63"/>
  <c r="R447" i="63"/>
  <c r="R139" i="63"/>
  <c r="R19" i="63"/>
  <c r="R129" i="63"/>
  <c r="R391" i="63"/>
  <c r="R419" i="63"/>
  <c r="R469" i="63"/>
  <c r="M133" i="63"/>
  <c r="R365" i="63"/>
  <c r="R399" i="63"/>
  <c r="R412" i="63"/>
  <c r="M489" i="63"/>
  <c r="R487" i="63"/>
  <c r="R126" i="63"/>
  <c r="R140" i="63"/>
  <c r="R388" i="63"/>
  <c r="R403" i="63"/>
  <c r="R407" i="63"/>
  <c r="R434" i="63"/>
  <c r="R456" i="63"/>
  <c r="P44" i="63"/>
  <c r="R113" i="63"/>
  <c r="L141" i="63"/>
  <c r="R429" i="63"/>
  <c r="R442" i="63"/>
  <c r="R10" i="63"/>
  <c r="R70" i="63"/>
  <c r="R81" i="63"/>
  <c r="R109" i="63"/>
  <c r="R112" i="63"/>
  <c r="R118" i="63"/>
  <c r="R178" i="63"/>
  <c r="R361" i="63"/>
  <c r="R379" i="63"/>
  <c r="R470" i="63"/>
  <c r="R473" i="63"/>
  <c r="M230" i="63"/>
  <c r="R480" i="63"/>
  <c r="R21" i="63"/>
  <c r="R107" i="63"/>
  <c r="L120" i="63"/>
  <c r="L133" i="63"/>
  <c r="R193" i="63"/>
  <c r="R212" i="63"/>
  <c r="M244" i="63"/>
  <c r="R406" i="63"/>
  <c r="K482" i="63"/>
  <c r="R417" i="63"/>
  <c r="R430" i="63"/>
  <c r="R455" i="63"/>
  <c r="R461" i="63"/>
  <c r="P61" i="63"/>
  <c r="R97" i="63"/>
  <c r="M120" i="63"/>
  <c r="R131" i="63"/>
  <c r="R152" i="63"/>
  <c r="R198" i="63"/>
  <c r="N482" i="63"/>
  <c r="R477" i="63"/>
  <c r="R11" i="63"/>
  <c r="R16" i="63"/>
  <c r="M141" i="63"/>
  <c r="R150" i="63"/>
  <c r="R179" i="63"/>
  <c r="R229" i="63"/>
  <c r="O244" i="63"/>
  <c r="R338" i="63"/>
  <c r="R349" i="63"/>
  <c r="R366" i="63"/>
  <c r="R369" i="63"/>
  <c r="R380" i="63"/>
  <c r="R390" i="63"/>
  <c r="R393" i="63"/>
  <c r="R400" i="63"/>
  <c r="R411" i="63"/>
  <c r="R415" i="63"/>
  <c r="R421" i="63"/>
  <c r="R474" i="63"/>
  <c r="R9" i="63"/>
  <c r="L127" i="63"/>
  <c r="R191" i="63"/>
  <c r="R199" i="63"/>
  <c r="R219" i="63"/>
  <c r="R227" i="63"/>
  <c r="R233" i="63"/>
  <c r="R342" i="63"/>
  <c r="R373" i="63"/>
  <c r="R397" i="63"/>
  <c r="R418" i="63"/>
  <c r="R431" i="63"/>
  <c r="M24" i="63"/>
  <c r="M61" i="63"/>
  <c r="P102" i="63"/>
  <c r="R91" i="63"/>
  <c r="R98" i="63"/>
  <c r="N120" i="63"/>
  <c r="R216" i="63"/>
  <c r="R346" i="63"/>
  <c r="R353" i="63"/>
  <c r="R465" i="63"/>
  <c r="N489" i="63"/>
  <c r="R39" i="63"/>
  <c r="R130" i="63"/>
  <c r="R453" i="63"/>
  <c r="R484" i="63"/>
  <c r="R52" i="63"/>
  <c r="R55" i="63"/>
  <c r="R153" i="63"/>
  <c r="R197" i="63"/>
  <c r="R404" i="63"/>
  <c r="R441" i="63"/>
  <c r="R463" i="63"/>
  <c r="R20" i="63"/>
  <c r="P100" i="63"/>
  <c r="R117" i="63"/>
  <c r="N133" i="63"/>
  <c r="R158" i="63"/>
  <c r="R192" i="63"/>
  <c r="R210" i="63"/>
  <c r="L244" i="63"/>
  <c r="R350" i="63"/>
  <c r="R354" i="63"/>
  <c r="R374" i="63"/>
  <c r="R378" i="63"/>
  <c r="R398" i="63"/>
  <c r="R451" i="63"/>
  <c r="R466" i="63"/>
  <c r="P244" i="63"/>
  <c r="R228" i="63"/>
  <c r="N230" i="63"/>
  <c r="R207" i="63"/>
  <c r="R206" i="63"/>
  <c r="R205" i="63"/>
  <c r="M220" i="63"/>
  <c r="R154" i="63"/>
  <c r="M159" i="63"/>
  <c r="R96" i="63"/>
  <c r="M101" i="63"/>
  <c r="M102" i="63"/>
  <c r="R90" i="63"/>
  <c r="M100" i="63"/>
  <c r="R115" i="63"/>
  <c r="R77" i="63"/>
  <c r="M85" i="63"/>
  <c r="R41" i="63"/>
  <c r="R37" i="63"/>
  <c r="M44" i="63"/>
  <c r="N244" i="63"/>
  <c r="L230" i="63"/>
  <c r="R226" i="63"/>
  <c r="R189" i="63"/>
  <c r="R187" i="63"/>
  <c r="R186" i="63"/>
  <c r="R184" i="63"/>
  <c r="R183" i="63"/>
  <c r="R182" i="63"/>
  <c r="R181" i="63"/>
  <c r="R180" i="63"/>
  <c r="R177" i="63"/>
  <c r="R176" i="63"/>
  <c r="R173" i="63"/>
  <c r="R175" i="63"/>
  <c r="R174" i="63"/>
  <c r="L220" i="63"/>
  <c r="L159" i="63"/>
  <c r="R93" i="63"/>
  <c r="R92" i="63"/>
  <c r="R89" i="63"/>
  <c r="L100" i="63"/>
  <c r="R88" i="63"/>
  <c r="R76" i="63"/>
  <c r="R40" i="63"/>
  <c r="L44" i="63"/>
  <c r="R30" i="63"/>
  <c r="L24" i="63"/>
  <c r="R14" i="63"/>
  <c r="R358" i="63"/>
  <c r="R377" i="63"/>
  <c r="N409" i="63"/>
  <c r="R394" i="63"/>
  <c r="S141" i="63"/>
  <c r="N102" i="63"/>
  <c r="R94" i="63"/>
  <c r="N61" i="63"/>
  <c r="R75" i="63"/>
  <c r="L85" i="63"/>
  <c r="R73" i="63"/>
  <c r="R69" i="63"/>
  <c r="R74" i="63"/>
  <c r="R72" i="63"/>
  <c r="R48" i="63"/>
  <c r="R58" i="63"/>
  <c r="R49" i="63"/>
  <c r="R54" i="63"/>
  <c r="R84" i="63"/>
  <c r="R83" i="63"/>
  <c r="R71" i="63"/>
  <c r="R80" i="63"/>
  <c r="R78" i="63"/>
  <c r="R68" i="63"/>
  <c r="R57" i="63"/>
  <c r="R51" i="63"/>
  <c r="L61" i="63"/>
  <c r="R151" i="63"/>
  <c r="N159" i="63"/>
  <c r="O85" i="63"/>
  <c r="O220" i="63"/>
  <c r="R34" i="63"/>
  <c r="R32" i="63"/>
  <c r="R29" i="63"/>
  <c r="Q220" i="63"/>
  <c r="R201" i="63"/>
  <c r="R25" i="63"/>
  <c r="R26" i="63"/>
  <c r="O44" i="63"/>
  <c r="R27" i="63"/>
  <c r="N44" i="63"/>
  <c r="R28" i="63"/>
  <c r="J482" i="63"/>
  <c r="R344" i="63"/>
  <c r="J409" i="63"/>
  <c r="K409" i="63"/>
  <c r="R243" i="63"/>
  <c r="S244" i="63"/>
  <c r="K244" i="63"/>
  <c r="S236" i="63"/>
  <c r="R235" i="63"/>
  <c r="K236" i="63"/>
  <c r="R215" i="63"/>
  <c r="R213" i="63"/>
  <c r="R209" i="63"/>
  <c r="R202" i="63"/>
  <c r="R200" i="63"/>
  <c r="R194" i="63"/>
  <c r="R190" i="63"/>
  <c r="R188" i="63"/>
  <c r="K220" i="63"/>
  <c r="R155" i="63"/>
  <c r="S159" i="63"/>
  <c r="R125" i="63"/>
  <c r="S127" i="63"/>
  <c r="R123" i="63"/>
  <c r="K127" i="63"/>
  <c r="R111" i="63"/>
  <c r="K120" i="63"/>
  <c r="J101" i="63"/>
  <c r="R95" i="63"/>
  <c r="J100" i="63"/>
  <c r="R82" i="63"/>
  <c r="K141" i="63"/>
  <c r="R79" i="63"/>
  <c r="S85" i="63"/>
  <c r="R53" i="63"/>
  <c r="R50" i="63"/>
  <c r="S61" i="63"/>
  <c r="J61" i="63"/>
  <c r="R38" i="63"/>
  <c r="R36" i="63"/>
  <c r="R35" i="63"/>
  <c r="R33" i="63"/>
  <c r="R31" i="63"/>
  <c r="S44" i="63"/>
  <c r="J44" i="63"/>
  <c r="R17" i="63"/>
  <c r="R15" i="63"/>
  <c r="R13" i="63"/>
  <c r="R7" i="63"/>
  <c r="K24" i="63"/>
  <c r="J24" i="63"/>
  <c r="S24" i="63"/>
  <c r="P220" i="63"/>
  <c r="N220" i="63"/>
  <c r="R218" i="63"/>
  <c r="R217" i="63"/>
  <c r="S230" i="63"/>
  <c r="S133" i="63"/>
  <c r="S489" i="63"/>
  <c r="S120" i="63"/>
  <c r="S220" i="63"/>
  <c r="R99" i="63"/>
  <c r="K101" i="63"/>
  <c r="K133" i="63"/>
  <c r="L236" i="63"/>
  <c r="K100" i="63"/>
  <c r="O24" i="63"/>
  <c r="R124" i="63"/>
  <c r="M236" i="63"/>
  <c r="S338" i="63"/>
  <c r="S409" i="63" s="1"/>
  <c r="S411" i="63"/>
  <c r="S482" i="63" s="1"/>
  <c r="K61" i="63"/>
  <c r="R114" i="63"/>
  <c r="R132" i="63"/>
  <c r="K159" i="63"/>
  <c r="N101" i="63"/>
  <c r="K85" i="63"/>
  <c r="R116" i="63"/>
  <c r="M127" i="63"/>
  <c r="R172" i="63"/>
  <c r="K102" i="63"/>
  <c r="K230" i="63"/>
  <c r="J489" i="63"/>
  <c r="L102" i="63"/>
  <c r="K44" i="63"/>
  <c r="L495" i="63" l="1"/>
  <c r="S102" i="63"/>
  <c r="K495" i="63" s="1"/>
  <c r="P497" i="63" s="1"/>
  <c r="R133" i="63"/>
  <c r="R230" i="63"/>
  <c r="R236" i="63"/>
  <c r="R141" i="63"/>
  <c r="R489" i="63"/>
  <c r="K490" i="63"/>
  <c r="R159" i="63"/>
  <c r="R482" i="63"/>
  <c r="R127" i="63"/>
  <c r="R409" i="63"/>
  <c r="R102" i="63"/>
  <c r="R244" i="63"/>
  <c r="R85" i="63"/>
  <c r="R61" i="63"/>
  <c r="R24" i="63"/>
  <c r="R44" i="63"/>
  <c r="R220" i="63"/>
  <c r="R120" i="63"/>
  <c r="S490" i="63"/>
  <c r="L494" i="63" l="1"/>
  <c r="O498" i="63" s="1"/>
  <c r="N509" i="63"/>
  <c r="N512" i="63" s="1"/>
  <c r="P498" i="63"/>
  <c r="M509" i="63"/>
  <c r="K494" i="63"/>
  <c r="R490" i="63"/>
  <c r="M494" i="63" s="1"/>
  <c r="O500" i="63" s="1"/>
  <c r="M495" i="63"/>
  <c r="P500" i="63" s="1"/>
  <c r="P495" i="63" l="1"/>
  <c r="M508" i="63"/>
  <c r="M511" i="63" s="1"/>
  <c r="O497" i="63"/>
  <c r="O502" i="63" s="1"/>
  <c r="P494" i="63"/>
  <c r="N508" i="63"/>
  <c r="N511" i="63" s="1"/>
  <c r="O509" i="63"/>
  <c r="O512" i="63" s="1"/>
  <c r="O508" i="63"/>
  <c r="O511" i="63" s="1"/>
  <c r="M512" i="63"/>
  <c r="P502" i="63"/>
  <c r="P509" i="63" l="1"/>
  <c r="P512" i="63"/>
  <c r="P511" i="63"/>
  <c r="P508" i="63"/>
</calcChain>
</file>

<file path=xl/sharedStrings.xml><?xml version="1.0" encoding="utf-8"?>
<sst xmlns="http://schemas.openxmlformats.org/spreadsheetml/2006/main" count="4403" uniqueCount="1075">
  <si>
    <t>P00000YZ</t>
  </si>
  <si>
    <t>컵세트할인</t>
  </si>
  <si>
    <t>도매</t>
  </si>
  <si>
    <t>인증살롱</t>
  </si>
  <si>
    <t>마스터</t>
  </si>
  <si>
    <t>할인행사</t>
  </si>
  <si>
    <t>합계</t>
  </si>
  <si>
    <t>P00000VS</t>
  </si>
  <si>
    <t>P00000QE</t>
  </si>
  <si>
    <t>P00000VR</t>
  </si>
  <si>
    <t>P00000YS</t>
  </si>
  <si>
    <t>스타터키트</t>
  </si>
  <si>
    <t>하드왁스</t>
  </si>
  <si>
    <t>P00000ZC</t>
  </si>
  <si>
    <t>P00000YU</t>
  </si>
  <si>
    <t>바디스타터키트</t>
  </si>
  <si>
    <t>할인</t>
  </si>
  <si>
    <t>세트할인</t>
  </si>
  <si>
    <t>품목별합계</t>
  </si>
  <si>
    <t>도매,마스터원가</t>
  </si>
  <si>
    <t>아이브로우</t>
  </si>
  <si>
    <t>P00000HT</t>
  </si>
  <si>
    <t>하이브리드</t>
  </si>
  <si>
    <t>P00000BV</t>
  </si>
  <si>
    <t>화이트</t>
  </si>
  <si>
    <t>P00000CB</t>
  </si>
  <si>
    <t>슈퍼베리</t>
  </si>
  <si>
    <t>P00000BX</t>
  </si>
  <si>
    <t>루비500g</t>
  </si>
  <si>
    <t>맨니하이브리드</t>
  </si>
  <si>
    <t>P00000XE</t>
  </si>
  <si>
    <t>500g총합계</t>
  </si>
  <si>
    <t>P00000ZB</t>
  </si>
  <si>
    <t>핑키니하드</t>
  </si>
  <si>
    <t>P00000UH</t>
  </si>
  <si>
    <t>루비1kg</t>
  </si>
  <si>
    <t>P00000TI</t>
  </si>
  <si>
    <t>데저트</t>
  </si>
  <si>
    <t>P00000BY</t>
  </si>
  <si>
    <t>라벤더</t>
  </si>
  <si>
    <t>P00000BZ</t>
  </si>
  <si>
    <t>로제트</t>
  </si>
  <si>
    <t>맨니피코</t>
  </si>
  <si>
    <t>P00000CG</t>
  </si>
  <si>
    <t>올리브</t>
  </si>
  <si>
    <t>P00000CA</t>
  </si>
  <si>
    <t>바닐라</t>
  </si>
  <si>
    <t>P00000BW</t>
  </si>
  <si>
    <t>소베리</t>
  </si>
  <si>
    <t>아쥴렌</t>
  </si>
  <si>
    <t>P00000CE</t>
  </si>
  <si>
    <t>액티브골드</t>
  </si>
  <si>
    <t>P00000KH</t>
  </si>
  <si>
    <t>알로에</t>
  </si>
  <si>
    <t>P00000CD</t>
  </si>
  <si>
    <t>아프리콧</t>
  </si>
  <si>
    <t>1kg총합계</t>
  </si>
  <si>
    <t>P00000VT</t>
  </si>
  <si>
    <t>P00000QF</t>
  </si>
  <si>
    <t>스트립왁스</t>
  </si>
  <si>
    <t>S_화이트</t>
  </si>
  <si>
    <t>P00000CQ</t>
  </si>
  <si>
    <t>S_슈퍼베리</t>
  </si>
  <si>
    <t>P00000CL</t>
  </si>
  <si>
    <t>S_로제트</t>
  </si>
  <si>
    <t>P00000CO</t>
  </si>
  <si>
    <t>S_맨니피코</t>
  </si>
  <si>
    <t>P00000CW</t>
  </si>
  <si>
    <t>S_올리브</t>
  </si>
  <si>
    <t>S_바닐라</t>
  </si>
  <si>
    <t>P00000CM</t>
  </si>
  <si>
    <t>S_소베리</t>
  </si>
  <si>
    <t>P00000CT</t>
  </si>
  <si>
    <t>S_아쥴렌</t>
  </si>
  <si>
    <t>P00000CU</t>
  </si>
  <si>
    <t>S_액티브골드</t>
  </si>
  <si>
    <t>P00000CP</t>
  </si>
  <si>
    <t>S_알로에</t>
  </si>
  <si>
    <t>P00000CS</t>
  </si>
  <si>
    <t>S_아프리콧</t>
  </si>
  <si>
    <t>S_소여미</t>
  </si>
  <si>
    <t>P00000CV</t>
  </si>
  <si>
    <t>총합계</t>
  </si>
  <si>
    <t>P00000VU</t>
  </si>
  <si>
    <t>P00000QG</t>
  </si>
  <si>
    <t>P00000VV</t>
  </si>
  <si>
    <t>P00000QH</t>
  </si>
  <si>
    <t>5종미니</t>
  </si>
  <si>
    <t>P00000WO</t>
  </si>
  <si>
    <t>P00000UF</t>
  </si>
  <si>
    <t>P00000XC</t>
  </si>
  <si>
    <t>P00000WZ</t>
  </si>
  <si>
    <t>전후처리제</t>
  </si>
  <si>
    <t>스킨클렌저500</t>
  </si>
  <si>
    <t>P00000BP</t>
  </si>
  <si>
    <t>스킨클렌저1000</t>
  </si>
  <si>
    <t>프리왁싱오일500</t>
  </si>
  <si>
    <t>P00000BQ</t>
  </si>
  <si>
    <t>프리1000</t>
  </si>
  <si>
    <t>티트리퍼팩</t>
  </si>
  <si>
    <t>P00000BR</t>
  </si>
  <si>
    <t>티트리수드500</t>
  </si>
  <si>
    <t>P00000BS</t>
  </si>
  <si>
    <t>티트리수드1000</t>
  </si>
  <si>
    <t>수딩크림500</t>
  </si>
  <si>
    <t>P00000KP</t>
  </si>
  <si>
    <t>솔벤트500</t>
  </si>
  <si>
    <t>P00000BT</t>
  </si>
  <si>
    <t>솔벤트1000</t>
  </si>
  <si>
    <t>핑키니스킨500</t>
  </si>
  <si>
    <t>P00000PN</t>
  </si>
  <si>
    <t>핑키니프리500</t>
  </si>
  <si>
    <t>핑키니피니싱500</t>
  </si>
  <si>
    <t>5종미니125미리</t>
  </si>
  <si>
    <t>맨니스킨250</t>
  </si>
  <si>
    <t>P00000XD</t>
  </si>
  <si>
    <t>맨니오일250</t>
  </si>
  <si>
    <t>맨니피니싱250</t>
  </si>
  <si>
    <t>증정행사</t>
  </si>
  <si>
    <t>P00000WC</t>
  </si>
  <si>
    <t>P00000QP</t>
  </si>
  <si>
    <t>P00000VP</t>
  </si>
  <si>
    <t>슈거스크럽</t>
  </si>
  <si>
    <t>P00000WE</t>
  </si>
  <si>
    <t>P00000QQ</t>
  </si>
  <si>
    <t>미니묶음</t>
  </si>
  <si>
    <t>석류520</t>
  </si>
  <si>
    <t>P00000BN</t>
  </si>
  <si>
    <t>자몽520</t>
  </si>
  <si>
    <t>라벤더520</t>
  </si>
  <si>
    <t>애플520</t>
  </si>
  <si>
    <t>코코넛520</t>
  </si>
  <si>
    <t>망고520</t>
  </si>
  <si>
    <t>석류100</t>
  </si>
  <si>
    <t>P00000OG</t>
  </si>
  <si>
    <t>자몽100</t>
  </si>
  <si>
    <t>라벤더100</t>
  </si>
  <si>
    <t>애플100</t>
  </si>
  <si>
    <t>코코넛100</t>
  </si>
  <si>
    <t>망고100</t>
  </si>
  <si>
    <t>미니100ml합계</t>
  </si>
  <si>
    <t>기타</t>
  </si>
  <si>
    <t>P00000WG</t>
  </si>
  <si>
    <t>P00000QS</t>
  </si>
  <si>
    <t>P00000WF</t>
  </si>
  <si>
    <t>P00000QR</t>
  </si>
  <si>
    <t>바디로션</t>
  </si>
  <si>
    <t>석류로션250</t>
  </si>
  <si>
    <t>P000000U</t>
  </si>
  <si>
    <t>자몽로션250</t>
  </si>
  <si>
    <t>라벤더로션</t>
  </si>
  <si>
    <t>애플로션250</t>
  </si>
  <si>
    <t>코코넛250</t>
  </si>
  <si>
    <t>망고로션250</t>
  </si>
  <si>
    <t>석류1000</t>
  </si>
  <si>
    <t>P000000V</t>
  </si>
  <si>
    <t>자몽1000</t>
  </si>
  <si>
    <t>라벤더1000</t>
  </si>
  <si>
    <t>애플1000</t>
  </si>
  <si>
    <t>코코넛1000</t>
  </si>
  <si>
    <t>망고1000</t>
  </si>
  <si>
    <t>대용량슈거스크럽</t>
  </si>
  <si>
    <t>P00000WD</t>
  </si>
  <si>
    <t>P00000QY</t>
  </si>
  <si>
    <t>석류2.5kg</t>
  </si>
  <si>
    <t>P000000W</t>
  </si>
  <si>
    <t>자몽2.5kg</t>
  </si>
  <si>
    <t>라벤더2.5kg</t>
  </si>
  <si>
    <t>코코넛2.5kg</t>
  </si>
  <si>
    <t>페디제품</t>
  </si>
  <si>
    <t>P00000WJ</t>
  </si>
  <si>
    <t>P00000RC</t>
  </si>
  <si>
    <t>리프레싱속</t>
  </si>
  <si>
    <t>페디마사지로션</t>
  </si>
  <si>
    <t>페디스크럽2.5</t>
  </si>
  <si>
    <t>페디마스크팩</t>
  </si>
  <si>
    <t>P00000WH</t>
  </si>
  <si>
    <t>세트제품</t>
  </si>
  <si>
    <t>P00000XB</t>
  </si>
  <si>
    <t>P00000XA</t>
  </si>
  <si>
    <t>핑키니브라질리언세트</t>
  </si>
  <si>
    <t>맨니피코세트</t>
  </si>
  <si>
    <t>P00000VW</t>
  </si>
  <si>
    <t>P00000QI</t>
  </si>
  <si>
    <t>P00000QK</t>
  </si>
  <si>
    <t>P00000KX</t>
  </si>
  <si>
    <t>사후관리제품</t>
  </si>
  <si>
    <t>인크,헤어</t>
  </si>
  <si>
    <t>P00000VY</t>
  </si>
  <si>
    <t>P00000QL</t>
  </si>
  <si>
    <t>바디,셀룰</t>
  </si>
  <si>
    <t>P00000VZ</t>
  </si>
  <si>
    <t>P00000QM</t>
  </si>
  <si>
    <t>핑키니</t>
  </si>
  <si>
    <t>P00000WB</t>
  </si>
  <si>
    <t>P00000QO</t>
  </si>
  <si>
    <t>로션250</t>
  </si>
  <si>
    <t>인그로운50ml</t>
  </si>
  <si>
    <t>인그로운125ml</t>
  </si>
  <si>
    <t>P00000BJ</t>
  </si>
  <si>
    <t>인그로운15ml</t>
  </si>
  <si>
    <t>인그로운크림</t>
  </si>
  <si>
    <t>P00000BI</t>
  </si>
  <si>
    <t>바디엑스폴리언트</t>
  </si>
  <si>
    <t>핑키니미백세럼ea</t>
  </si>
  <si>
    <t>핑키니미백세럼box</t>
  </si>
  <si>
    <t>P00000PP</t>
  </si>
  <si>
    <t>인그로운XIT포밍젤</t>
  </si>
  <si>
    <t>P00000BH</t>
  </si>
  <si>
    <t>티트리토탈워시</t>
  </si>
  <si>
    <t>P00000BM</t>
  </si>
  <si>
    <t>가맹점</t>
  </si>
  <si>
    <t>스파에이전</t>
  </si>
  <si>
    <t>P00000XS</t>
  </si>
  <si>
    <t>P00000NE</t>
  </si>
  <si>
    <t>P00000XY</t>
  </si>
  <si>
    <t>P00000ND</t>
  </si>
  <si>
    <t>제모미인제품</t>
  </si>
  <si>
    <t>P00000NF</t>
  </si>
  <si>
    <t>P00000ZI</t>
  </si>
  <si>
    <t>P00000NJ</t>
  </si>
  <si>
    <t>알로에800</t>
  </si>
  <si>
    <t>P00000LP</t>
  </si>
  <si>
    <t>자디니네츄럴포밍</t>
  </si>
  <si>
    <t>P00000PT</t>
  </si>
  <si>
    <t>히아루로닉50</t>
  </si>
  <si>
    <t>P00000TJ</t>
  </si>
  <si>
    <t>P00000MG</t>
  </si>
  <si>
    <t>안티바이오자디니</t>
  </si>
  <si>
    <t>P00000JX</t>
  </si>
  <si>
    <t>P00000HO</t>
  </si>
  <si>
    <t>P00000XU</t>
  </si>
  <si>
    <t>자디니시카팩</t>
  </si>
  <si>
    <t>P00000XW</t>
  </si>
  <si>
    <t>시카마스크5개</t>
  </si>
  <si>
    <t>제모미인스킨100</t>
  </si>
  <si>
    <t>P00000ZA</t>
  </si>
  <si>
    <t>제모미인오일100</t>
  </si>
  <si>
    <t>제모스킨덕용10L</t>
  </si>
  <si>
    <t>제모오일덕용10L</t>
  </si>
  <si>
    <t>바자즐링제품</t>
  </si>
  <si>
    <t>마스터번들(50+10)</t>
  </si>
  <si>
    <t>P00000VA</t>
  </si>
  <si>
    <t>P00000SF</t>
  </si>
  <si>
    <t>P00000WW</t>
  </si>
  <si>
    <t>y존케어150</t>
  </si>
  <si>
    <t>P00000KB</t>
  </si>
  <si>
    <t>여성세정제</t>
  </si>
  <si>
    <t>P00000LL</t>
  </si>
  <si>
    <t>여성청결제</t>
  </si>
  <si>
    <t>P00000KY</t>
  </si>
  <si>
    <t>P00000SV</t>
  </si>
  <si>
    <t>P00000OD</t>
  </si>
  <si>
    <t>센서형소독용제</t>
  </si>
  <si>
    <t>P00000ZM</t>
  </si>
  <si>
    <t>센서형소독용세트</t>
  </si>
  <si>
    <t>미니파우치포밍</t>
  </si>
  <si>
    <t>마스터박스</t>
  </si>
  <si>
    <t>브라질리언수딩팩</t>
  </si>
  <si>
    <t>P00000ID</t>
  </si>
  <si>
    <t>화이트브라질팩</t>
  </si>
  <si>
    <t>증정</t>
  </si>
  <si>
    <t>P00000QT</t>
  </si>
  <si>
    <t>P00000VL</t>
  </si>
  <si>
    <t>보상판매</t>
  </si>
  <si>
    <t>P00000WK</t>
  </si>
  <si>
    <t>P00000QU</t>
  </si>
  <si>
    <t>워머기&amp;컵</t>
  </si>
  <si>
    <t>P00000NL</t>
  </si>
  <si>
    <t>P00000VK</t>
  </si>
  <si>
    <t>1000/1000</t>
  </si>
  <si>
    <t>베이비히터</t>
  </si>
  <si>
    <t>컵500</t>
  </si>
  <si>
    <t>P00000DY</t>
  </si>
  <si>
    <t>컵1000</t>
  </si>
  <si>
    <t>베이비컵</t>
  </si>
  <si>
    <t>에어브러쉬건</t>
  </si>
  <si>
    <t>P00000QC</t>
  </si>
  <si>
    <t>센서형손소독기</t>
  </si>
  <si>
    <t>P00000WN</t>
  </si>
  <si>
    <t>P00000QW</t>
  </si>
  <si>
    <t>소모품</t>
  </si>
  <si>
    <t>스파츌라</t>
  </si>
  <si>
    <t>P00000WL</t>
  </si>
  <si>
    <t>P00000QV</t>
  </si>
  <si>
    <t>부직포</t>
  </si>
  <si>
    <t>P00000WM</t>
  </si>
  <si>
    <t>P00000QX</t>
  </si>
  <si>
    <t>위생시트(개수)</t>
  </si>
  <si>
    <t>P00000DB</t>
  </si>
  <si>
    <t>제모미인항균시트</t>
  </si>
  <si>
    <t>5겹솜</t>
  </si>
  <si>
    <t>깃털천</t>
  </si>
  <si>
    <t>P00000CZ</t>
  </si>
  <si>
    <t>부직포250</t>
  </si>
  <si>
    <t>P00000DD</t>
  </si>
  <si>
    <t>라이콘롤50m</t>
  </si>
  <si>
    <t>P00000DA</t>
  </si>
  <si>
    <t>스파앞치마</t>
  </si>
  <si>
    <t>P00000LD</t>
  </si>
  <si>
    <t>바디스파츌라</t>
  </si>
  <si>
    <t>바디스파츌라(묶음)</t>
  </si>
  <si>
    <t>P00000TX</t>
  </si>
  <si>
    <t>패들팝</t>
  </si>
  <si>
    <t>P00000DE</t>
  </si>
  <si>
    <t>패들팝(묶음)</t>
  </si>
  <si>
    <t>페이스스파츌라</t>
  </si>
  <si>
    <t>P00000LA</t>
  </si>
  <si>
    <t>페이스스파츌라(묶음)</t>
  </si>
  <si>
    <t>쇼핑백(소)</t>
  </si>
  <si>
    <t>P00000GH</t>
  </si>
  <si>
    <t>쇼핑백(중)</t>
  </si>
  <si>
    <t>스파타올(대)</t>
  </si>
  <si>
    <t>스파타올(중)</t>
  </si>
  <si>
    <t>스파타올(소)</t>
  </si>
  <si>
    <t>케이프세트</t>
  </si>
  <si>
    <t>P00000ED</t>
  </si>
  <si>
    <t>제모미인터번</t>
  </si>
  <si>
    <t>mts롤러</t>
  </si>
  <si>
    <t>아이스쿨러</t>
  </si>
  <si>
    <t>가위</t>
  </si>
  <si>
    <t>P00000OE</t>
  </si>
  <si>
    <t>온도계</t>
  </si>
  <si>
    <t>P00000KG</t>
  </si>
  <si>
    <t>브러쉬</t>
  </si>
  <si>
    <t>브로우펜슬</t>
  </si>
  <si>
    <t>거울</t>
  </si>
  <si>
    <t>복주머니</t>
  </si>
  <si>
    <t>P00000FN</t>
  </si>
  <si>
    <t>제모미인앞치마</t>
  </si>
  <si>
    <t>pp박스</t>
  </si>
  <si>
    <t>P00000JI</t>
  </si>
  <si>
    <t>실리콘팩브러쉬</t>
  </si>
  <si>
    <t>제모미인쇼핑백</t>
  </si>
  <si>
    <t>지퍼백(밑면삼각)</t>
  </si>
  <si>
    <t>고마쥐튜브</t>
  </si>
  <si>
    <t>비품</t>
  </si>
  <si>
    <t>히알공병</t>
  </si>
  <si>
    <t>인그로운스프레이</t>
  </si>
  <si>
    <t>도매매출</t>
  </si>
  <si>
    <t>원가</t>
  </si>
  <si>
    <t>라이콘</t>
  </si>
  <si>
    <t>제모미인</t>
  </si>
  <si>
    <t>샘플튜브</t>
  </si>
  <si>
    <t>MTS롤러</t>
  </si>
  <si>
    <t>인스125,50</t>
  </si>
  <si>
    <t>P0000BAJ</t>
  </si>
  <si>
    <t>위생용품</t>
  </si>
  <si>
    <t>픽미트위저</t>
    <phoneticPr fontId="53" type="noConversion"/>
  </si>
  <si>
    <t>P0000BBL</t>
    <phoneticPr fontId="53" type="noConversion"/>
  </si>
  <si>
    <t>롤러,거울</t>
    <phoneticPr fontId="53" type="noConversion"/>
  </si>
  <si>
    <t>P00000DH</t>
    <phoneticPr fontId="53" type="noConversion"/>
  </si>
  <si>
    <t>P0000BBR</t>
    <phoneticPr fontId="53" type="noConversion"/>
  </si>
  <si>
    <t>위생장갑</t>
    <phoneticPr fontId="53" type="noConversion"/>
  </si>
  <si>
    <t>위생장갑(S)</t>
    <phoneticPr fontId="53" type="noConversion"/>
  </si>
  <si>
    <t>위생장갑(M)</t>
    <phoneticPr fontId="53" type="noConversion"/>
  </si>
  <si>
    <t>지퍼백(대)</t>
    <phoneticPr fontId="53" type="noConversion"/>
  </si>
  <si>
    <t>P00000SG</t>
    <phoneticPr fontId="53" type="noConversion"/>
  </si>
  <si>
    <t>아크릴진열대</t>
    <phoneticPr fontId="53" type="noConversion"/>
  </si>
  <si>
    <t>인그로운15</t>
    <phoneticPr fontId="53" type="noConversion"/>
  </si>
  <si>
    <t>P00000TY</t>
    <phoneticPr fontId="53" type="noConversion"/>
  </si>
  <si>
    <t>핑키니500g</t>
  </si>
  <si>
    <t>인그로운족집게</t>
    <phoneticPr fontId="53" type="noConversion"/>
  </si>
  <si>
    <t>P00000LO</t>
    <phoneticPr fontId="53" type="noConversion"/>
  </si>
  <si>
    <t>파우치</t>
    <phoneticPr fontId="53" type="noConversion"/>
  </si>
  <si>
    <t>P00000YV</t>
    <phoneticPr fontId="53" type="noConversion"/>
  </si>
  <si>
    <t>P00000ZL</t>
    <phoneticPr fontId="53" type="noConversion"/>
  </si>
  <si>
    <t>P00000CR</t>
    <phoneticPr fontId="53" type="noConversion"/>
  </si>
  <si>
    <t>행사</t>
    <phoneticPr fontId="53" type="noConversion"/>
  </si>
  <si>
    <t>샘플공병20ml</t>
    <phoneticPr fontId="53" type="noConversion"/>
  </si>
  <si>
    <t>P00000YY</t>
    <phoneticPr fontId="53" type="noConversion"/>
  </si>
  <si>
    <t>P00000TX</t>
    <phoneticPr fontId="53" type="noConversion"/>
  </si>
  <si>
    <t>총합계</t>
    <phoneticPr fontId="53" type="noConversion"/>
  </si>
  <si>
    <t>제모미인합계</t>
    <phoneticPr fontId="53" type="noConversion"/>
  </si>
  <si>
    <t>기한임박</t>
    <phoneticPr fontId="53" type="noConversion"/>
  </si>
  <si>
    <t>P00000TG</t>
    <phoneticPr fontId="53" type="noConversion"/>
  </si>
  <si>
    <t>데저트500</t>
    <phoneticPr fontId="53" type="noConversion"/>
  </si>
  <si>
    <t>메탈스파츌라(라이콘)</t>
    <phoneticPr fontId="53" type="noConversion"/>
  </si>
  <si>
    <t>P00000DG</t>
    <phoneticPr fontId="53" type="noConversion"/>
  </si>
  <si>
    <t>메탈스파츌라(제모)</t>
    <phoneticPr fontId="53" type="noConversion"/>
  </si>
  <si>
    <t>도매</t>
    <phoneticPr fontId="53" type="noConversion"/>
  </si>
  <si>
    <t>인증</t>
    <phoneticPr fontId="53" type="noConversion"/>
  </si>
  <si>
    <t>마스터</t>
    <phoneticPr fontId="53" type="noConversion"/>
  </si>
  <si>
    <t>비품</t>
    <phoneticPr fontId="53" type="noConversion"/>
  </si>
  <si>
    <t>라이콘</t>
    <phoneticPr fontId="53" type="noConversion"/>
  </si>
  <si>
    <t>제모미인</t>
    <phoneticPr fontId="53" type="noConversion"/>
  </si>
  <si>
    <t>아하</t>
    <phoneticPr fontId="53" type="noConversion"/>
  </si>
  <si>
    <t>합계</t>
    <phoneticPr fontId="53" type="noConversion"/>
  </si>
  <si>
    <t>제모미인스파츌라</t>
    <phoneticPr fontId="53" type="noConversion"/>
  </si>
  <si>
    <t>매출합계</t>
    <phoneticPr fontId="53" type="noConversion"/>
  </si>
  <si>
    <t>원가합계</t>
    <phoneticPr fontId="53" type="noConversion"/>
  </si>
  <si>
    <t>카페24</t>
    <phoneticPr fontId="53" type="noConversion"/>
  </si>
  <si>
    <t>아로마연구소</t>
    <phoneticPr fontId="53" type="noConversion"/>
  </si>
  <si>
    <t>P0000BES</t>
    <phoneticPr fontId="53" type="noConversion"/>
  </si>
  <si>
    <t>P0000BDI</t>
    <phoneticPr fontId="53" type="noConversion"/>
  </si>
  <si>
    <t>할인증정(센서형손소독기)</t>
    <phoneticPr fontId="53" type="noConversion"/>
  </si>
  <si>
    <t>P00000CF</t>
    <phoneticPr fontId="53" type="noConversion"/>
  </si>
  <si>
    <t>안티바이오로션</t>
    <phoneticPr fontId="53" type="noConversion"/>
  </si>
  <si>
    <t>P0000BEZ</t>
    <phoneticPr fontId="53" type="noConversion"/>
  </si>
  <si>
    <t>P0000BFC</t>
    <phoneticPr fontId="53" type="noConversion"/>
  </si>
  <si>
    <t>라2,코코3</t>
    <phoneticPr fontId="53" type="noConversion"/>
  </si>
  <si>
    <t>석3,자2</t>
    <phoneticPr fontId="53" type="noConversion"/>
  </si>
  <si>
    <t>P0000BFA</t>
    <phoneticPr fontId="53" type="noConversion"/>
  </si>
  <si>
    <t>자디니헤어프리</t>
    <phoneticPr fontId="53" type="noConversion"/>
  </si>
  <si>
    <t>P0000BFE</t>
    <phoneticPr fontId="53" type="noConversion"/>
  </si>
  <si>
    <t>P0000BFJ</t>
    <phoneticPr fontId="53" type="noConversion"/>
  </si>
  <si>
    <t>헤어프리</t>
    <phoneticPr fontId="53" type="noConversion"/>
  </si>
  <si>
    <t>P0000BFG</t>
    <phoneticPr fontId="53" type="noConversion"/>
  </si>
  <si>
    <t>증정행사</t>
    <phoneticPr fontId="53" type="noConversion"/>
  </si>
  <si>
    <t>P00000JL</t>
    <phoneticPr fontId="53" type="noConversion"/>
  </si>
  <si>
    <t>큐어셀토너800</t>
    <phoneticPr fontId="53" type="noConversion"/>
  </si>
  <si>
    <t>P0000BFM</t>
    <phoneticPr fontId="53" type="noConversion"/>
  </si>
  <si>
    <t>증정</t>
    <phoneticPr fontId="53" type="noConversion"/>
  </si>
  <si>
    <t>알로에200</t>
    <phoneticPr fontId="53" type="noConversion"/>
  </si>
  <si>
    <t>P0000BFO</t>
    <phoneticPr fontId="53" type="noConversion"/>
  </si>
  <si>
    <t>P0000BFR</t>
    <phoneticPr fontId="53" type="noConversion"/>
  </si>
  <si>
    <t>리본펩타이드세럼50</t>
    <phoneticPr fontId="53" type="noConversion"/>
  </si>
  <si>
    <t>P0000BFP</t>
    <phoneticPr fontId="53" type="noConversion"/>
  </si>
  <si>
    <t>P0000BFS</t>
    <phoneticPr fontId="53" type="noConversion"/>
  </si>
  <si>
    <t>묶음할인15%</t>
    <phoneticPr fontId="53" type="noConversion"/>
  </si>
  <si>
    <t>P00000VM</t>
    <phoneticPr fontId="53" type="noConversion"/>
  </si>
  <si>
    <t>P00000VN</t>
    <phoneticPr fontId="53" type="noConversion"/>
  </si>
  <si>
    <t>아나프리오일</t>
    <phoneticPr fontId="53" type="noConversion"/>
  </si>
  <si>
    <t>버진오일</t>
    <phoneticPr fontId="53" type="noConversion"/>
  </si>
  <si>
    <t>밀크클렌징200</t>
    <phoneticPr fontId="53" type="noConversion"/>
  </si>
  <si>
    <t>P0000BGJ</t>
    <phoneticPr fontId="53" type="noConversion"/>
  </si>
  <si>
    <t>큐어셀토너200</t>
    <phoneticPr fontId="53" type="noConversion"/>
  </si>
  <si>
    <t>큐어셀스무디</t>
    <phoneticPr fontId="53" type="noConversion"/>
  </si>
  <si>
    <t>P0000BGA</t>
    <phoneticPr fontId="53" type="noConversion"/>
  </si>
  <si>
    <t>P0000BGD</t>
    <phoneticPr fontId="53" type="noConversion"/>
  </si>
  <si>
    <t>P0000BFL</t>
    <phoneticPr fontId="53" type="noConversion"/>
  </si>
  <si>
    <t>P0000BGK</t>
    <phoneticPr fontId="53" type="noConversion"/>
  </si>
  <si>
    <t>P0000BGB</t>
    <phoneticPr fontId="53" type="noConversion"/>
  </si>
  <si>
    <t>P0000BFY</t>
    <phoneticPr fontId="53" type="noConversion"/>
  </si>
  <si>
    <t>P0000BGE</t>
    <phoneticPr fontId="53" type="noConversion"/>
  </si>
  <si>
    <t>13TS오일</t>
    <phoneticPr fontId="53" type="noConversion"/>
  </si>
  <si>
    <t>P0000BGU</t>
    <phoneticPr fontId="53" type="noConversion"/>
  </si>
  <si>
    <t>P00000QZ</t>
    <phoneticPr fontId="53" type="noConversion"/>
  </si>
  <si>
    <t>온라인&amp;오프라인합</t>
    <phoneticPr fontId="53" type="noConversion"/>
  </si>
  <si>
    <t>큐어셀크림100</t>
    <phoneticPr fontId="53" type="noConversion"/>
  </si>
  <si>
    <t>P0000BGW</t>
    <phoneticPr fontId="53" type="noConversion"/>
  </si>
  <si>
    <t>큐어셀세럼(PR세럼)</t>
    <phoneticPr fontId="53" type="noConversion"/>
  </si>
  <si>
    <t xml:space="preserve">워머기카라 </t>
    <phoneticPr fontId="53" type="noConversion"/>
  </si>
  <si>
    <t>P00000OR</t>
    <phoneticPr fontId="53" type="noConversion"/>
  </si>
  <si>
    <t>왁스네임텍</t>
    <phoneticPr fontId="53" type="noConversion"/>
  </si>
  <si>
    <t>P00000OQ</t>
    <phoneticPr fontId="53" type="noConversion"/>
  </si>
  <si>
    <t>롤러아이스쿨러(바디)</t>
    <phoneticPr fontId="53" type="noConversion"/>
  </si>
  <si>
    <t>롤러아이스쿨러(얼굴)</t>
    <phoneticPr fontId="53" type="noConversion"/>
  </si>
  <si>
    <t>P00000KD</t>
    <phoneticPr fontId="53" type="noConversion"/>
  </si>
  <si>
    <t>P00000KE</t>
    <phoneticPr fontId="53" type="noConversion"/>
  </si>
  <si>
    <t>제모미인단상자(대)</t>
    <phoneticPr fontId="53" type="noConversion"/>
  </si>
  <si>
    <t>제모미인단상자(중)</t>
    <phoneticPr fontId="53" type="noConversion"/>
  </si>
  <si>
    <t>제모미인단상자(소)</t>
    <phoneticPr fontId="53" type="noConversion"/>
  </si>
  <si>
    <t>P0000BGT</t>
    <phoneticPr fontId="53" type="noConversion"/>
  </si>
  <si>
    <t>P00000QD</t>
    <phoneticPr fontId="53" type="noConversion"/>
  </si>
  <si>
    <t>P0000BGX</t>
    <phoneticPr fontId="53" type="noConversion"/>
  </si>
  <si>
    <t>마스터단품</t>
    <phoneticPr fontId="53" type="noConversion"/>
  </si>
  <si>
    <t>P00000SF</t>
    <phoneticPr fontId="53" type="noConversion"/>
  </si>
  <si>
    <t>도매번들50+10</t>
    <phoneticPr fontId="53" type="noConversion"/>
  </si>
  <si>
    <t>안자라로션</t>
    <phoneticPr fontId="53" type="noConversion"/>
  </si>
  <si>
    <t>P0000BHC</t>
    <phoneticPr fontId="53" type="noConversion"/>
  </si>
  <si>
    <t>P0000BHD</t>
    <phoneticPr fontId="53" type="noConversion"/>
  </si>
  <si>
    <t>P00000NI</t>
    <phoneticPr fontId="53" type="noConversion"/>
  </si>
  <si>
    <t>큐어셀세럼</t>
    <phoneticPr fontId="53" type="noConversion"/>
  </si>
  <si>
    <t>할인+증정</t>
    <phoneticPr fontId="53" type="noConversion"/>
  </si>
  <si>
    <t>할인</t>
    <phoneticPr fontId="53" type="noConversion"/>
  </si>
  <si>
    <t>카페24&amp;엑셀차이</t>
    <phoneticPr fontId="53" type="noConversion"/>
  </si>
  <si>
    <t>도매일반</t>
    <phoneticPr fontId="53" type="noConversion"/>
  </si>
  <si>
    <t>도매할인</t>
    <phoneticPr fontId="53" type="noConversion"/>
  </si>
  <si>
    <t>오프라인주문(마스터)</t>
    <phoneticPr fontId="53" type="noConversion"/>
  </si>
  <si>
    <t>리본수딩젤(구천년초)</t>
    <phoneticPr fontId="53" type="noConversion"/>
  </si>
  <si>
    <t>P0000BHJ</t>
    <phoneticPr fontId="53" type="noConversion"/>
  </si>
  <si>
    <t>오프라인주문(도매)</t>
    <phoneticPr fontId="53" type="noConversion"/>
  </si>
  <si>
    <t>지사가매출</t>
    <phoneticPr fontId="53" type="noConversion"/>
  </si>
  <si>
    <t>P00000BU</t>
    <phoneticPr fontId="53" type="noConversion"/>
  </si>
  <si>
    <t>P0000BEY</t>
    <phoneticPr fontId="53" type="noConversion"/>
  </si>
  <si>
    <t>비즈하이브리드800</t>
    <phoneticPr fontId="53" type="noConversion"/>
  </si>
  <si>
    <t>비즈라벤다800</t>
    <phoneticPr fontId="53" type="noConversion"/>
  </si>
  <si>
    <t>비즈로제트800</t>
    <phoneticPr fontId="53" type="noConversion"/>
  </si>
  <si>
    <t>비즈하이브리드5KG</t>
    <phoneticPr fontId="53" type="noConversion"/>
  </si>
  <si>
    <t>비즈라벤다5KG</t>
    <phoneticPr fontId="53" type="noConversion"/>
  </si>
  <si>
    <t>비즈로제트5KG</t>
    <phoneticPr fontId="53" type="noConversion"/>
  </si>
  <si>
    <t>도매,인증번들</t>
    <phoneticPr fontId="53" type="noConversion"/>
  </si>
  <si>
    <t>자디니아로마오일</t>
    <phoneticPr fontId="53" type="noConversion"/>
  </si>
  <si>
    <t>싸이프러스</t>
    <phoneticPr fontId="53" type="noConversion"/>
  </si>
  <si>
    <t>티트리프리미엄</t>
    <phoneticPr fontId="53" type="noConversion"/>
  </si>
  <si>
    <t>페퍼민트</t>
    <phoneticPr fontId="53" type="noConversion"/>
  </si>
  <si>
    <t>오렌지스윗</t>
    <phoneticPr fontId="53" type="noConversion"/>
  </si>
  <si>
    <t>유칼리투스(블루마레)</t>
    <phoneticPr fontId="53" type="noConversion"/>
  </si>
  <si>
    <t>일랑일랑</t>
    <phoneticPr fontId="53" type="noConversion"/>
  </si>
  <si>
    <t>클라리세이지</t>
    <phoneticPr fontId="53" type="noConversion"/>
  </si>
  <si>
    <t>마조람</t>
    <phoneticPr fontId="53" type="noConversion"/>
  </si>
  <si>
    <t>P00000UK</t>
    <phoneticPr fontId="53" type="noConversion"/>
  </si>
  <si>
    <t>라이코페디7종세트</t>
    <phoneticPr fontId="53" type="noConversion"/>
  </si>
  <si>
    <t>P0000BHS</t>
    <phoneticPr fontId="53" type="noConversion"/>
  </si>
  <si>
    <t>Y존패드</t>
    <phoneticPr fontId="53" type="noConversion"/>
  </si>
  <si>
    <t>Y존패드리필용기</t>
    <phoneticPr fontId="53" type="noConversion"/>
  </si>
  <si>
    <t>P0000BIG</t>
    <phoneticPr fontId="53" type="noConversion"/>
  </si>
  <si>
    <t>리본미스트</t>
    <phoneticPr fontId="53" type="noConversion"/>
  </si>
  <si>
    <t>썬데일리크림</t>
    <phoneticPr fontId="53" type="noConversion"/>
  </si>
  <si>
    <t>썬톤업크림</t>
    <phoneticPr fontId="53" type="noConversion"/>
  </si>
  <si>
    <t>P0000BIK</t>
    <phoneticPr fontId="53" type="noConversion"/>
  </si>
  <si>
    <t>P0000BIL</t>
    <phoneticPr fontId="53" type="noConversion"/>
  </si>
  <si>
    <t>P0000BIH</t>
    <phoneticPr fontId="53" type="noConversion"/>
  </si>
  <si>
    <t>P0000BHU</t>
    <phoneticPr fontId="53" type="noConversion"/>
  </si>
  <si>
    <t>공병500ml</t>
    <phoneticPr fontId="53" type="noConversion"/>
  </si>
  <si>
    <t>원가</t>
    <phoneticPr fontId="53" type="noConversion"/>
  </si>
  <si>
    <t>P0000BIJ</t>
    <phoneticPr fontId="53" type="noConversion"/>
  </si>
  <si>
    <t>P0000BEW</t>
    <phoneticPr fontId="53" type="noConversion"/>
  </si>
  <si>
    <t>온라인주문합계</t>
    <phoneticPr fontId="53" type="noConversion"/>
  </si>
  <si>
    <t>P00000PS</t>
    <phoneticPr fontId="53" type="noConversion"/>
  </si>
  <si>
    <t>P00000UZ</t>
    <phoneticPr fontId="53" type="noConversion"/>
  </si>
  <si>
    <t>P00000BL</t>
    <phoneticPr fontId="53" type="noConversion"/>
  </si>
  <si>
    <t>y존패드파우치</t>
    <phoneticPr fontId="53" type="noConversion"/>
  </si>
  <si>
    <t>P0000BIP</t>
    <phoneticPr fontId="53" type="noConversion"/>
  </si>
  <si>
    <t>P0000BJQ</t>
    <phoneticPr fontId="53" type="noConversion"/>
  </si>
  <si>
    <t>P0000BIY</t>
    <phoneticPr fontId="53" type="noConversion"/>
  </si>
  <si>
    <t>P0000BIT</t>
    <phoneticPr fontId="53" type="noConversion"/>
  </si>
  <si>
    <t>P0000BJB</t>
    <phoneticPr fontId="53" type="noConversion"/>
  </si>
  <si>
    <t>라벤더워터120ml</t>
    <phoneticPr fontId="53" type="noConversion"/>
  </si>
  <si>
    <t>티트리워터120ml</t>
    <phoneticPr fontId="53" type="noConversion"/>
  </si>
  <si>
    <t>로즈워터120ml</t>
    <phoneticPr fontId="53" type="noConversion"/>
  </si>
  <si>
    <t>포레스트바디로션</t>
    <phoneticPr fontId="53" type="noConversion"/>
  </si>
  <si>
    <t>포레스트페이셜스크럽</t>
    <phoneticPr fontId="53" type="noConversion"/>
  </si>
  <si>
    <t>포레스트바디워시</t>
    <phoneticPr fontId="53" type="noConversion"/>
  </si>
  <si>
    <t>호호바골든오가닉30</t>
    <phoneticPr fontId="53" type="noConversion"/>
  </si>
  <si>
    <t>호호바골든오가닉100</t>
    <phoneticPr fontId="53" type="noConversion"/>
  </si>
  <si>
    <t>호호바골든오가닉500</t>
    <phoneticPr fontId="53" type="noConversion"/>
  </si>
  <si>
    <t>티트리워터500ml</t>
    <phoneticPr fontId="53" type="noConversion"/>
  </si>
  <si>
    <t>라벤더워터500ml</t>
    <phoneticPr fontId="53" type="noConversion"/>
  </si>
  <si>
    <t>비즈핑키니800</t>
    <phoneticPr fontId="53" type="noConversion"/>
  </si>
  <si>
    <t>비즈핑키니5kg</t>
    <phoneticPr fontId="53" type="noConversion"/>
  </si>
  <si>
    <t>라임</t>
    <phoneticPr fontId="53" type="noConversion"/>
  </si>
  <si>
    <t>머그워트(쑥)</t>
    <phoneticPr fontId="53" type="noConversion"/>
  </si>
  <si>
    <t>바질</t>
    <phoneticPr fontId="53" type="noConversion"/>
  </si>
  <si>
    <t>시더우드</t>
    <phoneticPr fontId="53" type="noConversion"/>
  </si>
  <si>
    <t>야로우</t>
    <phoneticPr fontId="53" type="noConversion"/>
  </si>
  <si>
    <t>주니퍼베리(두송열매)</t>
    <phoneticPr fontId="53" type="noConversion"/>
  </si>
  <si>
    <t>진저</t>
    <phoneticPr fontId="53" type="noConversion"/>
  </si>
  <si>
    <t>타임</t>
    <phoneticPr fontId="53" type="noConversion"/>
  </si>
  <si>
    <t>파인</t>
    <phoneticPr fontId="53" type="noConversion"/>
  </si>
  <si>
    <t>페티그레인</t>
    <phoneticPr fontId="53" type="noConversion"/>
  </si>
  <si>
    <t>만다린</t>
    <phoneticPr fontId="53" type="noConversion"/>
  </si>
  <si>
    <t>패츌리</t>
    <phoneticPr fontId="53" type="noConversion"/>
  </si>
  <si>
    <t>잭파인에스엠오가닉</t>
    <phoneticPr fontId="53" type="noConversion"/>
  </si>
  <si>
    <t>(W)가문비나무오가닉</t>
    <phoneticPr fontId="53" type="noConversion"/>
  </si>
  <si>
    <t>타마락낙엽송오가닉</t>
    <phoneticPr fontId="53" type="noConversion"/>
  </si>
  <si>
    <t>동백삼나무잎</t>
    <phoneticPr fontId="53" type="noConversion"/>
  </si>
  <si>
    <t>노르웨이소나무</t>
    <phoneticPr fontId="53" type="noConversion"/>
  </si>
  <si>
    <t>호호바골든1KG</t>
    <phoneticPr fontId="53" type="noConversion"/>
  </si>
  <si>
    <t>썬플라워오일1KG</t>
    <phoneticPr fontId="53" type="noConversion"/>
  </si>
  <si>
    <t>포도씨오일1KG</t>
    <phoneticPr fontId="53" type="noConversion"/>
  </si>
  <si>
    <t>스윗아몬드오일1KG</t>
    <phoneticPr fontId="53" type="noConversion"/>
  </si>
  <si>
    <t>코코넛오일1KG</t>
    <phoneticPr fontId="53" type="noConversion"/>
  </si>
  <si>
    <t>P0000BIZ</t>
    <phoneticPr fontId="53" type="noConversion"/>
  </si>
  <si>
    <t>P0000BIV</t>
    <phoneticPr fontId="53" type="noConversion"/>
  </si>
  <si>
    <t>P0000BJC</t>
    <phoneticPr fontId="53" type="noConversion"/>
  </si>
  <si>
    <t>세트할인</t>
    <phoneticPr fontId="53" type="noConversion"/>
  </si>
  <si>
    <t>라벤다에센셜3ml</t>
    <phoneticPr fontId="53" type="noConversion"/>
  </si>
  <si>
    <t xml:space="preserve">할인 </t>
    <phoneticPr fontId="53" type="noConversion"/>
  </si>
  <si>
    <t>520g합계</t>
    <phoneticPr fontId="53" type="noConversion"/>
  </si>
  <si>
    <t>인15+브팩</t>
    <phoneticPr fontId="53" type="noConversion"/>
  </si>
  <si>
    <t>알로에800</t>
    <phoneticPr fontId="53" type="noConversion"/>
  </si>
  <si>
    <t>네출럴포밍</t>
    <phoneticPr fontId="53" type="noConversion"/>
  </si>
  <si>
    <t>큐어셀토너</t>
    <phoneticPr fontId="53" type="noConversion"/>
  </si>
  <si>
    <t>큐어셀크림</t>
    <phoneticPr fontId="53" type="noConversion"/>
  </si>
  <si>
    <t>P0000BHK</t>
  </si>
  <si>
    <t>썬,톤업</t>
    <phoneticPr fontId="53" type="noConversion"/>
  </si>
  <si>
    <t>고마지</t>
    <phoneticPr fontId="53" type="noConversion"/>
  </si>
  <si>
    <t>시카팩</t>
    <phoneticPr fontId="53" type="noConversion"/>
  </si>
  <si>
    <t>리본펩타이드</t>
    <phoneticPr fontId="53" type="noConversion"/>
  </si>
  <si>
    <t>리본수딩젤</t>
    <phoneticPr fontId="53" type="noConversion"/>
  </si>
  <si>
    <t>BTS오일</t>
    <phoneticPr fontId="53" type="noConversion"/>
  </si>
  <si>
    <t>가맹점단품</t>
    <phoneticPr fontId="53" type="noConversion"/>
  </si>
  <si>
    <t>화이트팩+스크럽10</t>
    <phoneticPr fontId="53" type="noConversion"/>
  </si>
  <si>
    <t>10ml 합계</t>
    <phoneticPr fontId="53" type="noConversion"/>
  </si>
  <si>
    <t>100ml합계</t>
    <phoneticPr fontId="53" type="noConversion"/>
  </si>
  <si>
    <t>라이콘합계</t>
    <phoneticPr fontId="53" type="noConversion"/>
  </si>
  <si>
    <t>자디니아로마</t>
    <phoneticPr fontId="53" type="noConversion"/>
  </si>
  <si>
    <t>캐리어오일합계</t>
    <phoneticPr fontId="53" type="noConversion"/>
  </si>
  <si>
    <t>자디니아로마합계</t>
    <phoneticPr fontId="53" type="noConversion"/>
  </si>
  <si>
    <t>비품합계</t>
    <phoneticPr fontId="53" type="noConversion"/>
  </si>
  <si>
    <t>매출</t>
    <phoneticPr fontId="53" type="noConversion"/>
  </si>
  <si>
    <t>아로마헤어샴푸</t>
    <phoneticPr fontId="53" type="noConversion"/>
  </si>
  <si>
    <t>아로마헤어트리트먼트</t>
    <phoneticPr fontId="53" type="noConversion"/>
  </si>
  <si>
    <t>아로마헤어루트인핸서</t>
    <phoneticPr fontId="53" type="noConversion"/>
  </si>
  <si>
    <t>P0000BKJ</t>
    <phoneticPr fontId="53" type="noConversion"/>
  </si>
  <si>
    <t>P0000BKK</t>
    <phoneticPr fontId="53" type="noConversion"/>
  </si>
  <si>
    <t>P0000BKL</t>
    <phoneticPr fontId="53" type="noConversion"/>
  </si>
  <si>
    <t>무수알코올1KG</t>
    <phoneticPr fontId="53" type="noConversion"/>
  </si>
  <si>
    <r>
      <t xml:space="preserve">P0000BJD / </t>
    </r>
    <r>
      <rPr>
        <b/>
        <sz val="9"/>
        <color rgb="FF7030A0"/>
        <rFont val="맑은 고딕"/>
        <family val="3"/>
        <charset val="129"/>
      </rPr>
      <t>P0000BKB</t>
    </r>
    <phoneticPr fontId="53" type="noConversion"/>
  </si>
  <si>
    <r>
      <t xml:space="preserve">P0000BJE / </t>
    </r>
    <r>
      <rPr>
        <b/>
        <sz val="9"/>
        <color rgb="FF7030A0"/>
        <rFont val="맑은 고딕"/>
        <family val="3"/>
        <charset val="129"/>
      </rPr>
      <t>P0000BKC</t>
    </r>
    <phoneticPr fontId="53" type="noConversion"/>
  </si>
  <si>
    <r>
      <t xml:space="preserve">P0000BJF / </t>
    </r>
    <r>
      <rPr>
        <b/>
        <sz val="9"/>
        <color rgb="FF7030A0"/>
        <rFont val="맑은 고딕"/>
        <family val="3"/>
        <charset val="129"/>
      </rPr>
      <t>P0000BKD</t>
    </r>
    <phoneticPr fontId="53" type="noConversion"/>
  </si>
  <si>
    <r>
      <t xml:space="preserve">P0000BIS  /  </t>
    </r>
    <r>
      <rPr>
        <b/>
        <sz val="9"/>
        <color rgb="FF7030A0"/>
        <rFont val="맑은 고딕"/>
        <family val="3"/>
        <charset val="129"/>
      </rPr>
      <t>P0000BKA</t>
    </r>
    <phoneticPr fontId="53" type="noConversion"/>
  </si>
  <si>
    <r>
      <t xml:space="preserve">P0000BJR  /  </t>
    </r>
    <r>
      <rPr>
        <b/>
        <sz val="9"/>
        <color rgb="FF7030A0"/>
        <rFont val="맑은 고딕"/>
        <family val="3"/>
        <charset val="129"/>
      </rPr>
      <t>P0000BKG</t>
    </r>
    <phoneticPr fontId="53" type="noConversion"/>
  </si>
  <si>
    <t>P0000BJW</t>
    <phoneticPr fontId="53" type="noConversion"/>
  </si>
  <si>
    <t>A3사후관리액자</t>
    <phoneticPr fontId="53" type="noConversion"/>
  </si>
  <si>
    <t>P0000BET</t>
    <phoneticPr fontId="53" type="noConversion"/>
  </si>
  <si>
    <t>P0000BEU</t>
    <phoneticPr fontId="53" type="noConversion"/>
  </si>
  <si>
    <t>P0000BFU</t>
    <phoneticPr fontId="53" type="noConversion"/>
  </si>
  <si>
    <t>벨리테라피배너</t>
    <phoneticPr fontId="53" type="noConversion"/>
  </si>
  <si>
    <t>P0000BJU</t>
    <phoneticPr fontId="53" type="noConversion"/>
  </si>
  <si>
    <t>P00000EF</t>
    <phoneticPr fontId="53" type="noConversion"/>
  </si>
  <si>
    <t>P00000DU</t>
    <phoneticPr fontId="53" type="noConversion"/>
  </si>
  <si>
    <t>P00000DM</t>
    <phoneticPr fontId="53" type="noConversion"/>
  </si>
  <si>
    <t>P00000DS</t>
    <phoneticPr fontId="53" type="noConversion"/>
  </si>
  <si>
    <t>라이콘핑키니배너</t>
    <phoneticPr fontId="53" type="noConversion"/>
  </si>
  <si>
    <t>P00000PM</t>
    <phoneticPr fontId="53" type="noConversion"/>
  </si>
  <si>
    <t>라이콘핑키니배너세트</t>
    <phoneticPr fontId="53" type="noConversion"/>
  </si>
  <si>
    <t>A1 세로,가로판넬</t>
    <phoneticPr fontId="53" type="noConversion"/>
  </si>
  <si>
    <t>A2 세로,가로판넬</t>
  </si>
  <si>
    <t>A2가로판넬</t>
    <phoneticPr fontId="53" type="noConversion"/>
  </si>
  <si>
    <t>온오프지사주문</t>
    <phoneticPr fontId="53" type="noConversion"/>
  </si>
  <si>
    <t>윈터그린</t>
    <phoneticPr fontId="53" type="noConversion"/>
  </si>
  <si>
    <t>시트로넬라</t>
    <phoneticPr fontId="53" type="noConversion"/>
  </si>
  <si>
    <t>코파이바발삼</t>
    <phoneticPr fontId="53" type="noConversion"/>
  </si>
  <si>
    <t>클로브리프</t>
    <phoneticPr fontId="53" type="noConversion"/>
  </si>
  <si>
    <t>펜넬</t>
    <phoneticPr fontId="53" type="noConversion"/>
  </si>
  <si>
    <t>라이콘카다록</t>
    <phoneticPr fontId="53" type="noConversion"/>
  </si>
  <si>
    <t>P0000BLB</t>
    <phoneticPr fontId="53" type="noConversion"/>
  </si>
  <si>
    <t>P0000BLA</t>
    <phoneticPr fontId="53" type="noConversion"/>
  </si>
  <si>
    <t>지사비즈4종</t>
    <phoneticPr fontId="53" type="noConversion"/>
  </si>
  <si>
    <r>
      <t xml:space="preserve">P0000BJY /  </t>
    </r>
    <r>
      <rPr>
        <b/>
        <sz val="9"/>
        <color rgb="FF7030A0"/>
        <rFont val="맑은 고딕"/>
        <family val="3"/>
        <charset val="129"/>
      </rPr>
      <t>P0000BKI</t>
    </r>
    <phoneticPr fontId="53" type="noConversion"/>
  </si>
  <si>
    <t>세트묶음할인</t>
    <phoneticPr fontId="53" type="noConversion"/>
  </si>
  <si>
    <t>컵세트할인</t>
    <phoneticPr fontId="53" type="noConversion"/>
  </si>
  <si>
    <t>컵비즈왁스(로제트)</t>
    <phoneticPr fontId="53" type="noConversion"/>
  </si>
  <si>
    <t>컵비즈왁스(라벤다)</t>
    <phoneticPr fontId="53" type="noConversion"/>
  </si>
  <si>
    <t>컵비즈왁스(하이브리드)</t>
    <phoneticPr fontId="53" type="noConversion"/>
  </si>
  <si>
    <t>컵비즈왁스(핑키니)</t>
    <phoneticPr fontId="53" type="noConversion"/>
  </si>
  <si>
    <t>컵비즈왁스묶음(4종)</t>
    <phoneticPr fontId="53" type="noConversion"/>
  </si>
  <si>
    <t>세트할인(스타터)</t>
    <phoneticPr fontId="53" type="noConversion"/>
  </si>
  <si>
    <r>
      <t xml:space="preserve">컵세트묶음할인. </t>
    </r>
    <r>
      <rPr>
        <b/>
        <sz val="10"/>
        <color rgb="FFFF0000"/>
        <rFont val="맑은 고딕"/>
        <family val="3"/>
        <charset val="129"/>
      </rPr>
      <t>증정</t>
    </r>
    <phoneticPr fontId="53" type="noConversion"/>
  </si>
  <si>
    <t>에센셜오일1kg</t>
    <phoneticPr fontId="53" type="noConversion"/>
  </si>
  <si>
    <t xml:space="preserve">밀크클렌징 </t>
    <phoneticPr fontId="53" type="noConversion"/>
  </si>
  <si>
    <t>히알세럼</t>
    <phoneticPr fontId="53" type="noConversion"/>
  </si>
  <si>
    <t>안티바이오</t>
    <phoneticPr fontId="53" type="noConversion"/>
  </si>
  <si>
    <t>안티로션</t>
    <phoneticPr fontId="53" type="noConversion"/>
  </si>
  <si>
    <t>P0000BLK</t>
    <phoneticPr fontId="53" type="noConversion"/>
  </si>
  <si>
    <t>딥릴리프오일200</t>
    <phoneticPr fontId="53" type="noConversion"/>
  </si>
  <si>
    <t>딥릴리프오일75</t>
    <phoneticPr fontId="53" type="noConversion"/>
  </si>
  <si>
    <t>P0000BLG</t>
    <phoneticPr fontId="53" type="noConversion"/>
  </si>
  <si>
    <t>P0000BLF</t>
    <phoneticPr fontId="53" type="noConversion"/>
  </si>
  <si>
    <t>P0000BLH</t>
    <phoneticPr fontId="53" type="noConversion"/>
  </si>
  <si>
    <t>P0000BLJ</t>
    <phoneticPr fontId="53" type="noConversion"/>
  </si>
  <si>
    <t>P0000BLI</t>
    <phoneticPr fontId="53" type="noConversion"/>
  </si>
  <si>
    <t>P0000BLE</t>
    <phoneticPr fontId="53" type="noConversion"/>
  </si>
  <si>
    <t>인50증정</t>
    <phoneticPr fontId="53" type="noConversion"/>
  </si>
  <si>
    <t>P0000BLM</t>
    <phoneticPr fontId="53" type="noConversion"/>
  </si>
  <si>
    <t>안티버그오일(10묶음)</t>
    <phoneticPr fontId="53" type="noConversion"/>
  </si>
  <si>
    <t>자디니트래블키트</t>
    <phoneticPr fontId="53" type="noConversion"/>
  </si>
  <si>
    <t>P0000BLN</t>
    <phoneticPr fontId="53" type="noConversion"/>
  </si>
  <si>
    <t>라텍스장갑</t>
    <phoneticPr fontId="53" type="noConversion"/>
  </si>
  <si>
    <t>실리콘컵2종</t>
    <phoneticPr fontId="53" type="noConversion"/>
  </si>
  <si>
    <t>P0000BLX</t>
    <phoneticPr fontId="53" type="noConversion"/>
  </si>
  <si>
    <t>P0000BLQ</t>
    <phoneticPr fontId="53" type="noConversion"/>
  </si>
  <si>
    <t>페퍼민트에센셜3ml</t>
    <phoneticPr fontId="53" type="noConversion"/>
  </si>
  <si>
    <t>팔마로사</t>
    <phoneticPr fontId="53" type="noConversion"/>
  </si>
  <si>
    <t>컵비즈세트</t>
    <phoneticPr fontId="53" type="noConversion"/>
  </si>
  <si>
    <t>그레이프루잇</t>
  </si>
  <si>
    <t xml:space="preserve">네롤리 </t>
  </si>
  <si>
    <t>라벤다(불가리아)</t>
  </si>
  <si>
    <t>로즈마리오일</t>
  </si>
  <si>
    <t>로만캐모마일(오가닉)</t>
  </si>
  <si>
    <t>레몬오일</t>
  </si>
  <si>
    <t>레몬그라스오일</t>
  </si>
  <si>
    <t>멜리사오일</t>
  </si>
  <si>
    <t>미르오일</t>
  </si>
  <si>
    <t>베르가모트</t>
  </si>
  <si>
    <t>베티버오일</t>
  </si>
  <si>
    <t>블렉페퍼오일</t>
  </si>
  <si>
    <t>샌달우드오일</t>
  </si>
  <si>
    <t>스피아민트</t>
  </si>
  <si>
    <t>자스민(sambac)</t>
  </si>
  <si>
    <t>제라늄오일</t>
  </si>
  <si>
    <t>프랑킨센스(유향나무)</t>
  </si>
  <si>
    <t>히노키</t>
  </si>
  <si>
    <t xml:space="preserve"> 발삼전나무오가닉</t>
  </si>
  <si>
    <t>시트로넬라</t>
  </si>
  <si>
    <t>윈터그린</t>
  </si>
  <si>
    <t>팔마로사</t>
  </si>
  <si>
    <t>로즈제라늄</t>
  </si>
  <si>
    <t>벤조인</t>
    <phoneticPr fontId="53" type="noConversion"/>
  </si>
  <si>
    <t>머틀</t>
    <phoneticPr fontId="53" type="noConversion"/>
  </si>
  <si>
    <t>오레가노(60%)</t>
    <phoneticPr fontId="53" type="noConversion"/>
  </si>
  <si>
    <t>캐롯시드</t>
    <phoneticPr fontId="53" type="noConversion"/>
  </si>
  <si>
    <t>갈바넘</t>
    <phoneticPr fontId="53" type="noConversion"/>
  </si>
  <si>
    <t>딜시드</t>
    <phoneticPr fontId="53" type="noConversion"/>
  </si>
  <si>
    <t>루</t>
    <phoneticPr fontId="53" type="noConversion"/>
  </si>
  <si>
    <t>버치스윗</t>
    <phoneticPr fontId="53" type="noConversion"/>
  </si>
  <si>
    <t>안젤리카</t>
    <phoneticPr fontId="53" type="noConversion"/>
  </si>
  <si>
    <t>유즈</t>
    <phoneticPr fontId="53" type="noConversion"/>
  </si>
  <si>
    <t>캐시플라워</t>
    <phoneticPr fontId="53" type="noConversion"/>
  </si>
  <si>
    <t>캠퍼</t>
    <phoneticPr fontId="53" type="noConversion"/>
  </si>
  <si>
    <t>코리안더</t>
    <phoneticPr fontId="53" type="noConversion"/>
  </si>
  <si>
    <t>투메릭</t>
    <phoneticPr fontId="53" type="noConversion"/>
  </si>
  <si>
    <t>헬리크리섬</t>
    <phoneticPr fontId="53" type="noConversion"/>
  </si>
  <si>
    <t>히솝</t>
    <phoneticPr fontId="53" type="noConversion"/>
  </si>
  <si>
    <t>넛맥</t>
    <phoneticPr fontId="53" type="noConversion"/>
  </si>
  <si>
    <t>아가우드</t>
    <phoneticPr fontId="53" type="noConversion"/>
  </si>
  <si>
    <t>카누카</t>
    <phoneticPr fontId="53" type="noConversion"/>
  </si>
  <si>
    <t>카다멈</t>
    <phoneticPr fontId="53" type="noConversion"/>
  </si>
  <si>
    <t>P00000CH</t>
    <phoneticPr fontId="53" type="noConversion"/>
  </si>
  <si>
    <t>P00000CN</t>
    <phoneticPr fontId="53" type="noConversion"/>
  </si>
  <si>
    <t>라텍스장갑(S)</t>
    <phoneticPr fontId="53" type="noConversion"/>
  </si>
  <si>
    <t>라텍스장갑(M)</t>
    <phoneticPr fontId="53" type="noConversion"/>
  </si>
  <si>
    <t>P00000FO</t>
    <phoneticPr fontId="53" type="noConversion"/>
  </si>
  <si>
    <t>P0000BLR</t>
    <phoneticPr fontId="53" type="noConversion"/>
  </si>
  <si>
    <t>선샤인비즈</t>
    <phoneticPr fontId="53" type="noConversion"/>
  </si>
  <si>
    <t>자디니쇼핑백</t>
    <phoneticPr fontId="53" type="noConversion"/>
  </si>
  <si>
    <t>P0000BMM</t>
    <phoneticPr fontId="53" type="noConversion"/>
  </si>
  <si>
    <r>
      <t xml:space="preserve">P0000BID  /  </t>
    </r>
    <r>
      <rPr>
        <b/>
        <sz val="9"/>
        <color rgb="FF7030A0"/>
        <rFont val="맑은 고딕"/>
        <family val="3"/>
        <charset val="129"/>
      </rPr>
      <t>P0000BKF</t>
    </r>
    <r>
      <rPr>
        <b/>
        <sz val="9"/>
        <color theme="1"/>
        <rFont val="맑은 고딕"/>
        <family val="3"/>
        <charset val="129"/>
      </rPr>
      <t xml:space="preserve">    /  </t>
    </r>
    <r>
      <rPr>
        <b/>
        <sz val="9"/>
        <color rgb="FF7030A0"/>
        <rFont val="맑은 고딕"/>
        <family val="3"/>
        <charset val="129"/>
      </rPr>
      <t>P0000BME   /  P0000BMD</t>
    </r>
    <r>
      <rPr>
        <b/>
        <sz val="9"/>
        <color theme="1"/>
        <rFont val="맑은 고딕"/>
        <family val="3"/>
        <charset val="129"/>
      </rPr>
      <t xml:space="preserve">   /   P0000BMC</t>
    </r>
    <phoneticPr fontId="53" type="noConversion"/>
  </si>
  <si>
    <r>
      <t xml:space="preserve">P0000BIB  / </t>
    </r>
    <r>
      <rPr>
        <b/>
        <sz val="9"/>
        <color rgb="FF7030A0"/>
        <rFont val="맑은 고딕"/>
        <family val="3"/>
        <charset val="129"/>
      </rPr>
      <t>P0000BKE</t>
    </r>
    <r>
      <rPr>
        <b/>
        <sz val="9"/>
        <color theme="1"/>
        <rFont val="맑은 고딕"/>
        <family val="3"/>
        <charset val="129"/>
      </rPr>
      <t xml:space="preserve"> / P0000BMA</t>
    </r>
    <phoneticPr fontId="53" type="noConversion"/>
  </si>
  <si>
    <r>
      <t xml:space="preserve">P0000BJT  /  </t>
    </r>
    <r>
      <rPr>
        <b/>
        <sz val="9"/>
        <color rgb="FF7030A0"/>
        <rFont val="맑은 고딕"/>
        <family val="3"/>
        <charset val="129"/>
      </rPr>
      <t>P0000BKH</t>
    </r>
    <r>
      <rPr>
        <b/>
        <sz val="9"/>
        <color theme="1"/>
        <rFont val="맑은 고딕"/>
        <family val="3"/>
        <charset val="129"/>
      </rPr>
      <t xml:space="preserve">   /  P0000BMF  / </t>
    </r>
    <r>
      <rPr>
        <b/>
        <sz val="9"/>
        <color rgb="FF7030A0"/>
        <rFont val="맑은 고딕"/>
        <family val="3"/>
        <charset val="129"/>
      </rPr>
      <t>P0000BMG</t>
    </r>
    <r>
      <rPr>
        <b/>
        <sz val="9"/>
        <color theme="1"/>
        <rFont val="맑은 고딕"/>
        <family val="3"/>
        <charset val="129"/>
      </rPr>
      <t xml:space="preserve">  /  </t>
    </r>
    <r>
      <rPr>
        <b/>
        <sz val="9"/>
        <color rgb="FF7030A0"/>
        <rFont val="맑은 고딕"/>
        <family val="3"/>
        <charset val="129"/>
      </rPr>
      <t>P0000BMH</t>
    </r>
    <phoneticPr fontId="53" type="noConversion"/>
  </si>
  <si>
    <t>오일공용라벨</t>
    <phoneticPr fontId="53" type="noConversion"/>
  </si>
  <si>
    <t>밀크클렌징800</t>
    <phoneticPr fontId="53" type="noConversion"/>
  </si>
  <si>
    <t>코리안더리프</t>
    <phoneticPr fontId="53" type="noConversion"/>
  </si>
  <si>
    <t>P000000Q</t>
    <phoneticPr fontId="53" type="noConversion"/>
  </si>
  <si>
    <t>P00000JP</t>
    <phoneticPr fontId="53" type="noConversion"/>
  </si>
  <si>
    <t>P00000NA</t>
    <phoneticPr fontId="53" type="noConversion"/>
  </si>
  <si>
    <t>밀크클렌징 800</t>
    <phoneticPr fontId="53" type="noConversion"/>
  </si>
  <si>
    <t>P00000WW</t>
    <phoneticPr fontId="53" type="noConversion"/>
  </si>
  <si>
    <t>비즈2종묶음+선샤인증정</t>
    <phoneticPr fontId="53" type="noConversion"/>
  </si>
  <si>
    <t>2종워터+로즈증정</t>
    <phoneticPr fontId="53" type="noConversion"/>
  </si>
  <si>
    <t>P0000BMP</t>
    <phoneticPr fontId="53" type="noConversion"/>
  </si>
  <si>
    <t>호호바2종+큐어셀세럼증정</t>
    <phoneticPr fontId="53" type="noConversion"/>
  </si>
  <si>
    <t>Y존미스트2+1증정</t>
    <phoneticPr fontId="53" type="noConversion"/>
  </si>
  <si>
    <t>토너패드증정</t>
    <phoneticPr fontId="53" type="noConversion"/>
  </si>
  <si>
    <t>P00000CI</t>
    <phoneticPr fontId="53" type="noConversion"/>
  </si>
  <si>
    <t>P0000BLZ</t>
    <phoneticPr fontId="53" type="noConversion"/>
  </si>
  <si>
    <t>P0000BMO</t>
    <phoneticPr fontId="53" type="noConversion"/>
  </si>
  <si>
    <t>배너단품,세트</t>
    <phoneticPr fontId="53" type="noConversion"/>
  </si>
  <si>
    <t>제품+중정</t>
    <phoneticPr fontId="53" type="noConversion"/>
  </si>
  <si>
    <t>아로마교육책자</t>
    <phoneticPr fontId="53" type="noConversion"/>
  </si>
  <si>
    <t>마스터/인증살롱</t>
    <phoneticPr fontId="53" type="noConversion"/>
  </si>
  <si>
    <t>인증살롱/마스터</t>
    <phoneticPr fontId="53" type="noConversion"/>
  </si>
  <si>
    <t>토너패드(30)</t>
    <phoneticPr fontId="53" type="noConversion"/>
  </si>
  <si>
    <t>세정제</t>
    <phoneticPr fontId="53" type="noConversion"/>
  </si>
  <si>
    <t>y존미스트</t>
    <phoneticPr fontId="53" type="noConversion"/>
  </si>
  <si>
    <t>팩2종</t>
    <phoneticPr fontId="53" type="noConversion"/>
  </si>
  <si>
    <t>청결제</t>
    <phoneticPr fontId="53" type="noConversion"/>
  </si>
  <si>
    <t>인증/마스터번들</t>
    <phoneticPr fontId="53" type="noConversion"/>
  </si>
  <si>
    <t xml:space="preserve">인증/마스터50   </t>
    <phoneticPr fontId="53" type="noConversion"/>
  </si>
  <si>
    <t>가맹/마스터단품</t>
    <phoneticPr fontId="53" type="noConversion"/>
  </si>
  <si>
    <t>가맹점/마스터단품</t>
    <phoneticPr fontId="53" type="noConversion"/>
  </si>
  <si>
    <t xml:space="preserve">가맹점/마스터 </t>
    <phoneticPr fontId="53" type="noConversion"/>
  </si>
  <si>
    <t>브로우펜슬(컨실러)</t>
    <phoneticPr fontId="53" type="noConversion"/>
  </si>
  <si>
    <t>P00000BV</t>
    <phoneticPr fontId="53" type="noConversion"/>
  </si>
  <si>
    <t>페이스스타터</t>
    <phoneticPr fontId="53" type="noConversion"/>
  </si>
  <si>
    <t>스타터키트</t>
    <phoneticPr fontId="53" type="noConversion"/>
  </si>
  <si>
    <r>
      <t xml:space="preserve">P0000BIF /     </t>
    </r>
    <r>
      <rPr>
        <b/>
        <sz val="9"/>
        <color rgb="FF7030A0"/>
        <rFont val="맑은 고딕"/>
        <family val="3"/>
        <charset val="129"/>
      </rPr>
      <t>P0000BLD</t>
    </r>
    <r>
      <rPr>
        <b/>
        <sz val="9"/>
        <color theme="1"/>
        <rFont val="맑은 고딕"/>
        <family val="3"/>
        <charset val="129"/>
      </rPr>
      <t xml:space="preserve">    /   </t>
    </r>
    <r>
      <rPr>
        <b/>
        <sz val="9"/>
        <color rgb="FF0070C0"/>
        <rFont val="맑은 고딕"/>
        <family val="3"/>
        <charset val="129"/>
      </rPr>
      <t>P0000BMJ</t>
    </r>
    <r>
      <rPr>
        <b/>
        <sz val="9"/>
        <color theme="1"/>
        <rFont val="맑은 고딕"/>
        <family val="3"/>
        <charset val="129"/>
      </rPr>
      <t xml:space="preserve">   P0000BMI</t>
    </r>
    <phoneticPr fontId="53" type="noConversion"/>
  </si>
  <si>
    <t>P0000BLS</t>
    <phoneticPr fontId="53" type="noConversion"/>
  </si>
  <si>
    <t>P0000BLV</t>
    <phoneticPr fontId="53" type="noConversion"/>
  </si>
  <si>
    <t>P0000BLW</t>
    <phoneticPr fontId="53" type="noConversion"/>
  </si>
  <si>
    <t>P00000XD</t>
    <phoneticPr fontId="53" type="noConversion"/>
  </si>
  <si>
    <t>알루아마미레스트</t>
    <phoneticPr fontId="53" type="noConversion"/>
  </si>
  <si>
    <t>마인드밸런스풀슬립</t>
    <phoneticPr fontId="53" type="noConversion"/>
  </si>
  <si>
    <t>P0000BMS</t>
    <phoneticPr fontId="53" type="noConversion"/>
  </si>
  <si>
    <t>P0000BMQ</t>
    <phoneticPr fontId="53" type="noConversion"/>
  </si>
  <si>
    <r>
      <t xml:space="preserve">P0000BIF /     </t>
    </r>
    <r>
      <rPr>
        <b/>
        <sz val="9"/>
        <color rgb="FF7030A0"/>
        <rFont val="맑은 고딕"/>
        <family val="3"/>
        <charset val="129"/>
      </rPr>
      <t>P0000BLD</t>
    </r>
    <r>
      <rPr>
        <b/>
        <sz val="9"/>
        <color theme="1"/>
        <rFont val="맑은 고딕"/>
        <family val="3"/>
        <charset val="129"/>
      </rPr>
      <t xml:space="preserve">    /   </t>
    </r>
    <r>
      <rPr>
        <b/>
        <sz val="9"/>
        <color rgb="FF00B0F0"/>
        <rFont val="맑은 고딕"/>
        <family val="3"/>
        <charset val="129"/>
      </rPr>
      <t>P0000BMJ</t>
    </r>
    <r>
      <rPr>
        <b/>
        <sz val="9"/>
        <color theme="1"/>
        <rFont val="맑은 고딕"/>
        <family val="3"/>
        <charset val="129"/>
      </rPr>
      <t xml:space="preserve">   P0000BMI</t>
    </r>
    <phoneticPr fontId="53" type="noConversion"/>
  </si>
  <si>
    <t>P0000BMU</t>
    <phoneticPr fontId="53" type="noConversion"/>
  </si>
  <si>
    <t>P0000BMV</t>
    <phoneticPr fontId="53" type="noConversion"/>
  </si>
  <si>
    <t>P0000BMW</t>
    <phoneticPr fontId="53" type="noConversion"/>
  </si>
  <si>
    <t>아나프리증정</t>
    <phoneticPr fontId="53" type="noConversion"/>
  </si>
  <si>
    <r>
      <t xml:space="preserve">P0000BIF /     </t>
    </r>
    <r>
      <rPr>
        <b/>
        <sz val="9"/>
        <color rgb="FF7030A0"/>
        <rFont val="맑은 고딕"/>
        <family val="3"/>
        <charset val="129"/>
      </rPr>
      <t>P0000BLD</t>
    </r>
    <r>
      <rPr>
        <b/>
        <sz val="9"/>
        <color theme="1"/>
        <rFont val="맑은 고딕"/>
        <family val="3"/>
        <charset val="129"/>
      </rPr>
      <t xml:space="preserve">    /   </t>
    </r>
    <r>
      <rPr>
        <b/>
        <sz val="9"/>
        <color rgb="FF00B0F0"/>
        <rFont val="맑은 고딕"/>
        <family val="3"/>
        <charset val="129"/>
      </rPr>
      <t>P0000BMJ</t>
    </r>
    <r>
      <rPr>
        <b/>
        <sz val="9"/>
        <color theme="1"/>
        <rFont val="맑은 고딕"/>
        <family val="3"/>
        <charset val="129"/>
      </rPr>
      <t xml:space="preserve">   P0000BMI / </t>
    </r>
    <r>
      <rPr>
        <b/>
        <sz val="9"/>
        <color rgb="FF7030A0"/>
        <rFont val="맑은 고딕"/>
        <family val="3"/>
        <charset val="129"/>
      </rPr>
      <t>P0000BMY (3월행사)</t>
    </r>
    <phoneticPr fontId="53" type="noConversion"/>
  </si>
  <si>
    <t>비즈5KG행사</t>
    <phoneticPr fontId="53" type="noConversion"/>
  </si>
  <si>
    <t>P0000BMZ</t>
    <phoneticPr fontId="53" type="noConversion"/>
  </si>
  <si>
    <t>티로사증정</t>
    <phoneticPr fontId="53" type="noConversion"/>
  </si>
  <si>
    <t>티로사카밍로션</t>
    <phoneticPr fontId="53" type="noConversion"/>
  </si>
  <si>
    <t>P0000BKU</t>
    <phoneticPr fontId="53" type="noConversion"/>
  </si>
  <si>
    <t>UV5개40%</t>
    <phoneticPr fontId="53" type="noConversion"/>
  </si>
  <si>
    <t>P0000BKV</t>
    <phoneticPr fontId="53" type="noConversion"/>
  </si>
  <si>
    <t>톤업5개40%</t>
    <phoneticPr fontId="53" type="noConversion"/>
  </si>
  <si>
    <t>P0000BMB</t>
    <phoneticPr fontId="53" type="noConversion"/>
  </si>
  <si>
    <t>P0000BNA</t>
    <phoneticPr fontId="53" type="noConversion"/>
  </si>
  <si>
    <r>
      <t xml:space="preserve">P0000BJT  /  </t>
    </r>
    <r>
      <rPr>
        <b/>
        <sz val="9"/>
        <color rgb="FF7030A0"/>
        <rFont val="맑은 고딕"/>
        <family val="3"/>
        <charset val="129"/>
      </rPr>
      <t>P0000BKH</t>
    </r>
    <r>
      <rPr>
        <b/>
        <sz val="9"/>
        <color theme="1"/>
        <rFont val="맑은 고딕"/>
        <family val="3"/>
        <charset val="129"/>
      </rPr>
      <t xml:space="preserve">   /  P0000BMF  / </t>
    </r>
    <r>
      <rPr>
        <b/>
        <sz val="9"/>
        <color rgb="FF7030A0"/>
        <rFont val="맑은 고딕"/>
        <family val="3"/>
        <charset val="129"/>
      </rPr>
      <t>P0000BMG</t>
    </r>
    <r>
      <rPr>
        <b/>
        <sz val="9"/>
        <color theme="1"/>
        <rFont val="맑은 고딕"/>
        <family val="3"/>
        <charset val="129"/>
      </rPr>
      <t xml:space="preserve">  </t>
    </r>
    <phoneticPr fontId="53" type="noConversion"/>
  </si>
  <si>
    <r>
      <t xml:space="preserve">P0000BID  /  </t>
    </r>
    <r>
      <rPr>
        <b/>
        <sz val="9"/>
        <color rgb="FF7030A0"/>
        <rFont val="맑은 고딕"/>
        <family val="3"/>
        <charset val="129"/>
      </rPr>
      <t>P0000BKF</t>
    </r>
    <r>
      <rPr>
        <b/>
        <sz val="9"/>
        <color theme="1"/>
        <rFont val="맑은 고딕"/>
        <family val="3"/>
        <charset val="129"/>
      </rPr>
      <t xml:space="preserve">    /  P0000BME</t>
    </r>
    <r>
      <rPr>
        <b/>
        <sz val="9"/>
        <color rgb="FF7030A0"/>
        <rFont val="맑은 고딕"/>
        <family val="3"/>
        <charset val="129"/>
      </rPr>
      <t xml:space="preserve">   /  P0000BMD</t>
    </r>
    <r>
      <rPr>
        <b/>
        <sz val="9"/>
        <color theme="1"/>
        <rFont val="맑은 고딕"/>
        <family val="3"/>
        <charset val="129"/>
      </rPr>
      <t xml:space="preserve">   </t>
    </r>
    <phoneticPr fontId="53" type="noConversion"/>
  </si>
  <si>
    <t>P0000BMX</t>
    <phoneticPr fontId="53" type="noConversion"/>
  </si>
  <si>
    <t>P0000BMA</t>
    <phoneticPr fontId="53" type="noConversion"/>
  </si>
  <si>
    <t>P0000BHQ</t>
    <phoneticPr fontId="53" type="noConversion"/>
  </si>
  <si>
    <t>P0000BIO</t>
    <phoneticPr fontId="53" type="noConversion"/>
  </si>
  <si>
    <t>P0000BHP</t>
    <phoneticPr fontId="53" type="noConversion"/>
  </si>
  <si>
    <t>P0000BAO</t>
    <phoneticPr fontId="53" type="noConversion"/>
  </si>
  <si>
    <t>기한임박할인</t>
    <phoneticPr fontId="53" type="noConversion"/>
  </si>
  <si>
    <t>자디니스파앞치마</t>
    <phoneticPr fontId="53" type="noConversion"/>
  </si>
  <si>
    <t>약용오일진열대(아크릴)</t>
    <phoneticPr fontId="53" type="noConversion"/>
  </si>
  <si>
    <t>약용오일진열대(종이)</t>
    <phoneticPr fontId="53" type="noConversion"/>
  </si>
  <si>
    <t>아로마흡입기</t>
    <phoneticPr fontId="53" type="noConversion"/>
  </si>
  <si>
    <t>스파앞치마</t>
    <phoneticPr fontId="53" type="noConversion"/>
  </si>
  <si>
    <t>P00000UF</t>
    <phoneticPr fontId="53" type="noConversion"/>
  </si>
  <si>
    <t>불량교환</t>
    <phoneticPr fontId="53" type="noConversion"/>
  </si>
  <si>
    <t>온오프매장및중국</t>
    <phoneticPr fontId="53" type="noConversion"/>
  </si>
  <si>
    <t>인증/마스터</t>
    <phoneticPr fontId="53" type="noConversion"/>
  </si>
  <si>
    <t>P0000BNJ</t>
    <phoneticPr fontId="53" type="noConversion"/>
  </si>
  <si>
    <t>P0000BNG</t>
    <phoneticPr fontId="53" type="noConversion"/>
  </si>
  <si>
    <t>바디리추얼슬림&amp;쉐입</t>
    <phoneticPr fontId="53" type="noConversion"/>
  </si>
  <si>
    <t>P0000BND</t>
    <phoneticPr fontId="53" type="noConversion"/>
  </si>
  <si>
    <t>P0000BNE</t>
    <phoneticPr fontId="53" type="noConversion"/>
  </si>
  <si>
    <t>P0000BAM</t>
    <phoneticPr fontId="53" type="noConversion"/>
  </si>
  <si>
    <t>P007000ZC</t>
    <phoneticPr fontId="53" type="noConversion"/>
  </si>
  <si>
    <t>컵비즈세트할인</t>
    <phoneticPr fontId="53" type="noConversion"/>
  </si>
  <si>
    <t>스타터세트할인</t>
    <phoneticPr fontId="53" type="noConversion"/>
  </si>
  <si>
    <r>
      <t xml:space="preserve">P0000BIF /     </t>
    </r>
    <r>
      <rPr>
        <b/>
        <sz val="9"/>
        <color rgb="FF7030A0"/>
        <rFont val="맑은 고딕"/>
        <family val="3"/>
        <charset val="129"/>
      </rPr>
      <t>P0000BLD</t>
    </r>
    <r>
      <rPr>
        <b/>
        <sz val="9"/>
        <color theme="1"/>
        <rFont val="맑은 고딕"/>
        <family val="3"/>
        <charset val="129"/>
      </rPr>
      <t xml:space="preserve">    /   </t>
    </r>
    <r>
      <rPr>
        <b/>
        <sz val="9"/>
        <color rgb="FF00B0F0"/>
        <rFont val="맑은 고딕"/>
        <family val="3"/>
        <charset val="129"/>
      </rPr>
      <t>P0000BMJ</t>
    </r>
    <r>
      <rPr>
        <b/>
        <sz val="9"/>
        <color theme="1"/>
        <rFont val="맑은 고딕"/>
        <family val="3"/>
        <charset val="129"/>
      </rPr>
      <t xml:space="preserve">   P0000BMI / </t>
    </r>
    <phoneticPr fontId="53" type="noConversion"/>
  </si>
  <si>
    <t xml:space="preserve"> </t>
    <phoneticPr fontId="53" type="noConversion"/>
  </si>
  <si>
    <t>P00000NE</t>
    <phoneticPr fontId="53" type="noConversion"/>
  </si>
  <si>
    <t>P0000BNB</t>
    <phoneticPr fontId="53" type="noConversion"/>
  </si>
  <si>
    <t>종이화일</t>
    <phoneticPr fontId="53" type="noConversion"/>
  </si>
  <si>
    <t>원장유니폼(상)</t>
    <phoneticPr fontId="53" type="noConversion"/>
  </si>
  <si>
    <t>유니폼(하)</t>
    <phoneticPr fontId="53" type="noConversion"/>
  </si>
  <si>
    <t>자디니스파명찰</t>
    <phoneticPr fontId="53" type="noConversion"/>
  </si>
  <si>
    <t>자디니릴렉싱바디오일500</t>
    <phoneticPr fontId="53" type="noConversion"/>
  </si>
  <si>
    <t>자디니릴렉싱바디오일100</t>
    <phoneticPr fontId="53" type="noConversion"/>
  </si>
  <si>
    <t>자디니티로사카밍로션</t>
    <phoneticPr fontId="53" type="noConversion"/>
  </si>
  <si>
    <t>왁스솔벤트500</t>
    <phoneticPr fontId="53" type="noConversion"/>
  </si>
  <si>
    <t>왁스솔벤트1L</t>
    <phoneticPr fontId="53" type="noConversion"/>
  </si>
  <si>
    <t>자디니마인드밸런스레스트풀슬립</t>
    <phoneticPr fontId="53" type="noConversion"/>
  </si>
  <si>
    <t>블랜딩엑스퍼트교육용교재</t>
    <phoneticPr fontId="53" type="noConversion"/>
  </si>
  <si>
    <t>선샤인비즈왁스800</t>
    <phoneticPr fontId="53" type="noConversion"/>
  </si>
  <si>
    <t>자디니왁싱실리콘컵2종</t>
    <phoneticPr fontId="53" type="noConversion"/>
  </si>
  <si>
    <t>자디니아나프리오일</t>
    <phoneticPr fontId="53" type="noConversion"/>
  </si>
  <si>
    <t>자디니딥릴리프오일200</t>
    <phoneticPr fontId="53" type="noConversion"/>
  </si>
  <si>
    <t>자디니딥릴리프오일75</t>
    <phoneticPr fontId="53" type="noConversion"/>
  </si>
  <si>
    <t>자디니안티버그스프레이(10묶음)</t>
    <phoneticPr fontId="53" type="noConversion"/>
  </si>
  <si>
    <t>위생장갑(라텍스)</t>
    <phoneticPr fontId="53" type="noConversion"/>
  </si>
  <si>
    <t>라이콘브로슈어</t>
    <phoneticPr fontId="53" type="noConversion"/>
  </si>
  <si>
    <t>자디니아로마헤어샴푸</t>
    <phoneticPr fontId="53" type="noConversion"/>
  </si>
  <si>
    <t>자디니아로마헤어트리트먼트</t>
    <phoneticPr fontId="53" type="noConversion"/>
  </si>
  <si>
    <t>자디니아로마헤어루트인핸서</t>
    <phoneticPr fontId="53" type="noConversion"/>
  </si>
  <si>
    <t>자디니리본펩타이드세럼50</t>
    <phoneticPr fontId="53" type="noConversion"/>
  </si>
  <si>
    <t>바자즐링Y존토너패드</t>
    <phoneticPr fontId="53" type="noConversion"/>
  </si>
  <si>
    <t>자디니무수알코올1kg</t>
    <phoneticPr fontId="53" type="noConversion"/>
  </si>
  <si>
    <t>자디니아로마에센셜오일1kg</t>
    <phoneticPr fontId="53" type="noConversion"/>
  </si>
  <si>
    <r>
      <t xml:space="preserve">자디니아로마에센셜오일10ml     P0000BJT  /  </t>
    </r>
    <r>
      <rPr>
        <b/>
        <sz val="9"/>
        <color rgb="FF7030A0"/>
        <rFont val="맑은 고딕"/>
        <family val="3"/>
        <charset val="129"/>
      </rPr>
      <t>P0000BKH</t>
    </r>
    <r>
      <rPr>
        <b/>
        <sz val="9"/>
        <color theme="1"/>
        <rFont val="맑은 고딕"/>
        <family val="3"/>
        <charset val="129"/>
      </rPr>
      <t xml:space="preserve">   /  P0000BMF  / </t>
    </r>
    <r>
      <rPr>
        <b/>
        <sz val="9"/>
        <color rgb="FF7030A0"/>
        <rFont val="맑은 고딕"/>
        <family val="3"/>
        <charset val="129"/>
      </rPr>
      <t>P0000BMG</t>
    </r>
    <r>
      <rPr>
        <b/>
        <sz val="9"/>
        <color theme="1"/>
        <rFont val="맑은 고딕"/>
        <family val="3"/>
        <charset val="129"/>
      </rPr>
      <t xml:space="preserve">  </t>
    </r>
    <phoneticPr fontId="53" type="noConversion"/>
  </si>
  <si>
    <r>
      <t xml:space="preserve">자디니아로마에센셜오일100ml   P0000BID  /  </t>
    </r>
    <r>
      <rPr>
        <b/>
        <sz val="9"/>
        <color rgb="FF7030A0"/>
        <rFont val="맑은 고딕"/>
        <family val="3"/>
        <charset val="129"/>
      </rPr>
      <t>P0000BKF</t>
    </r>
    <r>
      <rPr>
        <b/>
        <sz val="9"/>
        <color theme="1"/>
        <rFont val="맑은 고딕"/>
        <family val="3"/>
        <charset val="129"/>
      </rPr>
      <t xml:space="preserve">    /  P0000BME</t>
    </r>
    <r>
      <rPr>
        <b/>
        <sz val="9"/>
        <color rgb="FF7030A0"/>
        <rFont val="맑은 고딕"/>
        <family val="3"/>
        <charset val="129"/>
      </rPr>
      <t xml:space="preserve">   /  P0000BMD</t>
    </r>
    <r>
      <rPr>
        <b/>
        <sz val="9"/>
        <color theme="1"/>
        <rFont val="맑은 고딕"/>
        <family val="3"/>
        <charset val="129"/>
      </rPr>
      <t xml:space="preserve">   </t>
    </r>
    <phoneticPr fontId="53" type="noConversion"/>
  </si>
  <si>
    <t>자디니로즈워터120ml</t>
    <phoneticPr fontId="53" type="noConversion"/>
  </si>
  <si>
    <t>자디니티트리워터120ml</t>
    <phoneticPr fontId="53" type="noConversion"/>
  </si>
  <si>
    <t>자디니티트리워터500ml</t>
    <phoneticPr fontId="53" type="noConversion"/>
  </si>
  <si>
    <t>유기농오가닉골든호호바오일30</t>
    <phoneticPr fontId="53" type="noConversion"/>
  </si>
  <si>
    <t>유기농오가닉골든호호바오일100</t>
    <phoneticPr fontId="53" type="noConversion"/>
  </si>
  <si>
    <t>유기농오가닉골든호호바오일500</t>
    <phoneticPr fontId="53" type="noConversion"/>
  </si>
  <si>
    <t>자디니포레스트페이셜스크럽</t>
    <phoneticPr fontId="53" type="noConversion"/>
  </si>
  <si>
    <r>
      <t xml:space="preserve">자디니캐리어오일1kg  P0000BJR  /  </t>
    </r>
    <r>
      <rPr>
        <b/>
        <sz val="9"/>
        <color rgb="FF7030A0"/>
        <rFont val="맑은 고딕"/>
        <family val="3"/>
        <charset val="129"/>
      </rPr>
      <t>P0000BKG</t>
    </r>
    <phoneticPr fontId="53" type="noConversion"/>
  </si>
  <si>
    <t>자디니포레스트바디로션</t>
    <phoneticPr fontId="53" type="noConversion"/>
  </si>
  <si>
    <t>자디니포레스트바디워시</t>
    <phoneticPr fontId="53" type="noConversion"/>
  </si>
  <si>
    <t>y존패드지퍼파우치</t>
    <phoneticPr fontId="53" type="noConversion"/>
  </si>
  <si>
    <t>2구워머기 1000/1000</t>
    <phoneticPr fontId="53" type="noConversion"/>
  </si>
  <si>
    <t>자디니UV썬톤업크림30</t>
    <phoneticPr fontId="53" type="noConversion"/>
  </si>
  <si>
    <t>Y존패드여행용리필케이스</t>
    <phoneticPr fontId="53" type="noConversion"/>
  </si>
  <si>
    <t>맨니피코스킨클렌저250</t>
    <phoneticPr fontId="53" type="noConversion"/>
  </si>
  <si>
    <t>맨니피코더블액션오일250</t>
    <phoneticPr fontId="53" type="noConversion"/>
  </si>
  <si>
    <t>맨니피코피니싱로션250</t>
    <phoneticPr fontId="53" type="noConversion"/>
  </si>
  <si>
    <t>라이코페디프로7종세트</t>
    <phoneticPr fontId="53" type="noConversion"/>
  </si>
  <si>
    <t>슈가로션석류1L</t>
    <phoneticPr fontId="53" type="noConversion"/>
  </si>
  <si>
    <t>슈가로션자몽1L</t>
    <phoneticPr fontId="53" type="noConversion"/>
  </si>
  <si>
    <t>슈가로션라벤더1L</t>
    <phoneticPr fontId="53" type="noConversion"/>
  </si>
  <si>
    <t>슈가로션코코넛&amp;바닐라1L</t>
    <phoneticPr fontId="53" type="noConversion"/>
  </si>
  <si>
    <t>슈가로션애플1L</t>
    <phoneticPr fontId="53" type="noConversion"/>
  </si>
  <si>
    <t>슈가로션망고1L</t>
    <phoneticPr fontId="53" type="noConversion"/>
  </si>
  <si>
    <t>자디니리본수딩젤(구천년초)</t>
    <phoneticPr fontId="53" type="noConversion"/>
  </si>
  <si>
    <t>자디니안자라로션</t>
    <phoneticPr fontId="53" type="noConversion"/>
  </si>
  <si>
    <t>자디니큐어셀토너800</t>
    <phoneticPr fontId="53" type="noConversion"/>
  </si>
  <si>
    <t>자디니큐어셀토너200</t>
    <phoneticPr fontId="53" type="noConversion"/>
  </si>
  <si>
    <t>자디니큐어셀스무디</t>
    <phoneticPr fontId="53" type="noConversion"/>
  </si>
  <si>
    <t>자디니큐어셀크림100</t>
    <phoneticPr fontId="53" type="noConversion"/>
  </si>
  <si>
    <t>자디니큐어셀세럼(PR세럼)</t>
    <phoneticPr fontId="53" type="noConversion"/>
  </si>
  <si>
    <t>자디니밀키웨이클렌징200</t>
    <phoneticPr fontId="53" type="noConversion"/>
  </si>
  <si>
    <t>자디니밀키웨이클렌징800</t>
    <phoneticPr fontId="53" type="noConversion"/>
  </si>
  <si>
    <t>자디니버진오일</t>
    <phoneticPr fontId="53" type="noConversion"/>
  </si>
  <si>
    <t>자디니아쿠아알로에수딩젤800</t>
    <phoneticPr fontId="53" type="noConversion"/>
  </si>
  <si>
    <t>자디니아쿠아알로에수딩젤200</t>
    <phoneticPr fontId="53" type="noConversion"/>
  </si>
  <si>
    <t>자디니헤어프리인그로운스프레이</t>
    <phoneticPr fontId="53" type="noConversion"/>
  </si>
  <si>
    <t>자디니안티바이오로션</t>
    <phoneticPr fontId="53" type="noConversion"/>
  </si>
  <si>
    <t>제모미인헤어터번</t>
    <phoneticPr fontId="53" type="noConversion"/>
  </si>
  <si>
    <t>라이콘스파앞치마</t>
    <phoneticPr fontId="53" type="noConversion"/>
  </si>
  <si>
    <t>라이콘스파타올(대)</t>
    <phoneticPr fontId="53" type="noConversion"/>
  </si>
  <si>
    <t>라이콘스파타올(중)</t>
    <phoneticPr fontId="53" type="noConversion"/>
  </si>
  <si>
    <t>라이콘스파타올(소)</t>
    <phoneticPr fontId="53" type="noConversion"/>
  </si>
  <si>
    <t>위생장갑(PVC)</t>
    <phoneticPr fontId="53" type="noConversion"/>
  </si>
  <si>
    <t>자디니안티바이오미스트</t>
    <phoneticPr fontId="53" type="noConversion"/>
  </si>
  <si>
    <t>바자즐링y존케어미스트150</t>
    <phoneticPr fontId="53" type="noConversion"/>
  </si>
  <si>
    <t>P00000ZB</t>
    <phoneticPr fontId="53" type="noConversion"/>
  </si>
  <si>
    <t>라이콘컵왁스비즈(로제트)</t>
    <phoneticPr fontId="53" type="noConversion"/>
  </si>
  <si>
    <t>라이콘컵왁스비즈(라벤다)</t>
    <phoneticPr fontId="53" type="noConversion"/>
  </si>
  <si>
    <t>라이콘컵왁스비즈(하이브리드)</t>
    <phoneticPr fontId="53" type="noConversion"/>
  </si>
  <si>
    <t>라이콘컵왁스비즈(핑키니)</t>
    <phoneticPr fontId="53" type="noConversion"/>
  </si>
  <si>
    <t>제모미인페이스왁싱스킨100</t>
    <phoneticPr fontId="53" type="noConversion"/>
  </si>
  <si>
    <t>제모미인페이스왁싱프리오일100</t>
    <phoneticPr fontId="53" type="noConversion"/>
  </si>
  <si>
    <t>자디니네츄럴포밍클랜징</t>
    <phoneticPr fontId="53" type="noConversion"/>
  </si>
  <si>
    <t>자디니시카마스크5개</t>
    <phoneticPr fontId="53" type="noConversion"/>
  </si>
  <si>
    <t>자디니시카마스크팩</t>
    <phoneticPr fontId="53" type="noConversion"/>
  </si>
  <si>
    <t>자디니리본미스트110</t>
    <phoneticPr fontId="53" type="noConversion"/>
  </si>
  <si>
    <t>자디니히아루로닉아쿠아세럼50</t>
    <phoneticPr fontId="53" type="noConversion"/>
  </si>
  <si>
    <t>미니전후처리제5종세트125</t>
    <phoneticPr fontId="53" type="noConversion"/>
  </si>
  <si>
    <t>슈가스크럽석류520</t>
    <phoneticPr fontId="53" type="noConversion"/>
  </si>
  <si>
    <t>슈가스크럽자몽520</t>
    <phoneticPr fontId="53" type="noConversion"/>
  </si>
  <si>
    <t>슈가스크럽라벤다520.</t>
    <phoneticPr fontId="53" type="noConversion"/>
  </si>
  <si>
    <t>슈가스크럽코코넛&amp;바닐라520</t>
    <phoneticPr fontId="53" type="noConversion"/>
  </si>
  <si>
    <t>슈가스크럽애플520</t>
    <phoneticPr fontId="53" type="noConversion"/>
  </si>
  <si>
    <t>슈가스크럽망고520</t>
    <phoneticPr fontId="53" type="noConversion"/>
  </si>
  <si>
    <t>아쥴렌하드</t>
    <phoneticPr fontId="53" type="noConversion"/>
  </si>
  <si>
    <t>로즈퓨어하드</t>
    <phoneticPr fontId="53" type="noConversion"/>
  </si>
  <si>
    <t>맨니피코하드</t>
    <phoneticPr fontId="53" type="noConversion"/>
  </si>
  <si>
    <t>루비하드</t>
    <phoneticPr fontId="53" type="noConversion"/>
  </si>
  <si>
    <t>아프리콧하드</t>
    <phoneticPr fontId="53" type="noConversion"/>
  </si>
  <si>
    <t>올리브하드</t>
    <phoneticPr fontId="53" type="noConversion"/>
  </si>
  <si>
    <t>소베리딜리셔스하드</t>
    <phoneticPr fontId="53" type="noConversion"/>
  </si>
  <si>
    <t>라이코젯라벤다비즈5kg</t>
    <phoneticPr fontId="53" type="noConversion"/>
  </si>
  <si>
    <t>로제트비즈5kg</t>
    <phoneticPr fontId="53" type="noConversion"/>
  </si>
  <si>
    <t>핑키니하이브리드비즈5kg</t>
    <phoneticPr fontId="53" type="noConversion"/>
  </si>
  <si>
    <t>라이코드림하이브리드비즈5kg</t>
    <phoneticPr fontId="53" type="noConversion"/>
  </si>
  <si>
    <t>라이코드림하이브리드비즈800</t>
    <phoneticPr fontId="53" type="noConversion"/>
  </si>
  <si>
    <t>라이코젯라벤다비즈800</t>
    <phoneticPr fontId="53" type="noConversion"/>
  </si>
  <si>
    <t>로제트비즈800</t>
    <phoneticPr fontId="53" type="noConversion"/>
  </si>
  <si>
    <t>핑키니하이브리드비즈800</t>
    <phoneticPr fontId="53" type="noConversion"/>
  </si>
  <si>
    <t>라이코젯아이브로우500</t>
    <phoneticPr fontId="53" type="noConversion"/>
  </si>
  <si>
    <t>라이코넥화이트500</t>
    <phoneticPr fontId="53" type="noConversion"/>
  </si>
  <si>
    <t>라이코드림하이브리드500</t>
    <phoneticPr fontId="53" type="noConversion"/>
  </si>
  <si>
    <t>라이코텍슈퍼베리500</t>
    <phoneticPr fontId="53" type="noConversion"/>
  </si>
  <si>
    <t>맨니피코하이브리드500</t>
    <phoneticPr fontId="53" type="noConversion"/>
  </si>
  <si>
    <t>라이코젯데저트하드</t>
    <phoneticPr fontId="53" type="noConversion"/>
  </si>
  <si>
    <t>라이코젯라벤더하드</t>
    <phoneticPr fontId="53" type="noConversion"/>
  </si>
  <si>
    <t>라이코플렉스바닐라하드</t>
    <phoneticPr fontId="53" type="noConversion"/>
  </si>
  <si>
    <t>알로에베라하드</t>
    <phoneticPr fontId="53" type="noConversion"/>
  </si>
  <si>
    <t>S_라이코플렉스바닐라스트립</t>
    <phoneticPr fontId="53" type="noConversion"/>
  </si>
  <si>
    <t>S_로제트스트립왁스</t>
    <phoneticPr fontId="53" type="noConversion"/>
  </si>
  <si>
    <t>S_소베리딜리셔스</t>
    <phoneticPr fontId="53" type="noConversion"/>
  </si>
  <si>
    <t>S_맨니피코스트립</t>
    <phoneticPr fontId="53" type="noConversion"/>
  </si>
  <si>
    <t>S_액티브골드스트립</t>
    <phoneticPr fontId="53" type="noConversion"/>
  </si>
  <si>
    <t>S_알로에베라스트립</t>
    <phoneticPr fontId="53" type="noConversion"/>
  </si>
  <si>
    <t>S_올리브스트립</t>
    <phoneticPr fontId="53" type="noConversion"/>
  </si>
  <si>
    <t>S_아쥴렌스트립</t>
    <phoneticPr fontId="53" type="noConversion"/>
  </si>
  <si>
    <t>S_아프리콧스트립</t>
    <phoneticPr fontId="53" type="noConversion"/>
  </si>
  <si>
    <t>핑키니하이브리드하드</t>
    <phoneticPr fontId="53" type="noConversion"/>
  </si>
  <si>
    <t>라이코텐스킨클렌저500</t>
    <phoneticPr fontId="53" type="noConversion"/>
  </si>
  <si>
    <t>프리왁싱오일1000</t>
    <phoneticPr fontId="53" type="noConversion"/>
  </si>
  <si>
    <t>티트리퍼팩오일</t>
    <phoneticPr fontId="53" type="noConversion"/>
  </si>
  <si>
    <t>티트리수드로션500</t>
    <phoneticPr fontId="53" type="noConversion"/>
  </si>
  <si>
    <t>인그로운크림30</t>
    <phoneticPr fontId="53" type="noConversion"/>
  </si>
  <si>
    <t>인그로운XIT포밍젤250</t>
    <phoneticPr fontId="53" type="noConversion"/>
  </si>
  <si>
    <t>인그로운xit솔루션50ml</t>
    <phoneticPr fontId="53" type="noConversion"/>
  </si>
  <si>
    <t>인그로운xit솔루션125ml</t>
    <phoneticPr fontId="53" type="noConversion"/>
  </si>
  <si>
    <t>바디엑스폴리언트200</t>
    <phoneticPr fontId="53" type="noConversion"/>
  </si>
  <si>
    <t>석류스크럽100</t>
    <phoneticPr fontId="53" type="noConversion"/>
  </si>
  <si>
    <t>자몽스크럽100</t>
    <phoneticPr fontId="53" type="noConversion"/>
  </si>
  <si>
    <t>라벤더스크럽100</t>
    <phoneticPr fontId="53" type="noConversion"/>
  </si>
  <si>
    <t>코코넛스크럽100</t>
    <phoneticPr fontId="53" type="noConversion"/>
  </si>
  <si>
    <t>애플스크럽100</t>
    <phoneticPr fontId="53" type="noConversion"/>
  </si>
  <si>
    <t>망고스크럽100</t>
    <phoneticPr fontId="53" type="noConversion"/>
  </si>
  <si>
    <t>대용량슈가스크럽</t>
    <phoneticPr fontId="53" type="noConversion"/>
  </si>
  <si>
    <t>자디니UV썬스크린데일리크림30</t>
    <phoneticPr fontId="53" type="noConversion"/>
  </si>
  <si>
    <t>바자즐링y존클렌저150</t>
    <phoneticPr fontId="53" type="noConversion"/>
  </si>
  <si>
    <t>바자즐링y존여성청결제</t>
    <phoneticPr fontId="53" type="noConversion"/>
  </si>
  <si>
    <t>브라질리언수딩마스크팩</t>
    <phoneticPr fontId="53" type="noConversion"/>
  </si>
  <si>
    <t>화이트브라질리언마스크팩</t>
    <phoneticPr fontId="53" type="noConversion"/>
  </si>
  <si>
    <t>핑키니세럼 box(9개)</t>
    <phoneticPr fontId="53" type="noConversion"/>
  </si>
  <si>
    <t>핑키니세럼 30</t>
    <phoneticPr fontId="53" type="noConversion"/>
  </si>
  <si>
    <t>S_라이코텍화이트스트립</t>
    <phoneticPr fontId="53" type="noConversion"/>
  </si>
  <si>
    <t>S_라이코텍슈퍼베리스트립</t>
    <phoneticPr fontId="53" type="noConversion"/>
  </si>
  <si>
    <t>밀크클렌징 200</t>
    <phoneticPr fontId="53" type="noConversion"/>
  </si>
  <si>
    <t>자디니알루마마미레스트</t>
    <phoneticPr fontId="53" type="noConversion"/>
  </si>
  <si>
    <t>티로사카밍</t>
    <phoneticPr fontId="53" type="noConversion"/>
  </si>
  <si>
    <t>릴렉싱오일</t>
    <phoneticPr fontId="53" type="noConversion"/>
  </si>
  <si>
    <t>안티바이오미스트</t>
    <phoneticPr fontId="53" type="noConversion"/>
  </si>
  <si>
    <t>딥릴리프200</t>
    <phoneticPr fontId="53" type="noConversion"/>
  </si>
  <si>
    <t>딥릴리프75</t>
    <phoneticPr fontId="53" type="noConversion"/>
  </si>
  <si>
    <t>트래블키트</t>
    <phoneticPr fontId="53" type="noConversion"/>
  </si>
  <si>
    <t>안티버그</t>
    <phoneticPr fontId="53" type="noConversion"/>
  </si>
  <si>
    <t>P0000BLT</t>
    <phoneticPr fontId="53" type="noConversion"/>
  </si>
  <si>
    <t>P0000BNH / P0000BNK</t>
    <phoneticPr fontId="53" type="noConversion"/>
  </si>
  <si>
    <t>uv썬/톤업</t>
    <phoneticPr fontId="53" type="noConversion"/>
  </si>
  <si>
    <t>포레스크럽</t>
    <phoneticPr fontId="53" type="noConversion"/>
  </si>
  <si>
    <t>P0000BIS</t>
    <phoneticPr fontId="53" type="noConversion"/>
  </si>
  <si>
    <t>P0000BJD</t>
    <phoneticPr fontId="53" type="noConversion"/>
  </si>
  <si>
    <t>P0000BJE</t>
    <phoneticPr fontId="53" type="noConversion"/>
  </si>
  <si>
    <t>P0000BJF</t>
    <phoneticPr fontId="53" type="noConversion"/>
  </si>
  <si>
    <r>
      <t xml:space="preserve">P0000BFJ / </t>
    </r>
    <r>
      <rPr>
        <b/>
        <sz val="9"/>
        <color rgb="FF00B0F0"/>
        <rFont val="맑은 고딕"/>
        <family val="3"/>
        <charset val="129"/>
      </rPr>
      <t>P0000BFG</t>
    </r>
    <phoneticPr fontId="53" type="noConversion"/>
  </si>
  <si>
    <t>라이코젯 라벤더 비즈 왁스 800g</t>
  </si>
  <si>
    <t>로제트 비즈 왁스 800g</t>
  </si>
  <si>
    <t>핑키니 하이브리드 비즈 왁스 800g</t>
  </si>
  <si>
    <t>P0000BMI</t>
  </si>
  <si>
    <t>P0000BMJ</t>
    <phoneticPr fontId="53" type="noConversion"/>
  </si>
  <si>
    <t>선샤인 비즈왁스 800g (1박스 18개)</t>
  </si>
  <si>
    <t>P00000QE</t>
    <phoneticPr fontId="53" type="noConversion"/>
  </si>
  <si>
    <t>P00000YU</t>
    <phoneticPr fontId="53" type="noConversion"/>
  </si>
  <si>
    <t>P00000YZ</t>
    <phoneticPr fontId="53" type="noConversion"/>
  </si>
  <si>
    <t>P00000YS</t>
    <phoneticPr fontId="53" type="noConversion"/>
  </si>
  <si>
    <t>하드왁스500g 24개</t>
  </si>
  <si>
    <t>하드왁스15개</t>
    <phoneticPr fontId="53" type="noConversion"/>
  </si>
  <si>
    <t xml:space="preserve">P0000BLR </t>
    <phoneticPr fontId="53" type="noConversion"/>
  </si>
  <si>
    <t>비즈 왁스 4종</t>
    <phoneticPr fontId="53" type="noConversion"/>
  </si>
  <si>
    <t xml:space="preserve"> -</t>
    <phoneticPr fontId="53" type="noConversion"/>
  </si>
  <si>
    <t>라이콘 컵 왁스 비즈 110g 세트 (로제트 / 라벤더 / 하이브리드 / 핑키니)</t>
    <phoneticPr fontId="53" type="noConversion"/>
  </si>
  <si>
    <t>DH</t>
    <phoneticPr fontId="53" type="noConversion"/>
  </si>
  <si>
    <t>CW</t>
  </si>
  <si>
    <t>[묶음할인 15%] 하드왁스 1Kg 5개이상</t>
    <phoneticPr fontId="53" type="noConversion"/>
  </si>
  <si>
    <t>E</t>
    <phoneticPr fontId="53" type="noConversion"/>
  </si>
  <si>
    <t>D</t>
    <phoneticPr fontId="53" type="noConversion"/>
  </si>
  <si>
    <t>라이콘 바디왁싱 스타터 키트20%할인</t>
    <phoneticPr fontId="53" type="noConversion"/>
  </si>
  <si>
    <t>P0000BIF</t>
    <phoneticPr fontId="53" type="noConversion"/>
  </si>
  <si>
    <t>CI</t>
  </si>
  <si>
    <t>CJ</t>
  </si>
  <si>
    <t>CK</t>
  </si>
  <si>
    <t>CL</t>
    <phoneticPr fontId="53" type="noConversion"/>
  </si>
  <si>
    <t>CM</t>
    <phoneticPr fontId="53" type="noConversion"/>
  </si>
  <si>
    <t>CN</t>
    <phoneticPr fontId="53" type="noConversion"/>
  </si>
  <si>
    <t>CO</t>
    <phoneticPr fontId="53" type="noConversion"/>
  </si>
  <si>
    <t>P0000BLD</t>
    <phoneticPr fontId="53" type="noConversion"/>
  </si>
  <si>
    <t>F</t>
    <phoneticPr fontId="53" type="noConversion"/>
  </si>
  <si>
    <t>G</t>
    <phoneticPr fontId="53" type="noConversion"/>
  </si>
  <si>
    <t>H</t>
    <phoneticPr fontId="53" type="noConversion"/>
  </si>
  <si>
    <t>I</t>
    <phoneticPr fontId="53" type="noConversion"/>
  </si>
  <si>
    <t>W</t>
    <phoneticPr fontId="53" type="noConversion"/>
  </si>
  <si>
    <t>T</t>
    <phoneticPr fontId="53" type="noConversion"/>
  </si>
  <si>
    <t>S</t>
    <phoneticPr fontId="53" type="noConversion"/>
  </si>
  <si>
    <t>CM</t>
  </si>
  <si>
    <t>CO</t>
  </si>
  <si>
    <t>CP</t>
    <phoneticPr fontId="53" type="noConversion"/>
  </si>
  <si>
    <t>CQ</t>
  </si>
  <si>
    <t>CR</t>
  </si>
  <si>
    <t>CS</t>
    <phoneticPr fontId="53" type="noConversion"/>
  </si>
  <si>
    <t>CT</t>
    <phoneticPr fontId="53" type="noConversion"/>
  </si>
  <si>
    <t>CU</t>
    <phoneticPr fontId="53" type="noConversion"/>
  </si>
  <si>
    <t>D</t>
  </si>
  <si>
    <t>라이콘컵왁스비즈(로제트)</t>
  </si>
  <si>
    <t>라이콘컵왁스비즈(라벤다)</t>
  </si>
  <si>
    <t>라이콘컵왁스비즈(하이브리드)</t>
  </si>
  <si>
    <t>라이콘컵왁스비즈(핑키니)</t>
  </si>
  <si>
    <t>-</t>
  </si>
  <si>
    <t>핑키니하이브리드하드</t>
  </si>
  <si>
    <t>루비하드</t>
  </si>
  <si>
    <t>라이코젯데저트하드</t>
  </si>
  <si>
    <t>라이코젯라벤더하드</t>
  </si>
  <si>
    <t>P00000CH</t>
  </si>
  <si>
    <t>로즈퓨어하드</t>
  </si>
  <si>
    <t>맨니피코하드</t>
  </si>
  <si>
    <t>올리브하드</t>
  </si>
  <si>
    <t>라이코플렉스바닐라하드</t>
  </si>
  <si>
    <t>P00000CI</t>
  </si>
  <si>
    <t>소베리딜리셔스하드</t>
  </si>
  <si>
    <t>아쥴렌하드</t>
  </si>
  <si>
    <t>알로에베라하드</t>
  </si>
  <si>
    <t>P00000CF</t>
  </si>
  <si>
    <t>아프리콧하드</t>
  </si>
  <si>
    <t>라이콘 컵 왁스 
비즈 110g 5개 이상 10% (로제트 / 라벤더 / 하이브리드 / 핑키니)</t>
    <phoneticPr fontId="53" type="noConversion"/>
  </si>
  <si>
    <t>A</t>
  </si>
  <si>
    <t>A</t>
    <phoneticPr fontId="53" type="noConversion"/>
  </si>
  <si>
    <t>B</t>
  </si>
  <si>
    <t>B</t>
    <phoneticPr fontId="53" type="noConversion"/>
  </si>
  <si>
    <t>C</t>
  </si>
  <si>
    <t>C</t>
    <phoneticPr fontId="53" type="noConversion"/>
  </si>
  <si>
    <t>J</t>
    <phoneticPr fontId="53" type="noConversion"/>
  </si>
  <si>
    <t>K</t>
    <phoneticPr fontId="53" type="noConversion"/>
  </si>
  <si>
    <t>P00000BX</t>
    <phoneticPr fontId="53" type="noConversion"/>
  </si>
  <si>
    <t>CI</t>
    <phoneticPr fontId="53" type="noConversion"/>
  </si>
  <si>
    <t>CK</t>
    <phoneticPr fontId="53" type="noConversion"/>
  </si>
  <si>
    <t>Q</t>
    <phoneticPr fontId="53" type="noConversion"/>
  </si>
  <si>
    <t>R</t>
    <phoneticPr fontId="53" type="noConversion"/>
  </si>
  <si>
    <t>U</t>
    <phoneticPr fontId="53" type="noConversion"/>
  </si>
  <si>
    <t>V</t>
    <phoneticPr fontId="53" type="noConversion"/>
  </si>
  <si>
    <t>P0000BLA</t>
  </si>
  <si>
    <t>L</t>
    <phoneticPr fontId="53" type="noConversion"/>
  </si>
  <si>
    <t>M</t>
    <phoneticPr fontId="53" type="noConversion"/>
  </si>
  <si>
    <t>N</t>
    <phoneticPr fontId="53" type="noConversion"/>
  </si>
  <si>
    <t>O</t>
    <phoneticPr fontId="53" type="noConversion"/>
  </si>
  <si>
    <t>P</t>
    <phoneticPr fontId="53" type="noConversion"/>
  </si>
  <si>
    <t xml:space="preserve">CX </t>
  </si>
  <si>
    <t xml:space="preserve">CY </t>
  </si>
  <si>
    <t xml:space="preserve">CZ </t>
  </si>
  <si>
    <t xml:space="preserve">DA </t>
    <phoneticPr fontId="53" type="noConversion"/>
  </si>
  <si>
    <t>DB</t>
    <phoneticPr fontId="53" type="noConversion"/>
  </si>
  <si>
    <t>DC</t>
    <phoneticPr fontId="53" type="noConversion"/>
  </si>
  <si>
    <t>DF</t>
    <phoneticPr fontId="53" type="noConversion"/>
  </si>
  <si>
    <t>DD</t>
    <phoneticPr fontId="53" type="noConversion"/>
  </si>
  <si>
    <t>DE</t>
    <phoneticPr fontId="53" type="noConversion"/>
  </si>
  <si>
    <t>DG</t>
    <phoneticPr fontId="53" type="noConversion"/>
  </si>
  <si>
    <t>제모미인 
페이스왁싱 
스타터 키트
20%할인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</si>
</sst>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_-;\-* #,##0_-;_-* \-_-;_-@_-"/>
    <numFmt numFmtId="177" formatCode="_-\₩* #,##0_-;&quot;-₩&quot;* #,##0_-;_-\₩* \-_-;_-@_-"/>
  </numFmts>
  <fonts count="95"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2"/>
      <charset val="129"/>
    </font>
    <font>
      <b/>
      <sz val="9"/>
      <color rgb="FF7030A0"/>
      <name val="맑은 고딕"/>
      <family val="3"/>
      <charset val="129"/>
    </font>
    <font>
      <sz val="11"/>
      <color rgb="FFCC00FF"/>
      <name val="맑은 고딕"/>
      <family val="2"/>
      <charset val="129"/>
    </font>
    <font>
      <b/>
      <sz val="10"/>
      <color rgb="FF00B050"/>
      <name val="맑은 고딕"/>
      <family val="3"/>
      <charset val="129"/>
    </font>
    <font>
      <b/>
      <sz val="10"/>
      <color rgb="FF00B0F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B050"/>
      <name val="맑은 고딕"/>
      <family val="3"/>
      <charset val="129"/>
    </font>
    <font>
      <b/>
      <sz val="9"/>
      <color rgb="FF00B0F0"/>
      <name val="맑은 고딕"/>
      <family val="3"/>
      <charset val="129"/>
    </font>
    <font>
      <b/>
      <sz val="9"/>
      <color rgb="FF002060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1"/>
      <color rgb="FF00B05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11"/>
      <color rgb="FF00B0F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B050"/>
      <name val="맑은 고딕"/>
      <family val="3"/>
      <charset val="129"/>
    </font>
    <font>
      <b/>
      <sz val="10"/>
      <color rgb="FFCC00FF"/>
      <name val="맑은 고딕"/>
      <family val="3"/>
      <charset val="129"/>
    </font>
    <font>
      <b/>
      <sz val="9"/>
      <color rgb="FF555555"/>
      <name val="맑은 고딕"/>
      <family val="3"/>
      <charset val="129"/>
    </font>
    <font>
      <sz val="9"/>
      <color rgb="FF7030A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B050"/>
      <name val="맑은 고딕"/>
      <family val="2"/>
      <charset val="129"/>
    </font>
    <font>
      <sz val="11"/>
      <color rgb="FF00B0F0"/>
      <name val="맑은 고딕"/>
      <family val="2"/>
      <charset val="129"/>
    </font>
    <font>
      <sz val="11"/>
      <color rgb="FF7030A0"/>
      <name val="맑은 고딕"/>
      <family val="2"/>
      <charset val="129"/>
    </font>
    <font>
      <sz val="9"/>
      <color rgb="FF1C1C1C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555555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rgb="FF00B0F0"/>
      <name val="맑은 고딕"/>
      <family val="3"/>
      <charset val="129"/>
    </font>
    <font>
      <sz val="9"/>
      <color rgb="FF000000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7030A0"/>
      <name val="맑은 고딕"/>
      <family val="2"/>
      <charset val="129"/>
    </font>
    <font>
      <sz val="10"/>
      <color rgb="FF7030A0"/>
      <name val="맑은 고딕"/>
      <family val="3"/>
      <charset val="129"/>
    </font>
    <font>
      <sz val="11"/>
      <color rgb="FF002060"/>
      <name val="맑은 고딕"/>
      <family val="2"/>
      <charset val="129"/>
    </font>
    <font>
      <sz val="11"/>
      <color rgb="FF0070C0"/>
      <name val="맑은 고딕"/>
      <family val="2"/>
      <charset val="129"/>
    </font>
    <font>
      <b/>
      <sz val="11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5" tint="-0.249977111117893"/>
      <name val="맑은 고딕"/>
      <family val="3"/>
      <charset val="129"/>
    </font>
    <font>
      <b/>
      <sz val="9"/>
      <color theme="5" tint="-0.249977111117893"/>
      <name val="맑은 고딕"/>
      <family val="3"/>
      <charset val="129"/>
    </font>
    <font>
      <sz val="11"/>
      <color theme="5" tint="-0.249977111117893"/>
      <name val="맑은 고딕"/>
      <family val="3"/>
      <charset val="129"/>
    </font>
    <font>
      <b/>
      <sz val="11"/>
      <color theme="5" tint="-0.249977111117893"/>
      <name val="맑은 고딕"/>
      <family val="3"/>
      <charset val="129"/>
    </font>
    <font>
      <sz val="9"/>
      <color theme="5" tint="-0.249977111117893"/>
      <name val="맑은 고딕"/>
      <family val="3"/>
      <charset val="129"/>
    </font>
    <font>
      <b/>
      <sz val="11"/>
      <color theme="7" tint="-0.499984740745262"/>
      <name val="맑은 고딕"/>
      <family val="3"/>
      <charset val="129"/>
    </font>
    <font>
      <b/>
      <sz val="10"/>
      <color theme="7" tint="-0.499984740745262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5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1"/>
      <color rgb="FF7030A0"/>
      <name val="맑은 고딕"/>
      <family val="2"/>
      <charset val="129"/>
    </font>
    <font>
      <b/>
      <sz val="11"/>
      <color rgb="FF00B050"/>
      <name val="맑은 고딕"/>
      <family val="2"/>
      <charset val="129"/>
    </font>
    <font>
      <b/>
      <sz val="11"/>
      <color rgb="FF00B0F0"/>
      <name val="맑은 고딕"/>
      <family val="2"/>
      <charset val="129"/>
    </font>
    <font>
      <sz val="10"/>
      <name val="맑은 고딕"/>
      <family val="2"/>
      <charset val="129"/>
    </font>
    <font>
      <sz val="11"/>
      <name val="맑은 고딕"/>
      <family val="3"/>
      <charset val="129"/>
    </font>
    <font>
      <sz val="8"/>
      <color rgb="FF7030A0"/>
      <name val="맑은 고딕"/>
      <family val="2"/>
      <charset val="129"/>
    </font>
    <font>
      <sz val="10"/>
      <color rgb="FF0070C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9"/>
      <color rgb="FF002060"/>
      <name val="맑은 고딕"/>
      <family val="2"/>
      <charset val="129"/>
    </font>
    <font>
      <sz val="9"/>
      <color rgb="FFFF0000"/>
      <name val="맑은 고딕"/>
      <family val="3"/>
      <charset val="129"/>
    </font>
    <font>
      <b/>
      <sz val="8"/>
      <color rgb="FF7030A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0"/>
      <color rgb="FF00B0F0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rgb="FF9C0006"/>
      <name val="맑은 고딕"/>
      <family val="3"/>
      <charset val="129"/>
      <scheme val="minor"/>
    </font>
    <font>
      <sz val="9"/>
      <color rgb="FF9C0006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176" fontId="52" fillId="0" borderId="0" applyBorder="0" applyProtection="0">
      <alignment vertical="center"/>
    </xf>
    <xf numFmtId="0" fontId="52" fillId="8" borderId="22" applyNumberFormat="0" applyFont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</cellStyleXfs>
  <cellXfs count="7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1" applyFont="1" applyBorder="1" applyProtection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" fillId="0" borderId="8" xfId="0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176" fontId="0" fillId="0" borderId="0" xfId="1" applyFont="1" applyBorder="1" applyAlignment="1" applyProtection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7" fillId="0" borderId="3" xfId="0" applyFont="1" applyBorder="1">
      <alignment vertical="center"/>
    </xf>
    <xf numFmtId="0" fontId="21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8" fillId="0" borderId="1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3" xfId="0" applyFont="1" applyBorder="1">
      <alignment vertical="center"/>
    </xf>
    <xf numFmtId="0" fontId="34" fillId="0" borderId="3" xfId="0" applyFont="1" applyBorder="1" applyAlignment="1">
      <alignment horizontal="center" vertical="center"/>
    </xf>
    <xf numFmtId="0" fontId="22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8" fillId="0" borderId="3" xfId="0" applyFont="1" applyBorder="1" applyAlignment="1">
      <alignment vertical="center" wrapText="1"/>
    </xf>
    <xf numFmtId="0" fontId="39" fillId="0" borderId="4" xfId="0" applyFont="1" applyBorder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3" xfId="0" applyFont="1" applyBorder="1">
      <alignment vertical="center"/>
    </xf>
    <xf numFmtId="0" fontId="45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14" fillId="3" borderId="7" xfId="1" applyFont="1" applyFill="1" applyBorder="1" applyProtection="1">
      <alignment vertical="center"/>
    </xf>
    <xf numFmtId="177" fontId="14" fillId="3" borderId="2" xfId="0" applyNumberFormat="1" applyFont="1" applyFill="1" applyBorder="1">
      <alignment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36" fillId="0" borderId="3" xfId="0" applyFont="1" applyBorder="1">
      <alignment vertical="center"/>
    </xf>
    <xf numFmtId="0" fontId="47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0" fillId="0" borderId="11" xfId="0" applyBorder="1" applyAlignment="1">
      <alignment horizontal="center" vertical="center"/>
    </xf>
    <xf numFmtId="176" fontId="14" fillId="3" borderId="2" xfId="1" applyFont="1" applyFill="1" applyBorder="1" applyProtection="1">
      <alignment vertical="center"/>
    </xf>
    <xf numFmtId="176" fontId="14" fillId="3" borderId="2" xfId="0" applyNumberFormat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176" fontId="14" fillId="4" borderId="7" xfId="1" applyFont="1" applyFill="1" applyBorder="1" applyProtection="1">
      <alignment vertical="center"/>
    </xf>
    <xf numFmtId="0" fontId="0" fillId="0" borderId="15" xfId="0" applyBorder="1" applyAlignment="1">
      <alignment horizontal="center" vertical="center"/>
    </xf>
    <xf numFmtId="0" fontId="45" fillId="0" borderId="14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44" fillId="0" borderId="8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vertical="center" wrapText="1"/>
    </xf>
    <xf numFmtId="0" fontId="41" fillId="0" borderId="3" xfId="0" applyFont="1" applyBorder="1" applyAlignment="1">
      <alignment horizontal="left" vertical="center"/>
    </xf>
    <xf numFmtId="177" fontId="30" fillId="0" borderId="0" xfId="0" applyNumberFormat="1" applyFont="1">
      <alignment vertical="center"/>
    </xf>
    <xf numFmtId="177" fontId="30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44" fillId="0" borderId="3" xfId="0" applyFont="1" applyBorder="1">
      <alignment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6" fontId="50" fillId="0" borderId="0" xfId="1" applyFont="1" applyBorder="1" applyProtection="1">
      <alignment vertical="center"/>
    </xf>
    <xf numFmtId="177" fontId="30" fillId="0" borderId="17" xfId="0" applyNumberFormat="1" applyFont="1" applyBorder="1" applyAlignment="1">
      <alignment horizontal="center" vertical="center"/>
    </xf>
    <xf numFmtId="177" fontId="0" fillId="0" borderId="15" xfId="0" applyNumberFormat="1" applyBorder="1">
      <alignment vertical="center"/>
    </xf>
    <xf numFmtId="177" fontId="0" fillId="0" borderId="14" xfId="0" applyNumberFormat="1" applyBorder="1">
      <alignment vertical="center"/>
    </xf>
    <xf numFmtId="177" fontId="32" fillId="0" borderId="15" xfId="0" applyNumberFormat="1" applyFont="1" applyBorder="1">
      <alignment vertical="center"/>
    </xf>
    <xf numFmtId="177" fontId="26" fillId="0" borderId="0" xfId="0" applyNumberFormat="1" applyFont="1">
      <alignment vertical="center"/>
    </xf>
    <xf numFmtId="177" fontId="26" fillId="0" borderId="14" xfId="0" applyNumberFormat="1" applyFont="1" applyBorder="1">
      <alignment vertical="center"/>
    </xf>
    <xf numFmtId="177" fontId="32" fillId="0" borderId="0" xfId="0" applyNumberFormat="1" applyFont="1">
      <alignment vertical="center"/>
    </xf>
    <xf numFmtId="176" fontId="32" fillId="0" borderId="0" xfId="1" applyFont="1" applyBorder="1" applyProtection="1">
      <alignment vertical="center"/>
    </xf>
    <xf numFmtId="177" fontId="49" fillId="0" borderId="15" xfId="0" applyNumberFormat="1" applyFont="1" applyBorder="1">
      <alignment vertical="center"/>
    </xf>
    <xf numFmtId="177" fontId="51" fillId="0" borderId="0" xfId="0" applyNumberFormat="1" applyFont="1">
      <alignment vertical="center"/>
    </xf>
    <xf numFmtId="177" fontId="51" fillId="0" borderId="14" xfId="0" applyNumberFormat="1" applyFont="1" applyBorder="1">
      <alignment vertical="center"/>
    </xf>
    <xf numFmtId="177" fontId="49" fillId="0" borderId="0" xfId="0" applyNumberFormat="1" applyFont="1">
      <alignment vertical="center"/>
    </xf>
    <xf numFmtId="177" fontId="2" fillId="0" borderId="15" xfId="0" applyNumberFormat="1" applyFont="1" applyBorder="1">
      <alignment vertical="center"/>
    </xf>
    <xf numFmtId="177" fontId="24" fillId="0" borderId="14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176" fontId="2" fillId="0" borderId="0" xfId="1" applyFont="1" applyBorder="1" applyProtection="1">
      <alignment vertical="center"/>
    </xf>
    <xf numFmtId="177" fontId="14" fillId="0" borderId="7" xfId="0" applyNumberFormat="1" applyFont="1" applyBorder="1">
      <alignment vertical="center"/>
    </xf>
    <xf numFmtId="177" fontId="40" fillId="0" borderId="0" xfId="0" applyNumberFormat="1" applyFo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0" fillId="0" borderId="0" xfId="1" applyFont="1" applyBorder="1" applyAlignment="1" applyProtection="1">
      <alignment vertical="center" wrapText="1"/>
    </xf>
    <xf numFmtId="177" fontId="0" fillId="0" borderId="0" xfId="0" applyNumberFormat="1" applyAlignment="1">
      <alignment vertical="center" wrapText="1"/>
    </xf>
    <xf numFmtId="177" fontId="0" fillId="0" borderId="0" xfId="0" applyNumberFormat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9" fontId="55" fillId="0" borderId="0" xfId="0" applyNumberFormat="1" applyFont="1" applyAlignment="1">
      <alignment horizontal="center" vertical="center" wrapText="1"/>
    </xf>
    <xf numFmtId="0" fontId="56" fillId="0" borderId="3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9" fontId="54" fillId="0" borderId="14" xfId="0" applyNumberFormat="1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77" fontId="57" fillId="0" borderId="0" xfId="0" applyNumberFormat="1" applyFont="1">
      <alignment vertical="center"/>
    </xf>
    <xf numFmtId="0" fontId="15" fillId="0" borderId="8" xfId="0" applyFont="1" applyBorder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176" fontId="0" fillId="0" borderId="7" xfId="1" applyFont="1" applyBorder="1" applyAlignment="1" applyProtection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9" xfId="0" applyNumberFormat="1" applyBorder="1">
      <alignment vertical="center"/>
    </xf>
    <xf numFmtId="0" fontId="63" fillId="0" borderId="9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76" fontId="0" fillId="9" borderId="22" xfId="2" applyNumberFormat="1" applyFont="1" applyFill="1" applyAlignment="1" applyProtection="1">
      <alignment vertical="center"/>
    </xf>
    <xf numFmtId="176" fontId="30" fillId="0" borderId="0" xfId="1" applyFont="1" applyBorder="1" applyAlignment="1" applyProtection="1">
      <alignment horizontal="center" vertical="center"/>
    </xf>
    <xf numFmtId="0" fontId="63" fillId="0" borderId="3" xfId="0" applyFont="1" applyBorder="1" applyAlignment="1">
      <alignment horizontal="left" vertical="center"/>
    </xf>
    <xf numFmtId="0" fontId="68" fillId="0" borderId="3" xfId="0" applyFont="1" applyBorder="1">
      <alignment vertical="center"/>
    </xf>
    <xf numFmtId="0" fontId="18" fillId="9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57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61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4" fillId="9" borderId="0" xfId="0" applyFont="1" applyFill="1">
      <alignment vertical="center"/>
    </xf>
    <xf numFmtId="0" fontId="14" fillId="9" borderId="0" xfId="0" applyFont="1" applyFill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176" fontId="14" fillId="11" borderId="0" xfId="1" applyFont="1" applyFill="1" applyBorder="1" applyProtection="1">
      <alignment vertical="center"/>
    </xf>
    <xf numFmtId="177" fontId="14" fillId="11" borderId="0" xfId="0" applyNumberFormat="1" applyFont="1" applyFill="1">
      <alignment vertical="center"/>
    </xf>
    <xf numFmtId="177" fontId="57" fillId="11" borderId="0" xfId="0" applyNumberFormat="1" applyFont="1" applyFill="1">
      <alignment vertical="center"/>
    </xf>
    <xf numFmtId="177" fontId="14" fillId="11" borderId="0" xfId="0" applyNumberFormat="1" applyFont="1" applyFill="1" applyAlignment="1">
      <alignment horizontal="center" vertical="center"/>
    </xf>
    <xf numFmtId="176" fontId="14" fillId="11" borderId="0" xfId="0" applyNumberFormat="1" applyFont="1" applyFill="1">
      <alignment vertical="center"/>
    </xf>
    <xf numFmtId="176" fontId="14" fillId="0" borderId="0" xfId="1" applyFont="1" applyBorder="1" applyProtection="1">
      <alignment vertical="center"/>
    </xf>
    <xf numFmtId="176" fontId="70" fillId="0" borderId="0" xfId="1" applyFont="1" applyBorder="1" applyProtection="1">
      <alignment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 wrapText="1"/>
    </xf>
    <xf numFmtId="0" fontId="61" fillId="9" borderId="7" xfId="0" applyFont="1" applyFill="1" applyBorder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3" fontId="0" fillId="0" borderId="0" xfId="0" applyNumberFormat="1">
      <alignment vertical="center"/>
    </xf>
    <xf numFmtId="3" fontId="14" fillId="0" borderId="0" xfId="0" applyNumberFormat="1" applyFont="1">
      <alignment vertical="center"/>
    </xf>
    <xf numFmtId="176" fontId="34" fillId="0" borderId="0" xfId="1" applyFont="1" applyBorder="1" applyProtection="1">
      <alignment vertical="center"/>
    </xf>
    <xf numFmtId="177" fontId="71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0" fontId="51" fillId="9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177" fontId="34" fillId="0" borderId="0" xfId="0" applyNumberFormat="1" applyFont="1">
      <alignment vertical="center"/>
    </xf>
    <xf numFmtId="177" fontId="34" fillId="0" borderId="0" xfId="0" applyNumberFormat="1" applyFont="1" applyAlignment="1">
      <alignment vertical="center" wrapText="1"/>
    </xf>
    <xf numFmtId="177" fontId="34" fillId="0" borderId="9" xfId="0" applyNumberFormat="1" applyFont="1" applyBorder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6" fontId="21" fillId="3" borderId="7" xfId="1" applyFont="1" applyFill="1" applyBorder="1" applyProtection="1">
      <alignment vertical="center"/>
    </xf>
    <xf numFmtId="177" fontId="21" fillId="11" borderId="0" xfId="0" applyNumberFormat="1" applyFont="1" applyFill="1">
      <alignment vertical="center"/>
    </xf>
    <xf numFmtId="177" fontId="21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176" fontId="21" fillId="0" borderId="0" xfId="1" applyFont="1" applyBorder="1" applyProtection="1">
      <alignment vertical="center"/>
    </xf>
    <xf numFmtId="177" fontId="34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33" fillId="0" borderId="0" xfId="0" applyNumberFormat="1" applyFont="1">
      <alignment vertical="center"/>
    </xf>
    <xf numFmtId="176" fontId="0" fillId="9" borderId="0" xfId="1" applyFont="1" applyFill="1" applyBorder="1" applyProtection="1">
      <alignment vertical="center"/>
    </xf>
    <xf numFmtId="0" fontId="19" fillId="9" borderId="7" xfId="0" applyFont="1" applyFill="1" applyBorder="1" applyAlignment="1">
      <alignment horizontal="center" vertical="center"/>
    </xf>
    <xf numFmtId="176" fontId="0" fillId="9" borderId="3" xfId="1" applyFont="1" applyFill="1" applyBorder="1" applyProtection="1">
      <alignment vertical="center"/>
    </xf>
    <xf numFmtId="176" fontId="0" fillId="0" borderId="3" xfId="1" applyFont="1" applyBorder="1" applyProtection="1">
      <alignment vertical="center"/>
    </xf>
    <xf numFmtId="0" fontId="46" fillId="0" borderId="3" xfId="0" applyFont="1" applyBorder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176" fontId="26" fillId="0" borderId="0" xfId="1" applyFont="1" applyBorder="1" applyProtection="1">
      <alignment vertical="center"/>
    </xf>
    <xf numFmtId="176" fontId="26" fillId="0" borderId="0" xfId="1" applyFont="1" applyBorder="1" applyAlignment="1" applyProtection="1">
      <alignment horizontal="center" vertical="center"/>
    </xf>
    <xf numFmtId="176" fontId="16" fillId="0" borderId="0" xfId="1" applyFont="1" applyBorder="1" applyAlignment="1" applyProtection="1">
      <alignment horizontal="center" vertical="center"/>
    </xf>
    <xf numFmtId="176" fontId="16" fillId="3" borderId="7" xfId="1" applyFont="1" applyFill="1" applyBorder="1" applyProtection="1">
      <alignment vertical="center"/>
    </xf>
    <xf numFmtId="176" fontId="16" fillId="4" borderId="7" xfId="1" applyFont="1" applyFill="1" applyBorder="1" applyProtection="1">
      <alignment vertical="center"/>
    </xf>
    <xf numFmtId="177" fontId="20" fillId="0" borderId="0" xfId="0" applyNumberFormat="1" applyFont="1">
      <alignment vertical="center"/>
    </xf>
    <xf numFmtId="177" fontId="17" fillId="0" borderId="0" xfId="0" applyNumberFormat="1" applyFont="1">
      <alignment vertical="center"/>
    </xf>
    <xf numFmtId="177" fontId="17" fillId="0" borderId="0" xfId="0" applyNumberFormat="1" applyFont="1" applyAlignment="1">
      <alignment horizontal="center" vertical="center"/>
    </xf>
    <xf numFmtId="176" fontId="20" fillId="0" borderId="0" xfId="1" applyFont="1" applyBorder="1" applyProtection="1">
      <alignment vertical="center"/>
    </xf>
    <xf numFmtId="176" fontId="17" fillId="3" borderId="7" xfId="1" applyFont="1" applyFill="1" applyBorder="1" applyProtection="1">
      <alignment vertical="center"/>
    </xf>
    <xf numFmtId="176" fontId="75" fillId="3" borderId="7" xfId="1" applyFont="1" applyFill="1" applyBorder="1" applyProtection="1">
      <alignment vertical="center"/>
    </xf>
    <xf numFmtId="176" fontId="73" fillId="0" borderId="0" xfId="1" applyFont="1" applyBorder="1" applyProtection="1">
      <alignment vertical="center"/>
    </xf>
    <xf numFmtId="0" fontId="76" fillId="0" borderId="3" xfId="0" applyFont="1" applyBorder="1" applyAlignment="1">
      <alignment horizontal="left" vertical="center"/>
    </xf>
    <xf numFmtId="0" fontId="77" fillId="0" borderId="0" xfId="0" applyFo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/>
    </xf>
    <xf numFmtId="0" fontId="14" fillId="9" borderId="7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20" fillId="0" borderId="0" xfId="0" applyNumberFormat="1" applyFont="1" applyAlignment="1">
      <alignment horizontal="center" vertical="center"/>
    </xf>
    <xf numFmtId="177" fontId="33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76" fontId="16" fillId="11" borderId="0" xfId="1" applyFont="1" applyFill="1" applyBorder="1" applyProtection="1">
      <alignment vertical="center"/>
    </xf>
    <xf numFmtId="176" fontId="21" fillId="11" borderId="0" xfId="1" applyFont="1" applyFill="1" applyBorder="1" applyProtection="1">
      <alignment vertical="center"/>
    </xf>
    <xf numFmtId="0" fontId="3" fillId="0" borderId="1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57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vertical="center" wrapText="1"/>
    </xf>
    <xf numFmtId="0" fontId="57" fillId="9" borderId="3" xfId="0" applyFont="1" applyFill="1" applyBorder="1" applyAlignment="1">
      <alignment horizontal="center" vertical="center" wrapText="1"/>
    </xf>
    <xf numFmtId="0" fontId="40" fillId="6" borderId="3" xfId="0" applyFont="1" applyFill="1" applyBorder="1" applyAlignment="1">
      <alignment horizontal="center" vertical="center"/>
    </xf>
    <xf numFmtId="0" fontId="56" fillId="9" borderId="3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left" vertical="center"/>
    </xf>
    <xf numFmtId="0" fontId="6" fillId="9" borderId="1" xfId="0" applyFont="1" applyFill="1" applyBorder="1">
      <alignment vertical="center"/>
    </xf>
    <xf numFmtId="177" fontId="21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left" vertical="center"/>
    </xf>
    <xf numFmtId="0" fontId="79" fillId="9" borderId="3" xfId="0" applyFont="1" applyFill="1" applyBorder="1">
      <alignment vertical="center"/>
    </xf>
    <xf numFmtId="0" fontId="79" fillId="9" borderId="3" xfId="0" applyFont="1" applyFill="1" applyBorder="1" applyAlignment="1">
      <alignment vertical="center" wrapText="1"/>
    </xf>
    <xf numFmtId="0" fontId="79" fillId="0" borderId="3" xfId="0" applyFont="1" applyBorder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>
      <alignment vertical="center"/>
    </xf>
    <xf numFmtId="177" fontId="19" fillId="0" borderId="15" xfId="0" applyNumberFormat="1" applyFont="1" applyBorder="1">
      <alignment vertical="center"/>
    </xf>
    <xf numFmtId="177" fontId="19" fillId="0" borderId="14" xfId="0" applyNumberFormat="1" applyFont="1" applyBorder="1">
      <alignment vertical="center"/>
    </xf>
    <xf numFmtId="176" fontId="70" fillId="9" borderId="3" xfId="1" applyFont="1" applyFill="1" applyBorder="1" applyProtection="1">
      <alignment vertical="center"/>
    </xf>
    <xf numFmtId="176" fontId="70" fillId="9" borderId="0" xfId="1" applyFont="1" applyFill="1" applyBorder="1" applyProtection="1">
      <alignment vertical="center"/>
    </xf>
    <xf numFmtId="176" fontId="70" fillId="0" borderId="0" xfId="1" applyFont="1" applyBorder="1" applyAlignment="1" applyProtection="1">
      <alignment horizontal="center" vertical="center"/>
    </xf>
    <xf numFmtId="176" fontId="65" fillId="0" borderId="0" xfId="1" applyFont="1" applyBorder="1" applyProtection="1">
      <alignment vertical="center"/>
    </xf>
    <xf numFmtId="0" fontId="25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77" fontId="81" fillId="0" borderId="9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0" fontId="31" fillId="0" borderId="7" xfId="0" applyFont="1" applyBorder="1" applyAlignment="1">
      <alignment vertical="center" wrapText="1"/>
    </xf>
    <xf numFmtId="0" fontId="31" fillId="0" borderId="7" xfId="0" applyFont="1" applyBorder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25" fillId="0" borderId="3" xfId="0" applyFont="1" applyBorder="1" applyAlignment="1">
      <alignment horizontal="center" vertical="center"/>
    </xf>
    <xf numFmtId="0" fontId="31" fillId="0" borderId="3" xfId="0" applyFont="1" applyBorder="1">
      <alignment vertical="center"/>
    </xf>
    <xf numFmtId="0" fontId="31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82" fillId="0" borderId="7" xfId="0" applyFont="1" applyBorder="1" applyAlignment="1">
      <alignment horizontal="center" vertical="center"/>
    </xf>
    <xf numFmtId="0" fontId="82" fillId="0" borderId="7" xfId="0" applyFont="1" applyBorder="1" applyAlignment="1">
      <alignment horizontal="center" vertical="center" wrapText="1"/>
    </xf>
    <xf numFmtId="0" fontId="83" fillId="0" borderId="7" xfId="0" applyFont="1" applyBorder="1" applyAlignment="1">
      <alignment vertical="center" wrapText="1"/>
    </xf>
    <xf numFmtId="0" fontId="83" fillId="0" borderId="6" xfId="0" applyFont="1" applyBorder="1" applyAlignment="1">
      <alignment vertical="center" wrapText="1"/>
    </xf>
    <xf numFmtId="0" fontId="83" fillId="0" borderId="3" xfId="0" applyFont="1" applyBorder="1" applyAlignment="1">
      <alignment vertical="center" wrapText="1"/>
    </xf>
    <xf numFmtId="0" fontId="83" fillId="0" borderId="7" xfId="0" applyFont="1" applyBorder="1">
      <alignment vertical="center"/>
    </xf>
    <xf numFmtId="0" fontId="83" fillId="0" borderId="3" xfId="0" applyFont="1" applyBorder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>
      <alignment vertical="center"/>
    </xf>
    <xf numFmtId="0" fontId="3" fillId="0" borderId="3" xfId="0" applyFont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0" fontId="3" fillId="9" borderId="3" xfId="0" applyFont="1" applyFill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0" fillId="0" borderId="6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177" fontId="51" fillId="0" borderId="0" xfId="0" applyNumberFormat="1" applyFont="1" applyAlignment="1">
      <alignment horizontal="center" vertical="center"/>
    </xf>
    <xf numFmtId="0" fontId="51" fillId="0" borderId="0" xfId="0" applyFont="1">
      <alignment vertical="center"/>
    </xf>
    <xf numFmtId="0" fontId="6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7" fillId="0" borderId="0" xfId="0" applyFont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82" fillId="0" borderId="8" xfId="0" applyFont="1" applyBorder="1" applyAlignment="1">
      <alignment horizontal="center" vertical="center"/>
    </xf>
    <xf numFmtId="177" fontId="19" fillId="0" borderId="9" xfId="0" applyNumberFormat="1" applyFont="1" applyBorder="1" applyAlignment="1">
      <alignment horizontal="center" vertical="center"/>
    </xf>
    <xf numFmtId="177" fontId="30" fillId="0" borderId="9" xfId="0" applyNumberFormat="1" applyFont="1" applyBorder="1" applyAlignment="1">
      <alignment horizontal="center" vertical="center"/>
    </xf>
    <xf numFmtId="176" fontId="16" fillId="0" borderId="0" xfId="1" applyFont="1" applyBorder="1" applyProtection="1">
      <alignment vertical="center"/>
    </xf>
    <xf numFmtId="0" fontId="23" fillId="9" borderId="3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21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176" fontId="61" fillId="9" borderId="10" xfId="1" applyFont="1" applyFill="1" applyBorder="1" applyProtection="1">
      <alignment vertical="center"/>
    </xf>
    <xf numFmtId="177" fontId="14" fillId="0" borderId="10" xfId="0" applyNumberFormat="1" applyFont="1" applyBorder="1">
      <alignment vertical="center"/>
    </xf>
    <xf numFmtId="176" fontId="14" fillId="0" borderId="12" xfId="1" applyFont="1" applyBorder="1" applyProtection="1">
      <alignment vertical="center"/>
    </xf>
    <xf numFmtId="177" fontId="30" fillId="0" borderId="12" xfId="0" applyNumberFormat="1" applyFont="1" applyBorder="1" applyAlignment="1">
      <alignment horizontal="center" vertical="center"/>
    </xf>
    <xf numFmtId="177" fontId="0" fillId="0" borderId="12" xfId="0" applyNumberFormat="1" applyBorder="1">
      <alignment vertical="center"/>
    </xf>
    <xf numFmtId="176" fontId="16" fillId="9" borderId="10" xfId="1" applyFont="1" applyFill="1" applyBorder="1" applyProtection="1">
      <alignment vertical="center"/>
    </xf>
    <xf numFmtId="176" fontId="16" fillId="0" borderId="12" xfId="1" applyFont="1" applyBorder="1" applyProtection="1">
      <alignment vertical="center"/>
    </xf>
    <xf numFmtId="176" fontId="17" fillId="9" borderId="10" xfId="1" applyFont="1" applyFill="1" applyBorder="1" applyProtection="1">
      <alignment vertical="center"/>
    </xf>
    <xf numFmtId="176" fontId="17" fillId="0" borderId="12" xfId="1" applyFont="1" applyBorder="1" applyProtection="1">
      <alignment vertical="center"/>
    </xf>
    <xf numFmtId="176" fontId="21" fillId="9" borderId="10" xfId="1" applyFont="1" applyFill="1" applyBorder="1" applyProtection="1">
      <alignment vertical="center"/>
    </xf>
    <xf numFmtId="176" fontId="21" fillId="0" borderId="12" xfId="1" applyFont="1" applyBorder="1" applyProtection="1">
      <alignment vertical="center"/>
    </xf>
    <xf numFmtId="176" fontId="30" fillId="9" borderId="10" xfId="1" applyFont="1" applyFill="1" applyBorder="1" applyProtection="1">
      <alignment vertical="center"/>
    </xf>
    <xf numFmtId="0" fontId="23" fillId="0" borderId="2" xfId="0" applyFont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176" fontId="14" fillId="10" borderId="7" xfId="1" applyFont="1" applyFill="1" applyBorder="1" applyProtection="1">
      <alignment vertical="center"/>
    </xf>
    <xf numFmtId="176" fontId="74" fillId="10" borderId="7" xfId="1" applyFont="1" applyFill="1" applyBorder="1" applyProtection="1">
      <alignment vertical="center"/>
    </xf>
    <xf numFmtId="176" fontId="17" fillId="10" borderId="7" xfId="1" applyFont="1" applyFill="1" applyBorder="1" applyProtection="1">
      <alignment vertical="center"/>
    </xf>
    <xf numFmtId="176" fontId="21" fillId="10" borderId="7" xfId="1" applyFont="1" applyFill="1" applyBorder="1" applyProtection="1">
      <alignment vertical="center"/>
    </xf>
    <xf numFmtId="177" fontId="14" fillId="10" borderId="9" xfId="0" applyNumberFormat="1" applyFont="1" applyFill="1" applyBorder="1">
      <alignment vertical="center"/>
    </xf>
    <xf numFmtId="177" fontId="14" fillId="10" borderId="2" xfId="0" applyNumberFormat="1" applyFont="1" applyFill="1" applyBorder="1">
      <alignment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177" fontId="9" fillId="10" borderId="9" xfId="0" applyNumberFormat="1" applyFont="1" applyFill="1" applyBorder="1">
      <alignment vertical="center"/>
    </xf>
    <xf numFmtId="0" fontId="22" fillId="10" borderId="3" xfId="0" applyFont="1" applyFill="1" applyBorder="1">
      <alignment vertical="center"/>
    </xf>
    <xf numFmtId="176" fontId="16" fillId="10" borderId="7" xfId="1" applyFont="1" applyFill="1" applyBorder="1" applyProtection="1">
      <alignment vertical="center"/>
    </xf>
    <xf numFmtId="176" fontId="14" fillId="10" borderId="0" xfId="1" applyFont="1" applyFill="1" applyBorder="1" applyProtection="1">
      <alignment vertical="center"/>
    </xf>
    <xf numFmtId="176" fontId="14" fillId="9" borderId="0" xfId="1" applyFont="1" applyFill="1" applyBorder="1" applyProtection="1">
      <alignment vertical="center"/>
    </xf>
    <xf numFmtId="176" fontId="16" fillId="9" borderId="0" xfId="1" applyFont="1" applyFill="1" applyBorder="1" applyProtection="1">
      <alignment vertical="center"/>
    </xf>
    <xf numFmtId="176" fontId="17" fillId="9" borderId="0" xfId="1" applyFont="1" applyFill="1" applyBorder="1" applyProtection="1">
      <alignment vertical="center"/>
    </xf>
    <xf numFmtId="176" fontId="21" fillId="9" borderId="0" xfId="1" applyFont="1" applyFill="1" applyBorder="1" applyProtection="1">
      <alignment vertical="center"/>
    </xf>
    <xf numFmtId="177" fontId="14" fillId="9" borderId="0" xfId="0" applyNumberFormat="1" applyFont="1" applyFill="1">
      <alignment vertical="center"/>
    </xf>
    <xf numFmtId="176" fontId="17" fillId="0" borderId="0" xfId="1" applyFont="1" applyBorder="1" applyProtection="1">
      <alignment vertical="center"/>
    </xf>
    <xf numFmtId="177" fontId="14" fillId="0" borderId="0" xfId="0" applyNumberFormat="1" applyFont="1">
      <alignment vertical="center"/>
    </xf>
    <xf numFmtId="176" fontId="73" fillId="10" borderId="7" xfId="1" applyFont="1" applyFill="1" applyBorder="1" applyProtection="1">
      <alignment vertical="center"/>
    </xf>
    <xf numFmtId="176" fontId="74" fillId="0" borderId="0" xfId="1" applyFont="1" applyBorder="1" applyProtection="1">
      <alignment vertical="center"/>
    </xf>
    <xf numFmtId="0" fontId="25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176" fontId="17" fillId="11" borderId="0" xfId="1" applyFont="1" applyFill="1" applyBorder="1" applyProtection="1">
      <alignment vertical="center"/>
    </xf>
    <xf numFmtId="177" fontId="57" fillId="5" borderId="9" xfId="0" applyNumberFormat="1" applyFont="1" applyFill="1" applyBorder="1" applyAlignment="1">
      <alignment horizontal="center" vertical="center"/>
    </xf>
    <xf numFmtId="177" fontId="57" fillId="5" borderId="0" xfId="0" applyNumberFormat="1" applyFont="1" applyFill="1">
      <alignment vertical="center"/>
    </xf>
    <xf numFmtId="177" fontId="57" fillId="5" borderId="0" xfId="0" applyNumberFormat="1" applyFont="1" applyFill="1" applyAlignment="1">
      <alignment horizontal="center" vertical="center"/>
    </xf>
    <xf numFmtId="177" fontId="21" fillId="5" borderId="0" xfId="0" applyNumberFormat="1" applyFont="1" applyFill="1" applyAlignment="1">
      <alignment horizontal="center" vertical="center"/>
    </xf>
    <xf numFmtId="177" fontId="21" fillId="5" borderId="0" xfId="0" applyNumberFormat="1" applyFont="1" applyFill="1">
      <alignment vertical="center"/>
    </xf>
    <xf numFmtId="0" fontId="6" fillId="9" borderId="1" xfId="0" applyFont="1" applyFill="1" applyBorder="1" applyAlignment="1">
      <alignment horizontal="center" vertical="center"/>
    </xf>
    <xf numFmtId="0" fontId="72" fillId="9" borderId="6" xfId="0" applyFont="1" applyFill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7" fontId="50" fillId="5" borderId="0" xfId="0" applyNumberFormat="1" applyFont="1" applyFill="1">
      <alignment vertical="center"/>
    </xf>
    <xf numFmtId="0" fontId="28" fillId="9" borderId="0" xfId="0" applyFont="1" applyFill="1" applyAlignment="1">
      <alignment vertical="center" wrapText="1"/>
    </xf>
    <xf numFmtId="176" fontId="30" fillId="9" borderId="0" xfId="1" applyFont="1" applyFill="1" applyBorder="1" applyProtection="1">
      <alignment vertical="center"/>
    </xf>
    <xf numFmtId="177" fontId="30" fillId="9" borderId="0" xfId="0" applyNumberFormat="1" applyFont="1" applyFill="1">
      <alignment vertical="center"/>
    </xf>
    <xf numFmtId="177" fontId="21" fillId="9" borderId="0" xfId="0" applyNumberFormat="1" applyFont="1" applyFill="1">
      <alignment vertical="center"/>
    </xf>
    <xf numFmtId="177" fontId="57" fillId="9" borderId="0" xfId="0" applyNumberFormat="1" applyFont="1" applyFill="1">
      <alignment vertical="center"/>
    </xf>
    <xf numFmtId="177" fontId="30" fillId="9" borderId="0" xfId="0" applyNumberFormat="1" applyFont="1" applyFill="1" applyAlignment="1">
      <alignment horizontal="center" vertical="center"/>
    </xf>
    <xf numFmtId="176" fontId="14" fillId="9" borderId="0" xfId="0" applyNumberFormat="1" applyFont="1" applyFill="1">
      <alignment vertical="center"/>
    </xf>
    <xf numFmtId="0" fontId="3" fillId="0" borderId="0" xfId="0" applyFont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9" fontId="3" fillId="9" borderId="0" xfId="0" applyNumberFormat="1" applyFont="1" applyFill="1" applyAlignment="1">
      <alignment horizontal="center" vertical="center" wrapText="1"/>
    </xf>
    <xf numFmtId="0" fontId="82" fillId="10" borderId="4" xfId="0" applyFont="1" applyFill="1" applyBorder="1" applyAlignment="1">
      <alignment horizontal="center" vertical="center"/>
    </xf>
    <xf numFmtId="0" fontId="72" fillId="10" borderId="3" xfId="0" applyFont="1" applyFill="1" applyBorder="1">
      <alignment vertical="center"/>
    </xf>
    <xf numFmtId="0" fontId="68" fillId="0" borderId="1" xfId="0" applyFont="1" applyBorder="1">
      <alignment vertical="center"/>
    </xf>
    <xf numFmtId="0" fontId="69" fillId="10" borderId="3" xfId="0" applyFont="1" applyFill="1" applyBorder="1">
      <alignment vertical="center"/>
    </xf>
    <xf numFmtId="176" fontId="61" fillId="12" borderId="9" xfId="1" applyFont="1" applyFill="1" applyBorder="1" applyProtection="1">
      <alignment vertical="center"/>
    </xf>
    <xf numFmtId="176" fontId="61" fillId="12" borderId="2" xfId="1" applyFont="1" applyFill="1" applyBorder="1" applyProtection="1">
      <alignment vertical="center"/>
    </xf>
    <xf numFmtId="176" fontId="61" fillId="12" borderId="2" xfId="0" applyNumberFormat="1" applyFont="1" applyFill="1" applyBorder="1">
      <alignment vertical="center"/>
    </xf>
    <xf numFmtId="176" fontId="19" fillId="13" borderId="0" xfId="1" applyFont="1" applyFill="1" applyBorder="1" applyProtection="1">
      <alignment vertical="center"/>
    </xf>
    <xf numFmtId="177" fontId="19" fillId="13" borderId="0" xfId="0" applyNumberFormat="1" applyFont="1" applyFill="1">
      <alignment vertical="center"/>
    </xf>
    <xf numFmtId="177" fontId="21" fillId="13" borderId="0" xfId="0" applyNumberFormat="1" applyFont="1" applyFill="1">
      <alignment vertical="center"/>
    </xf>
    <xf numFmtId="177" fontId="19" fillId="13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79" fillId="0" borderId="0" xfId="0" applyFont="1">
      <alignment vertical="center"/>
    </xf>
    <xf numFmtId="176" fontId="80" fillId="13" borderId="0" xfId="1" applyFont="1" applyFill="1" applyBorder="1" applyProtection="1">
      <alignment vertical="center"/>
    </xf>
    <xf numFmtId="176" fontId="80" fillId="13" borderId="0" xfId="0" applyNumberFormat="1" applyFont="1" applyFill="1">
      <alignment vertical="center"/>
    </xf>
    <xf numFmtId="0" fontId="30" fillId="0" borderId="0" xfId="0" applyFont="1" applyAlignment="1">
      <alignment horizontal="center" vertical="center"/>
    </xf>
    <xf numFmtId="176" fontId="61" fillId="0" borderId="16" xfId="1" applyFont="1" applyBorder="1" applyAlignment="1" applyProtection="1">
      <alignment horizontal="center" vertical="center"/>
    </xf>
    <xf numFmtId="176" fontId="61" fillId="0" borderId="23" xfId="1" applyFont="1" applyBorder="1" applyAlignment="1" applyProtection="1">
      <alignment horizontal="center" vertical="center"/>
    </xf>
    <xf numFmtId="176" fontId="61" fillId="0" borderId="19" xfId="1" applyFont="1" applyBorder="1" applyProtection="1">
      <alignment vertical="center"/>
    </xf>
    <xf numFmtId="176" fontId="16" fillId="0" borderId="17" xfId="1" applyFont="1" applyBorder="1" applyAlignment="1" applyProtection="1">
      <alignment horizontal="center" vertical="center"/>
    </xf>
    <xf numFmtId="176" fontId="16" fillId="0" borderId="20" xfId="1" applyFont="1" applyBorder="1" applyProtection="1">
      <alignment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20" xfId="0" applyNumberFormat="1" applyFont="1" applyBorder="1">
      <alignment vertical="center"/>
    </xf>
    <xf numFmtId="177" fontId="50" fillId="0" borderId="17" xfId="0" applyNumberFormat="1" applyFont="1" applyBorder="1" applyAlignment="1">
      <alignment horizontal="center" vertical="center"/>
    </xf>
    <xf numFmtId="177" fontId="65" fillId="0" borderId="0" xfId="0" applyNumberFormat="1" applyFont="1">
      <alignment vertical="center"/>
    </xf>
    <xf numFmtId="177" fontId="24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69" fillId="0" borderId="7" xfId="0" applyFont="1" applyBorder="1" applyAlignment="1">
      <alignment horizontal="left" vertical="center"/>
    </xf>
    <xf numFmtId="0" fontId="69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177" fontId="70" fillId="0" borderId="0" xfId="0" applyNumberFormat="1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176" fontId="21" fillId="10" borderId="0" xfId="1" applyFont="1" applyFill="1" applyBorder="1" applyProtection="1">
      <alignment vertical="center"/>
    </xf>
    <xf numFmtId="0" fontId="14" fillId="10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2" fillId="0" borderId="3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/>
    </xf>
    <xf numFmtId="41" fontId="21" fillId="0" borderId="0" xfId="3" applyFont="1">
      <alignment vertical="center"/>
    </xf>
    <xf numFmtId="41" fontId="21" fillId="0" borderId="0" xfId="3" applyFont="1" applyBorder="1" applyProtection="1">
      <alignment vertical="center"/>
    </xf>
    <xf numFmtId="0" fontId="86" fillId="0" borderId="0" xfId="0" applyFont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7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1" fillId="0" borderId="7" xfId="0" applyFont="1" applyBorder="1" applyAlignment="1">
      <alignment horizontal="left" vertical="center"/>
    </xf>
    <xf numFmtId="0" fontId="21" fillId="9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right" vertical="center" wrapText="1"/>
    </xf>
    <xf numFmtId="0" fontId="42" fillId="0" borderId="3" xfId="0" applyFont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31" fillId="0" borderId="1" xfId="0" applyFont="1" applyBorder="1">
      <alignment vertical="center"/>
    </xf>
    <xf numFmtId="0" fontId="14" fillId="0" borderId="15" xfId="0" applyFont="1" applyBorder="1" applyAlignment="1">
      <alignment horizontal="center" vertical="center"/>
    </xf>
    <xf numFmtId="0" fontId="72" fillId="9" borderId="3" xfId="0" applyFont="1" applyFill="1" applyBorder="1">
      <alignment vertical="center"/>
    </xf>
    <xf numFmtId="0" fontId="82" fillId="9" borderId="4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77" fontId="65" fillId="0" borderId="0" xfId="0" applyNumberFormat="1" applyFont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41" fillId="0" borderId="7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4" xfId="0" applyFont="1" applyBorder="1" applyAlignment="1">
      <alignment horizontal="center" vertical="center"/>
    </xf>
    <xf numFmtId="0" fontId="86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76" fontId="0" fillId="0" borderId="3" xfId="1" applyFont="1" applyBorder="1" applyAlignment="1" applyProtection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3" xfId="0" applyNumberFormat="1" applyBorder="1">
      <alignment vertical="center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176" fontId="0" fillId="0" borderId="9" xfId="1" applyFont="1" applyBorder="1" applyAlignment="1" applyProtection="1">
      <alignment horizontal="center" vertical="center"/>
    </xf>
    <xf numFmtId="0" fontId="88" fillId="0" borderId="0" xfId="0" applyFont="1" applyAlignment="1">
      <alignment horizontal="center" vertical="center"/>
    </xf>
    <xf numFmtId="177" fontId="0" fillId="0" borderId="2" xfId="0" applyNumberFormat="1" applyBorder="1">
      <alignment vertical="center"/>
    </xf>
    <xf numFmtId="177" fontId="57" fillId="0" borderId="9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77" fontId="89" fillId="0" borderId="0" xfId="0" applyNumberFormat="1" applyFont="1" applyAlignment="1">
      <alignment horizontal="center" vertical="center"/>
    </xf>
    <xf numFmtId="176" fontId="6" fillId="0" borderId="0" xfId="1" applyFont="1" applyBorder="1" applyAlignment="1" applyProtection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177" fontId="70" fillId="0" borderId="0" xfId="0" applyNumberFormat="1" applyFont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30" fillId="0" borderId="18" xfId="0" applyNumberFormat="1" applyFont="1" applyBorder="1" applyAlignment="1">
      <alignment horizontal="center" vertical="center"/>
    </xf>
    <xf numFmtId="177" fontId="50" fillId="0" borderId="0" xfId="0" applyNumberFormat="1" applyFont="1" applyAlignment="1">
      <alignment horizontal="center" vertical="center"/>
    </xf>
    <xf numFmtId="177" fontId="69" fillId="0" borderId="21" xfId="0" applyNumberFormat="1" applyFont="1" applyBorder="1" applyAlignment="1">
      <alignment horizontal="center" vertical="center"/>
    </xf>
    <xf numFmtId="177" fontId="50" fillId="0" borderId="20" xfId="0" applyNumberFormat="1" applyFont="1" applyBorder="1">
      <alignment vertical="center"/>
    </xf>
    <xf numFmtId="177" fontId="30" fillId="0" borderId="20" xfId="0" applyNumberFormat="1" applyFont="1" applyBorder="1">
      <alignment vertical="center"/>
    </xf>
    <xf numFmtId="177" fontId="69" fillId="0" borderId="24" xfId="0" applyNumberFormat="1" applyFont="1" applyBorder="1">
      <alignment vertical="center"/>
    </xf>
    <xf numFmtId="0" fontId="11" fillId="0" borderId="6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176" fontId="61" fillId="3" borderId="7" xfId="1" applyFont="1" applyFill="1" applyBorder="1" applyProtection="1">
      <alignment vertical="center"/>
    </xf>
    <xf numFmtId="0" fontId="17" fillId="0" borderId="0" xfId="0" applyFont="1" applyAlignment="1">
      <alignment horizontal="center" vertical="center"/>
    </xf>
    <xf numFmtId="176" fontId="24" fillId="0" borderId="0" xfId="1" applyFont="1" applyBorder="1" applyProtection="1">
      <alignment vertical="center"/>
    </xf>
    <xf numFmtId="177" fontId="24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right" vertical="center" wrapText="1"/>
    </xf>
    <xf numFmtId="0" fontId="4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 wrapText="1"/>
    </xf>
    <xf numFmtId="0" fontId="6" fillId="9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2" fillId="10" borderId="3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/>
    </xf>
    <xf numFmtId="0" fontId="82" fillId="9" borderId="7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93" fillId="14" borderId="0" xfId="4" applyFont="1">
      <alignment vertical="center"/>
    </xf>
    <xf numFmtId="0" fontId="93" fillId="14" borderId="7" xfId="4" applyFont="1" applyBorder="1" applyAlignment="1">
      <alignment horizontal="center" vertical="center"/>
    </xf>
    <xf numFmtId="0" fontId="93" fillId="14" borderId="3" xfId="4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5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64" fillId="0" borderId="8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176" fontId="17" fillId="0" borderId="9" xfId="1" applyFont="1" applyBorder="1" applyAlignment="1" applyProtection="1">
      <alignment horizontal="center" vertical="center"/>
    </xf>
    <xf numFmtId="176" fontId="17" fillId="0" borderId="0" xfId="1" applyFont="1" applyBorder="1" applyAlignment="1" applyProtection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0" fontId="83" fillId="0" borderId="8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0" fontId="8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2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92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1" fillId="10" borderId="3" xfId="0" applyFont="1" applyFill="1" applyBorder="1" applyAlignment="1">
      <alignment horizontal="center" vertical="center"/>
    </xf>
    <xf numFmtId="0" fontId="82" fillId="0" borderId="25" xfId="0" applyFont="1" applyBorder="1" applyAlignment="1">
      <alignment horizontal="center" vertical="center"/>
    </xf>
    <xf numFmtId="0" fontId="91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/>
    </xf>
    <xf numFmtId="0" fontId="82" fillId="9" borderId="25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40" fillId="15" borderId="25" xfId="0" applyFont="1" applyFill="1" applyBorder="1" applyAlignment="1">
      <alignment horizontal="center" vertical="center"/>
    </xf>
    <xf numFmtId="0" fontId="40" fillId="15" borderId="25" xfId="0" applyFont="1" applyFill="1" applyBorder="1" applyAlignment="1">
      <alignment horizontal="left" vertical="center"/>
    </xf>
    <xf numFmtId="0" fontId="25" fillId="0" borderId="12" xfId="0" applyFont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/>
    </xf>
    <xf numFmtId="0" fontId="82" fillId="16" borderId="7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92" fillId="16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82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1" fillId="10" borderId="7" xfId="0" applyFont="1" applyFill="1" applyBorder="1" applyAlignment="1">
      <alignment horizontal="center" vertical="center"/>
    </xf>
    <xf numFmtId="0" fontId="94" fillId="14" borderId="25" xfId="4" applyFont="1" applyBorder="1" applyAlignment="1">
      <alignment horizontal="center" vertical="center"/>
    </xf>
  </cellXfs>
  <cellStyles count="5">
    <cellStyle name="Excel Built-in Comma [0]" xfId="1" xr:uid="{00000000-0005-0000-0000-000000000000}"/>
    <cellStyle name="나쁨" xfId="4" builtinId="27"/>
    <cellStyle name="메모" xfId="2" builtinId="10"/>
    <cellStyle name="쉼표 [0]" xfId="3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0724;&#51068;&#44277;&#44553;&#44032;&#44201;&#54364;&#48148;&#53461;.xlsx" TargetMode="External"/><Relationship Id="rId1" Type="http://schemas.openxmlformats.org/officeDocument/2006/relationships/externalLinkPath" Target="file:///C:\Users\user\Desktop\&#50724;&#51068;&#44277;&#44553;&#44032;&#44201;&#54364;&#48148;&#5346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오일단가비교"/>
      <sheetName val="오일단가"/>
      <sheetName val="오일단가변동"/>
      <sheetName val="원산지"/>
      <sheetName val="수입내역"/>
      <sheetName val="제품별블랜딩내역"/>
      <sheetName val="오일입고및재고"/>
    </sheetNames>
    <sheetDataSet>
      <sheetData sheetId="0" refreshError="1"/>
      <sheetData sheetId="1" refreshError="1">
        <row r="1">
          <cell r="A1" t="str">
            <v>아로마에센셜오일단가표</v>
          </cell>
        </row>
        <row r="3">
          <cell r="C3" t="str">
            <v>그린인터내셔널/수입</v>
          </cell>
          <cell r="E3">
            <v>1500</v>
          </cell>
          <cell r="I3" t="str">
            <v>81%~138%</v>
          </cell>
          <cell r="J3" t="str">
            <v>사업자의30%~</v>
          </cell>
          <cell r="M3" t="str">
            <v>도매1kg28%~50%</v>
          </cell>
          <cell r="O3">
            <v>1200</v>
          </cell>
          <cell r="P3">
            <v>0.5</v>
          </cell>
        </row>
        <row r="4">
          <cell r="A4" t="str">
            <v>오일명</v>
          </cell>
          <cell r="B4" t="str">
            <v>용량</v>
          </cell>
          <cell r="C4" t="str">
            <v>원산지/수입국</v>
          </cell>
          <cell r="D4" t="str">
            <v>수입가/매입가</v>
          </cell>
          <cell r="E4" t="str">
            <v>100ml원가</v>
          </cell>
          <cell r="G4" t="str">
            <v>사업자1kg</v>
          </cell>
          <cell r="H4" t="str">
            <v>1kg의30%</v>
          </cell>
          <cell r="I4" t="str">
            <v>사업자100ml</v>
          </cell>
          <cell r="J4" t="str">
            <v>도매가1kg</v>
          </cell>
          <cell r="K4" t="str">
            <v>협회회원가10%</v>
          </cell>
          <cell r="L4" t="str">
            <v>사업자의</v>
          </cell>
          <cell r="M4" t="str">
            <v>도매가100ml</v>
          </cell>
          <cell r="N4" t="str">
            <v>협회회원가10%</v>
          </cell>
          <cell r="O4" t="str">
            <v>10ml  원가</v>
          </cell>
          <cell r="P4" t="str">
            <v>도매가  10ml</v>
          </cell>
          <cell r="Q4" t="str">
            <v>협회회원가10%</v>
          </cell>
          <cell r="R4" t="str">
            <v>소비자가10ml</v>
          </cell>
          <cell r="S4" t="str">
            <v>소비자가5ml</v>
          </cell>
        </row>
        <row r="5">
          <cell r="A5" t="str">
            <v>갈바넘(Galbanum)</v>
          </cell>
          <cell r="B5" t="str">
            <v>USD200</v>
          </cell>
          <cell r="D5">
            <v>400000</v>
          </cell>
          <cell r="E5">
            <v>41500</v>
          </cell>
          <cell r="O5">
            <v>5200</v>
          </cell>
        </row>
        <row r="6">
          <cell r="A6" t="str">
            <v>그레이프루잇</v>
          </cell>
          <cell r="B6" t="str">
            <v>100ml/10ml</v>
          </cell>
          <cell r="C6" t="str">
            <v>이태리(G)</v>
          </cell>
          <cell r="D6">
            <v>165000</v>
          </cell>
          <cell r="E6">
            <v>18000</v>
          </cell>
          <cell r="F6">
            <v>1</v>
          </cell>
          <cell r="G6">
            <v>330000</v>
          </cell>
          <cell r="H6">
            <v>0.3</v>
          </cell>
          <cell r="I6">
            <v>42900</v>
          </cell>
          <cell r="J6">
            <v>429000</v>
          </cell>
          <cell r="K6">
            <v>386000</v>
          </cell>
          <cell r="L6">
            <v>1</v>
          </cell>
          <cell r="M6">
            <v>67000</v>
          </cell>
          <cell r="N6">
            <v>60000</v>
          </cell>
          <cell r="O6">
            <v>2850</v>
          </cell>
          <cell r="P6">
            <v>10000</v>
          </cell>
          <cell r="Q6">
            <v>9000</v>
          </cell>
          <cell r="R6">
            <v>20000</v>
          </cell>
          <cell r="S6">
            <v>12000</v>
          </cell>
        </row>
        <row r="7">
          <cell r="A7" t="str">
            <v xml:space="preserve">네롤리 </v>
          </cell>
          <cell r="C7" t="str">
            <v>인도수입</v>
          </cell>
          <cell r="D7">
            <v>167000</v>
          </cell>
          <cell r="E7">
            <v>18200</v>
          </cell>
          <cell r="G7">
            <v>677000</v>
          </cell>
          <cell r="H7">
            <v>0.3</v>
          </cell>
          <cell r="I7">
            <v>88000</v>
          </cell>
          <cell r="J7">
            <v>880000</v>
          </cell>
          <cell r="K7">
            <v>792000</v>
          </cell>
          <cell r="L7">
            <v>1</v>
          </cell>
          <cell r="M7">
            <v>137000</v>
          </cell>
          <cell r="N7">
            <v>123000</v>
          </cell>
          <cell r="O7">
            <v>2870</v>
          </cell>
          <cell r="P7">
            <v>21000</v>
          </cell>
          <cell r="Q7">
            <v>19000</v>
          </cell>
          <cell r="R7">
            <v>42000</v>
          </cell>
          <cell r="S7">
            <v>25200</v>
          </cell>
        </row>
        <row r="8">
          <cell r="A8" t="str">
            <v>딜시트(Dill seed)</v>
          </cell>
          <cell r="B8" t="str">
            <v>USD30</v>
          </cell>
          <cell r="C8" t="str">
            <v>인도수입</v>
          </cell>
          <cell r="Q8">
            <v>0</v>
          </cell>
        </row>
        <row r="9">
          <cell r="A9" t="str">
            <v>라벤다(불가리아)</v>
          </cell>
          <cell r="B9" t="str">
            <v>1kg</v>
          </cell>
          <cell r="C9" t="str">
            <v>불가리아수입</v>
          </cell>
          <cell r="D9">
            <v>124000</v>
          </cell>
          <cell r="E9">
            <v>13900</v>
          </cell>
          <cell r="F9">
            <v>1.25</v>
          </cell>
          <cell r="G9">
            <v>280000</v>
          </cell>
          <cell r="H9">
            <v>1</v>
          </cell>
          <cell r="I9">
            <v>56000</v>
          </cell>
          <cell r="J9">
            <v>560000</v>
          </cell>
          <cell r="K9">
            <v>504000</v>
          </cell>
          <cell r="L9">
            <v>1</v>
          </cell>
          <cell r="M9">
            <v>88000</v>
          </cell>
          <cell r="N9">
            <v>79000</v>
          </cell>
          <cell r="O9">
            <v>2440</v>
          </cell>
          <cell r="P9">
            <v>14000</v>
          </cell>
          <cell r="Q9">
            <v>13000</v>
          </cell>
          <cell r="R9">
            <v>26000</v>
          </cell>
          <cell r="S9">
            <v>15600</v>
          </cell>
        </row>
        <row r="10">
          <cell r="A10" t="str">
            <v>라임</v>
          </cell>
          <cell r="C10" t="str">
            <v>멕시코(G)</v>
          </cell>
          <cell r="D10">
            <v>154000</v>
          </cell>
          <cell r="E10">
            <v>16900</v>
          </cell>
          <cell r="F10">
            <v>1</v>
          </cell>
          <cell r="G10">
            <v>308000</v>
          </cell>
          <cell r="H10">
            <v>0.3</v>
          </cell>
          <cell r="I10">
            <v>40100</v>
          </cell>
          <cell r="J10">
            <v>401000</v>
          </cell>
          <cell r="K10">
            <v>361000</v>
          </cell>
          <cell r="L10">
            <v>1</v>
          </cell>
          <cell r="M10">
            <v>63000</v>
          </cell>
          <cell r="N10">
            <v>57000</v>
          </cell>
          <cell r="O10">
            <v>2740</v>
          </cell>
          <cell r="P10">
            <v>10000</v>
          </cell>
          <cell r="Q10">
            <v>9000</v>
          </cell>
          <cell r="R10">
            <v>20000</v>
          </cell>
          <cell r="S10">
            <v>12000</v>
          </cell>
        </row>
        <row r="11">
          <cell r="A11" t="str">
            <v>로즈마리오일</v>
          </cell>
          <cell r="B11" t="str">
            <v xml:space="preserve">10ml </v>
          </cell>
          <cell r="C11" t="str">
            <v>튀니지(G)</v>
          </cell>
          <cell r="D11">
            <v>253000</v>
          </cell>
          <cell r="E11">
            <v>26800</v>
          </cell>
          <cell r="F11" t="str">
            <v>50&gt;100%</v>
          </cell>
          <cell r="G11">
            <v>506000</v>
          </cell>
          <cell r="H11">
            <v>0.3</v>
          </cell>
          <cell r="I11">
            <v>65800</v>
          </cell>
          <cell r="J11">
            <v>658000</v>
          </cell>
          <cell r="K11">
            <v>592000</v>
          </cell>
          <cell r="L11">
            <v>1</v>
          </cell>
          <cell r="M11">
            <v>103000</v>
          </cell>
          <cell r="N11">
            <v>93000</v>
          </cell>
          <cell r="O11">
            <v>3730</v>
          </cell>
          <cell r="P11">
            <v>16000</v>
          </cell>
          <cell r="Q11">
            <v>14000</v>
          </cell>
          <cell r="R11">
            <v>32000</v>
          </cell>
          <cell r="S11">
            <v>19200</v>
          </cell>
        </row>
        <row r="12">
          <cell r="A12" t="str">
            <v>로즈제라늄</v>
          </cell>
          <cell r="B12" t="str">
            <v>센티드제라늄꽃</v>
          </cell>
          <cell r="C12" t="str">
            <v>인도수입</v>
          </cell>
          <cell r="D12">
            <v>197000</v>
          </cell>
          <cell r="E12">
            <v>21200</v>
          </cell>
          <cell r="F12" t="str">
            <v>61&gt;100%</v>
          </cell>
          <cell r="G12">
            <v>394000</v>
          </cell>
          <cell r="H12">
            <v>0.3</v>
          </cell>
          <cell r="I12">
            <v>51300</v>
          </cell>
          <cell r="J12">
            <v>513000</v>
          </cell>
          <cell r="K12">
            <v>462000</v>
          </cell>
          <cell r="L12">
            <v>1</v>
          </cell>
          <cell r="M12">
            <v>81000</v>
          </cell>
          <cell r="N12">
            <v>73000</v>
          </cell>
          <cell r="O12">
            <v>3170</v>
          </cell>
          <cell r="P12">
            <v>12000</v>
          </cell>
          <cell r="Q12">
            <v>11000</v>
          </cell>
          <cell r="R12">
            <v>24000</v>
          </cell>
          <cell r="S12">
            <v>14400</v>
          </cell>
        </row>
        <row r="13">
          <cell r="A13" t="str">
            <v>로만캐모마일(오가닉)</v>
          </cell>
          <cell r="B13" t="str">
            <v xml:space="preserve">10ml </v>
          </cell>
          <cell r="C13" t="str">
            <v>프랑스/프랑스</v>
          </cell>
          <cell r="D13">
            <v>2750000</v>
          </cell>
          <cell r="E13">
            <v>276500</v>
          </cell>
          <cell r="F13">
            <v>0.11</v>
          </cell>
          <cell r="G13">
            <v>3000000</v>
          </cell>
          <cell r="H13">
            <v>0.3</v>
          </cell>
          <cell r="I13">
            <v>390000</v>
          </cell>
          <cell r="J13">
            <v>3900000</v>
          </cell>
          <cell r="K13">
            <v>3510000</v>
          </cell>
          <cell r="L13">
            <v>0.43</v>
          </cell>
          <cell r="M13">
            <v>608000</v>
          </cell>
          <cell r="N13">
            <v>547000</v>
          </cell>
          <cell r="O13">
            <v>28700</v>
          </cell>
          <cell r="P13">
            <v>92000</v>
          </cell>
          <cell r="Q13">
            <v>83000</v>
          </cell>
          <cell r="R13">
            <v>184000</v>
          </cell>
          <cell r="S13">
            <v>110400</v>
          </cell>
        </row>
        <row r="14">
          <cell r="A14" t="str">
            <v>루(Lue)</v>
          </cell>
          <cell r="B14" t="str">
            <v>USD80</v>
          </cell>
          <cell r="Q14">
            <v>0</v>
          </cell>
        </row>
        <row r="15">
          <cell r="A15" t="str">
            <v>레몬오일</v>
          </cell>
          <cell r="B15" t="str">
            <v>10ml</v>
          </cell>
          <cell r="C15" t="str">
            <v>이태리(G)</v>
          </cell>
          <cell r="D15">
            <v>110000</v>
          </cell>
          <cell r="E15">
            <v>12500</v>
          </cell>
          <cell r="F15">
            <v>1</v>
          </cell>
          <cell r="G15">
            <v>220000</v>
          </cell>
          <cell r="H15">
            <v>0.3</v>
          </cell>
          <cell r="I15">
            <v>28600</v>
          </cell>
          <cell r="J15">
            <v>286000</v>
          </cell>
          <cell r="K15">
            <v>257000</v>
          </cell>
          <cell r="L15">
            <v>1</v>
          </cell>
          <cell r="M15">
            <v>45000</v>
          </cell>
          <cell r="N15">
            <v>41000</v>
          </cell>
          <cell r="O15">
            <v>2300</v>
          </cell>
          <cell r="P15">
            <v>7000</v>
          </cell>
          <cell r="Q15">
            <v>6000</v>
          </cell>
          <cell r="R15">
            <v>14000</v>
          </cell>
          <cell r="S15">
            <v>8400</v>
          </cell>
        </row>
        <row r="16">
          <cell r="A16" t="str">
            <v>레몬그라스오일</v>
          </cell>
          <cell r="C16" t="str">
            <v>인도수입</v>
          </cell>
          <cell r="D16">
            <v>47000</v>
          </cell>
          <cell r="E16">
            <v>6200</v>
          </cell>
          <cell r="F16">
            <v>4.5999999999999996</v>
          </cell>
          <cell r="G16">
            <v>264000</v>
          </cell>
          <cell r="H16">
            <v>0.3</v>
          </cell>
          <cell r="I16">
            <v>34400</v>
          </cell>
          <cell r="J16">
            <v>344000</v>
          </cell>
          <cell r="K16">
            <v>310000</v>
          </cell>
          <cell r="L16">
            <v>1</v>
          </cell>
          <cell r="M16">
            <v>54000</v>
          </cell>
          <cell r="N16">
            <v>49000</v>
          </cell>
          <cell r="O16">
            <v>1670</v>
          </cell>
          <cell r="P16">
            <v>9000</v>
          </cell>
          <cell r="Q16">
            <v>8000</v>
          </cell>
          <cell r="R16">
            <v>18000</v>
          </cell>
          <cell r="S16">
            <v>10800</v>
          </cell>
        </row>
        <row r="17">
          <cell r="A17" t="str">
            <v>마조람</v>
          </cell>
          <cell r="B17" t="str">
            <v>10ml</v>
          </cell>
          <cell r="C17" t="str">
            <v>이집트(G)</v>
          </cell>
          <cell r="D17">
            <v>451000</v>
          </cell>
          <cell r="E17">
            <v>46600</v>
          </cell>
          <cell r="F17">
            <v>1</v>
          </cell>
          <cell r="G17">
            <v>902000</v>
          </cell>
          <cell r="H17">
            <v>0.3</v>
          </cell>
          <cell r="I17">
            <v>117300</v>
          </cell>
          <cell r="J17">
            <v>1173000</v>
          </cell>
          <cell r="K17">
            <v>1056000</v>
          </cell>
          <cell r="L17">
            <v>0.5</v>
          </cell>
          <cell r="M17">
            <v>183000</v>
          </cell>
          <cell r="N17">
            <v>165000</v>
          </cell>
          <cell r="O17">
            <v>5710</v>
          </cell>
          <cell r="P17">
            <v>37000</v>
          </cell>
          <cell r="Q17">
            <v>33000</v>
          </cell>
          <cell r="R17">
            <v>74000</v>
          </cell>
          <cell r="S17">
            <v>44400</v>
          </cell>
        </row>
        <row r="18">
          <cell r="A18" t="str">
            <v>만다린</v>
          </cell>
          <cell r="B18" t="str">
            <v>10ml</v>
          </cell>
          <cell r="C18" t="str">
            <v>이태리(G)</v>
          </cell>
          <cell r="D18">
            <v>297000</v>
          </cell>
          <cell r="E18">
            <v>31200</v>
          </cell>
          <cell r="F18">
            <v>1</v>
          </cell>
          <cell r="G18">
            <v>594000</v>
          </cell>
          <cell r="H18">
            <v>0.3</v>
          </cell>
          <cell r="I18">
            <v>77300</v>
          </cell>
          <cell r="J18">
            <v>773000</v>
          </cell>
          <cell r="K18">
            <v>696000</v>
          </cell>
          <cell r="L18">
            <v>1</v>
          </cell>
          <cell r="M18">
            <v>121000</v>
          </cell>
          <cell r="N18">
            <v>109000</v>
          </cell>
          <cell r="O18">
            <v>4170</v>
          </cell>
          <cell r="P18">
            <v>18000</v>
          </cell>
          <cell r="Q18">
            <v>16000</v>
          </cell>
          <cell r="R18">
            <v>36000</v>
          </cell>
          <cell r="S18">
            <v>21600</v>
          </cell>
        </row>
        <row r="19">
          <cell r="A19" t="str">
            <v>머그워트(쑥)</v>
          </cell>
          <cell r="C19" t="str">
            <v>미국(G)</v>
          </cell>
          <cell r="D19">
            <v>737000</v>
          </cell>
          <cell r="E19">
            <v>75200</v>
          </cell>
          <cell r="F19">
            <v>0.3</v>
          </cell>
          <cell r="G19">
            <v>959000</v>
          </cell>
          <cell r="H19">
            <v>0.3</v>
          </cell>
          <cell r="I19">
            <v>124700</v>
          </cell>
          <cell r="J19">
            <v>1247000</v>
          </cell>
          <cell r="K19">
            <v>1122000</v>
          </cell>
          <cell r="L19">
            <v>0.5</v>
          </cell>
          <cell r="M19">
            <v>195000</v>
          </cell>
          <cell r="N19">
            <v>176000</v>
          </cell>
          <cell r="O19">
            <v>8570</v>
          </cell>
          <cell r="P19">
            <v>29000</v>
          </cell>
          <cell r="Q19">
            <v>26000</v>
          </cell>
          <cell r="R19">
            <v>58000</v>
          </cell>
          <cell r="S19">
            <v>34800</v>
          </cell>
        </row>
        <row r="20">
          <cell r="A20" t="str">
            <v>머틀</v>
          </cell>
          <cell r="B20" t="str">
            <v>USD50</v>
          </cell>
          <cell r="C20" t="str">
            <v>인도수입</v>
          </cell>
          <cell r="D20">
            <v>106000</v>
          </cell>
          <cell r="E20">
            <v>12100</v>
          </cell>
          <cell r="F20">
            <v>8</v>
          </cell>
          <cell r="G20">
            <v>900000</v>
          </cell>
          <cell r="H20">
            <v>0.3</v>
          </cell>
          <cell r="I20">
            <v>117000</v>
          </cell>
          <cell r="J20">
            <v>1170000</v>
          </cell>
          <cell r="K20">
            <v>1053000</v>
          </cell>
          <cell r="L20">
            <v>0.5</v>
          </cell>
          <cell r="M20">
            <v>176000</v>
          </cell>
          <cell r="N20">
            <v>158000</v>
          </cell>
          <cell r="O20">
            <v>2260</v>
          </cell>
          <cell r="P20">
            <v>26000</v>
          </cell>
          <cell r="Q20">
            <v>24000</v>
          </cell>
          <cell r="R20">
            <v>52000</v>
          </cell>
          <cell r="S20">
            <v>31200</v>
          </cell>
        </row>
        <row r="21">
          <cell r="A21" t="str">
            <v>멜리사오일</v>
          </cell>
          <cell r="B21" t="str">
            <v>1kg</v>
          </cell>
          <cell r="C21" t="str">
            <v>불가리아수입</v>
          </cell>
          <cell r="D21">
            <v>1571600</v>
          </cell>
          <cell r="E21">
            <v>158660</v>
          </cell>
          <cell r="F21">
            <v>0.4</v>
          </cell>
          <cell r="G21">
            <v>2210000</v>
          </cell>
          <cell r="H21">
            <v>0.3</v>
          </cell>
          <cell r="I21">
            <v>287300</v>
          </cell>
          <cell r="J21">
            <v>2873000</v>
          </cell>
          <cell r="K21">
            <v>2586000</v>
          </cell>
          <cell r="L21">
            <v>0.5</v>
          </cell>
          <cell r="M21">
            <v>448000</v>
          </cell>
          <cell r="N21">
            <v>403000</v>
          </cell>
          <cell r="O21">
            <v>16916</v>
          </cell>
          <cell r="P21">
            <v>68000</v>
          </cell>
          <cell r="Q21">
            <v>61000</v>
          </cell>
          <cell r="R21">
            <v>136000</v>
          </cell>
          <cell r="S21">
            <v>81600</v>
          </cell>
        </row>
        <row r="22">
          <cell r="A22" t="str">
            <v>미르오일</v>
          </cell>
          <cell r="C22" t="str">
            <v>인도수입</v>
          </cell>
          <cell r="D22">
            <v>127000</v>
          </cell>
          <cell r="E22">
            <v>14200</v>
          </cell>
          <cell r="F22">
            <v>3.2</v>
          </cell>
          <cell r="G22">
            <v>542000</v>
          </cell>
          <cell r="H22">
            <v>0.3</v>
          </cell>
          <cell r="I22">
            <v>70500</v>
          </cell>
          <cell r="J22">
            <v>705000</v>
          </cell>
          <cell r="K22">
            <v>635000</v>
          </cell>
          <cell r="L22">
            <v>1</v>
          </cell>
          <cell r="M22">
            <v>110000</v>
          </cell>
          <cell r="N22">
            <v>99000</v>
          </cell>
          <cell r="O22">
            <v>2470</v>
          </cell>
          <cell r="P22">
            <v>17000</v>
          </cell>
          <cell r="Q22">
            <v>15000</v>
          </cell>
          <cell r="R22">
            <v>34000</v>
          </cell>
          <cell r="S22">
            <v>20400</v>
          </cell>
        </row>
        <row r="23">
          <cell r="A23" t="str">
            <v>바질</v>
          </cell>
          <cell r="C23" t="str">
            <v>인도수입</v>
          </cell>
          <cell r="D23">
            <v>96000</v>
          </cell>
          <cell r="E23">
            <v>11100</v>
          </cell>
          <cell r="F23">
            <v>2</v>
          </cell>
          <cell r="G23">
            <v>288000</v>
          </cell>
          <cell r="H23">
            <v>0.3</v>
          </cell>
          <cell r="I23">
            <v>37500</v>
          </cell>
          <cell r="J23">
            <v>375000</v>
          </cell>
          <cell r="K23">
            <v>338000</v>
          </cell>
          <cell r="L23">
            <v>1</v>
          </cell>
          <cell r="M23">
            <v>60000</v>
          </cell>
          <cell r="N23">
            <v>54000</v>
          </cell>
          <cell r="O23">
            <v>2160</v>
          </cell>
          <cell r="P23">
            <v>9000</v>
          </cell>
          <cell r="Q23">
            <v>8000</v>
          </cell>
          <cell r="R23">
            <v>18000</v>
          </cell>
          <cell r="S23">
            <v>10800</v>
          </cell>
        </row>
        <row r="24">
          <cell r="A24" t="str">
            <v>버치스윗(Birch sweet)</v>
          </cell>
          <cell r="B24" t="str">
            <v>USD40</v>
          </cell>
          <cell r="Q24">
            <v>0</v>
          </cell>
        </row>
        <row r="25">
          <cell r="A25" t="str">
            <v>베르가모트</v>
          </cell>
          <cell r="C25" t="str">
            <v>인도수입</v>
          </cell>
          <cell r="D25">
            <v>55700</v>
          </cell>
          <cell r="E25">
            <v>7070</v>
          </cell>
          <cell r="F25">
            <v>10</v>
          </cell>
          <cell r="G25">
            <v>545000</v>
          </cell>
          <cell r="H25">
            <v>0.3</v>
          </cell>
          <cell r="I25">
            <v>70900</v>
          </cell>
          <cell r="J25">
            <v>709000</v>
          </cell>
          <cell r="K25">
            <v>638000</v>
          </cell>
          <cell r="L25">
            <v>1</v>
          </cell>
          <cell r="M25">
            <v>111000</v>
          </cell>
          <cell r="N25">
            <v>100000</v>
          </cell>
          <cell r="O25">
            <v>1757</v>
          </cell>
          <cell r="P25">
            <v>17000</v>
          </cell>
          <cell r="Q25">
            <v>15000</v>
          </cell>
          <cell r="R25">
            <v>34000</v>
          </cell>
          <cell r="S25">
            <v>20400</v>
          </cell>
        </row>
        <row r="26">
          <cell r="A26" t="str">
            <v>베티버오일</v>
          </cell>
          <cell r="B26" t="str">
            <v xml:space="preserve">10ml </v>
          </cell>
          <cell r="C26" t="str">
            <v>프랑스(G)</v>
          </cell>
          <cell r="D26">
            <v>979000</v>
          </cell>
          <cell r="E26">
            <v>99400</v>
          </cell>
          <cell r="F26" t="str">
            <v>30%&gt;50%</v>
          </cell>
          <cell r="G26">
            <v>1469000</v>
          </cell>
          <cell r="H26">
            <v>0.3</v>
          </cell>
          <cell r="I26">
            <v>191000</v>
          </cell>
          <cell r="J26">
            <v>1910000</v>
          </cell>
          <cell r="K26">
            <v>1719000</v>
          </cell>
          <cell r="L26">
            <v>0.43</v>
          </cell>
          <cell r="M26">
            <v>298000</v>
          </cell>
          <cell r="N26">
            <v>268000</v>
          </cell>
          <cell r="O26">
            <v>10990</v>
          </cell>
          <cell r="P26">
            <v>45000</v>
          </cell>
          <cell r="Q26">
            <v>41000</v>
          </cell>
          <cell r="R26">
            <v>90000</v>
          </cell>
          <cell r="S26">
            <v>54000</v>
          </cell>
        </row>
        <row r="27">
          <cell r="A27" t="str">
            <v>벤조인</v>
          </cell>
          <cell r="B27" t="str">
            <v>USD45</v>
          </cell>
          <cell r="C27" t="str">
            <v>인도수입</v>
          </cell>
          <cell r="D27">
            <v>98000</v>
          </cell>
          <cell r="E27">
            <v>11300</v>
          </cell>
          <cell r="F27">
            <v>3</v>
          </cell>
          <cell r="G27">
            <v>294000</v>
          </cell>
          <cell r="H27">
            <v>0.3</v>
          </cell>
          <cell r="I27">
            <v>38200</v>
          </cell>
          <cell r="J27">
            <v>383000</v>
          </cell>
          <cell r="K27">
            <v>345000</v>
          </cell>
          <cell r="L27">
            <v>1</v>
          </cell>
          <cell r="M27">
            <v>77000</v>
          </cell>
          <cell r="N27">
            <v>69000</v>
          </cell>
          <cell r="O27">
            <v>2180</v>
          </cell>
          <cell r="P27">
            <v>12000</v>
          </cell>
          <cell r="Q27">
            <v>11000</v>
          </cell>
          <cell r="R27">
            <v>24000</v>
          </cell>
          <cell r="S27">
            <v>14400</v>
          </cell>
        </row>
        <row r="28">
          <cell r="A28" t="str">
            <v>블렉페퍼오일</v>
          </cell>
          <cell r="B28" t="str">
            <v xml:space="preserve">10ml </v>
          </cell>
          <cell r="C28" t="str">
            <v>인디아(G)</v>
          </cell>
          <cell r="D28">
            <v>660000</v>
          </cell>
          <cell r="E28">
            <v>67500</v>
          </cell>
          <cell r="F28" t="str">
            <v>30%&gt;50%</v>
          </cell>
          <cell r="G28">
            <v>990000</v>
          </cell>
          <cell r="H28">
            <v>0.3</v>
          </cell>
          <cell r="I28">
            <v>128700</v>
          </cell>
          <cell r="J28">
            <v>1287000</v>
          </cell>
          <cell r="K28">
            <v>1158000</v>
          </cell>
          <cell r="L28">
            <v>0.5</v>
          </cell>
          <cell r="M28">
            <v>201000</v>
          </cell>
          <cell r="N28">
            <v>181000</v>
          </cell>
          <cell r="O28">
            <v>7800</v>
          </cell>
          <cell r="P28">
            <v>30000</v>
          </cell>
          <cell r="Q28">
            <v>27000</v>
          </cell>
          <cell r="R28">
            <v>60000</v>
          </cell>
          <cell r="S28">
            <v>36000</v>
          </cell>
        </row>
        <row r="29">
          <cell r="A29" t="str">
            <v>샌달우드오일</v>
          </cell>
          <cell r="B29" t="str">
            <v xml:space="preserve">10ml </v>
          </cell>
          <cell r="C29" t="str">
            <v>프랑스(G)</v>
          </cell>
          <cell r="D29">
            <v>302500</v>
          </cell>
          <cell r="E29">
            <v>31750</v>
          </cell>
          <cell r="F29">
            <v>1</v>
          </cell>
          <cell r="G29">
            <v>605000</v>
          </cell>
          <cell r="H29">
            <v>0.3</v>
          </cell>
          <cell r="I29">
            <v>78700</v>
          </cell>
          <cell r="J29">
            <v>787000</v>
          </cell>
          <cell r="K29">
            <v>708000</v>
          </cell>
          <cell r="L29">
            <v>1</v>
          </cell>
          <cell r="M29">
            <v>123000</v>
          </cell>
          <cell r="N29">
            <v>111000</v>
          </cell>
          <cell r="O29">
            <v>4225</v>
          </cell>
          <cell r="P29">
            <v>19000</v>
          </cell>
          <cell r="Q29">
            <v>17000</v>
          </cell>
          <cell r="R29">
            <v>38000</v>
          </cell>
          <cell r="S29">
            <v>22800</v>
          </cell>
        </row>
        <row r="30">
          <cell r="A30" t="str">
            <v>스피아민트</v>
          </cell>
          <cell r="C30" t="str">
            <v>영국(G)</v>
          </cell>
          <cell r="D30">
            <v>145200</v>
          </cell>
          <cell r="E30">
            <v>16020</v>
          </cell>
          <cell r="F30">
            <v>1</v>
          </cell>
          <cell r="G30">
            <v>291000</v>
          </cell>
          <cell r="H30">
            <v>0.3</v>
          </cell>
          <cell r="I30">
            <v>37900</v>
          </cell>
          <cell r="J30">
            <v>379000</v>
          </cell>
          <cell r="K30">
            <v>341000</v>
          </cell>
          <cell r="L30">
            <v>1</v>
          </cell>
          <cell r="M30">
            <v>60000</v>
          </cell>
          <cell r="N30">
            <v>54000</v>
          </cell>
          <cell r="O30">
            <v>2652</v>
          </cell>
          <cell r="P30">
            <v>10000</v>
          </cell>
          <cell r="Q30">
            <v>9000</v>
          </cell>
          <cell r="R30">
            <v>20000</v>
          </cell>
          <cell r="S30">
            <v>12000</v>
          </cell>
        </row>
        <row r="31">
          <cell r="A31" t="str">
            <v>시나몬바크</v>
          </cell>
          <cell r="D31">
            <v>275000</v>
          </cell>
          <cell r="E31">
            <v>29000</v>
          </cell>
          <cell r="F31">
            <v>1</v>
          </cell>
          <cell r="G31">
            <v>550000</v>
          </cell>
          <cell r="H31">
            <v>0.3</v>
          </cell>
          <cell r="I31">
            <v>71500</v>
          </cell>
          <cell r="J31">
            <v>715000</v>
          </cell>
          <cell r="K31">
            <v>644000</v>
          </cell>
          <cell r="L31">
            <v>1</v>
          </cell>
          <cell r="M31">
            <v>143000</v>
          </cell>
          <cell r="N31">
            <v>129000</v>
          </cell>
          <cell r="O31">
            <v>3950</v>
          </cell>
          <cell r="P31">
            <v>22000</v>
          </cell>
          <cell r="Q31">
            <v>20000</v>
          </cell>
          <cell r="R31">
            <v>44000</v>
          </cell>
          <cell r="S31">
            <v>26400</v>
          </cell>
        </row>
        <row r="32">
          <cell r="A32" t="str">
            <v>시더우드</v>
          </cell>
          <cell r="C32" t="str">
            <v>인디아(G)</v>
          </cell>
          <cell r="D32">
            <v>121000</v>
          </cell>
          <cell r="E32">
            <v>13600</v>
          </cell>
          <cell r="F32">
            <v>1</v>
          </cell>
          <cell r="G32">
            <v>242000</v>
          </cell>
          <cell r="H32">
            <v>0.3</v>
          </cell>
          <cell r="I32">
            <v>31500</v>
          </cell>
          <cell r="J32">
            <v>315000</v>
          </cell>
          <cell r="K32">
            <v>284000</v>
          </cell>
          <cell r="L32">
            <v>1</v>
          </cell>
          <cell r="M32">
            <v>50000</v>
          </cell>
          <cell r="N32">
            <v>45000</v>
          </cell>
          <cell r="O32">
            <v>2410</v>
          </cell>
          <cell r="P32">
            <v>10000</v>
          </cell>
          <cell r="Q32">
            <v>9000</v>
          </cell>
          <cell r="R32">
            <v>20000</v>
          </cell>
          <cell r="S32">
            <v>12000</v>
          </cell>
        </row>
        <row r="33">
          <cell r="A33" t="str">
            <v>시트로넬라</v>
          </cell>
          <cell r="C33" t="str">
            <v>인도수입</v>
          </cell>
          <cell r="D33">
            <v>62000</v>
          </cell>
          <cell r="E33">
            <v>7700</v>
          </cell>
          <cell r="F33">
            <v>2.5</v>
          </cell>
          <cell r="G33">
            <v>212000</v>
          </cell>
          <cell r="H33">
            <v>0.3</v>
          </cell>
          <cell r="I33">
            <v>27600</v>
          </cell>
          <cell r="J33">
            <v>276000</v>
          </cell>
          <cell r="K33">
            <v>248000</v>
          </cell>
          <cell r="L33">
            <v>1</v>
          </cell>
          <cell r="M33">
            <v>56000</v>
          </cell>
          <cell r="N33">
            <v>50000</v>
          </cell>
          <cell r="O33">
            <v>1820</v>
          </cell>
          <cell r="P33">
            <v>10000</v>
          </cell>
          <cell r="Q33">
            <v>9000</v>
          </cell>
          <cell r="R33">
            <v>20000</v>
          </cell>
          <cell r="S33">
            <v>12000</v>
          </cell>
        </row>
        <row r="34">
          <cell r="A34" t="str">
            <v>싸이프러스</v>
          </cell>
          <cell r="B34" t="str">
            <v xml:space="preserve">10ml </v>
          </cell>
          <cell r="C34" t="str">
            <v>스페인(G)</v>
          </cell>
          <cell r="D34">
            <v>297000</v>
          </cell>
          <cell r="E34">
            <v>31200</v>
          </cell>
          <cell r="F34">
            <v>1</v>
          </cell>
          <cell r="G34">
            <v>594000</v>
          </cell>
          <cell r="H34">
            <v>0.3</v>
          </cell>
          <cell r="I34">
            <v>77300</v>
          </cell>
          <cell r="J34">
            <v>773000</v>
          </cell>
          <cell r="K34">
            <v>696000</v>
          </cell>
          <cell r="L34">
            <v>1</v>
          </cell>
          <cell r="M34">
            <v>121000</v>
          </cell>
          <cell r="N34">
            <v>109000</v>
          </cell>
          <cell r="O34">
            <v>4170</v>
          </cell>
          <cell r="P34">
            <v>19000</v>
          </cell>
          <cell r="Q34">
            <v>17000</v>
          </cell>
          <cell r="R34">
            <v>38000</v>
          </cell>
          <cell r="S34">
            <v>22800</v>
          </cell>
        </row>
        <row r="35">
          <cell r="A35" t="str">
            <v>안젤리카(Angelica root)</v>
          </cell>
          <cell r="B35" t="str">
            <v>726,000(G)</v>
          </cell>
          <cell r="C35" t="str">
            <v>USD255</v>
          </cell>
          <cell r="D35">
            <v>440000</v>
          </cell>
          <cell r="E35">
            <v>45500</v>
          </cell>
          <cell r="F35" t="str">
            <v>G의50%</v>
          </cell>
          <cell r="G35">
            <v>1089000</v>
          </cell>
          <cell r="H35">
            <v>0.3</v>
          </cell>
          <cell r="I35">
            <v>141600</v>
          </cell>
          <cell r="J35">
            <v>1416000</v>
          </cell>
          <cell r="K35">
            <v>1274000</v>
          </cell>
          <cell r="L35">
            <v>1</v>
          </cell>
          <cell r="M35">
            <v>284000</v>
          </cell>
          <cell r="N35">
            <v>256000</v>
          </cell>
          <cell r="O35">
            <v>5600</v>
          </cell>
          <cell r="P35">
            <v>43000</v>
          </cell>
          <cell r="Q35">
            <v>39000</v>
          </cell>
          <cell r="R35">
            <v>86000</v>
          </cell>
          <cell r="S35">
            <v>51600</v>
          </cell>
        </row>
        <row r="36">
          <cell r="A36" t="str">
            <v>야로우</v>
          </cell>
          <cell r="B36" t="str">
            <v>불가리아수입</v>
          </cell>
          <cell r="C36">
            <v>1674000</v>
          </cell>
          <cell r="D36">
            <v>620000</v>
          </cell>
          <cell r="E36">
            <v>63500</v>
          </cell>
          <cell r="F36">
            <v>0.3</v>
          </cell>
          <cell r="G36">
            <v>2180000</v>
          </cell>
          <cell r="H36">
            <v>0.3</v>
          </cell>
          <cell r="I36">
            <v>283400</v>
          </cell>
          <cell r="J36">
            <v>2834000</v>
          </cell>
          <cell r="K36">
            <v>2551000</v>
          </cell>
          <cell r="L36">
            <v>0.5</v>
          </cell>
          <cell r="M36">
            <v>442000</v>
          </cell>
          <cell r="N36">
            <v>398000</v>
          </cell>
          <cell r="O36">
            <v>7400</v>
          </cell>
          <cell r="P36">
            <v>67000</v>
          </cell>
          <cell r="Q36">
            <v>60000</v>
          </cell>
          <cell r="R36">
            <v>134000</v>
          </cell>
          <cell r="S36">
            <v>80400</v>
          </cell>
        </row>
        <row r="37">
          <cell r="A37" t="str">
            <v>오레가노(60%)</v>
          </cell>
          <cell r="B37" t="str">
            <v>792,000(G)유기농</v>
          </cell>
          <cell r="C37" t="str">
            <v>USD40</v>
          </cell>
          <cell r="D37">
            <v>91000</v>
          </cell>
          <cell r="E37">
            <v>10600</v>
          </cell>
          <cell r="F37" t="str">
            <v>G의30%</v>
          </cell>
          <cell r="G37">
            <v>1030000</v>
          </cell>
          <cell r="H37">
            <v>0.3</v>
          </cell>
          <cell r="I37">
            <v>133900</v>
          </cell>
          <cell r="J37">
            <v>1339000</v>
          </cell>
          <cell r="K37">
            <v>1205000</v>
          </cell>
          <cell r="L37">
            <v>1</v>
          </cell>
          <cell r="M37">
            <v>268000</v>
          </cell>
          <cell r="N37">
            <v>241000</v>
          </cell>
          <cell r="O37">
            <v>2110</v>
          </cell>
          <cell r="P37">
            <v>40000</v>
          </cell>
          <cell r="Q37">
            <v>36000</v>
          </cell>
          <cell r="R37">
            <v>80000</v>
          </cell>
          <cell r="S37">
            <v>48000</v>
          </cell>
        </row>
        <row r="38">
          <cell r="A38" t="str">
            <v>오렌지스윗</v>
          </cell>
          <cell r="B38" t="str">
            <v>10ml</v>
          </cell>
          <cell r="C38" t="str">
            <v>브라질(G)</v>
          </cell>
          <cell r="D38">
            <v>52800</v>
          </cell>
          <cell r="E38">
            <v>6780</v>
          </cell>
          <cell r="F38">
            <v>1</v>
          </cell>
          <cell r="G38">
            <v>106000</v>
          </cell>
          <cell r="H38">
            <v>0.3</v>
          </cell>
          <cell r="I38">
            <v>13800</v>
          </cell>
          <cell r="J38">
            <v>138000</v>
          </cell>
          <cell r="K38">
            <v>124000</v>
          </cell>
          <cell r="L38">
            <v>1</v>
          </cell>
          <cell r="M38">
            <v>22000</v>
          </cell>
          <cell r="N38">
            <v>20000</v>
          </cell>
          <cell r="O38">
            <v>1728</v>
          </cell>
          <cell r="P38">
            <v>6000</v>
          </cell>
          <cell r="Q38">
            <v>5000</v>
          </cell>
          <cell r="R38">
            <v>12000</v>
          </cell>
          <cell r="S38">
            <v>7200</v>
          </cell>
        </row>
        <row r="39">
          <cell r="A39" t="str">
            <v>유즈(Yuzu)</v>
          </cell>
          <cell r="B39" t="str">
            <v>USD45</v>
          </cell>
          <cell r="Q39">
            <v>0</v>
          </cell>
        </row>
        <row r="40">
          <cell r="A40" t="str">
            <v>유칼리투스(글로블루스)</v>
          </cell>
          <cell r="B40" t="str">
            <v>100ml/10ml</v>
          </cell>
          <cell r="C40" t="str">
            <v>영국(G)</v>
          </cell>
          <cell r="D40">
            <v>95700</v>
          </cell>
          <cell r="E40">
            <v>11070</v>
          </cell>
          <cell r="F40">
            <v>1</v>
          </cell>
          <cell r="G40">
            <v>288000</v>
          </cell>
          <cell r="H40">
            <v>0.3</v>
          </cell>
          <cell r="I40">
            <v>57600</v>
          </cell>
          <cell r="J40">
            <v>576000</v>
          </cell>
          <cell r="K40">
            <v>518000</v>
          </cell>
          <cell r="L40">
            <v>1</v>
          </cell>
          <cell r="M40">
            <v>90000</v>
          </cell>
          <cell r="N40">
            <v>81000</v>
          </cell>
          <cell r="O40">
            <v>2157</v>
          </cell>
          <cell r="P40">
            <v>14000</v>
          </cell>
          <cell r="Q40">
            <v>13000</v>
          </cell>
          <cell r="R40">
            <v>28000</v>
          </cell>
          <cell r="S40">
            <v>16800</v>
          </cell>
        </row>
        <row r="41">
          <cell r="A41" t="str">
            <v>유칼리투스(블루마레)</v>
          </cell>
          <cell r="C41" t="str">
            <v>오스트레일리아수입</v>
          </cell>
          <cell r="D41">
            <v>79590</v>
          </cell>
          <cell r="E41">
            <v>9459</v>
          </cell>
          <cell r="F41">
            <v>2.14</v>
          </cell>
          <cell r="G41">
            <v>250000</v>
          </cell>
          <cell r="H41">
            <v>1</v>
          </cell>
          <cell r="I41">
            <v>50000</v>
          </cell>
          <cell r="J41">
            <v>500000</v>
          </cell>
          <cell r="K41">
            <v>450000</v>
          </cell>
          <cell r="L41">
            <v>1</v>
          </cell>
          <cell r="M41">
            <v>80000</v>
          </cell>
          <cell r="N41">
            <v>72000</v>
          </cell>
          <cell r="O41">
            <v>1995.9</v>
          </cell>
          <cell r="P41">
            <v>12000</v>
          </cell>
          <cell r="Q41">
            <v>11000</v>
          </cell>
          <cell r="R41">
            <v>24000</v>
          </cell>
          <cell r="S41">
            <v>14400</v>
          </cell>
        </row>
        <row r="42">
          <cell r="A42" t="str">
            <v>윈터그린</v>
          </cell>
          <cell r="C42" t="str">
            <v>인디아(G)</v>
          </cell>
          <cell r="D42">
            <v>88000</v>
          </cell>
          <cell r="E42">
            <v>10300</v>
          </cell>
          <cell r="F42">
            <v>1.04</v>
          </cell>
          <cell r="G42">
            <v>180000</v>
          </cell>
          <cell r="I42">
            <v>23400</v>
          </cell>
          <cell r="J42">
            <v>234000</v>
          </cell>
          <cell r="K42">
            <v>211000</v>
          </cell>
          <cell r="L42">
            <v>1</v>
          </cell>
          <cell r="M42">
            <v>43000</v>
          </cell>
          <cell r="N42">
            <v>39000</v>
          </cell>
          <cell r="O42">
            <v>2080</v>
          </cell>
          <cell r="P42">
            <v>10000</v>
          </cell>
          <cell r="Q42">
            <v>9000</v>
          </cell>
          <cell r="R42">
            <v>20000</v>
          </cell>
          <cell r="S42">
            <v>12000</v>
          </cell>
        </row>
        <row r="43">
          <cell r="A43" t="str">
            <v>일랑일랑</v>
          </cell>
          <cell r="B43" t="str">
            <v>10ml</v>
          </cell>
          <cell r="C43" t="str">
            <v>마다가스카르(G)</v>
          </cell>
          <cell r="D43">
            <v>435600</v>
          </cell>
          <cell r="E43">
            <v>45060</v>
          </cell>
          <cell r="F43" t="str">
            <v>50&gt;100%</v>
          </cell>
          <cell r="G43">
            <v>872000</v>
          </cell>
          <cell r="H43">
            <v>0.3</v>
          </cell>
          <cell r="I43">
            <v>113400</v>
          </cell>
          <cell r="J43">
            <v>1134000</v>
          </cell>
          <cell r="K43">
            <v>1021000</v>
          </cell>
          <cell r="L43">
            <v>0.5</v>
          </cell>
          <cell r="M43">
            <v>177000</v>
          </cell>
          <cell r="N43">
            <v>159000</v>
          </cell>
          <cell r="O43">
            <v>5556</v>
          </cell>
          <cell r="P43">
            <v>27000</v>
          </cell>
          <cell r="Q43">
            <v>24000</v>
          </cell>
          <cell r="R43">
            <v>54000</v>
          </cell>
          <cell r="S43">
            <v>32400</v>
          </cell>
        </row>
        <row r="44">
          <cell r="A44" t="str">
            <v>자스민(sambac)</v>
          </cell>
          <cell r="C44" t="str">
            <v>인도수입</v>
          </cell>
          <cell r="D44">
            <v>428000</v>
          </cell>
          <cell r="E44">
            <v>44300</v>
          </cell>
          <cell r="F44">
            <v>1.0093457943925233</v>
          </cell>
          <cell r="G44">
            <v>860000</v>
          </cell>
          <cell r="H44">
            <v>0.3</v>
          </cell>
          <cell r="I44">
            <v>111800</v>
          </cell>
          <cell r="J44">
            <v>1118000</v>
          </cell>
          <cell r="K44">
            <v>1006000</v>
          </cell>
          <cell r="L44">
            <v>0.5</v>
          </cell>
          <cell r="M44">
            <v>180000</v>
          </cell>
          <cell r="N44">
            <v>162000</v>
          </cell>
          <cell r="O44">
            <v>5480</v>
          </cell>
          <cell r="P44">
            <v>27000</v>
          </cell>
          <cell r="Q44">
            <v>24000</v>
          </cell>
          <cell r="R44">
            <v>54000</v>
          </cell>
          <cell r="S44">
            <v>32400</v>
          </cell>
        </row>
        <row r="45">
          <cell r="A45" t="str">
            <v>제라늄오일</v>
          </cell>
          <cell r="B45" t="str">
            <v xml:space="preserve">10ml </v>
          </cell>
          <cell r="C45" t="str">
            <v>이집트(G)</v>
          </cell>
          <cell r="D45">
            <v>550000</v>
          </cell>
          <cell r="E45">
            <v>56500</v>
          </cell>
          <cell r="F45">
            <v>0.5</v>
          </cell>
          <cell r="G45">
            <v>825000</v>
          </cell>
          <cell r="H45">
            <v>0.3</v>
          </cell>
          <cell r="I45">
            <v>107300</v>
          </cell>
          <cell r="J45">
            <v>1073000</v>
          </cell>
          <cell r="K45">
            <v>966000</v>
          </cell>
          <cell r="L45">
            <v>0.5</v>
          </cell>
          <cell r="M45">
            <v>168000</v>
          </cell>
          <cell r="N45">
            <v>151000</v>
          </cell>
          <cell r="O45">
            <v>6700</v>
          </cell>
          <cell r="P45">
            <v>26000</v>
          </cell>
          <cell r="Q45">
            <v>23000</v>
          </cell>
          <cell r="R45">
            <v>52000</v>
          </cell>
          <cell r="S45">
            <v>31200</v>
          </cell>
        </row>
        <row r="46">
          <cell r="A46" t="str">
            <v>주니퍼베리(두송열매)</v>
          </cell>
          <cell r="B46" t="str">
            <v>10ml</v>
          </cell>
          <cell r="C46" t="str">
            <v>크로아티아(G)</v>
          </cell>
          <cell r="D46">
            <v>302500</v>
          </cell>
          <cell r="E46">
            <v>31750</v>
          </cell>
          <cell r="F46">
            <v>1</v>
          </cell>
          <cell r="G46">
            <v>605000</v>
          </cell>
          <cell r="H46">
            <v>0.3</v>
          </cell>
          <cell r="I46">
            <v>78700</v>
          </cell>
          <cell r="J46">
            <v>787000</v>
          </cell>
          <cell r="K46">
            <v>708000</v>
          </cell>
          <cell r="L46">
            <v>1</v>
          </cell>
          <cell r="M46">
            <v>123000</v>
          </cell>
          <cell r="N46">
            <v>111000</v>
          </cell>
          <cell r="O46">
            <v>4225</v>
          </cell>
          <cell r="P46">
            <v>20000</v>
          </cell>
          <cell r="Q46">
            <v>18000</v>
          </cell>
          <cell r="R46">
            <v>40000</v>
          </cell>
          <cell r="S46">
            <v>24000</v>
          </cell>
        </row>
        <row r="47">
          <cell r="A47" t="str">
            <v>진저</v>
          </cell>
          <cell r="C47" t="str">
            <v>인디아(G)</v>
          </cell>
          <cell r="D47">
            <v>418000</v>
          </cell>
          <cell r="E47">
            <v>43300</v>
          </cell>
          <cell r="F47" t="str">
            <v>50%&gt;100%</v>
          </cell>
          <cell r="G47">
            <v>836000</v>
          </cell>
          <cell r="H47">
            <v>0.3</v>
          </cell>
          <cell r="I47">
            <v>108700</v>
          </cell>
          <cell r="J47">
            <v>1087000</v>
          </cell>
          <cell r="K47">
            <v>978000</v>
          </cell>
          <cell r="L47">
            <v>0.5</v>
          </cell>
          <cell r="M47">
            <v>171000</v>
          </cell>
          <cell r="N47">
            <v>154000</v>
          </cell>
          <cell r="O47">
            <v>5380</v>
          </cell>
          <cell r="P47">
            <v>26000</v>
          </cell>
          <cell r="Q47">
            <v>23000</v>
          </cell>
          <cell r="R47">
            <v>52000</v>
          </cell>
          <cell r="S47">
            <v>31200</v>
          </cell>
        </row>
        <row r="48">
          <cell r="A48" t="str">
            <v>코파이바발삼</v>
          </cell>
          <cell r="C48" t="str">
            <v>브라질(G)</v>
          </cell>
          <cell r="D48">
            <v>440000</v>
          </cell>
          <cell r="E48">
            <v>45500</v>
          </cell>
          <cell r="F48">
            <v>1</v>
          </cell>
          <cell r="G48">
            <v>880000</v>
          </cell>
          <cell r="H48">
            <v>0.3</v>
          </cell>
          <cell r="I48">
            <v>114400</v>
          </cell>
          <cell r="J48">
            <v>1144000</v>
          </cell>
          <cell r="K48">
            <v>1030000</v>
          </cell>
          <cell r="L48">
            <v>0.65</v>
          </cell>
          <cell r="M48">
            <v>206000</v>
          </cell>
          <cell r="N48">
            <v>185000</v>
          </cell>
          <cell r="O48">
            <v>5600</v>
          </cell>
          <cell r="P48">
            <v>26000</v>
          </cell>
          <cell r="Q48">
            <v>23000</v>
          </cell>
          <cell r="R48">
            <v>52000</v>
          </cell>
          <cell r="S48">
            <v>31200</v>
          </cell>
        </row>
        <row r="49">
          <cell r="A49" t="str">
            <v>캐롯시드</v>
          </cell>
          <cell r="B49" t="str">
            <v>USD70</v>
          </cell>
          <cell r="C49" t="str">
            <v>인도수입</v>
          </cell>
          <cell r="D49">
            <v>137000</v>
          </cell>
          <cell r="E49">
            <v>15200</v>
          </cell>
          <cell r="F49">
            <v>8.6999999999999993</v>
          </cell>
          <cell r="G49">
            <v>1190000</v>
          </cell>
          <cell r="H49">
            <v>0.3</v>
          </cell>
          <cell r="I49">
            <v>154700</v>
          </cell>
          <cell r="J49">
            <v>1547000</v>
          </cell>
          <cell r="K49">
            <v>1392000</v>
          </cell>
          <cell r="L49">
            <v>0.5</v>
          </cell>
          <cell r="M49">
            <v>233000</v>
          </cell>
          <cell r="N49">
            <v>210000</v>
          </cell>
          <cell r="O49">
            <v>2570</v>
          </cell>
          <cell r="P49">
            <v>35000</v>
          </cell>
          <cell r="Q49">
            <v>32000</v>
          </cell>
          <cell r="R49">
            <v>70000</v>
          </cell>
          <cell r="S49">
            <v>42000</v>
          </cell>
        </row>
        <row r="50">
          <cell r="A50" t="str">
            <v>캐시에(Cassie flower)</v>
          </cell>
          <cell r="B50" t="str">
            <v>USD90</v>
          </cell>
          <cell r="Q50">
            <v>0</v>
          </cell>
        </row>
        <row r="51">
          <cell r="A51" t="str">
            <v>캠퍼</v>
          </cell>
          <cell r="B51" t="str">
            <v>USD8</v>
          </cell>
          <cell r="D51">
            <v>30000</v>
          </cell>
          <cell r="E51">
            <v>4500</v>
          </cell>
          <cell r="K51">
            <v>0</v>
          </cell>
          <cell r="N51">
            <v>0</v>
          </cell>
          <cell r="O51">
            <v>1500</v>
          </cell>
          <cell r="Q51">
            <v>0</v>
          </cell>
          <cell r="S51">
            <v>0</v>
          </cell>
        </row>
        <row r="52">
          <cell r="A52" t="str">
            <v>코리안더(Coriander leaf)</v>
          </cell>
          <cell r="B52" t="str">
            <v>USD80</v>
          </cell>
          <cell r="D52">
            <v>192000</v>
          </cell>
          <cell r="E52">
            <v>20700</v>
          </cell>
          <cell r="F52">
            <v>8.8000000000000007</v>
          </cell>
          <cell r="G52">
            <v>1690000</v>
          </cell>
          <cell r="H52">
            <v>0.3</v>
          </cell>
          <cell r="I52">
            <v>220000</v>
          </cell>
          <cell r="J52">
            <v>2200000</v>
          </cell>
          <cell r="K52">
            <v>1980000</v>
          </cell>
          <cell r="L52">
            <v>1</v>
          </cell>
          <cell r="M52">
            <v>440000</v>
          </cell>
          <cell r="N52">
            <v>396000</v>
          </cell>
          <cell r="O52">
            <v>3120</v>
          </cell>
          <cell r="P52">
            <v>66000</v>
          </cell>
          <cell r="Q52">
            <v>59000</v>
          </cell>
          <cell r="R52">
            <v>132000</v>
          </cell>
          <cell r="S52">
            <v>79200</v>
          </cell>
        </row>
        <row r="53">
          <cell r="A53" t="str">
            <v>클라리세이지</v>
          </cell>
          <cell r="B53" t="str">
            <v>10ml</v>
          </cell>
          <cell r="C53" t="str">
            <v>프랑스(G)</v>
          </cell>
          <cell r="D53">
            <v>352000</v>
          </cell>
          <cell r="E53">
            <v>36700</v>
          </cell>
          <cell r="F53" t="str">
            <v>50%&gt;100%</v>
          </cell>
          <cell r="G53">
            <v>704000</v>
          </cell>
          <cell r="H53">
            <v>0.3</v>
          </cell>
          <cell r="I53">
            <v>91600</v>
          </cell>
          <cell r="J53">
            <v>916000</v>
          </cell>
          <cell r="K53">
            <v>824000</v>
          </cell>
          <cell r="L53">
            <v>1</v>
          </cell>
          <cell r="M53">
            <v>143000</v>
          </cell>
          <cell r="N53">
            <v>129000</v>
          </cell>
          <cell r="O53">
            <v>4720</v>
          </cell>
          <cell r="P53">
            <v>22000</v>
          </cell>
          <cell r="Q53">
            <v>20000</v>
          </cell>
          <cell r="R53">
            <v>44000</v>
          </cell>
          <cell r="S53">
            <v>26400</v>
          </cell>
        </row>
        <row r="54">
          <cell r="A54" t="str">
            <v>클로브리프</v>
          </cell>
          <cell r="C54" t="str">
            <v>인도네시아(G)</v>
          </cell>
          <cell r="D54">
            <v>184800</v>
          </cell>
          <cell r="E54">
            <v>19980</v>
          </cell>
          <cell r="F54">
            <v>1</v>
          </cell>
          <cell r="G54">
            <v>370000</v>
          </cell>
          <cell r="H54">
            <v>0.5</v>
          </cell>
          <cell r="I54">
            <v>55500</v>
          </cell>
          <cell r="J54">
            <v>555000</v>
          </cell>
          <cell r="K54">
            <v>500000</v>
          </cell>
          <cell r="L54">
            <v>1</v>
          </cell>
          <cell r="M54">
            <v>100000</v>
          </cell>
          <cell r="N54">
            <v>90000</v>
          </cell>
          <cell r="O54">
            <v>3048</v>
          </cell>
          <cell r="P54">
            <v>12000</v>
          </cell>
          <cell r="Q54">
            <v>11000</v>
          </cell>
          <cell r="R54">
            <v>24000</v>
          </cell>
          <cell r="S54">
            <v>14400</v>
          </cell>
        </row>
        <row r="55">
          <cell r="A55" t="str">
            <v>타임</v>
          </cell>
          <cell r="C55" t="str">
            <v>인디아(G)</v>
          </cell>
          <cell r="D55">
            <v>154000</v>
          </cell>
          <cell r="E55">
            <v>16900</v>
          </cell>
          <cell r="F55">
            <v>1</v>
          </cell>
          <cell r="G55">
            <v>308000</v>
          </cell>
          <cell r="H55">
            <v>0.3</v>
          </cell>
          <cell r="I55">
            <v>40000</v>
          </cell>
          <cell r="J55">
            <v>400000</v>
          </cell>
          <cell r="K55">
            <v>360000</v>
          </cell>
          <cell r="L55">
            <v>1</v>
          </cell>
          <cell r="M55">
            <v>63000</v>
          </cell>
          <cell r="N55">
            <v>57000</v>
          </cell>
          <cell r="O55">
            <v>2740</v>
          </cell>
          <cell r="P55">
            <v>10000</v>
          </cell>
          <cell r="Q55">
            <v>9000</v>
          </cell>
          <cell r="R55">
            <v>20000</v>
          </cell>
          <cell r="S55">
            <v>12000</v>
          </cell>
        </row>
        <row r="56">
          <cell r="A56" t="str">
            <v>투메릭(Turmeric root)</v>
          </cell>
          <cell r="B56" t="str">
            <v>USD16</v>
          </cell>
          <cell r="Q56">
            <v>0</v>
          </cell>
        </row>
        <row r="57">
          <cell r="A57" t="str">
            <v>티트리</v>
          </cell>
          <cell r="C57" t="str">
            <v>영국(G)</v>
          </cell>
          <cell r="D57">
            <v>137500</v>
          </cell>
          <cell r="E57">
            <v>15250</v>
          </cell>
          <cell r="F57">
            <v>1</v>
          </cell>
          <cell r="G57">
            <v>275000</v>
          </cell>
          <cell r="H57">
            <v>0.3</v>
          </cell>
          <cell r="I57">
            <v>35800</v>
          </cell>
          <cell r="J57">
            <v>358000</v>
          </cell>
          <cell r="K57">
            <v>322000</v>
          </cell>
          <cell r="L57">
            <v>1</v>
          </cell>
          <cell r="M57">
            <v>56000</v>
          </cell>
          <cell r="N57">
            <v>50000</v>
          </cell>
          <cell r="O57">
            <v>2575</v>
          </cell>
          <cell r="P57">
            <v>10000</v>
          </cell>
          <cell r="Q57">
            <v>9000</v>
          </cell>
          <cell r="R57">
            <v>20000</v>
          </cell>
          <cell r="S57">
            <v>12000</v>
          </cell>
        </row>
        <row r="58">
          <cell r="A58" t="str">
            <v>티트리프리미엄</v>
          </cell>
          <cell r="B58" t="str">
            <v>테르펜35%~</v>
          </cell>
          <cell r="C58" t="str">
            <v>오스트레일리아수입</v>
          </cell>
          <cell r="D58">
            <v>86000</v>
          </cell>
          <cell r="E58">
            <v>10100</v>
          </cell>
          <cell r="F58">
            <v>3.5</v>
          </cell>
          <cell r="G58">
            <v>300000</v>
          </cell>
          <cell r="H58">
            <v>1</v>
          </cell>
          <cell r="I58">
            <v>60000</v>
          </cell>
          <cell r="J58">
            <v>600000</v>
          </cell>
          <cell r="K58">
            <v>540000</v>
          </cell>
          <cell r="L58">
            <v>1</v>
          </cell>
          <cell r="M58">
            <v>94000</v>
          </cell>
          <cell r="N58">
            <v>85000</v>
          </cell>
          <cell r="O58">
            <v>2060</v>
          </cell>
          <cell r="P58">
            <v>16000</v>
          </cell>
          <cell r="Q58">
            <v>14000</v>
          </cell>
          <cell r="R58">
            <v>32000</v>
          </cell>
          <cell r="S58">
            <v>19200</v>
          </cell>
        </row>
        <row r="59">
          <cell r="A59" t="str">
            <v>파인</v>
          </cell>
          <cell r="C59" t="str">
            <v>시베리아(G)</v>
          </cell>
          <cell r="D59">
            <v>253000</v>
          </cell>
          <cell r="E59">
            <v>26800</v>
          </cell>
          <cell r="F59">
            <v>1</v>
          </cell>
          <cell r="G59">
            <v>506000</v>
          </cell>
          <cell r="H59">
            <v>0.3</v>
          </cell>
          <cell r="I59">
            <v>65800</v>
          </cell>
          <cell r="J59">
            <v>658000</v>
          </cell>
          <cell r="K59">
            <v>592000</v>
          </cell>
          <cell r="L59">
            <v>1</v>
          </cell>
          <cell r="M59">
            <v>103000</v>
          </cell>
          <cell r="N59">
            <v>93000</v>
          </cell>
          <cell r="O59">
            <v>3730</v>
          </cell>
          <cell r="P59">
            <v>16000</v>
          </cell>
          <cell r="Q59">
            <v>14000</v>
          </cell>
          <cell r="R59">
            <v>32000</v>
          </cell>
          <cell r="S59">
            <v>19200</v>
          </cell>
        </row>
        <row r="60">
          <cell r="A60" t="str">
            <v>팔마로사</v>
          </cell>
          <cell r="C60" t="str">
            <v>인도수입</v>
          </cell>
          <cell r="D60">
            <v>96000</v>
          </cell>
          <cell r="E60">
            <v>11100</v>
          </cell>
          <cell r="F60">
            <v>5</v>
          </cell>
          <cell r="G60">
            <v>572000</v>
          </cell>
          <cell r="H60">
            <v>0.3</v>
          </cell>
          <cell r="I60">
            <v>74400</v>
          </cell>
          <cell r="J60">
            <v>744000</v>
          </cell>
          <cell r="K60">
            <v>670000</v>
          </cell>
          <cell r="L60">
            <v>1</v>
          </cell>
          <cell r="M60">
            <v>149000</v>
          </cell>
          <cell r="N60">
            <v>134000</v>
          </cell>
          <cell r="O60">
            <v>2160</v>
          </cell>
          <cell r="P60">
            <v>23000</v>
          </cell>
          <cell r="Q60">
            <v>21000</v>
          </cell>
          <cell r="R60">
            <v>46000</v>
          </cell>
          <cell r="S60">
            <v>27600</v>
          </cell>
        </row>
        <row r="61">
          <cell r="A61" t="str">
            <v>페퍼민트</v>
          </cell>
          <cell r="C61" t="str">
            <v>인도수입</v>
          </cell>
          <cell r="D61">
            <v>59000</v>
          </cell>
          <cell r="E61">
            <v>7400</v>
          </cell>
          <cell r="F61">
            <v>4.22</v>
          </cell>
          <cell r="G61">
            <v>308000</v>
          </cell>
          <cell r="H61">
            <v>0.3</v>
          </cell>
          <cell r="I61">
            <v>40000</v>
          </cell>
          <cell r="J61">
            <v>400000</v>
          </cell>
          <cell r="K61">
            <v>360000</v>
          </cell>
          <cell r="L61">
            <v>1</v>
          </cell>
          <cell r="M61">
            <v>63000</v>
          </cell>
          <cell r="N61">
            <v>57000</v>
          </cell>
          <cell r="O61">
            <v>1790</v>
          </cell>
          <cell r="P61">
            <v>10000</v>
          </cell>
          <cell r="Q61">
            <v>9000</v>
          </cell>
          <cell r="R61">
            <v>20000</v>
          </cell>
          <cell r="S61">
            <v>12000</v>
          </cell>
        </row>
        <row r="62">
          <cell r="A62" t="str">
            <v>페티그레인</v>
          </cell>
          <cell r="B62" t="str">
            <v xml:space="preserve">10ml </v>
          </cell>
          <cell r="C62" t="str">
            <v>파라과이/프랑스(G)</v>
          </cell>
          <cell r="D62">
            <v>286440</v>
          </cell>
          <cell r="E62">
            <v>30144</v>
          </cell>
          <cell r="F62">
            <v>1</v>
          </cell>
          <cell r="G62">
            <v>573000</v>
          </cell>
          <cell r="H62">
            <v>0.3</v>
          </cell>
          <cell r="I62">
            <v>74500</v>
          </cell>
          <cell r="J62">
            <v>745000</v>
          </cell>
          <cell r="K62">
            <v>671000</v>
          </cell>
          <cell r="L62">
            <v>1</v>
          </cell>
          <cell r="M62">
            <v>117000</v>
          </cell>
          <cell r="N62">
            <v>105000</v>
          </cell>
          <cell r="O62">
            <v>4064.4</v>
          </cell>
          <cell r="P62">
            <v>18000</v>
          </cell>
          <cell r="Q62">
            <v>16000</v>
          </cell>
          <cell r="R62">
            <v>36000</v>
          </cell>
          <cell r="S62">
            <v>21600</v>
          </cell>
        </row>
        <row r="63">
          <cell r="A63" t="str">
            <v>패츌리</v>
          </cell>
          <cell r="C63" t="str">
            <v>인도네시아(G)</v>
          </cell>
          <cell r="D63">
            <v>660000</v>
          </cell>
          <cell r="E63">
            <v>67500</v>
          </cell>
          <cell r="F63">
            <v>0.47</v>
          </cell>
          <cell r="G63">
            <v>974000</v>
          </cell>
          <cell r="H63">
            <v>0.5</v>
          </cell>
          <cell r="I63">
            <v>146100</v>
          </cell>
          <cell r="J63">
            <v>1461000</v>
          </cell>
          <cell r="K63">
            <v>1315000</v>
          </cell>
          <cell r="L63">
            <v>0.5</v>
          </cell>
          <cell r="M63">
            <v>228000</v>
          </cell>
          <cell r="N63">
            <v>205000</v>
          </cell>
          <cell r="O63">
            <v>7800</v>
          </cell>
          <cell r="P63">
            <v>34000</v>
          </cell>
          <cell r="Q63">
            <v>31000</v>
          </cell>
          <cell r="R63">
            <v>68000</v>
          </cell>
          <cell r="S63">
            <v>40800</v>
          </cell>
        </row>
        <row r="64">
          <cell r="A64" t="str">
            <v>펜넬</v>
          </cell>
          <cell r="C64" t="str">
            <v>몰도바(G)</v>
          </cell>
          <cell r="D64">
            <v>253000</v>
          </cell>
          <cell r="E64">
            <v>26800</v>
          </cell>
          <cell r="F64">
            <v>1</v>
          </cell>
          <cell r="G64">
            <v>506000</v>
          </cell>
          <cell r="H64">
            <v>0.3</v>
          </cell>
          <cell r="I64">
            <v>65800</v>
          </cell>
          <cell r="J64">
            <v>658000</v>
          </cell>
          <cell r="K64">
            <v>592000</v>
          </cell>
          <cell r="L64">
            <v>1</v>
          </cell>
          <cell r="M64">
            <v>103000</v>
          </cell>
          <cell r="N64">
            <v>93000</v>
          </cell>
          <cell r="O64">
            <v>3730</v>
          </cell>
          <cell r="P64">
            <v>14000</v>
          </cell>
          <cell r="Q64">
            <v>13000</v>
          </cell>
          <cell r="R64">
            <v>28000</v>
          </cell>
          <cell r="S64">
            <v>16800</v>
          </cell>
        </row>
        <row r="65">
          <cell r="A65" t="str">
            <v>프랑킨센스(유향나무)</v>
          </cell>
          <cell r="B65" t="str">
            <v xml:space="preserve">10ml </v>
          </cell>
          <cell r="C65" t="str">
            <v>인디아(G)</v>
          </cell>
          <cell r="D65">
            <v>396000</v>
          </cell>
          <cell r="E65">
            <v>41100</v>
          </cell>
          <cell r="F65" t="str">
            <v>50%&gt;100%</v>
          </cell>
          <cell r="G65">
            <v>792000</v>
          </cell>
          <cell r="H65">
            <v>0.3</v>
          </cell>
          <cell r="I65">
            <v>103000</v>
          </cell>
          <cell r="J65">
            <v>1030000</v>
          </cell>
          <cell r="K65">
            <v>927000</v>
          </cell>
          <cell r="L65">
            <v>0.5</v>
          </cell>
          <cell r="M65">
            <v>161000</v>
          </cell>
          <cell r="N65">
            <v>145000</v>
          </cell>
          <cell r="O65">
            <v>5160</v>
          </cell>
          <cell r="P65">
            <v>24000</v>
          </cell>
          <cell r="Q65">
            <v>22000</v>
          </cell>
          <cell r="R65">
            <v>48000</v>
          </cell>
          <cell r="S65">
            <v>28800</v>
          </cell>
        </row>
        <row r="66">
          <cell r="A66" t="str">
            <v>헬리크리섬</v>
          </cell>
          <cell r="B66" t="str">
            <v>5,390,000(G)유기</v>
          </cell>
          <cell r="C66" t="str">
            <v>USD110</v>
          </cell>
          <cell r="D66">
            <v>220000</v>
          </cell>
          <cell r="F66" t="str">
            <v>G의20%</v>
          </cell>
          <cell r="G66">
            <v>6468000</v>
          </cell>
          <cell r="H66">
            <v>0.3</v>
          </cell>
          <cell r="I66">
            <v>840900</v>
          </cell>
          <cell r="J66">
            <v>8400000</v>
          </cell>
          <cell r="K66">
            <v>7560000</v>
          </cell>
          <cell r="L66">
            <v>0.43</v>
          </cell>
          <cell r="M66">
            <v>1200000</v>
          </cell>
          <cell r="N66">
            <v>1080000</v>
          </cell>
          <cell r="O66">
            <v>3400</v>
          </cell>
          <cell r="P66">
            <v>180000</v>
          </cell>
          <cell r="Q66">
            <v>162000</v>
          </cell>
          <cell r="R66">
            <v>360000</v>
          </cell>
          <cell r="S66">
            <v>216000</v>
          </cell>
        </row>
        <row r="67">
          <cell r="A67" t="str">
            <v>히솝</v>
          </cell>
          <cell r="B67" t="str">
            <v>USD80</v>
          </cell>
          <cell r="D67">
            <v>192000</v>
          </cell>
          <cell r="K67">
            <v>0</v>
          </cell>
          <cell r="N67">
            <v>0</v>
          </cell>
          <cell r="Q67">
            <v>0</v>
          </cell>
          <cell r="S67">
            <v>0</v>
          </cell>
        </row>
        <row r="68">
          <cell r="A68" t="str">
            <v>히노키</v>
          </cell>
          <cell r="C68" t="str">
            <v>한국(G)</v>
          </cell>
          <cell r="D68">
            <v>693000</v>
          </cell>
          <cell r="E68">
            <v>70800</v>
          </cell>
          <cell r="F68" t="str">
            <v>30%&gt;50%</v>
          </cell>
          <cell r="G68">
            <v>1039500</v>
          </cell>
          <cell r="H68">
            <v>0.3</v>
          </cell>
          <cell r="I68">
            <v>135200</v>
          </cell>
          <cell r="J68">
            <v>1352000</v>
          </cell>
          <cell r="K68">
            <v>1217000</v>
          </cell>
          <cell r="L68">
            <v>0.5</v>
          </cell>
          <cell r="M68">
            <v>211000</v>
          </cell>
          <cell r="N68">
            <v>190000</v>
          </cell>
          <cell r="O68">
            <v>8130</v>
          </cell>
          <cell r="P68">
            <v>32000</v>
          </cell>
          <cell r="Q68">
            <v>29000</v>
          </cell>
          <cell r="R68">
            <v>64000</v>
          </cell>
          <cell r="S68">
            <v>38400</v>
          </cell>
        </row>
        <row r="69">
          <cell r="A69" t="str">
            <v xml:space="preserve"> 발삼전나무오가닉</v>
          </cell>
          <cell r="B69" t="str">
            <v>10012-101</v>
          </cell>
          <cell r="C69" t="str">
            <v>캐나다수입</v>
          </cell>
          <cell r="D69">
            <v>176000</v>
          </cell>
          <cell r="E69">
            <v>19100</v>
          </cell>
          <cell r="F69">
            <v>1</v>
          </cell>
          <cell r="G69">
            <v>352000</v>
          </cell>
          <cell r="H69">
            <v>1</v>
          </cell>
          <cell r="I69">
            <v>70400</v>
          </cell>
          <cell r="J69">
            <v>704000</v>
          </cell>
          <cell r="K69">
            <v>634000</v>
          </cell>
          <cell r="L69">
            <v>1</v>
          </cell>
          <cell r="M69">
            <v>127000</v>
          </cell>
          <cell r="N69">
            <v>114000</v>
          </cell>
          <cell r="O69">
            <v>2960</v>
          </cell>
          <cell r="P69">
            <v>20000</v>
          </cell>
          <cell r="Q69">
            <v>18000</v>
          </cell>
          <cell r="R69">
            <v>40000</v>
          </cell>
          <cell r="S69">
            <v>24000</v>
          </cell>
        </row>
        <row r="70">
          <cell r="A70" t="str">
            <v>잭파인에스엠오가닉</v>
          </cell>
          <cell r="B70" t="str">
            <v>10013-103</v>
          </cell>
          <cell r="C70" t="str">
            <v>캐나다수입</v>
          </cell>
          <cell r="D70">
            <v>307000</v>
          </cell>
          <cell r="E70">
            <v>32200</v>
          </cell>
          <cell r="F70">
            <v>1</v>
          </cell>
          <cell r="G70">
            <v>614000</v>
          </cell>
          <cell r="H70">
            <v>0.5</v>
          </cell>
          <cell r="I70">
            <v>92100</v>
          </cell>
          <cell r="J70">
            <v>921000</v>
          </cell>
          <cell r="K70">
            <v>829000</v>
          </cell>
          <cell r="L70">
            <v>1</v>
          </cell>
          <cell r="M70">
            <v>166000</v>
          </cell>
          <cell r="N70">
            <v>149000</v>
          </cell>
          <cell r="O70">
            <v>4270</v>
          </cell>
          <cell r="P70">
            <v>25000</v>
          </cell>
          <cell r="Q70">
            <v>23000</v>
          </cell>
          <cell r="R70">
            <v>50000</v>
          </cell>
          <cell r="S70">
            <v>30000</v>
          </cell>
        </row>
        <row r="71">
          <cell r="A71" t="str">
            <v>(W)가문비나무오가닉</v>
          </cell>
          <cell r="B71" t="str">
            <v>10031-101</v>
          </cell>
          <cell r="C71" t="str">
            <v>캐나다수입</v>
          </cell>
          <cell r="D71">
            <v>441000</v>
          </cell>
          <cell r="E71">
            <v>45600</v>
          </cell>
          <cell r="F71">
            <v>1</v>
          </cell>
          <cell r="G71">
            <v>882000</v>
          </cell>
          <cell r="H71">
            <v>0.5</v>
          </cell>
          <cell r="I71">
            <v>132300</v>
          </cell>
          <cell r="J71">
            <v>1323000</v>
          </cell>
          <cell r="K71">
            <v>1191000</v>
          </cell>
          <cell r="L71">
            <v>0.65</v>
          </cell>
          <cell r="M71">
            <v>239000</v>
          </cell>
          <cell r="N71">
            <v>215000</v>
          </cell>
          <cell r="O71">
            <v>5610</v>
          </cell>
          <cell r="P71">
            <v>36000</v>
          </cell>
          <cell r="Q71">
            <v>32000</v>
          </cell>
          <cell r="R71">
            <v>72000</v>
          </cell>
          <cell r="S71">
            <v>43200</v>
          </cell>
        </row>
        <row r="72">
          <cell r="A72" t="str">
            <v>타마락낙엽송오가닉</v>
          </cell>
          <cell r="B72" t="str">
            <v>10015-101</v>
          </cell>
          <cell r="C72" t="str">
            <v>캐나다수입</v>
          </cell>
          <cell r="D72">
            <v>611000</v>
          </cell>
          <cell r="E72">
            <v>62600</v>
          </cell>
          <cell r="F72">
            <v>1</v>
          </cell>
          <cell r="G72">
            <v>1222000</v>
          </cell>
          <cell r="H72">
            <v>0.3</v>
          </cell>
          <cell r="I72">
            <v>158900</v>
          </cell>
          <cell r="J72">
            <v>1589000</v>
          </cell>
          <cell r="K72">
            <v>1430000</v>
          </cell>
          <cell r="L72">
            <v>0.65</v>
          </cell>
          <cell r="M72">
            <v>286000</v>
          </cell>
          <cell r="N72">
            <v>257000</v>
          </cell>
          <cell r="O72">
            <v>7310</v>
          </cell>
          <cell r="P72">
            <v>43000</v>
          </cell>
          <cell r="Q72">
            <v>39000</v>
          </cell>
          <cell r="R72">
            <v>86000</v>
          </cell>
          <cell r="S72">
            <v>51600</v>
          </cell>
        </row>
        <row r="73">
          <cell r="A73" t="str">
            <v>동백삼나무잎</v>
          </cell>
          <cell r="B73" t="str">
            <v>10021-001</v>
          </cell>
          <cell r="C73" t="str">
            <v>캐나다수입</v>
          </cell>
          <cell r="D73">
            <v>278000</v>
          </cell>
          <cell r="E73">
            <v>29300</v>
          </cell>
          <cell r="F73">
            <v>1</v>
          </cell>
          <cell r="G73">
            <v>556000</v>
          </cell>
          <cell r="H73">
            <v>0.5</v>
          </cell>
          <cell r="I73">
            <v>83400</v>
          </cell>
          <cell r="J73">
            <v>834000</v>
          </cell>
          <cell r="K73">
            <v>751000</v>
          </cell>
          <cell r="L73">
            <v>1</v>
          </cell>
          <cell r="M73">
            <v>150000</v>
          </cell>
          <cell r="N73">
            <v>135000</v>
          </cell>
          <cell r="O73">
            <v>3980</v>
          </cell>
          <cell r="P73">
            <v>23000</v>
          </cell>
          <cell r="Q73">
            <v>21000</v>
          </cell>
          <cell r="R73">
            <v>46000</v>
          </cell>
          <cell r="S73">
            <v>27600</v>
          </cell>
        </row>
        <row r="74">
          <cell r="A74" t="str">
            <v>노르웨이소나무</v>
          </cell>
          <cell r="B74" t="str">
            <v>10097-001</v>
          </cell>
          <cell r="C74" t="str">
            <v>캐나다수입</v>
          </cell>
          <cell r="D74">
            <v>272000</v>
          </cell>
          <cell r="E74">
            <v>28700</v>
          </cell>
          <cell r="F74">
            <v>1</v>
          </cell>
          <cell r="G74">
            <v>544000</v>
          </cell>
          <cell r="H74">
            <v>0.5</v>
          </cell>
          <cell r="I74">
            <v>81600</v>
          </cell>
          <cell r="J74">
            <v>816000</v>
          </cell>
          <cell r="K74">
            <v>734000</v>
          </cell>
          <cell r="L74">
            <v>1</v>
          </cell>
          <cell r="M74">
            <v>147000</v>
          </cell>
          <cell r="N74">
            <v>132000</v>
          </cell>
          <cell r="O74">
            <v>3920</v>
          </cell>
          <cell r="P74">
            <v>22000</v>
          </cell>
          <cell r="Q74">
            <v>20000</v>
          </cell>
          <cell r="R74">
            <v>44000</v>
          </cell>
          <cell r="S74">
            <v>26400</v>
          </cell>
        </row>
        <row r="75">
          <cell r="A75" t="str">
            <v>캐리어오일 &amp; 플로럴워터</v>
          </cell>
        </row>
        <row r="76">
          <cell r="A76" t="str">
            <v>호호바오일골든</v>
          </cell>
          <cell r="B76" t="str">
            <v>1kg(공병1,320포함)</v>
          </cell>
          <cell r="C76" t="str">
            <v>영국(G)</v>
          </cell>
          <cell r="D76">
            <v>51900</v>
          </cell>
          <cell r="F76">
            <v>0.5</v>
          </cell>
          <cell r="G76">
            <v>78000</v>
          </cell>
          <cell r="H76">
            <v>1</v>
          </cell>
          <cell r="I76">
            <v>0.6</v>
          </cell>
          <cell r="J76">
            <v>156000</v>
          </cell>
          <cell r="N76">
            <v>124800</v>
          </cell>
          <cell r="S76">
            <v>312000</v>
          </cell>
        </row>
        <row r="77">
          <cell r="A77" t="str">
            <v>포도씨오일</v>
          </cell>
          <cell r="B77" t="str">
            <v>1kg</v>
          </cell>
          <cell r="C77" t="str">
            <v>이태리&gt;루마니아(G)</v>
          </cell>
          <cell r="D77">
            <v>10780</v>
          </cell>
          <cell r="G77">
            <v>22000</v>
          </cell>
          <cell r="I77">
            <v>0.6</v>
          </cell>
          <cell r="J77">
            <v>44000</v>
          </cell>
          <cell r="N77">
            <v>35200</v>
          </cell>
          <cell r="S77">
            <v>88000</v>
          </cell>
        </row>
        <row r="78">
          <cell r="A78" t="str">
            <v>썬플라워오일</v>
          </cell>
          <cell r="B78" t="str">
            <v>1kg</v>
          </cell>
          <cell r="C78" t="str">
            <v>(G)</v>
          </cell>
          <cell r="D78">
            <v>10230</v>
          </cell>
          <cell r="G78">
            <v>22000</v>
          </cell>
          <cell r="I78">
            <v>0.6</v>
          </cell>
          <cell r="J78">
            <v>44000</v>
          </cell>
          <cell r="N78">
            <v>35200</v>
          </cell>
          <cell r="S78">
            <v>88000</v>
          </cell>
        </row>
        <row r="79">
          <cell r="A79" t="str">
            <v>스윗아몬드오일</v>
          </cell>
          <cell r="B79" t="str">
            <v>1kg</v>
          </cell>
          <cell r="C79" t="str">
            <v>(G)</v>
          </cell>
          <cell r="D79">
            <v>15620</v>
          </cell>
          <cell r="G79">
            <v>33000</v>
          </cell>
          <cell r="I79">
            <v>0.6</v>
          </cell>
          <cell r="J79">
            <v>66000</v>
          </cell>
          <cell r="N79">
            <v>52800</v>
          </cell>
          <cell r="S79">
            <v>132000</v>
          </cell>
        </row>
        <row r="80">
          <cell r="A80" t="str">
            <v>코코넛오일</v>
          </cell>
          <cell r="B80" t="str">
            <v>1kg</v>
          </cell>
          <cell r="C80" t="str">
            <v>말레이시아(G)</v>
          </cell>
          <cell r="D80">
            <v>7920</v>
          </cell>
          <cell r="G80">
            <v>18000</v>
          </cell>
          <cell r="I80">
            <v>0.6</v>
          </cell>
          <cell r="J80">
            <v>36000</v>
          </cell>
          <cell r="N80">
            <v>28800</v>
          </cell>
        </row>
        <row r="81">
          <cell r="A81" t="str">
            <v>코코넛오일(제약용)</v>
          </cell>
          <cell r="B81" t="str">
            <v>1kg</v>
          </cell>
          <cell r="C81" t="str">
            <v>(G)</v>
          </cell>
          <cell r="D81">
            <v>31900</v>
          </cell>
          <cell r="G81">
            <v>64000</v>
          </cell>
          <cell r="J81">
            <v>128000</v>
          </cell>
          <cell r="N81">
            <v>102400</v>
          </cell>
        </row>
        <row r="82">
          <cell r="A82" t="str">
            <v>올리브오일</v>
          </cell>
          <cell r="B82" t="str">
            <v>1kg</v>
          </cell>
          <cell r="C82" t="str">
            <v>이태리(G)</v>
          </cell>
          <cell r="D82">
            <v>11220</v>
          </cell>
          <cell r="G82">
            <v>24000</v>
          </cell>
          <cell r="J82">
            <v>48000</v>
          </cell>
          <cell r="N82">
            <v>38400</v>
          </cell>
        </row>
        <row r="83">
          <cell r="A83" t="str">
            <v>무수알코올(95)</v>
          </cell>
          <cell r="B83" t="str">
            <v>1kg</v>
          </cell>
          <cell r="C83" t="str">
            <v>(G)</v>
          </cell>
          <cell r="D83">
            <v>4950</v>
          </cell>
          <cell r="G83">
            <v>11000</v>
          </cell>
          <cell r="J83">
            <v>22000</v>
          </cell>
          <cell r="N83">
            <v>17600</v>
          </cell>
        </row>
        <row r="84">
          <cell r="A84" t="str">
            <v>호호바골든오가닉   (베르가못블랜딩)</v>
          </cell>
          <cell r="B84" t="str">
            <v>1kg</v>
          </cell>
          <cell r="C84" t="str">
            <v>이스라엘수입</v>
          </cell>
          <cell r="D84">
            <v>22330</v>
          </cell>
          <cell r="G84" t="str">
            <v>사업자</v>
          </cell>
          <cell r="J84" t="str">
            <v>도매</v>
          </cell>
          <cell r="S84" t="str">
            <v>소매</v>
          </cell>
        </row>
        <row r="85">
          <cell r="B85" t="str">
            <v>500g</v>
          </cell>
          <cell r="D85">
            <v>14800</v>
          </cell>
          <cell r="F85" t="str">
            <v>15개단위</v>
          </cell>
          <cell r="G85">
            <v>45000</v>
          </cell>
          <cell r="I85">
            <v>0.6</v>
          </cell>
          <cell r="J85">
            <v>90000</v>
          </cell>
          <cell r="N85">
            <v>72000</v>
          </cell>
          <cell r="S85">
            <v>180000</v>
          </cell>
        </row>
        <row r="86">
          <cell r="B86" t="str">
            <v>100g</v>
          </cell>
          <cell r="D86">
            <v>5000</v>
          </cell>
          <cell r="F86" t="str">
            <v>50개단위</v>
          </cell>
          <cell r="G86">
            <v>18000</v>
          </cell>
          <cell r="I86">
            <v>0.6</v>
          </cell>
          <cell r="J86">
            <v>36000</v>
          </cell>
          <cell r="N86">
            <v>28800</v>
          </cell>
          <cell r="S86">
            <v>72000</v>
          </cell>
        </row>
        <row r="87">
          <cell r="B87" t="str">
            <v>30g</v>
          </cell>
          <cell r="D87">
            <v>2800</v>
          </cell>
          <cell r="F87" t="str">
            <v>50개단위</v>
          </cell>
          <cell r="G87">
            <v>9000</v>
          </cell>
          <cell r="I87">
            <v>0.6</v>
          </cell>
          <cell r="J87">
            <v>18000</v>
          </cell>
          <cell r="N87">
            <v>14400</v>
          </cell>
          <cell r="S87">
            <v>36000</v>
          </cell>
        </row>
        <row r="88">
          <cell r="C88" t="str">
            <v>원산지/수입국</v>
          </cell>
          <cell r="D88" t="str">
            <v>원가</v>
          </cell>
          <cell r="G88" t="str">
            <v>사업자500</v>
          </cell>
          <cell r="J88" t="str">
            <v>도매</v>
          </cell>
          <cell r="S88" t="str">
            <v>소매</v>
          </cell>
        </row>
        <row r="89">
          <cell r="A89" t="str">
            <v>라벤다워터  (보습제,안정제블랜딩)</v>
          </cell>
          <cell r="B89" t="str">
            <v>1kg</v>
          </cell>
          <cell r="C89" t="str">
            <v>불가리아수입</v>
          </cell>
          <cell r="D89">
            <v>5200</v>
          </cell>
          <cell r="N89">
            <v>0</v>
          </cell>
        </row>
        <row r="90">
          <cell r="B90" t="str">
            <v>500ml</v>
          </cell>
          <cell r="C90" t="str">
            <v>하이드로졸</v>
          </cell>
          <cell r="D90">
            <v>3500</v>
          </cell>
          <cell r="N90">
            <v>0</v>
          </cell>
        </row>
        <row r="91">
          <cell r="B91" t="str">
            <v>500ml</v>
          </cell>
          <cell r="D91">
            <v>6000</v>
          </cell>
          <cell r="F91" t="str">
            <v>15개단위</v>
          </cell>
          <cell r="G91">
            <v>24000</v>
          </cell>
          <cell r="I91">
            <v>0.6</v>
          </cell>
          <cell r="J91">
            <v>48000</v>
          </cell>
          <cell r="N91">
            <v>38400</v>
          </cell>
          <cell r="S91">
            <v>96000</v>
          </cell>
        </row>
        <row r="92">
          <cell r="B92" t="str">
            <v>120ml</v>
          </cell>
          <cell r="D92">
            <v>2700</v>
          </cell>
          <cell r="F92" t="str">
            <v>50개단위</v>
          </cell>
          <cell r="G92">
            <v>6000</v>
          </cell>
          <cell r="I92">
            <v>0.6</v>
          </cell>
          <cell r="J92">
            <v>12000</v>
          </cell>
          <cell r="N92">
            <v>9600</v>
          </cell>
          <cell r="S92">
            <v>24000</v>
          </cell>
        </row>
        <row r="93">
          <cell r="A93" t="str">
            <v>티트리워터</v>
          </cell>
          <cell r="B93" t="str">
            <v>1kg</v>
          </cell>
          <cell r="D93">
            <v>9900</v>
          </cell>
          <cell r="N93">
            <v>0</v>
          </cell>
        </row>
        <row r="94">
          <cell r="B94" t="str">
            <v>500ml</v>
          </cell>
          <cell r="C94" t="str">
            <v>하이드로졸</v>
          </cell>
          <cell r="D94">
            <v>5800</v>
          </cell>
          <cell r="N94">
            <v>0</v>
          </cell>
        </row>
        <row r="95">
          <cell r="B95" t="str">
            <v>500ml</v>
          </cell>
          <cell r="D95">
            <v>6100</v>
          </cell>
          <cell r="F95" t="str">
            <v>15개단위</v>
          </cell>
          <cell r="G95">
            <v>24000</v>
          </cell>
          <cell r="I95">
            <v>0.6</v>
          </cell>
          <cell r="J95">
            <v>48000</v>
          </cell>
          <cell r="N95">
            <v>38400</v>
          </cell>
          <cell r="S95">
            <v>96000</v>
          </cell>
        </row>
        <row r="96">
          <cell r="B96" t="str">
            <v>120ml</v>
          </cell>
          <cell r="D96">
            <v>2800</v>
          </cell>
          <cell r="F96" t="str">
            <v>50개단위</v>
          </cell>
          <cell r="G96">
            <v>6000</v>
          </cell>
          <cell r="I96">
            <v>0.6</v>
          </cell>
          <cell r="J96">
            <v>12000</v>
          </cell>
          <cell r="N96">
            <v>9600</v>
          </cell>
          <cell r="S96">
            <v>24000</v>
          </cell>
        </row>
        <row r="97">
          <cell r="A97" t="str">
            <v>로즈워터</v>
          </cell>
          <cell r="B97" t="str">
            <v>1kg</v>
          </cell>
          <cell r="D97">
            <v>11000</v>
          </cell>
          <cell r="N97">
            <v>0</v>
          </cell>
        </row>
        <row r="98">
          <cell r="B98" t="str">
            <v>500ml</v>
          </cell>
          <cell r="N98">
            <v>0</v>
          </cell>
        </row>
        <row r="99">
          <cell r="B99" t="str">
            <v>120ml</v>
          </cell>
          <cell r="D99">
            <v>3300</v>
          </cell>
          <cell r="F99" t="str">
            <v>50개단위</v>
          </cell>
          <cell r="G99">
            <v>9000</v>
          </cell>
          <cell r="J99">
            <v>18000</v>
          </cell>
          <cell r="N99">
            <v>14400</v>
          </cell>
          <cell r="S99">
            <v>36000</v>
          </cell>
        </row>
        <row r="100">
          <cell r="A100" t="str">
            <v>샴푸</v>
          </cell>
          <cell r="B100" t="str">
            <v>500ml</v>
          </cell>
          <cell r="D100">
            <v>6415</v>
          </cell>
          <cell r="F100" t="str">
            <v>20개단위</v>
          </cell>
          <cell r="G100">
            <v>14000</v>
          </cell>
          <cell r="J100">
            <v>28000</v>
          </cell>
          <cell r="S100">
            <v>56000</v>
          </cell>
        </row>
        <row r="101">
          <cell r="A101" t="str">
            <v>트리트먼트</v>
          </cell>
          <cell r="B101" t="str">
            <v>500ml</v>
          </cell>
          <cell r="D101">
            <v>6536</v>
          </cell>
          <cell r="F101" t="str">
            <v>20개단위</v>
          </cell>
          <cell r="G101">
            <v>14000</v>
          </cell>
          <cell r="J101">
            <v>28000</v>
          </cell>
          <cell r="S101">
            <v>56000</v>
          </cell>
        </row>
        <row r="102">
          <cell r="A102" t="str">
            <v>인핸서</v>
          </cell>
          <cell r="B102" t="str">
            <v xml:space="preserve">100ml </v>
          </cell>
          <cell r="D102">
            <v>2570</v>
          </cell>
          <cell r="F102" t="str">
            <v>100개단위</v>
          </cell>
          <cell r="G102">
            <v>11000</v>
          </cell>
          <cell r="J102">
            <v>22000</v>
          </cell>
          <cell r="S102">
            <v>44000</v>
          </cell>
        </row>
        <row r="103">
          <cell r="A103" t="str">
            <v>로즈,자스민워터</v>
          </cell>
          <cell r="B103" t="str">
            <v>1kg</v>
          </cell>
          <cell r="N103">
            <v>0</v>
          </cell>
        </row>
        <row r="104">
          <cell r="A104" t="str">
            <v>네롤리,캐모마일워터</v>
          </cell>
          <cell r="B104" t="str">
            <v>1kg</v>
          </cell>
          <cell r="N104">
            <v>0</v>
          </cell>
        </row>
        <row r="106">
          <cell r="B106" t="str">
            <v>그린인터</v>
          </cell>
          <cell r="C106" t="str">
            <v>아로마랩</v>
          </cell>
          <cell r="D106" t="str">
            <v>단상자(145.2)</v>
          </cell>
          <cell r="E106" t="str">
            <v>공급가(단상자포함)</v>
          </cell>
          <cell r="F106" t="str">
            <v>수량</v>
          </cell>
          <cell r="G106" t="str">
            <v>금액(현금가)</v>
          </cell>
        </row>
        <row r="107">
          <cell r="A107" t="str">
            <v>공병5ml</v>
          </cell>
          <cell r="B107">
            <v>484</v>
          </cell>
          <cell r="C107" t="str">
            <v>880(255개)</v>
          </cell>
          <cell r="D107">
            <v>629.20000000000005</v>
          </cell>
          <cell r="E107">
            <v>1100</v>
          </cell>
          <cell r="F107">
            <v>50</v>
          </cell>
          <cell r="G107">
            <v>55000</v>
          </cell>
        </row>
        <row r="108">
          <cell r="A108" t="str">
            <v>공병10ml</v>
          </cell>
          <cell r="B108">
            <v>517</v>
          </cell>
          <cell r="C108" t="str">
            <v>950(192개)</v>
          </cell>
          <cell r="D108">
            <v>662.2</v>
          </cell>
          <cell r="E108">
            <v>1200</v>
          </cell>
          <cell r="F108">
            <v>50</v>
          </cell>
          <cell r="G108">
            <v>60000</v>
          </cell>
        </row>
        <row r="109">
          <cell r="A109" t="str">
            <v>공병50ml(스포이드)</v>
          </cell>
          <cell r="B109">
            <v>693</v>
          </cell>
          <cell r="C109" t="str">
            <v>1,100(88개)</v>
          </cell>
          <cell r="E109">
            <v>1320</v>
          </cell>
          <cell r="F109">
            <v>50</v>
          </cell>
          <cell r="G109">
            <v>66000</v>
          </cell>
        </row>
        <row r="110">
          <cell r="A110" t="str">
            <v>공병100ml</v>
          </cell>
          <cell r="B110">
            <v>693</v>
          </cell>
          <cell r="C110" t="str">
            <v>1,210(88개)</v>
          </cell>
          <cell r="E110">
            <v>1500</v>
          </cell>
          <cell r="F110">
            <v>50</v>
          </cell>
          <cell r="G110">
            <v>75000</v>
          </cell>
        </row>
        <row r="111">
          <cell r="A111" t="str">
            <v>공병1000ml</v>
          </cell>
          <cell r="B111">
            <v>1320</v>
          </cell>
        </row>
        <row r="112">
          <cell r="A112" t="str">
            <v>에센셜오일라벨42종</v>
          </cell>
          <cell r="B112">
            <v>1134</v>
          </cell>
          <cell r="E112">
            <v>1500</v>
          </cell>
        </row>
        <row r="113">
          <cell r="A113" t="str">
            <v>라벤다오일3ml</v>
          </cell>
          <cell r="B113">
            <v>1340</v>
          </cell>
          <cell r="E113">
            <v>2200</v>
          </cell>
        </row>
        <row r="114">
          <cell r="A114" t="str">
            <v>현판</v>
          </cell>
          <cell r="B114">
            <v>94700</v>
          </cell>
          <cell r="E114">
            <v>150000</v>
          </cell>
        </row>
        <row r="115">
          <cell r="A115" t="str">
            <v>y존패드파우치</v>
          </cell>
          <cell r="B115">
            <v>60</v>
          </cell>
          <cell r="E115">
            <v>110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7B52-15D6-440A-981C-8DC0DB9FF948}">
  <dimension ref="A1:S524"/>
  <sheetViews>
    <sheetView zoomScale="86" zoomScaleNormal="86" workbookViewId="0">
      <pane xSplit="2" ySplit="6" topLeftCell="D79" activePane="bottomRight" state="frozen"/>
      <selection pane="topRight" activeCell="C1" sqref="C1"/>
      <selection pane="bottomLeft" activeCell="A7" sqref="A7"/>
      <selection pane="bottomRight" activeCell="S349" sqref="S349"/>
    </sheetView>
  </sheetViews>
  <sheetFormatPr defaultRowHeight="16.5"/>
  <cols>
    <col min="1" max="1" width="17.125" customWidth="1"/>
    <col min="2" max="2" width="9" style="1" customWidth="1"/>
    <col min="3" max="3" width="9" style="2" customWidth="1"/>
    <col min="4" max="4" width="9.75" style="1" customWidth="1"/>
    <col min="5" max="5" width="12.375" style="1" customWidth="1"/>
    <col min="6" max="6" width="10.375" style="1" customWidth="1"/>
    <col min="7" max="7" width="10" style="1" customWidth="1"/>
    <col min="8" max="8" width="9.25" style="1" customWidth="1"/>
    <col min="9" max="9" width="9" style="1" customWidth="1"/>
    <col min="10" max="10" width="7.5" style="1" customWidth="1"/>
    <col min="11" max="12" width="14" style="3" customWidth="1"/>
    <col min="13" max="14" width="14" style="4" customWidth="1"/>
    <col min="15" max="15" width="14" style="276" customWidth="1"/>
    <col min="16" max="16" width="14" style="4" customWidth="1"/>
    <col min="17" max="17" width="15.25" style="5" customWidth="1"/>
    <col min="18" max="18" width="16.25" style="4" customWidth="1"/>
    <col min="19" max="19" width="16.125" style="4" customWidth="1"/>
    <col min="20" max="1003" width="8.375" customWidth="1"/>
  </cols>
  <sheetData>
    <row r="1" spans="1:19">
      <c r="F1" s="381" t="s">
        <v>620</v>
      </c>
      <c r="G1" s="546" t="s">
        <v>621</v>
      </c>
    </row>
    <row r="2" spans="1:19" ht="24">
      <c r="A2" s="6"/>
      <c r="F2" s="20" t="s">
        <v>13</v>
      </c>
      <c r="G2" s="7" t="s">
        <v>629</v>
      </c>
    </row>
    <row r="3" spans="1:19">
      <c r="A3" s="8"/>
      <c r="C3" s="1" t="s">
        <v>2</v>
      </c>
      <c r="D3" s="9" t="s">
        <v>3</v>
      </c>
      <c r="E3" s="10" t="s">
        <v>4</v>
      </c>
      <c r="F3" s="7" t="s">
        <v>0</v>
      </c>
      <c r="G3" s="7" t="s">
        <v>657</v>
      </c>
      <c r="H3" s="12" t="s">
        <v>464</v>
      </c>
      <c r="I3" s="7"/>
      <c r="J3" s="13" t="s">
        <v>6</v>
      </c>
    </row>
    <row r="4" spans="1:19" s="185" customFormat="1">
      <c r="B4" s="186"/>
      <c r="C4" s="187"/>
      <c r="D4" s="388" t="s">
        <v>7</v>
      </c>
      <c r="E4" s="15" t="s">
        <v>8</v>
      </c>
      <c r="F4" s="20" t="s">
        <v>420</v>
      </c>
      <c r="G4" s="378" t="s">
        <v>419</v>
      </c>
      <c r="H4" s="20" t="s">
        <v>597</v>
      </c>
      <c r="I4" s="7"/>
      <c r="J4" s="17"/>
      <c r="K4" s="188"/>
      <c r="L4" s="188"/>
      <c r="M4" s="189"/>
      <c r="N4" s="189"/>
      <c r="O4" s="277"/>
      <c r="P4" s="189"/>
      <c r="Q4" s="190"/>
      <c r="R4" s="189"/>
      <c r="S4" s="189"/>
    </row>
    <row r="5" spans="1:19" ht="24">
      <c r="C5" s="18"/>
      <c r="D5" s="389" t="s">
        <v>9</v>
      </c>
      <c r="E5" s="19" t="s">
        <v>454</v>
      </c>
      <c r="F5" s="20" t="s">
        <v>10</v>
      </c>
      <c r="G5" s="21" t="s">
        <v>11</v>
      </c>
      <c r="H5" s="575" t="s">
        <v>721</v>
      </c>
      <c r="I5" s="22"/>
      <c r="J5" s="23"/>
    </row>
    <row r="6" spans="1:19" ht="24">
      <c r="A6" s="24" t="s">
        <v>12</v>
      </c>
      <c r="C6" s="25"/>
      <c r="D6" s="19"/>
      <c r="E6" s="19" t="s">
        <v>706</v>
      </c>
      <c r="F6" s="184" t="s">
        <v>14</v>
      </c>
      <c r="G6" s="26" t="s">
        <v>15</v>
      </c>
      <c r="H6" s="194"/>
      <c r="I6" s="26"/>
      <c r="J6" s="27"/>
      <c r="K6" s="219" t="s">
        <v>2</v>
      </c>
      <c r="L6" s="664" t="s">
        <v>734</v>
      </c>
      <c r="M6" s="664"/>
      <c r="N6" s="348" t="s">
        <v>559</v>
      </c>
      <c r="O6" s="348" t="s">
        <v>557</v>
      </c>
      <c r="P6" s="348" t="s">
        <v>464</v>
      </c>
      <c r="Q6" s="348" t="s">
        <v>623</v>
      </c>
      <c r="R6" s="220" t="s">
        <v>18</v>
      </c>
      <c r="S6" s="220" t="s">
        <v>506</v>
      </c>
    </row>
    <row r="7" spans="1:19">
      <c r="A7" s="29" t="s">
        <v>20</v>
      </c>
      <c r="B7" s="381" t="s">
        <v>21</v>
      </c>
      <c r="C7" s="263">
        <v>80</v>
      </c>
      <c r="D7" s="235"/>
      <c r="E7" s="234">
        <v>24</v>
      </c>
      <c r="F7" s="230">
        <v>1</v>
      </c>
      <c r="G7" s="322"/>
      <c r="H7" s="236"/>
      <c r="I7" s="322"/>
      <c r="J7" s="35">
        <f>C7+D7+E7+F7+G7+I7+H7</f>
        <v>105</v>
      </c>
      <c r="K7" s="361">
        <v>2102700</v>
      </c>
      <c r="L7" s="173">
        <f>D7*19200</f>
        <v>0</v>
      </c>
      <c r="M7" s="299">
        <f>E7*19200</f>
        <v>460800</v>
      </c>
      <c r="N7" s="282"/>
      <c r="O7" s="282">
        <f>F7*21040</f>
        <v>21040</v>
      </c>
      <c r="P7" s="282"/>
      <c r="Q7" s="279"/>
      <c r="R7" s="4">
        <f>SUM(K7:Q7)</f>
        <v>2584540</v>
      </c>
      <c r="S7" s="4">
        <f>(C7+D7+E7+F7+I7+H7+G7)*8655</f>
        <v>908775</v>
      </c>
    </row>
    <row r="8" spans="1:19">
      <c r="A8" s="29" t="s">
        <v>22</v>
      </c>
      <c r="B8" s="377" t="s">
        <v>746</v>
      </c>
      <c r="C8" s="310">
        <v>7</v>
      </c>
      <c r="D8" s="235"/>
      <c r="E8" s="234"/>
      <c r="F8" s="322"/>
      <c r="G8" s="322"/>
      <c r="H8" s="236"/>
      <c r="I8" s="322"/>
      <c r="J8" s="35">
        <f t="shared" ref="J8:J23" si="0">C8+D8+E8+F8+G8+I8+H8</f>
        <v>7</v>
      </c>
      <c r="K8" s="361">
        <f t="shared" ref="K8:K11" si="1">C8*26300</f>
        <v>184100</v>
      </c>
      <c r="L8" s="173">
        <f t="shared" ref="L8:L11" si="2">D8*19200</f>
        <v>0</v>
      </c>
      <c r="M8" s="299">
        <f t="shared" ref="M8:M11" si="3">E8*19200</f>
        <v>0</v>
      </c>
      <c r="N8" s="282"/>
      <c r="O8" s="282">
        <f t="shared" ref="O8:O12" si="4">F8*20000</f>
        <v>0</v>
      </c>
      <c r="P8" s="282"/>
      <c r="Q8" s="279"/>
      <c r="R8" s="4">
        <f t="shared" ref="R8:R23" si="5">SUM(K8:Q8)</f>
        <v>184100</v>
      </c>
      <c r="S8" s="4">
        <f>(C8+D8+E8+F8+I8+H8+G8)*8926</f>
        <v>62482</v>
      </c>
    </row>
    <row r="9" spans="1:19">
      <c r="A9" s="29" t="s">
        <v>24</v>
      </c>
      <c r="B9" s="377" t="s">
        <v>25</v>
      </c>
      <c r="C9" s="310">
        <v>5</v>
      </c>
      <c r="D9" s="235"/>
      <c r="E9" s="234"/>
      <c r="F9" s="322"/>
      <c r="G9" s="322"/>
      <c r="H9" s="236"/>
      <c r="I9" s="322"/>
      <c r="J9" s="35">
        <f t="shared" si="0"/>
        <v>5</v>
      </c>
      <c r="K9" s="361">
        <f t="shared" si="1"/>
        <v>131500</v>
      </c>
      <c r="L9" s="173">
        <f t="shared" si="2"/>
        <v>0</v>
      </c>
      <c r="M9" s="299">
        <f t="shared" si="3"/>
        <v>0</v>
      </c>
      <c r="N9" s="282"/>
      <c r="O9" s="282">
        <f t="shared" si="4"/>
        <v>0</v>
      </c>
      <c r="P9" s="282"/>
      <c r="Q9" s="279"/>
      <c r="R9" s="4">
        <f t="shared" si="5"/>
        <v>131500</v>
      </c>
      <c r="S9" s="4">
        <f>(C9+D9+E9+F9+I9+H9+G9)*8926</f>
        <v>44630</v>
      </c>
    </row>
    <row r="10" spans="1:19">
      <c r="A10" s="29" t="s">
        <v>26</v>
      </c>
      <c r="B10" s="377" t="s">
        <v>27</v>
      </c>
      <c r="C10" s="310">
        <v>2</v>
      </c>
      <c r="D10" s="235"/>
      <c r="E10" s="234"/>
      <c r="F10" s="322"/>
      <c r="G10" s="322"/>
      <c r="H10" s="236"/>
      <c r="I10" s="322"/>
      <c r="J10" s="35">
        <f t="shared" si="0"/>
        <v>2</v>
      </c>
      <c r="K10" s="361">
        <f t="shared" si="1"/>
        <v>52600</v>
      </c>
      <c r="L10" s="173">
        <f t="shared" si="2"/>
        <v>0</v>
      </c>
      <c r="M10" s="299">
        <f t="shared" si="3"/>
        <v>0</v>
      </c>
      <c r="N10" s="282"/>
      <c r="O10" s="282">
        <f t="shared" si="4"/>
        <v>0</v>
      </c>
      <c r="P10" s="282"/>
      <c r="Q10" s="279"/>
      <c r="R10" s="4">
        <f t="shared" si="5"/>
        <v>52600</v>
      </c>
      <c r="S10" s="4">
        <f>(C10+D10+E10+F10+I10+H10+G10)*8926</f>
        <v>17852</v>
      </c>
    </row>
    <row r="11" spans="1:19">
      <c r="A11" s="29" t="s">
        <v>28</v>
      </c>
      <c r="B11" s="377"/>
      <c r="C11" s="310"/>
      <c r="D11" s="235"/>
      <c r="E11" s="234"/>
      <c r="F11" s="215"/>
      <c r="G11" s="230"/>
      <c r="H11" s="236"/>
      <c r="I11" s="322"/>
      <c r="J11" s="35">
        <f t="shared" si="0"/>
        <v>0</v>
      </c>
      <c r="K11" s="361">
        <f t="shared" si="1"/>
        <v>0</v>
      </c>
      <c r="L11" s="173">
        <f t="shared" si="2"/>
        <v>0</v>
      </c>
      <c r="M11" s="299">
        <f t="shared" si="3"/>
        <v>0</v>
      </c>
      <c r="N11" s="282"/>
      <c r="O11" s="282">
        <f t="shared" si="4"/>
        <v>0</v>
      </c>
      <c r="P11" s="282"/>
      <c r="Q11" s="279"/>
      <c r="R11" s="4">
        <f t="shared" si="5"/>
        <v>0</v>
      </c>
      <c r="S11" s="4">
        <f>(C11+D11+E11+G11+F11+I11+H11)*7042</f>
        <v>0</v>
      </c>
    </row>
    <row r="12" spans="1:19">
      <c r="A12" s="29" t="s">
        <v>29</v>
      </c>
      <c r="B12" s="381" t="s">
        <v>30</v>
      </c>
      <c r="C12" s="263">
        <v>12</v>
      </c>
      <c r="D12" s="323"/>
      <c r="E12" s="324"/>
      <c r="F12" s="289"/>
      <c r="G12" s="289"/>
      <c r="H12" s="325"/>
      <c r="I12" s="289"/>
      <c r="J12" s="35">
        <f t="shared" si="0"/>
        <v>12</v>
      </c>
      <c r="K12" s="361">
        <f>C12*26300</f>
        <v>315600</v>
      </c>
      <c r="L12" s="173"/>
      <c r="M12" s="299"/>
      <c r="N12" s="282"/>
      <c r="O12" s="282">
        <f t="shared" si="4"/>
        <v>0</v>
      </c>
      <c r="P12" s="282"/>
      <c r="Q12" s="279"/>
      <c r="R12" s="4">
        <f t="shared" si="5"/>
        <v>315600</v>
      </c>
      <c r="S12" s="4">
        <f>(C12+D12+E12+F12+I12+H12+G12)*8926</f>
        <v>107112</v>
      </c>
    </row>
    <row r="13" spans="1:19" ht="16.5" customHeight="1">
      <c r="A13" s="29" t="s">
        <v>476</v>
      </c>
      <c r="B13" s="674" t="s">
        <v>749</v>
      </c>
      <c r="C13" s="263"/>
      <c r="D13" s="323"/>
      <c r="E13" s="324"/>
      <c r="F13" s="289"/>
      <c r="G13" s="289"/>
      <c r="H13" s="325"/>
      <c r="I13" s="289"/>
      <c r="J13" s="35">
        <f t="shared" si="0"/>
        <v>0</v>
      </c>
      <c r="K13" s="290">
        <f>C13*35500</f>
        <v>0</v>
      </c>
      <c r="L13" s="173"/>
      <c r="M13" s="299"/>
      <c r="N13" s="282"/>
      <c r="O13" s="282">
        <f>F13*27300</f>
        <v>0</v>
      </c>
      <c r="P13" s="282"/>
      <c r="Q13" s="279"/>
      <c r="R13" s="4">
        <f t="shared" si="5"/>
        <v>0</v>
      </c>
      <c r="S13" s="4">
        <f>(C13+D13+E13+F13+I13+H13+G13)*14876</f>
        <v>0</v>
      </c>
    </row>
    <row r="14" spans="1:19">
      <c r="A14" s="29" t="s">
        <v>477</v>
      </c>
      <c r="B14" s="675"/>
      <c r="C14" s="263">
        <v>2</v>
      </c>
      <c r="D14" s="323"/>
      <c r="E14" s="324"/>
      <c r="F14" s="326"/>
      <c r="G14" s="289"/>
      <c r="H14" s="325"/>
      <c r="I14" s="289"/>
      <c r="J14" s="35">
        <f t="shared" si="0"/>
        <v>2</v>
      </c>
      <c r="K14" s="290">
        <f>C14*35500</f>
        <v>71000</v>
      </c>
      <c r="L14" s="173"/>
      <c r="M14" s="299">
        <f>E14*33600</f>
        <v>0</v>
      </c>
      <c r="N14" s="282"/>
      <c r="O14" s="282"/>
      <c r="P14" s="282">
        <f>H14*32000</f>
        <v>0</v>
      </c>
      <c r="Q14" s="279"/>
      <c r="R14" s="4">
        <f>SUM(K14:Q14)</f>
        <v>71000</v>
      </c>
      <c r="S14" s="4">
        <f>(C14+D14+E14+F14+I14+H14+G14)*14065</f>
        <v>28130</v>
      </c>
    </row>
    <row r="15" spans="1:19">
      <c r="A15" s="29" t="s">
        <v>478</v>
      </c>
      <c r="B15" s="675"/>
      <c r="C15" s="263">
        <v>1</v>
      </c>
      <c r="D15" s="323"/>
      <c r="E15" s="324"/>
      <c r="F15" s="326"/>
      <c r="G15" s="289"/>
      <c r="H15" s="325"/>
      <c r="I15" s="289"/>
      <c r="J15" s="35">
        <f t="shared" si="0"/>
        <v>1</v>
      </c>
      <c r="K15" s="290">
        <f>C15*35500</f>
        <v>35500</v>
      </c>
      <c r="L15" s="173"/>
      <c r="M15" s="299">
        <f>E15*33600</f>
        <v>0</v>
      </c>
      <c r="N15" s="282"/>
      <c r="O15" s="282"/>
      <c r="P15" s="282">
        <f t="shared" ref="P15:P16" si="6">H15*32000</f>
        <v>0</v>
      </c>
      <c r="Q15" s="279"/>
      <c r="R15" s="4">
        <f t="shared" si="5"/>
        <v>35500</v>
      </c>
      <c r="S15" s="4">
        <f>(C15+D15+E15+F15+I15+H15+G15)*14876</f>
        <v>14876</v>
      </c>
    </row>
    <row r="16" spans="1:19">
      <c r="A16" s="29" t="s">
        <v>530</v>
      </c>
      <c r="B16" s="675"/>
      <c r="C16" s="263">
        <v>3</v>
      </c>
      <c r="D16" s="323"/>
      <c r="E16" s="324"/>
      <c r="F16" s="326"/>
      <c r="G16" s="289"/>
      <c r="H16" s="325"/>
      <c r="I16" s="289"/>
      <c r="J16" s="35">
        <f t="shared" si="0"/>
        <v>3</v>
      </c>
      <c r="K16" s="290">
        <f>C16*40000</f>
        <v>120000</v>
      </c>
      <c r="L16" s="173"/>
      <c r="M16" s="299">
        <f>E16*35500</f>
        <v>0</v>
      </c>
      <c r="N16" s="282"/>
      <c r="O16" s="282"/>
      <c r="P16" s="282">
        <f t="shared" si="6"/>
        <v>0</v>
      </c>
      <c r="Q16" s="279"/>
      <c r="R16" s="4">
        <f>SUM(K16:Q16)</f>
        <v>120000</v>
      </c>
      <c r="S16" s="4">
        <f>(C16+D16+E16+F16+I16+H16+G16)*15958</f>
        <v>47874</v>
      </c>
    </row>
    <row r="17" spans="1:19">
      <c r="A17" s="29" t="s">
        <v>707</v>
      </c>
      <c r="B17" s="675"/>
      <c r="C17" s="263">
        <v>30</v>
      </c>
      <c r="D17" s="323"/>
      <c r="E17" s="324">
        <v>36</v>
      </c>
      <c r="F17" s="326"/>
      <c r="G17" s="574"/>
      <c r="H17" s="325"/>
      <c r="I17" s="564"/>
      <c r="J17" s="35">
        <f t="shared" si="0"/>
        <v>66</v>
      </c>
      <c r="K17" s="290">
        <f>C17*30000</f>
        <v>900000</v>
      </c>
      <c r="L17" s="173"/>
      <c r="M17" s="299">
        <f>E17*20000</f>
        <v>720000</v>
      </c>
      <c r="N17" s="282">
        <f>F17*20000</f>
        <v>0</v>
      </c>
      <c r="O17" s="282"/>
      <c r="P17" s="282"/>
      <c r="Q17" s="279"/>
      <c r="R17" s="4">
        <f t="shared" si="5"/>
        <v>1620000</v>
      </c>
      <c r="S17" s="4">
        <f>(C17+D17+E17+F17+I17+H17+G17)*13262</f>
        <v>875292</v>
      </c>
    </row>
    <row r="18" spans="1:19">
      <c r="A18" s="29" t="s">
        <v>479</v>
      </c>
      <c r="B18" s="675"/>
      <c r="C18" s="263">
        <v>4</v>
      </c>
      <c r="D18" s="323"/>
      <c r="E18" s="324">
        <v>2</v>
      </c>
      <c r="F18" s="289"/>
      <c r="G18" s="289"/>
      <c r="H18" s="325"/>
      <c r="I18" s="289"/>
      <c r="J18" s="35">
        <f t="shared" si="0"/>
        <v>6</v>
      </c>
      <c r="K18" s="290">
        <f>C18*190000</f>
        <v>760000</v>
      </c>
      <c r="L18" s="173"/>
      <c r="M18" s="299">
        <f>E18*154000</f>
        <v>308000</v>
      </c>
      <c r="N18" s="282"/>
      <c r="O18" s="282"/>
      <c r="P18" s="282"/>
      <c r="Q18" s="279"/>
      <c r="R18" s="4">
        <f t="shared" si="5"/>
        <v>1068000</v>
      </c>
      <c r="S18" s="4">
        <f>(C18+D18+E18+F18+I18+H18+G18)*89709</f>
        <v>538254</v>
      </c>
    </row>
    <row r="19" spans="1:19">
      <c r="A19" s="29" t="s">
        <v>480</v>
      </c>
      <c r="B19" s="675"/>
      <c r="C19" s="263">
        <v>1</v>
      </c>
      <c r="D19" s="323"/>
      <c r="E19" s="324">
        <v>1</v>
      </c>
      <c r="F19" s="289"/>
      <c r="G19" s="289"/>
      <c r="H19" s="325"/>
      <c r="I19" s="289"/>
      <c r="J19" s="35">
        <f t="shared" si="0"/>
        <v>2</v>
      </c>
      <c r="K19" s="290">
        <f t="shared" ref="K19" si="7">C19*190000</f>
        <v>190000</v>
      </c>
      <c r="L19" s="173"/>
      <c r="M19" s="299">
        <f t="shared" ref="M19:M20" si="8">E19*154000</f>
        <v>154000</v>
      </c>
      <c r="N19" s="282"/>
      <c r="O19" s="282"/>
      <c r="P19" s="282"/>
      <c r="Q19" s="279"/>
      <c r="R19" s="4">
        <f t="shared" si="5"/>
        <v>344000</v>
      </c>
      <c r="S19" s="4">
        <f>(C19+D19+E19+F19+I19+H19+G19)*85201</f>
        <v>170402</v>
      </c>
    </row>
    <row r="20" spans="1:19">
      <c r="A20" s="29" t="s">
        <v>481</v>
      </c>
      <c r="B20" s="675"/>
      <c r="C20" s="263">
        <v>4</v>
      </c>
      <c r="D20" s="323"/>
      <c r="E20" s="324"/>
      <c r="F20" s="289"/>
      <c r="G20" s="289"/>
      <c r="H20" s="325"/>
      <c r="I20" s="289"/>
      <c r="J20" s="35">
        <f t="shared" si="0"/>
        <v>4</v>
      </c>
      <c r="K20" s="290">
        <v>750000</v>
      </c>
      <c r="L20" s="173"/>
      <c r="M20" s="299">
        <f t="shared" si="8"/>
        <v>0</v>
      </c>
      <c r="N20" s="282"/>
      <c r="O20" s="282"/>
      <c r="P20" s="282"/>
      <c r="Q20" s="279"/>
      <c r="R20" s="4">
        <f t="shared" si="5"/>
        <v>750000</v>
      </c>
      <c r="S20" s="4">
        <f>(C20+D20+E20+F20+I20+H20+G20)*89709</f>
        <v>358836</v>
      </c>
    </row>
    <row r="21" spans="1:19">
      <c r="A21" s="29" t="s">
        <v>531</v>
      </c>
      <c r="B21" s="676"/>
      <c r="C21" s="263">
        <v>4</v>
      </c>
      <c r="D21" s="323"/>
      <c r="E21" s="324">
        <v>2</v>
      </c>
      <c r="F21" s="289"/>
      <c r="G21" s="289"/>
      <c r="H21" s="325"/>
      <c r="I21" s="289"/>
      <c r="J21" s="35">
        <f t="shared" si="0"/>
        <v>6</v>
      </c>
      <c r="K21" s="290">
        <f>C21*206000</f>
        <v>824000</v>
      </c>
      <c r="L21" s="173"/>
      <c r="M21" s="299">
        <f>E21*171000</f>
        <v>342000</v>
      </c>
      <c r="N21" s="282"/>
      <c r="O21" s="282"/>
      <c r="P21" s="282"/>
      <c r="Q21" s="279"/>
      <c r="R21" s="4">
        <f t="shared" si="5"/>
        <v>1166000</v>
      </c>
      <c r="S21" s="4">
        <f>(C21+D21+E21+F21+I21+H21+G21)*96471</f>
        <v>578826</v>
      </c>
    </row>
    <row r="22" spans="1:19">
      <c r="A22" s="29" t="s">
        <v>376</v>
      </c>
      <c r="B22" s="222"/>
      <c r="C22" s="31"/>
      <c r="D22" s="37"/>
      <c r="E22" s="38"/>
      <c r="F22" s="40"/>
      <c r="G22" s="39"/>
      <c r="H22" s="196"/>
      <c r="I22" s="39"/>
      <c r="J22" s="35">
        <f t="shared" si="0"/>
        <v>0</v>
      </c>
      <c r="K22" s="290">
        <f>C22*25000</f>
        <v>0</v>
      </c>
      <c r="L22" s="173"/>
      <c r="M22" s="299"/>
      <c r="N22" s="282"/>
      <c r="O22" s="282"/>
      <c r="P22" s="282"/>
      <c r="Q22" s="279"/>
      <c r="R22" s="4">
        <f t="shared" si="5"/>
        <v>0</v>
      </c>
      <c r="S22" s="4">
        <f>(C22+D22+E22+F22+I22+H22+G22)*6110</f>
        <v>0</v>
      </c>
    </row>
    <row r="23" spans="1:19">
      <c r="A23" s="223" t="s">
        <v>361</v>
      </c>
      <c r="B23" s="222"/>
      <c r="C23" s="31"/>
      <c r="D23" s="37"/>
      <c r="E23" s="38"/>
      <c r="F23" s="40"/>
      <c r="G23" s="39"/>
      <c r="H23" s="196"/>
      <c r="I23" s="39"/>
      <c r="J23" s="35">
        <f t="shared" si="0"/>
        <v>0</v>
      </c>
      <c r="K23" s="291">
        <f>C23*25000</f>
        <v>0</v>
      </c>
      <c r="L23" s="173"/>
      <c r="M23" s="299"/>
      <c r="N23" s="282"/>
      <c r="O23" s="282"/>
      <c r="P23" s="282"/>
      <c r="Q23" s="279"/>
      <c r="R23" s="4">
        <f t="shared" si="5"/>
        <v>0</v>
      </c>
      <c r="S23" s="4">
        <f>(C23+D23+E23+F23+I23+H23+G23)*7100</f>
        <v>0</v>
      </c>
    </row>
    <row r="24" spans="1:19" s="24" customFormat="1">
      <c r="A24" s="439" t="s">
        <v>31</v>
      </c>
      <c r="B24" s="440"/>
      <c r="C24" s="441">
        <f t="shared" ref="C24:S24" si="9">SUM(C7:C23)</f>
        <v>155</v>
      </c>
      <c r="D24" s="441">
        <f t="shared" si="9"/>
        <v>0</v>
      </c>
      <c r="E24" s="441">
        <f t="shared" si="9"/>
        <v>65</v>
      </c>
      <c r="F24" s="441">
        <f t="shared" si="9"/>
        <v>1</v>
      </c>
      <c r="G24" s="441">
        <f t="shared" si="9"/>
        <v>0</v>
      </c>
      <c r="H24" s="441">
        <f t="shared" si="9"/>
        <v>0</v>
      </c>
      <c r="I24" s="441">
        <f t="shared" si="9"/>
        <v>0</v>
      </c>
      <c r="J24" s="442">
        <f t="shared" si="9"/>
        <v>221</v>
      </c>
      <c r="K24" s="443">
        <f t="shared" si="9"/>
        <v>6437000</v>
      </c>
      <c r="L24" s="444">
        <f t="shared" si="9"/>
        <v>0</v>
      </c>
      <c r="M24" s="445">
        <f t="shared" si="9"/>
        <v>1984800</v>
      </c>
      <c r="N24" s="446">
        <f t="shared" si="9"/>
        <v>0</v>
      </c>
      <c r="O24" s="446">
        <f t="shared" si="9"/>
        <v>21040</v>
      </c>
      <c r="P24" s="446">
        <f t="shared" si="9"/>
        <v>0</v>
      </c>
      <c r="Q24" s="446">
        <f t="shared" si="9"/>
        <v>0</v>
      </c>
      <c r="R24" s="447">
        <f t="shared" si="9"/>
        <v>8442840</v>
      </c>
      <c r="S24" s="448">
        <f t="shared" si="9"/>
        <v>3753341</v>
      </c>
    </row>
    <row r="25" spans="1:19" s="24" customFormat="1">
      <c r="A25" s="85" t="s">
        <v>625</v>
      </c>
      <c r="B25" s="678" t="s">
        <v>32</v>
      </c>
      <c r="C25" s="310">
        <v>2</v>
      </c>
      <c r="D25" s="326"/>
      <c r="E25" s="310"/>
      <c r="F25" s="327">
        <v>1</v>
      </c>
      <c r="G25" s="326"/>
      <c r="H25" s="325"/>
      <c r="I25" s="564"/>
      <c r="J25" s="35">
        <f>SUM(C25:I25)</f>
        <v>3</v>
      </c>
      <c r="K25" s="361">
        <f>C25*6200</f>
        <v>12400</v>
      </c>
      <c r="L25" s="305"/>
      <c r="M25" s="300"/>
      <c r="N25" s="282">
        <f>F25*5580</f>
        <v>5580</v>
      </c>
      <c r="O25" s="282">
        <f>G25*4340</f>
        <v>0</v>
      </c>
      <c r="P25" s="210"/>
      <c r="Q25" s="5"/>
      <c r="R25" s="4">
        <f>SUM(K25:Q25)</f>
        <v>17980</v>
      </c>
      <c r="S25" s="42">
        <f>(C25+D25+E25+F25+I25+G25+H25)*4151</f>
        <v>12453</v>
      </c>
    </row>
    <row r="26" spans="1:19" s="24" customFormat="1">
      <c r="A26" s="85" t="s">
        <v>626</v>
      </c>
      <c r="B26" s="679"/>
      <c r="C26" s="310">
        <v>3</v>
      </c>
      <c r="D26" s="326"/>
      <c r="E26" s="310"/>
      <c r="F26" s="327">
        <v>2</v>
      </c>
      <c r="G26" s="326"/>
      <c r="H26" s="325"/>
      <c r="I26" s="564"/>
      <c r="J26" s="35">
        <f t="shared" ref="J26:J27" si="10">SUM(C26:I26)</f>
        <v>5</v>
      </c>
      <c r="K26" s="361">
        <f t="shared" ref="K26:K28" si="11">C26*6200</f>
        <v>18600</v>
      </c>
      <c r="L26" s="305"/>
      <c r="M26" s="300"/>
      <c r="N26" s="282">
        <f t="shared" ref="N26:N28" si="12">F26*5580</f>
        <v>11160</v>
      </c>
      <c r="O26" s="282">
        <f t="shared" ref="O26:O28" si="13">G26*4340</f>
        <v>0</v>
      </c>
      <c r="P26" s="210"/>
      <c r="Q26" s="5"/>
      <c r="R26" s="4">
        <f t="shared" ref="R26:R28" si="14">SUM(K26:Q26)</f>
        <v>29760</v>
      </c>
      <c r="S26" s="42">
        <f>(C26+D26+E26+F26+I26+G26+H26)*4050</f>
        <v>20250</v>
      </c>
    </row>
    <row r="27" spans="1:19" s="24" customFormat="1">
      <c r="A27" s="85" t="s">
        <v>627</v>
      </c>
      <c r="B27" s="679"/>
      <c r="C27" s="310">
        <v>2</v>
      </c>
      <c r="D27" s="326"/>
      <c r="E27" s="310"/>
      <c r="F27" s="327"/>
      <c r="G27" s="326"/>
      <c r="H27" s="325"/>
      <c r="I27" s="564"/>
      <c r="J27" s="35">
        <f t="shared" si="10"/>
        <v>2</v>
      </c>
      <c r="K27" s="361">
        <f t="shared" si="11"/>
        <v>12400</v>
      </c>
      <c r="L27" s="305"/>
      <c r="M27" s="300"/>
      <c r="N27" s="282">
        <f t="shared" si="12"/>
        <v>0</v>
      </c>
      <c r="O27" s="282">
        <f t="shared" si="13"/>
        <v>0</v>
      </c>
      <c r="P27" s="210"/>
      <c r="Q27" s="5"/>
      <c r="R27" s="4">
        <f t="shared" si="14"/>
        <v>12400</v>
      </c>
      <c r="S27" s="42">
        <f>(C27+D27+E27+F27+I27+G27+H27)*4151</f>
        <v>8302</v>
      </c>
    </row>
    <row r="28" spans="1:19" s="24" customFormat="1">
      <c r="A28" s="85" t="s">
        <v>628</v>
      </c>
      <c r="B28" s="680"/>
      <c r="C28" s="310">
        <v>4</v>
      </c>
      <c r="D28" s="326"/>
      <c r="E28" s="310"/>
      <c r="F28" s="327">
        <v>2</v>
      </c>
      <c r="G28" s="326">
        <v>2</v>
      </c>
      <c r="H28" s="325"/>
      <c r="I28" s="564"/>
      <c r="J28" s="35">
        <f t="shared" ref="J28:J43" si="15">SUM(C28:I28)</f>
        <v>8</v>
      </c>
      <c r="K28" s="361">
        <f t="shared" si="11"/>
        <v>24800</v>
      </c>
      <c r="L28" s="305"/>
      <c r="M28" s="300"/>
      <c r="N28" s="282">
        <f t="shared" si="12"/>
        <v>11160</v>
      </c>
      <c r="O28" s="282">
        <f t="shared" si="13"/>
        <v>8680</v>
      </c>
      <c r="P28" s="210"/>
      <c r="Q28" s="5"/>
      <c r="R28" s="4">
        <f t="shared" si="14"/>
        <v>44640</v>
      </c>
      <c r="S28" s="42">
        <f>(C28+D28+E28+F28+I28+G28+H28)*4301</f>
        <v>34408</v>
      </c>
    </row>
    <row r="29" spans="1:19">
      <c r="A29" s="29" t="s">
        <v>33</v>
      </c>
      <c r="B29" s="381" t="s">
        <v>34</v>
      </c>
      <c r="C29" s="258">
        <v>32</v>
      </c>
      <c r="D29" s="235">
        <v>15</v>
      </c>
      <c r="E29" s="234">
        <v>74</v>
      </c>
      <c r="F29" s="215">
        <v>723</v>
      </c>
      <c r="G29" s="215"/>
      <c r="H29" s="215"/>
      <c r="I29" s="238"/>
      <c r="J29" s="35">
        <f t="shared" si="15"/>
        <v>844</v>
      </c>
      <c r="K29" s="361">
        <f>C29*40000</f>
        <v>1280000</v>
      </c>
      <c r="L29" s="173">
        <f>D29*31000</f>
        <v>465000</v>
      </c>
      <c r="M29" s="299">
        <v>2259600</v>
      </c>
      <c r="N29" s="276">
        <v>24539500</v>
      </c>
      <c r="O29" s="282"/>
      <c r="P29" s="285">
        <f>H29*34000</f>
        <v>0</v>
      </c>
      <c r="Q29" s="285"/>
      <c r="R29" s="4">
        <f t="shared" ref="R29:R41" si="16">SUM(K29:Q29)</f>
        <v>28544100</v>
      </c>
      <c r="S29" s="42">
        <f>(C29+D29+E29+F29+I29+G29+H29)*17852</f>
        <v>15067088</v>
      </c>
    </row>
    <row r="30" spans="1:19">
      <c r="A30" s="29" t="s">
        <v>35</v>
      </c>
      <c r="B30" s="382" t="s">
        <v>36</v>
      </c>
      <c r="C30" s="262">
        <v>25</v>
      </c>
      <c r="D30" s="235"/>
      <c r="E30" s="234">
        <v>111</v>
      </c>
      <c r="F30" s="230">
        <v>710</v>
      </c>
      <c r="G30" s="230"/>
      <c r="H30" s="230"/>
      <c r="I30" s="322"/>
      <c r="J30" s="35">
        <f t="shared" si="15"/>
        <v>846</v>
      </c>
      <c r="K30" s="361">
        <v>943200</v>
      </c>
      <c r="L30" s="173">
        <f>D30*27800</f>
        <v>0</v>
      </c>
      <c r="M30" s="299">
        <v>3065000</v>
      </c>
      <c r="N30" s="276">
        <v>22738860</v>
      </c>
      <c r="O30" s="282"/>
      <c r="P30" s="285">
        <f>H30*32130</f>
        <v>0</v>
      </c>
      <c r="Q30" s="285"/>
      <c r="R30" s="4">
        <f t="shared" si="16"/>
        <v>26747060</v>
      </c>
      <c r="S30" s="42">
        <f>(C30+D30+E30+F30+I30+G30+H30)*15958</f>
        <v>13500468</v>
      </c>
    </row>
    <row r="31" spans="1:19">
      <c r="A31" s="29" t="s">
        <v>37</v>
      </c>
      <c r="B31" s="381" t="s">
        <v>38</v>
      </c>
      <c r="C31" s="263">
        <v>22</v>
      </c>
      <c r="D31" s="235">
        <v>1</v>
      </c>
      <c r="E31" s="234">
        <v>81</v>
      </c>
      <c r="F31" s="230">
        <v>553</v>
      </c>
      <c r="G31" s="230"/>
      <c r="H31" s="230"/>
      <c r="I31" s="330"/>
      <c r="J31" s="35">
        <f t="shared" si="15"/>
        <v>657</v>
      </c>
      <c r="K31" s="361">
        <v>829800</v>
      </c>
      <c r="L31" s="173">
        <f>D31*28000</f>
        <v>28000</v>
      </c>
      <c r="M31" s="299">
        <f t="shared" ref="M31:M41" si="17">E31*27800</f>
        <v>2251800</v>
      </c>
      <c r="N31" s="276">
        <v>17706690</v>
      </c>
      <c r="O31" s="282"/>
      <c r="P31" s="285">
        <f t="shared" ref="P31:P41" si="18">H31*32130</f>
        <v>0</v>
      </c>
      <c r="Q31" s="285"/>
      <c r="R31" s="4">
        <f t="shared" si="16"/>
        <v>20816290</v>
      </c>
      <c r="S31" s="42">
        <f>(C31+D31+E31+F31+I31+G31+H31)*15958</f>
        <v>10484406</v>
      </c>
    </row>
    <row r="32" spans="1:19">
      <c r="A32" s="29" t="s">
        <v>39</v>
      </c>
      <c r="B32" s="377" t="s">
        <v>40</v>
      </c>
      <c r="C32" s="263">
        <v>8</v>
      </c>
      <c r="D32" s="235"/>
      <c r="E32" s="234">
        <v>50</v>
      </c>
      <c r="F32" s="215">
        <v>143</v>
      </c>
      <c r="G32" s="215"/>
      <c r="H32" s="215"/>
      <c r="I32" s="329"/>
      <c r="J32" s="35">
        <f t="shared" si="15"/>
        <v>201</v>
      </c>
      <c r="K32" s="361">
        <f t="shared" ref="K32:K41" si="19">C32*37800</f>
        <v>302400</v>
      </c>
      <c r="L32" s="173">
        <f t="shared" ref="L32:L41" si="20">D32*27800</f>
        <v>0</v>
      </c>
      <c r="M32" s="299">
        <v>1390000</v>
      </c>
      <c r="N32" s="276">
        <v>4560930</v>
      </c>
      <c r="O32" s="282"/>
      <c r="P32" s="285">
        <f t="shared" si="18"/>
        <v>0</v>
      </c>
      <c r="Q32" s="285"/>
      <c r="R32" s="4">
        <f t="shared" si="16"/>
        <v>6253330</v>
      </c>
      <c r="S32" s="42">
        <f>(C32+D32+E32+F32+I32+G32+H32)*15958</f>
        <v>3207558</v>
      </c>
    </row>
    <row r="33" spans="1:19">
      <c r="A33" s="43" t="s">
        <v>41</v>
      </c>
      <c r="B33" s="381" t="s">
        <v>701</v>
      </c>
      <c r="C33" s="263">
        <v>11</v>
      </c>
      <c r="D33" s="235">
        <v>4</v>
      </c>
      <c r="E33" s="234">
        <v>46</v>
      </c>
      <c r="F33" s="230">
        <v>252</v>
      </c>
      <c r="G33" s="230">
        <v>4</v>
      </c>
      <c r="H33" s="230"/>
      <c r="I33" s="322"/>
      <c r="J33" s="35">
        <f t="shared" si="15"/>
        <v>317</v>
      </c>
      <c r="K33" s="361">
        <f t="shared" si="19"/>
        <v>415800</v>
      </c>
      <c r="L33" s="173">
        <f>D33*28000</f>
        <v>112000</v>
      </c>
      <c r="M33" s="299">
        <f t="shared" si="17"/>
        <v>1278800</v>
      </c>
      <c r="N33" s="276">
        <v>8092170</v>
      </c>
      <c r="O33" s="282">
        <f>G33*30240</f>
        <v>120960</v>
      </c>
      <c r="P33" s="285">
        <f t="shared" si="18"/>
        <v>0</v>
      </c>
      <c r="Q33" s="285"/>
      <c r="R33" s="4">
        <f t="shared" si="16"/>
        <v>10019730</v>
      </c>
      <c r="S33" s="42">
        <f t="shared" ref="S33:S38" si="21">(C33+D33+E33+F33+I33+G33+H33)*16680</f>
        <v>5287560</v>
      </c>
    </row>
    <row r="34" spans="1:19">
      <c r="A34" s="29" t="s">
        <v>42</v>
      </c>
      <c r="B34" s="381" t="s">
        <v>43</v>
      </c>
      <c r="C34" s="263">
        <v>20</v>
      </c>
      <c r="D34" s="235"/>
      <c r="E34" s="234">
        <v>78</v>
      </c>
      <c r="F34" s="230">
        <v>324</v>
      </c>
      <c r="G34" s="230"/>
      <c r="H34" s="230"/>
      <c r="I34" s="322"/>
      <c r="J34" s="35">
        <f t="shared" si="15"/>
        <v>422</v>
      </c>
      <c r="K34" s="361">
        <v>754200</v>
      </c>
      <c r="L34" s="173">
        <f t="shared" si="20"/>
        <v>0</v>
      </c>
      <c r="M34" s="299">
        <f t="shared" si="17"/>
        <v>2168400</v>
      </c>
      <c r="N34" s="276">
        <v>10407060</v>
      </c>
      <c r="O34" s="282"/>
      <c r="P34" s="285">
        <f t="shared" si="18"/>
        <v>0</v>
      </c>
      <c r="Q34" s="285"/>
      <c r="R34" s="4">
        <f t="shared" si="16"/>
        <v>13329660</v>
      </c>
      <c r="S34" s="42">
        <f t="shared" si="21"/>
        <v>7038960</v>
      </c>
    </row>
    <row r="35" spans="1:19">
      <c r="A35" s="29" t="s">
        <v>44</v>
      </c>
      <c r="B35" s="377" t="s">
        <v>45</v>
      </c>
      <c r="C35" s="263">
        <v>2</v>
      </c>
      <c r="D35" s="235"/>
      <c r="E35" s="234">
        <v>3</v>
      </c>
      <c r="F35" s="230">
        <v>76</v>
      </c>
      <c r="G35" s="230"/>
      <c r="H35" s="230"/>
      <c r="I35" s="322"/>
      <c r="J35" s="35">
        <f t="shared" si="15"/>
        <v>81</v>
      </c>
      <c r="K35" s="361">
        <f t="shared" si="19"/>
        <v>75600</v>
      </c>
      <c r="L35" s="173">
        <f t="shared" si="20"/>
        <v>0</v>
      </c>
      <c r="M35" s="299">
        <f t="shared" si="17"/>
        <v>83400</v>
      </c>
      <c r="N35" s="276">
        <f t="shared" ref="N35:N41" si="22">F35*32130</f>
        <v>2441880</v>
      </c>
      <c r="O35" s="282"/>
      <c r="P35" s="285">
        <f t="shared" si="18"/>
        <v>0</v>
      </c>
      <c r="Q35" s="285"/>
      <c r="R35" s="4">
        <f t="shared" si="16"/>
        <v>2600880</v>
      </c>
      <c r="S35" s="42">
        <f t="shared" si="21"/>
        <v>1351080</v>
      </c>
    </row>
    <row r="36" spans="1:19">
      <c r="A36" s="29" t="s">
        <v>46</v>
      </c>
      <c r="B36" s="377" t="s">
        <v>47</v>
      </c>
      <c r="C36" s="263">
        <v>3</v>
      </c>
      <c r="D36" s="235"/>
      <c r="E36" s="234">
        <v>15</v>
      </c>
      <c r="F36" s="230">
        <v>48</v>
      </c>
      <c r="G36" s="230"/>
      <c r="H36" s="230"/>
      <c r="I36" s="322"/>
      <c r="J36" s="35">
        <f t="shared" si="15"/>
        <v>66</v>
      </c>
      <c r="K36" s="361">
        <f t="shared" si="19"/>
        <v>113400</v>
      </c>
      <c r="L36" s="173">
        <f t="shared" si="20"/>
        <v>0</v>
      </c>
      <c r="M36" s="299">
        <f t="shared" si="17"/>
        <v>417000</v>
      </c>
      <c r="N36" s="276">
        <f t="shared" si="22"/>
        <v>1542240</v>
      </c>
      <c r="O36" s="282"/>
      <c r="P36" s="285">
        <f t="shared" si="18"/>
        <v>0</v>
      </c>
      <c r="Q36" s="285"/>
      <c r="R36" s="4">
        <f t="shared" si="16"/>
        <v>2072640</v>
      </c>
      <c r="S36" s="42">
        <f t="shared" si="21"/>
        <v>1100880</v>
      </c>
    </row>
    <row r="37" spans="1:19">
      <c r="A37" s="29" t="s">
        <v>48</v>
      </c>
      <c r="B37" s="377" t="s">
        <v>727</v>
      </c>
      <c r="C37" s="310">
        <v>10</v>
      </c>
      <c r="D37" s="235"/>
      <c r="E37" s="234">
        <v>39</v>
      </c>
      <c r="F37" s="215">
        <v>122</v>
      </c>
      <c r="G37" s="215"/>
      <c r="H37" s="215"/>
      <c r="I37" s="329"/>
      <c r="J37" s="35">
        <f t="shared" si="15"/>
        <v>171</v>
      </c>
      <c r="K37" s="361">
        <f t="shared" si="19"/>
        <v>378000</v>
      </c>
      <c r="L37" s="173">
        <f t="shared" si="20"/>
        <v>0</v>
      </c>
      <c r="M37" s="299">
        <f t="shared" si="17"/>
        <v>1084200</v>
      </c>
      <c r="N37" s="276">
        <v>3901500</v>
      </c>
      <c r="O37" s="282"/>
      <c r="P37" s="285">
        <f t="shared" si="18"/>
        <v>0</v>
      </c>
      <c r="Q37" s="285"/>
      <c r="R37" s="4">
        <f t="shared" si="16"/>
        <v>5363700</v>
      </c>
      <c r="S37" s="42">
        <f t="shared" si="21"/>
        <v>2852280</v>
      </c>
    </row>
    <row r="38" spans="1:19">
      <c r="A38" s="29" t="s">
        <v>49</v>
      </c>
      <c r="B38" s="381" t="s">
        <v>50</v>
      </c>
      <c r="C38" s="310"/>
      <c r="D38" s="235"/>
      <c r="E38" s="234">
        <v>4</v>
      </c>
      <c r="F38" s="230">
        <v>14</v>
      </c>
      <c r="G38" s="230"/>
      <c r="H38" s="230"/>
      <c r="I38" s="322"/>
      <c r="J38" s="35">
        <f t="shared" si="15"/>
        <v>18</v>
      </c>
      <c r="K38" s="361">
        <f t="shared" si="19"/>
        <v>0</v>
      </c>
      <c r="L38" s="173">
        <f t="shared" si="20"/>
        <v>0</v>
      </c>
      <c r="M38" s="299">
        <f t="shared" si="17"/>
        <v>111200</v>
      </c>
      <c r="N38" s="276">
        <f t="shared" si="22"/>
        <v>449820</v>
      </c>
      <c r="O38" s="282"/>
      <c r="P38" s="285">
        <f t="shared" si="18"/>
        <v>0</v>
      </c>
      <c r="Q38" s="285"/>
      <c r="R38" s="4">
        <f t="shared" si="16"/>
        <v>561020</v>
      </c>
      <c r="S38" s="42">
        <f t="shared" si="21"/>
        <v>300240</v>
      </c>
    </row>
    <row r="39" spans="1:19">
      <c r="A39" s="29" t="s">
        <v>51</v>
      </c>
      <c r="B39" s="377" t="s">
        <v>52</v>
      </c>
      <c r="C39" s="310"/>
      <c r="D39" s="235"/>
      <c r="E39" s="234"/>
      <c r="F39" s="215"/>
      <c r="G39" s="215"/>
      <c r="H39" s="215"/>
      <c r="I39" s="329"/>
      <c r="J39" s="35">
        <f t="shared" si="15"/>
        <v>0</v>
      </c>
      <c r="K39" s="361">
        <f t="shared" si="19"/>
        <v>0</v>
      </c>
      <c r="L39" s="173">
        <f t="shared" si="20"/>
        <v>0</v>
      </c>
      <c r="M39" s="299">
        <f t="shared" si="17"/>
        <v>0</v>
      </c>
      <c r="N39" s="276">
        <f t="shared" si="22"/>
        <v>0</v>
      </c>
      <c r="O39" s="282"/>
      <c r="P39" s="285">
        <f t="shared" si="18"/>
        <v>0</v>
      </c>
      <c r="Q39" s="285"/>
      <c r="R39" s="4">
        <f t="shared" si="16"/>
        <v>0</v>
      </c>
      <c r="S39" s="42">
        <f>(C39+D39+E39+F39+I39+G39+H39)*15688</f>
        <v>0</v>
      </c>
    </row>
    <row r="40" spans="1:19">
      <c r="A40" s="29" t="s">
        <v>53</v>
      </c>
      <c r="B40" s="377" t="s">
        <v>54</v>
      </c>
      <c r="C40" s="263">
        <v>2</v>
      </c>
      <c r="D40" s="235"/>
      <c r="E40" s="234"/>
      <c r="F40" s="230">
        <v>86</v>
      </c>
      <c r="G40" s="230"/>
      <c r="H40" s="230"/>
      <c r="I40" s="322"/>
      <c r="J40" s="35">
        <f t="shared" si="15"/>
        <v>88</v>
      </c>
      <c r="K40" s="361">
        <f t="shared" si="19"/>
        <v>75600</v>
      </c>
      <c r="L40" s="173">
        <f t="shared" si="20"/>
        <v>0</v>
      </c>
      <c r="M40" s="299">
        <f t="shared" si="17"/>
        <v>0</v>
      </c>
      <c r="N40" s="276">
        <v>2761650</v>
      </c>
      <c r="O40" s="282"/>
      <c r="P40" s="285">
        <f t="shared" si="18"/>
        <v>0</v>
      </c>
      <c r="Q40" s="285"/>
      <c r="R40" s="4">
        <f t="shared" si="16"/>
        <v>2837250</v>
      </c>
      <c r="S40" s="42">
        <f>(C40+D40+E40+F40+I40+G40+H40)*15688</f>
        <v>1380544</v>
      </c>
    </row>
    <row r="41" spans="1:19">
      <c r="A41" s="29" t="s">
        <v>55</v>
      </c>
      <c r="B41" s="377" t="s">
        <v>396</v>
      </c>
      <c r="C41" s="263">
        <v>2</v>
      </c>
      <c r="D41" s="235"/>
      <c r="E41" s="234">
        <v>6</v>
      </c>
      <c r="F41" s="215">
        <v>72</v>
      </c>
      <c r="G41" s="215"/>
      <c r="H41" s="215"/>
      <c r="I41" s="329"/>
      <c r="J41" s="35">
        <f t="shared" si="15"/>
        <v>80</v>
      </c>
      <c r="K41" s="361">
        <f t="shared" si="19"/>
        <v>75600</v>
      </c>
      <c r="L41" s="173">
        <f t="shared" si="20"/>
        <v>0</v>
      </c>
      <c r="M41" s="299">
        <f t="shared" si="17"/>
        <v>166800</v>
      </c>
      <c r="N41" s="276">
        <f t="shared" si="22"/>
        <v>2313360</v>
      </c>
      <c r="O41" s="282"/>
      <c r="P41" s="285">
        <f t="shared" si="18"/>
        <v>0</v>
      </c>
      <c r="Q41" s="285"/>
      <c r="R41" s="4">
        <f t="shared" si="16"/>
        <v>2555760</v>
      </c>
      <c r="S41" s="42">
        <f>(C41+D41+E41+F41+I41+G41+H41)*15688</f>
        <v>1255040</v>
      </c>
    </row>
    <row r="42" spans="1:19">
      <c r="A42" s="29"/>
      <c r="B42" s="377"/>
      <c r="C42" s="263"/>
      <c r="D42" s="235"/>
      <c r="E42" s="234"/>
      <c r="F42" s="215"/>
      <c r="G42" s="215"/>
      <c r="H42" s="328"/>
      <c r="I42" s="329"/>
      <c r="J42" s="35">
        <f t="shared" si="15"/>
        <v>0</v>
      </c>
      <c r="K42" s="361"/>
      <c r="L42" s="173"/>
      <c r="M42" s="299"/>
      <c r="O42" s="282"/>
      <c r="P42" s="282"/>
      <c r="Q42" s="285"/>
      <c r="S42" s="42"/>
    </row>
    <row r="43" spans="1:19">
      <c r="A43" s="29"/>
      <c r="B43" s="30"/>
      <c r="C43" s="310"/>
      <c r="D43" s="32"/>
      <c r="E43" s="33"/>
      <c r="F43" s="191"/>
      <c r="G43" s="34"/>
      <c r="H43" s="197"/>
      <c r="I43" s="34"/>
      <c r="J43" s="35">
        <f t="shared" si="15"/>
        <v>0</v>
      </c>
      <c r="K43" s="290">
        <f>C43*36000</f>
        <v>0</v>
      </c>
      <c r="L43" s="173">
        <f>D43*28000</f>
        <v>0</v>
      </c>
      <c r="M43" s="299"/>
      <c r="P43" s="282"/>
      <c r="S43" s="42"/>
    </row>
    <row r="44" spans="1:19" s="24" customFormat="1">
      <c r="A44" s="439" t="s">
        <v>56</v>
      </c>
      <c r="B44" s="449"/>
      <c r="C44" s="450">
        <f t="shared" ref="C44:J44" si="23">SUM(C29:C43)</f>
        <v>137</v>
      </c>
      <c r="D44" s="451">
        <f t="shared" si="23"/>
        <v>20</v>
      </c>
      <c r="E44" s="452">
        <f t="shared" si="23"/>
        <v>507</v>
      </c>
      <c r="F44" s="453">
        <f t="shared" si="23"/>
        <v>3123</v>
      </c>
      <c r="G44" s="453">
        <f t="shared" si="23"/>
        <v>4</v>
      </c>
      <c r="H44" s="453">
        <f t="shared" si="23"/>
        <v>0</v>
      </c>
      <c r="I44" s="453">
        <f t="shared" si="23"/>
        <v>0</v>
      </c>
      <c r="J44" s="442">
        <f t="shared" si="23"/>
        <v>3791</v>
      </c>
      <c r="K44" s="443">
        <f>SUM(K25:K43)</f>
        <v>5311800</v>
      </c>
      <c r="L44" s="444">
        <f>SUM(L25:L43)</f>
        <v>605000</v>
      </c>
      <c r="M44" s="445">
        <f t="shared" ref="M44:Q44" si="24">SUM(M25:M43)</f>
        <v>14276200</v>
      </c>
      <c r="N44" s="443">
        <f>SUM(N25:N43)</f>
        <v>101483560</v>
      </c>
      <c r="O44" s="446">
        <f>SUM(O25:O43)</f>
        <v>129640</v>
      </c>
      <c r="P44" s="446">
        <f t="shared" si="24"/>
        <v>0</v>
      </c>
      <c r="Q44" s="446">
        <f t="shared" si="24"/>
        <v>0</v>
      </c>
      <c r="R44" s="454">
        <f>SUM(R25:R43)</f>
        <v>121806200</v>
      </c>
      <c r="S44" s="448">
        <f>SUM(S25:S43)</f>
        <v>62901517</v>
      </c>
    </row>
    <row r="45" spans="1:19">
      <c r="C45" s="1" t="s">
        <v>2</v>
      </c>
      <c r="D45" s="9" t="s">
        <v>3</v>
      </c>
      <c r="E45" s="10" t="s">
        <v>4</v>
      </c>
      <c r="F45" s="12" t="s">
        <v>5</v>
      </c>
      <c r="G45" s="12"/>
      <c r="H45" s="12" t="s">
        <v>464</v>
      </c>
      <c r="I45" s="12"/>
      <c r="J45" s="13" t="s">
        <v>6</v>
      </c>
      <c r="K45" s="181"/>
      <c r="P45" s="210"/>
    </row>
    <row r="46" spans="1:19">
      <c r="C46" s="44"/>
      <c r="D46" s="406" t="s">
        <v>57</v>
      </c>
      <c r="E46" s="19" t="s">
        <v>58</v>
      </c>
      <c r="F46" s="20" t="s">
        <v>421</v>
      </c>
      <c r="G46" s="46">
        <v>0.15</v>
      </c>
      <c r="H46" s="20"/>
      <c r="I46" s="20"/>
      <c r="J46" s="17"/>
      <c r="P46" s="210"/>
    </row>
    <row r="47" spans="1:19" ht="24">
      <c r="A47" s="24" t="s">
        <v>59</v>
      </c>
      <c r="C47" s="47"/>
      <c r="D47" s="48"/>
      <c r="E47" s="49"/>
      <c r="F47" s="20" t="s">
        <v>14</v>
      </c>
      <c r="G47" s="26" t="s">
        <v>15</v>
      </c>
      <c r="H47" s="20" t="s">
        <v>598</v>
      </c>
      <c r="I47" s="415"/>
      <c r="J47" s="50"/>
      <c r="K47" s="219" t="s">
        <v>2</v>
      </c>
      <c r="L47" s="664" t="s">
        <v>734</v>
      </c>
      <c r="M47" s="664"/>
      <c r="N47" s="348" t="s">
        <v>465</v>
      </c>
      <c r="O47" s="348" t="s">
        <v>557</v>
      </c>
      <c r="P47" s="348" t="s">
        <v>464</v>
      </c>
      <c r="Q47" s="348"/>
      <c r="R47" s="220" t="s">
        <v>18</v>
      </c>
      <c r="S47" s="220" t="s">
        <v>506</v>
      </c>
    </row>
    <row r="48" spans="1:19">
      <c r="A48" s="51" t="s">
        <v>60</v>
      </c>
      <c r="B48" s="376" t="s">
        <v>61</v>
      </c>
      <c r="C48" s="233">
        <v>24</v>
      </c>
      <c r="D48" s="331"/>
      <c r="E48" s="332">
        <v>63</v>
      </c>
      <c r="F48" s="333">
        <v>171</v>
      </c>
      <c r="G48" s="322"/>
      <c r="H48" s="333"/>
      <c r="I48" s="334"/>
      <c r="J48" s="27">
        <f>SUM(C48:I48)</f>
        <v>258</v>
      </c>
      <c r="K48" s="361">
        <f>C48*35700</f>
        <v>856800</v>
      </c>
      <c r="L48" s="294">
        <f>D48*25400</f>
        <v>0</v>
      </c>
      <c r="M48" s="299">
        <f>E48*25400</f>
        <v>1600200</v>
      </c>
      <c r="N48" s="276">
        <v>5034350</v>
      </c>
      <c r="P48" s="282">
        <f>H48*29500</f>
        <v>0</v>
      </c>
      <c r="R48" s="4">
        <f>SUM(K48:Q48)</f>
        <v>7491350</v>
      </c>
      <c r="S48" s="4">
        <f>(C48+D48+E48+F48+I48+H48+G48)*14155</f>
        <v>3651990</v>
      </c>
    </row>
    <row r="49" spans="1:19">
      <c r="A49" s="51" t="s">
        <v>62</v>
      </c>
      <c r="B49" s="375" t="s">
        <v>63</v>
      </c>
      <c r="C49" s="233">
        <v>5</v>
      </c>
      <c r="D49" s="235"/>
      <c r="E49" s="234">
        <v>29</v>
      </c>
      <c r="F49" s="230">
        <v>26</v>
      </c>
      <c r="G49" s="334"/>
      <c r="H49" s="333"/>
      <c r="I49" s="334"/>
      <c r="J49" s="27">
        <f t="shared" ref="J49:J60" si="25">SUM(C49:I49)</f>
        <v>60</v>
      </c>
      <c r="K49" s="361">
        <v>178500</v>
      </c>
      <c r="L49" s="294">
        <f t="shared" ref="L49:L59" si="26">D49*25400</f>
        <v>0</v>
      </c>
      <c r="M49" s="299">
        <f t="shared" ref="M49:M59" si="27">E49*25400</f>
        <v>736600</v>
      </c>
      <c r="N49" s="276">
        <f t="shared" ref="N49:N59" si="28">F49*29500</f>
        <v>767000</v>
      </c>
      <c r="P49" s="282">
        <f t="shared" ref="P49:P59" si="29">H49*29500</f>
        <v>0</v>
      </c>
      <c r="R49" s="4">
        <f t="shared" ref="R49:R59" si="30">SUM(K49:Q49)</f>
        <v>1682100</v>
      </c>
      <c r="S49" s="4">
        <f>(C49+D49+E49+F49+I49+H49+G49)*14155</f>
        <v>849300</v>
      </c>
    </row>
    <row r="50" spans="1:19">
      <c r="A50" s="51" t="s">
        <v>64</v>
      </c>
      <c r="B50" s="376" t="s">
        <v>65</v>
      </c>
      <c r="C50" s="237">
        <v>3</v>
      </c>
      <c r="D50" s="235"/>
      <c r="E50" s="234">
        <v>1</v>
      </c>
      <c r="F50" s="230">
        <v>15</v>
      </c>
      <c r="G50" s="334"/>
      <c r="H50" s="333"/>
      <c r="I50" s="334"/>
      <c r="J50" s="27">
        <f t="shared" si="25"/>
        <v>19</v>
      </c>
      <c r="K50" s="361">
        <f t="shared" ref="K50:K59" si="31">C50*34700</f>
        <v>104100</v>
      </c>
      <c r="L50" s="294">
        <f t="shared" si="26"/>
        <v>0</v>
      </c>
      <c r="M50" s="299">
        <f t="shared" si="27"/>
        <v>25400</v>
      </c>
      <c r="N50" s="276">
        <f t="shared" si="28"/>
        <v>442500</v>
      </c>
      <c r="P50" s="282">
        <f t="shared" si="29"/>
        <v>0</v>
      </c>
      <c r="R50" s="4">
        <f t="shared" si="30"/>
        <v>572000</v>
      </c>
      <c r="S50" s="4">
        <f>(C50+D50+E50+F50+I50+H50+G50)*13975</f>
        <v>265525</v>
      </c>
    </row>
    <row r="51" spans="1:19">
      <c r="A51" s="51" t="s">
        <v>66</v>
      </c>
      <c r="B51" s="375" t="s">
        <v>67</v>
      </c>
      <c r="C51" s="233">
        <v>14</v>
      </c>
      <c r="D51" s="235"/>
      <c r="E51" s="234">
        <v>7</v>
      </c>
      <c r="F51" s="230">
        <v>69</v>
      </c>
      <c r="G51" s="334"/>
      <c r="H51" s="333"/>
      <c r="I51" s="334"/>
      <c r="J51" s="27">
        <f t="shared" si="25"/>
        <v>90</v>
      </c>
      <c r="K51" s="361">
        <f t="shared" si="31"/>
        <v>485800</v>
      </c>
      <c r="L51" s="294">
        <f t="shared" si="26"/>
        <v>0</v>
      </c>
      <c r="M51" s="299">
        <f t="shared" si="27"/>
        <v>177800</v>
      </c>
      <c r="N51" s="276">
        <v>2028250</v>
      </c>
      <c r="P51" s="282">
        <f t="shared" si="29"/>
        <v>0</v>
      </c>
      <c r="R51" s="4">
        <f t="shared" si="30"/>
        <v>2691850</v>
      </c>
      <c r="S51" s="4">
        <f t="shared" ref="S51:S59" si="32">(C51+D51+E51+F51+I51+H51+G51)*13975</f>
        <v>1257750</v>
      </c>
    </row>
    <row r="52" spans="1:19">
      <c r="A52" s="51" t="s">
        <v>68</v>
      </c>
      <c r="B52" s="376" t="s">
        <v>702</v>
      </c>
      <c r="C52" s="237"/>
      <c r="D52" s="235"/>
      <c r="E52" s="234"/>
      <c r="F52" s="230"/>
      <c r="G52" s="334"/>
      <c r="H52" s="333"/>
      <c r="I52" s="334"/>
      <c r="J52" s="27">
        <f t="shared" si="25"/>
        <v>0</v>
      </c>
      <c r="K52" s="361">
        <f t="shared" si="31"/>
        <v>0</v>
      </c>
      <c r="L52" s="294">
        <f t="shared" si="26"/>
        <v>0</v>
      </c>
      <c r="M52" s="299">
        <f t="shared" si="27"/>
        <v>0</v>
      </c>
      <c r="N52" s="276">
        <f t="shared" si="28"/>
        <v>0</v>
      </c>
      <c r="P52" s="282">
        <f t="shared" si="29"/>
        <v>0</v>
      </c>
      <c r="R52" s="4">
        <f t="shared" si="30"/>
        <v>0</v>
      </c>
      <c r="S52" s="4">
        <f t="shared" si="32"/>
        <v>0</v>
      </c>
    </row>
    <row r="53" spans="1:19">
      <c r="A53" s="51" t="s">
        <v>69</v>
      </c>
      <c r="B53" s="376" t="s">
        <v>70</v>
      </c>
      <c r="C53" s="237">
        <v>4</v>
      </c>
      <c r="D53" s="235"/>
      <c r="E53" s="234">
        <v>2</v>
      </c>
      <c r="F53" s="230">
        <v>19</v>
      </c>
      <c r="G53" s="333">
        <v>4</v>
      </c>
      <c r="H53" s="333"/>
      <c r="I53" s="334"/>
      <c r="J53" s="27">
        <f t="shared" si="25"/>
        <v>29</v>
      </c>
      <c r="K53" s="361">
        <f t="shared" si="31"/>
        <v>138800</v>
      </c>
      <c r="L53" s="294">
        <f t="shared" si="26"/>
        <v>0</v>
      </c>
      <c r="M53" s="299">
        <f t="shared" si="27"/>
        <v>50800</v>
      </c>
      <c r="N53" s="276">
        <f t="shared" si="28"/>
        <v>560500</v>
      </c>
      <c r="O53" s="282">
        <f>G53*27760</f>
        <v>111040</v>
      </c>
      <c r="P53" s="282">
        <f t="shared" si="29"/>
        <v>0</v>
      </c>
      <c r="Q53" s="285"/>
      <c r="R53" s="4">
        <f t="shared" si="30"/>
        <v>861140</v>
      </c>
      <c r="S53" s="4">
        <f t="shared" si="32"/>
        <v>405275</v>
      </c>
    </row>
    <row r="54" spans="1:19">
      <c r="A54" s="51" t="s">
        <v>71</v>
      </c>
      <c r="B54" s="375" t="s">
        <v>72</v>
      </c>
      <c r="C54" s="233">
        <v>3</v>
      </c>
      <c r="D54" s="235"/>
      <c r="E54" s="234">
        <v>1</v>
      </c>
      <c r="F54" s="230">
        <v>35</v>
      </c>
      <c r="G54" s="334"/>
      <c r="H54" s="333"/>
      <c r="I54" s="334"/>
      <c r="J54" s="27">
        <f t="shared" si="25"/>
        <v>39</v>
      </c>
      <c r="K54" s="361">
        <f t="shared" si="31"/>
        <v>104100</v>
      </c>
      <c r="L54" s="294">
        <f t="shared" si="26"/>
        <v>0</v>
      </c>
      <c r="M54" s="299">
        <f t="shared" si="27"/>
        <v>25400</v>
      </c>
      <c r="N54" s="276">
        <v>1028150</v>
      </c>
      <c r="P54" s="282">
        <f t="shared" si="29"/>
        <v>0</v>
      </c>
      <c r="R54" s="4">
        <f t="shared" si="30"/>
        <v>1157650</v>
      </c>
      <c r="S54" s="4">
        <f t="shared" si="32"/>
        <v>545025</v>
      </c>
    </row>
    <row r="55" spans="1:19">
      <c r="A55" s="51" t="s">
        <v>73</v>
      </c>
      <c r="B55" s="376" t="s">
        <v>74</v>
      </c>
      <c r="C55" s="237"/>
      <c r="D55" s="235"/>
      <c r="E55" s="234"/>
      <c r="F55" s="230"/>
      <c r="G55" s="334"/>
      <c r="H55" s="333"/>
      <c r="I55" s="334"/>
      <c r="J55" s="27">
        <f t="shared" si="25"/>
        <v>0</v>
      </c>
      <c r="K55" s="361">
        <f t="shared" si="31"/>
        <v>0</v>
      </c>
      <c r="L55" s="294">
        <f t="shared" si="26"/>
        <v>0</v>
      </c>
      <c r="M55" s="299">
        <f t="shared" si="27"/>
        <v>0</v>
      </c>
      <c r="N55" s="276">
        <f t="shared" si="28"/>
        <v>0</v>
      </c>
      <c r="P55" s="282">
        <f t="shared" si="29"/>
        <v>0</v>
      </c>
      <c r="R55" s="4">
        <f t="shared" si="30"/>
        <v>0</v>
      </c>
      <c r="S55" s="4">
        <f t="shared" si="32"/>
        <v>0</v>
      </c>
    </row>
    <row r="56" spans="1:19">
      <c r="A56" s="51" t="s">
        <v>75</v>
      </c>
      <c r="B56" s="375" t="s">
        <v>76</v>
      </c>
      <c r="C56" s="233">
        <v>4</v>
      </c>
      <c r="D56" s="235"/>
      <c r="E56" s="234">
        <v>3</v>
      </c>
      <c r="F56" s="230">
        <v>58</v>
      </c>
      <c r="G56" s="334"/>
      <c r="H56" s="333"/>
      <c r="I56" s="334"/>
      <c r="J56" s="27">
        <f t="shared" si="25"/>
        <v>65</v>
      </c>
      <c r="K56" s="361">
        <f t="shared" si="31"/>
        <v>138800</v>
      </c>
      <c r="L56" s="294">
        <f t="shared" si="26"/>
        <v>0</v>
      </c>
      <c r="M56" s="299">
        <f t="shared" si="27"/>
        <v>76200</v>
      </c>
      <c r="N56" s="276">
        <f t="shared" si="28"/>
        <v>1711000</v>
      </c>
      <c r="P56" s="282">
        <f t="shared" si="29"/>
        <v>0</v>
      </c>
      <c r="R56" s="4">
        <f t="shared" si="30"/>
        <v>1926000</v>
      </c>
      <c r="S56" s="4">
        <f>(C56+D56+E56+F56+I56+H56+G56)*13434</f>
        <v>873210</v>
      </c>
    </row>
    <row r="57" spans="1:19">
      <c r="A57" s="51" t="s">
        <v>77</v>
      </c>
      <c r="B57" s="375" t="s">
        <v>78</v>
      </c>
      <c r="C57" s="233">
        <v>8</v>
      </c>
      <c r="D57" s="235"/>
      <c r="E57" s="234">
        <v>1</v>
      </c>
      <c r="F57" s="230">
        <v>44</v>
      </c>
      <c r="G57" s="334"/>
      <c r="H57" s="333"/>
      <c r="I57" s="334"/>
      <c r="J57" s="27">
        <f t="shared" si="25"/>
        <v>53</v>
      </c>
      <c r="K57" s="361">
        <f t="shared" si="31"/>
        <v>277600</v>
      </c>
      <c r="L57" s="294">
        <f t="shared" si="26"/>
        <v>0</v>
      </c>
      <c r="M57" s="299">
        <f t="shared" si="27"/>
        <v>25400</v>
      </c>
      <c r="N57" s="276">
        <f t="shared" si="28"/>
        <v>1298000</v>
      </c>
      <c r="P57" s="282">
        <f t="shared" si="29"/>
        <v>0</v>
      </c>
      <c r="R57" s="4">
        <f t="shared" si="30"/>
        <v>1601000</v>
      </c>
      <c r="S57" s="4">
        <f>(C57+D57+E57+F57+I57+H57+G57)*13975</f>
        <v>740675</v>
      </c>
    </row>
    <row r="58" spans="1:19">
      <c r="A58" s="51" t="s">
        <v>79</v>
      </c>
      <c r="B58" s="375" t="s">
        <v>367</v>
      </c>
      <c r="C58" s="237">
        <v>3</v>
      </c>
      <c r="D58" s="235"/>
      <c r="E58" s="234">
        <v>1</v>
      </c>
      <c r="F58" s="230">
        <v>13</v>
      </c>
      <c r="G58" s="334"/>
      <c r="H58" s="333"/>
      <c r="I58" s="334"/>
      <c r="J58" s="27">
        <f t="shared" si="25"/>
        <v>17</v>
      </c>
      <c r="K58" s="361">
        <f t="shared" si="31"/>
        <v>104100</v>
      </c>
      <c r="L58" s="294">
        <f t="shared" si="26"/>
        <v>0</v>
      </c>
      <c r="M58" s="299">
        <f t="shared" si="27"/>
        <v>25400</v>
      </c>
      <c r="N58" s="276">
        <f t="shared" si="28"/>
        <v>383500</v>
      </c>
      <c r="P58" s="282">
        <f t="shared" si="29"/>
        <v>0</v>
      </c>
      <c r="R58" s="4">
        <f t="shared" si="30"/>
        <v>513000</v>
      </c>
      <c r="S58" s="4">
        <f>(C58+D58+E58+F58+I58+H58+G58)*13434</f>
        <v>228378</v>
      </c>
    </row>
    <row r="59" spans="1:19">
      <c r="A59" s="51" t="s">
        <v>80</v>
      </c>
      <c r="B59" s="375" t="s">
        <v>81</v>
      </c>
      <c r="C59" s="233"/>
      <c r="D59" s="235"/>
      <c r="E59" s="234"/>
      <c r="F59" s="230"/>
      <c r="G59" s="334"/>
      <c r="H59" s="333"/>
      <c r="I59" s="334"/>
      <c r="J59" s="27">
        <f t="shared" si="25"/>
        <v>0</v>
      </c>
      <c r="K59" s="361">
        <f t="shared" si="31"/>
        <v>0</v>
      </c>
      <c r="L59" s="294">
        <f t="shared" si="26"/>
        <v>0</v>
      </c>
      <c r="M59" s="299">
        <f t="shared" si="27"/>
        <v>0</v>
      </c>
      <c r="N59" s="276">
        <f t="shared" si="28"/>
        <v>0</v>
      </c>
      <c r="P59" s="282">
        <f t="shared" si="29"/>
        <v>0</v>
      </c>
      <c r="R59" s="4">
        <f t="shared" si="30"/>
        <v>0</v>
      </c>
      <c r="S59" s="4">
        <f t="shared" si="32"/>
        <v>0</v>
      </c>
    </row>
    <row r="60" spans="1:19">
      <c r="A60" s="51"/>
      <c r="B60" s="29"/>
      <c r="C60" s="35"/>
      <c r="D60" s="32"/>
      <c r="E60" s="33"/>
      <c r="F60" s="191"/>
      <c r="G60" s="53"/>
      <c r="H60" s="52"/>
      <c r="I60" s="53"/>
      <c r="J60" s="27">
        <f t="shared" si="25"/>
        <v>0</v>
      </c>
      <c r="K60" s="291"/>
      <c r="L60" s="294"/>
      <c r="M60" s="299"/>
      <c r="N60" s="282"/>
      <c r="P60" s="210"/>
    </row>
    <row r="61" spans="1:19" s="24" customFormat="1">
      <c r="A61" s="455" t="s">
        <v>82</v>
      </c>
      <c r="B61" s="449"/>
      <c r="C61" s="450">
        <f>SUM(C48:C60)</f>
        <v>68</v>
      </c>
      <c r="D61" s="450">
        <f>SUM(D48:D60)</f>
        <v>0</v>
      </c>
      <c r="E61" s="450">
        <f>SUM(E48:E60)</f>
        <v>108</v>
      </c>
      <c r="F61" s="453">
        <f>SUM(F48:F60)</f>
        <v>450</v>
      </c>
      <c r="G61" s="453"/>
      <c r="H61" s="453">
        <f>SUM(H48:H60)</f>
        <v>0</v>
      </c>
      <c r="I61" s="453">
        <f t="shared" ref="I61:J61" si="33">SUM(I48:I60)</f>
        <v>0</v>
      </c>
      <c r="J61" s="442">
        <f t="shared" si="33"/>
        <v>630</v>
      </c>
      <c r="K61" s="443">
        <f>SUM(K48:K60)</f>
        <v>2388600</v>
      </c>
      <c r="L61" s="456">
        <f t="shared" ref="L61:Q61" si="34">SUM(L48:L60)</f>
        <v>0</v>
      </c>
      <c r="M61" s="445">
        <f t="shared" si="34"/>
        <v>2743200</v>
      </c>
      <c r="N61" s="446">
        <f t="shared" si="34"/>
        <v>13253250</v>
      </c>
      <c r="O61" s="446">
        <f t="shared" si="34"/>
        <v>111040</v>
      </c>
      <c r="P61" s="446">
        <f t="shared" si="34"/>
        <v>0</v>
      </c>
      <c r="Q61" s="446">
        <f t="shared" si="34"/>
        <v>0</v>
      </c>
      <c r="R61" s="447">
        <f>SUM(R48:R60)</f>
        <v>18496090</v>
      </c>
      <c r="S61" s="448">
        <f>SUM(S48:S60)</f>
        <v>8817128</v>
      </c>
    </row>
    <row r="62" spans="1:19">
      <c r="A62" s="54"/>
      <c r="C62" s="14" t="s">
        <v>2</v>
      </c>
      <c r="D62" s="55" t="s">
        <v>3</v>
      </c>
      <c r="E62" s="15" t="s">
        <v>4</v>
      </c>
      <c r="H62" s="416"/>
      <c r="J62" s="56"/>
      <c r="K62" s="181"/>
      <c r="P62" s="210"/>
    </row>
    <row r="63" spans="1:19">
      <c r="A63" s="54"/>
      <c r="C63" s="14"/>
      <c r="D63" s="388" t="s">
        <v>83</v>
      </c>
      <c r="E63" s="15" t="s">
        <v>84</v>
      </c>
      <c r="F63" s="57" t="s">
        <v>5</v>
      </c>
      <c r="G63" s="57"/>
      <c r="H63" s="200"/>
      <c r="I63" s="57"/>
      <c r="J63" s="58" t="s">
        <v>6</v>
      </c>
      <c r="P63" s="210"/>
    </row>
    <row r="64" spans="1:19">
      <c r="C64" s="18"/>
      <c r="D64" s="388" t="s">
        <v>85</v>
      </c>
      <c r="E64" s="15" t="s">
        <v>86</v>
      </c>
      <c r="F64" s="20"/>
      <c r="G64" s="45"/>
      <c r="H64" s="20"/>
      <c r="I64" s="20"/>
      <c r="J64" s="59"/>
      <c r="P64" s="210"/>
    </row>
    <row r="65" spans="1:19" ht="24">
      <c r="C65" s="18" t="s">
        <v>87</v>
      </c>
      <c r="D65" s="55" t="s">
        <v>88</v>
      </c>
      <c r="E65" s="15" t="s">
        <v>89</v>
      </c>
      <c r="F65" s="20" t="s">
        <v>14</v>
      </c>
      <c r="G65" s="26" t="s">
        <v>15</v>
      </c>
      <c r="H65" s="193"/>
      <c r="I65" s="22"/>
      <c r="J65" s="60"/>
      <c r="P65" s="210"/>
    </row>
    <row r="66" spans="1:19" ht="30" customHeight="1">
      <c r="C66" s="18"/>
      <c r="D66" s="55" t="s">
        <v>90</v>
      </c>
      <c r="E66" s="15" t="s">
        <v>91</v>
      </c>
      <c r="F66" s="61"/>
      <c r="G66" s="22"/>
      <c r="H66" s="193"/>
      <c r="I66" s="22"/>
      <c r="J66" s="60"/>
      <c r="P66" s="210"/>
    </row>
    <row r="67" spans="1:19">
      <c r="A67" s="24" t="s">
        <v>92</v>
      </c>
      <c r="C67" s="25"/>
      <c r="D67" s="55"/>
      <c r="E67" s="15"/>
      <c r="F67" s="62"/>
      <c r="G67" s="63"/>
      <c r="H67" s="201"/>
      <c r="I67" s="63" t="s">
        <v>412</v>
      </c>
      <c r="J67" s="27"/>
      <c r="K67" s="219" t="s">
        <v>2</v>
      </c>
      <c r="L67" s="664" t="s">
        <v>734</v>
      </c>
      <c r="M67" s="664"/>
      <c r="N67" s="348" t="s">
        <v>16</v>
      </c>
      <c r="O67" s="348" t="s">
        <v>557</v>
      </c>
      <c r="P67" s="348" t="s">
        <v>464</v>
      </c>
      <c r="Q67" s="220"/>
      <c r="R67" s="220" t="s">
        <v>18</v>
      </c>
      <c r="S67" s="220" t="s">
        <v>506</v>
      </c>
    </row>
    <row r="68" spans="1:19" s="3" customFormat="1">
      <c r="A68" s="115" t="s">
        <v>93</v>
      </c>
      <c r="B68" s="375" t="s">
        <v>94</v>
      </c>
      <c r="C68" s="233">
        <v>96</v>
      </c>
      <c r="D68" s="235">
        <v>7</v>
      </c>
      <c r="E68" s="234">
        <v>16</v>
      </c>
      <c r="F68" s="322"/>
      <c r="G68" s="322"/>
      <c r="H68" s="236"/>
      <c r="I68" s="322"/>
      <c r="J68" s="35">
        <f t="shared" ref="J68:J84" si="35">SUM(C68:I68)</f>
        <v>119</v>
      </c>
      <c r="K68" s="362">
        <v>2416800</v>
      </c>
      <c r="L68" s="294">
        <f>D68*19200</f>
        <v>134400</v>
      </c>
      <c r="M68" s="299">
        <f>E68*21000</f>
        <v>336000</v>
      </c>
      <c r="N68" s="282"/>
      <c r="O68" s="282"/>
      <c r="P68" s="282"/>
      <c r="Q68" s="5"/>
      <c r="R68" s="4">
        <f>SUM(K68:Q68)</f>
        <v>2887200</v>
      </c>
      <c r="S68" s="4">
        <f>(C68+D68+E68+F68+I68+G68+H68)*7032</f>
        <v>836808</v>
      </c>
    </row>
    <row r="69" spans="1:19" s="3" customFormat="1">
      <c r="A69" s="115" t="s">
        <v>95</v>
      </c>
      <c r="B69" s="375" t="s">
        <v>346</v>
      </c>
      <c r="C69" s="237"/>
      <c r="D69" s="235"/>
      <c r="E69" s="234">
        <v>1</v>
      </c>
      <c r="F69" s="322"/>
      <c r="G69" s="322"/>
      <c r="H69" s="236"/>
      <c r="I69" s="322"/>
      <c r="J69" s="35">
        <f t="shared" si="35"/>
        <v>1</v>
      </c>
      <c r="K69" s="362">
        <f>C69*47000</f>
        <v>0</v>
      </c>
      <c r="L69" s="294">
        <f>D69*39600</f>
        <v>0</v>
      </c>
      <c r="M69" s="299">
        <f>E69*39600</f>
        <v>39600</v>
      </c>
      <c r="N69" s="282"/>
      <c r="O69" s="282"/>
      <c r="P69" s="282"/>
      <c r="Q69" s="5"/>
      <c r="R69" s="4">
        <f t="shared" ref="R69:R84" si="36">SUM(K69:Q69)</f>
        <v>39600</v>
      </c>
      <c r="S69" s="4">
        <f>(C69+D69+E69+F69+I69+G69+H69)*11631</f>
        <v>11631</v>
      </c>
    </row>
    <row r="70" spans="1:19" s="3" customFormat="1">
      <c r="A70" s="115" t="s">
        <v>96</v>
      </c>
      <c r="B70" s="375" t="s">
        <v>97</v>
      </c>
      <c r="C70" s="233">
        <v>87</v>
      </c>
      <c r="D70" s="235">
        <v>1</v>
      </c>
      <c r="E70" s="234"/>
      <c r="F70" s="322"/>
      <c r="G70" s="322"/>
      <c r="H70" s="236"/>
      <c r="I70" s="322"/>
      <c r="J70" s="35">
        <f t="shared" si="35"/>
        <v>88</v>
      </c>
      <c r="K70" s="362">
        <v>2556400</v>
      </c>
      <c r="L70" s="294">
        <f>D70*22400</f>
        <v>22400</v>
      </c>
      <c r="M70" s="299">
        <f>E70*25000</f>
        <v>0</v>
      </c>
      <c r="N70" s="282"/>
      <c r="O70" s="282"/>
      <c r="P70" s="282"/>
      <c r="Q70" s="5"/>
      <c r="R70" s="4">
        <f t="shared" si="36"/>
        <v>2578800</v>
      </c>
      <c r="S70" s="4">
        <f>(C70+D70+E70+F70+I70+G70+H70)*8565</f>
        <v>753720</v>
      </c>
    </row>
    <row r="71" spans="1:19" s="3" customFormat="1">
      <c r="A71" s="115" t="s">
        <v>98</v>
      </c>
      <c r="B71" s="375" t="s">
        <v>346</v>
      </c>
      <c r="C71" s="233"/>
      <c r="D71" s="235"/>
      <c r="E71" s="234">
        <v>10</v>
      </c>
      <c r="F71" s="322"/>
      <c r="G71" s="322"/>
      <c r="H71" s="236"/>
      <c r="I71" s="322"/>
      <c r="J71" s="35">
        <f t="shared" si="35"/>
        <v>10</v>
      </c>
      <c r="K71" s="362">
        <f>C71*47000</f>
        <v>0</v>
      </c>
      <c r="L71" s="294">
        <f>D71*39600</f>
        <v>0</v>
      </c>
      <c r="M71" s="299">
        <f>E71*39600</f>
        <v>396000</v>
      </c>
      <c r="N71" s="282"/>
      <c r="O71" s="282"/>
      <c r="P71" s="282"/>
      <c r="Q71" s="5"/>
      <c r="R71" s="4">
        <f t="shared" si="36"/>
        <v>396000</v>
      </c>
      <c r="S71" s="4">
        <f>(C71+D71+E71+F71+I71+G71+H71)*13073</f>
        <v>130730</v>
      </c>
    </row>
    <row r="72" spans="1:19" s="3" customFormat="1">
      <c r="A72" s="115" t="s">
        <v>99</v>
      </c>
      <c r="B72" s="375" t="s">
        <v>100</v>
      </c>
      <c r="C72" s="233">
        <v>60</v>
      </c>
      <c r="D72" s="235"/>
      <c r="E72" s="234">
        <v>3</v>
      </c>
      <c r="F72" s="322"/>
      <c r="G72" s="322"/>
      <c r="H72" s="236"/>
      <c r="I72" s="322"/>
      <c r="J72" s="35">
        <f t="shared" si="35"/>
        <v>63</v>
      </c>
      <c r="K72" s="362">
        <v>1509600</v>
      </c>
      <c r="L72" s="294">
        <f>D72*21000</f>
        <v>0</v>
      </c>
      <c r="M72" s="299">
        <f>E72*21000</f>
        <v>63000</v>
      </c>
      <c r="N72" s="282"/>
      <c r="O72" s="282"/>
      <c r="P72" s="282"/>
      <c r="Q72" s="5"/>
      <c r="R72" s="4">
        <f t="shared" si="36"/>
        <v>1572600</v>
      </c>
      <c r="S72" s="4">
        <f>(C72+D72+E72+F72+I72+G72+H72)*7032</f>
        <v>443016</v>
      </c>
    </row>
    <row r="73" spans="1:19" s="3" customFormat="1">
      <c r="A73" s="115" t="s">
        <v>101</v>
      </c>
      <c r="B73" s="375" t="s">
        <v>102</v>
      </c>
      <c r="C73" s="233">
        <v>28</v>
      </c>
      <c r="D73" s="235">
        <v>1</v>
      </c>
      <c r="E73" s="234"/>
      <c r="F73" s="322"/>
      <c r="G73" s="322"/>
      <c r="H73" s="236"/>
      <c r="I73" s="322"/>
      <c r="J73" s="35">
        <f t="shared" si="35"/>
        <v>29</v>
      </c>
      <c r="K73" s="362">
        <v>821800</v>
      </c>
      <c r="L73" s="294">
        <f>D73*22400</f>
        <v>22400</v>
      </c>
      <c r="M73" s="299">
        <f>E73*25000</f>
        <v>0</v>
      </c>
      <c r="N73" s="282"/>
      <c r="O73" s="282"/>
      <c r="P73" s="282"/>
      <c r="Q73" s="5"/>
      <c r="R73" s="4">
        <f t="shared" si="36"/>
        <v>844200</v>
      </c>
      <c r="S73" s="4">
        <f>(C73+D73+E73+F73+I73+G73+H73)*8565</f>
        <v>248385</v>
      </c>
    </row>
    <row r="74" spans="1:19" s="3" customFormat="1">
      <c r="A74" s="115" t="s">
        <v>103</v>
      </c>
      <c r="B74" s="375" t="s">
        <v>346</v>
      </c>
      <c r="C74" s="237"/>
      <c r="D74" s="235"/>
      <c r="E74" s="234">
        <v>1</v>
      </c>
      <c r="F74" s="322"/>
      <c r="G74" s="322"/>
      <c r="H74" s="236"/>
      <c r="I74" s="322"/>
      <c r="J74" s="35">
        <f t="shared" si="35"/>
        <v>1</v>
      </c>
      <c r="K74" s="362">
        <f>C74*47000</f>
        <v>0</v>
      </c>
      <c r="L74" s="294">
        <f>D74*39600</f>
        <v>0</v>
      </c>
      <c r="M74" s="299">
        <f>E74*39600</f>
        <v>39600</v>
      </c>
      <c r="N74" s="282"/>
      <c r="O74" s="282"/>
      <c r="P74" s="282"/>
      <c r="Q74" s="5"/>
      <c r="R74" s="4">
        <f t="shared" si="36"/>
        <v>39600</v>
      </c>
      <c r="S74" s="4">
        <f>(C74+D74+E74+F74+I74+G74+H74)*13073</f>
        <v>13073</v>
      </c>
    </row>
    <row r="75" spans="1:19" s="3" customFormat="1">
      <c r="A75" s="115" t="s">
        <v>104</v>
      </c>
      <c r="B75" s="375" t="s">
        <v>105</v>
      </c>
      <c r="C75" s="237">
        <v>6</v>
      </c>
      <c r="D75" s="235"/>
      <c r="E75" s="234"/>
      <c r="F75" s="322"/>
      <c r="G75" s="322"/>
      <c r="H75" s="236"/>
      <c r="I75" s="322"/>
      <c r="J75" s="35">
        <f t="shared" si="35"/>
        <v>6</v>
      </c>
      <c r="K75" s="362">
        <f>C75*29400</f>
        <v>176400</v>
      </c>
      <c r="L75" s="294">
        <f>D75*25000</f>
        <v>0</v>
      </c>
      <c r="M75" s="299">
        <f>E75*25000</f>
        <v>0</v>
      </c>
      <c r="N75" s="282"/>
      <c r="O75" s="282"/>
      <c r="P75" s="282"/>
      <c r="Q75" s="5"/>
      <c r="R75" s="4">
        <f t="shared" si="36"/>
        <v>176400</v>
      </c>
      <c r="S75" s="4">
        <f>(C75+D75+E75+F75+I75+G75+H75)*8926</f>
        <v>53556</v>
      </c>
    </row>
    <row r="76" spans="1:19" s="3" customFormat="1">
      <c r="A76" s="115" t="s">
        <v>106</v>
      </c>
      <c r="B76" s="375" t="s">
        <v>107</v>
      </c>
      <c r="C76" s="233">
        <v>39</v>
      </c>
      <c r="D76" s="235"/>
      <c r="E76" s="234"/>
      <c r="F76" s="322"/>
      <c r="G76" s="322"/>
      <c r="H76" s="236"/>
      <c r="I76" s="322"/>
      <c r="J76" s="35">
        <f t="shared" si="35"/>
        <v>39</v>
      </c>
      <c r="K76" s="362">
        <v>981600</v>
      </c>
      <c r="L76" s="294">
        <f>D76*21000</f>
        <v>0</v>
      </c>
      <c r="M76" s="299">
        <f>E76*21000</f>
        <v>0</v>
      </c>
      <c r="N76" s="282"/>
      <c r="O76" s="282"/>
      <c r="P76" s="282"/>
      <c r="Q76" s="5"/>
      <c r="R76" s="4">
        <f t="shared" si="36"/>
        <v>981600</v>
      </c>
      <c r="S76" s="4">
        <f>(C76+D76+E76+F76+I76+G76+H76)*7032</f>
        <v>274248</v>
      </c>
    </row>
    <row r="77" spans="1:19" s="3" customFormat="1">
      <c r="A77" s="115" t="s">
        <v>108</v>
      </c>
      <c r="B77" s="375" t="s">
        <v>346</v>
      </c>
      <c r="C77" s="237"/>
      <c r="D77" s="235"/>
      <c r="E77" s="234"/>
      <c r="F77" s="322"/>
      <c r="G77" s="322"/>
      <c r="H77" s="236"/>
      <c r="I77" s="322"/>
      <c r="J77" s="35">
        <f t="shared" si="35"/>
        <v>0</v>
      </c>
      <c r="K77" s="288">
        <f>C77*47000</f>
        <v>0</v>
      </c>
      <c r="L77" s="294">
        <f>D77*39600</f>
        <v>0</v>
      </c>
      <c r="M77" s="299">
        <f>E77*39600</f>
        <v>0</v>
      </c>
      <c r="N77" s="282"/>
      <c r="O77" s="282"/>
      <c r="P77" s="282"/>
      <c r="Q77" s="5"/>
      <c r="R77" s="4">
        <f t="shared" si="36"/>
        <v>0</v>
      </c>
      <c r="S77" s="4">
        <f>(C77+D77+E77+F77+I77+G77+H77)*11631</f>
        <v>0</v>
      </c>
    </row>
    <row r="78" spans="1:19" s="3" customFormat="1">
      <c r="A78" s="115" t="s">
        <v>109</v>
      </c>
      <c r="B78" s="375" t="s">
        <v>110</v>
      </c>
      <c r="C78" s="233">
        <v>12</v>
      </c>
      <c r="D78" s="235">
        <v>4</v>
      </c>
      <c r="E78" s="234"/>
      <c r="F78" s="322"/>
      <c r="G78" s="322"/>
      <c r="H78" s="236"/>
      <c r="I78" s="322"/>
      <c r="J78" s="35">
        <f t="shared" si="35"/>
        <v>16</v>
      </c>
      <c r="K78" s="362">
        <f t="shared" ref="K78:K80" si="37">C78*29400</f>
        <v>352800</v>
      </c>
      <c r="L78" s="294">
        <f>D78*22400</f>
        <v>89600</v>
      </c>
      <c r="M78" s="299">
        <f>E78*25000</f>
        <v>0</v>
      </c>
      <c r="N78" s="282"/>
      <c r="O78" s="282"/>
      <c r="P78" s="282"/>
      <c r="Q78" s="5"/>
      <c r="R78" s="4">
        <f t="shared" si="36"/>
        <v>442400</v>
      </c>
      <c r="S78" s="4">
        <f>(C78+D78+E78+F78+I78+G78+H78)*8926</f>
        <v>142816</v>
      </c>
    </row>
    <row r="79" spans="1:19" s="3" customFormat="1">
      <c r="A79" s="115" t="s">
        <v>111</v>
      </c>
      <c r="B79" s="375" t="s">
        <v>110</v>
      </c>
      <c r="C79" s="233">
        <v>24</v>
      </c>
      <c r="D79" s="235"/>
      <c r="E79" s="234">
        <v>11</v>
      </c>
      <c r="F79" s="322"/>
      <c r="G79" s="322"/>
      <c r="H79" s="236"/>
      <c r="I79" s="322"/>
      <c r="J79" s="35">
        <f t="shared" si="35"/>
        <v>35</v>
      </c>
      <c r="K79" s="362">
        <v>702800</v>
      </c>
      <c r="L79" s="294">
        <f t="shared" ref="L79:L80" si="38">D79*25000</f>
        <v>0</v>
      </c>
      <c r="M79" s="299">
        <f t="shared" ref="M79:M80" si="39">E79*25000</f>
        <v>275000</v>
      </c>
      <c r="N79" s="282"/>
      <c r="O79" s="282"/>
      <c r="P79" s="282"/>
      <c r="Q79" s="5"/>
      <c r="R79" s="4">
        <f t="shared" si="36"/>
        <v>977800</v>
      </c>
      <c r="S79" s="4">
        <f t="shared" ref="S79:S80" si="40">(C79+D79+E79+F79+I79+G79+H79)*8926</f>
        <v>312410</v>
      </c>
    </row>
    <row r="80" spans="1:19" s="3" customFormat="1">
      <c r="A80" s="65" t="s">
        <v>112</v>
      </c>
      <c r="B80" s="379" t="s">
        <v>110</v>
      </c>
      <c r="C80" s="311">
        <v>7</v>
      </c>
      <c r="D80" s="335"/>
      <c r="E80" s="336"/>
      <c r="F80" s="337"/>
      <c r="G80" s="337"/>
      <c r="H80" s="338"/>
      <c r="I80" s="337"/>
      <c r="J80" s="35">
        <f t="shared" si="35"/>
        <v>7</v>
      </c>
      <c r="K80" s="362">
        <f t="shared" si="37"/>
        <v>205800</v>
      </c>
      <c r="L80" s="294">
        <f t="shared" si="38"/>
        <v>0</v>
      </c>
      <c r="M80" s="299">
        <f t="shared" si="39"/>
        <v>0</v>
      </c>
      <c r="N80" s="282"/>
      <c r="O80" s="282"/>
      <c r="P80" s="282"/>
      <c r="Q80" s="5"/>
      <c r="R80" s="4">
        <f t="shared" si="36"/>
        <v>205800</v>
      </c>
      <c r="S80" s="4">
        <f t="shared" si="40"/>
        <v>62482</v>
      </c>
    </row>
    <row r="81" spans="1:19" s="3" customFormat="1">
      <c r="A81" s="115" t="s">
        <v>113</v>
      </c>
      <c r="B81" s="375" t="s">
        <v>474</v>
      </c>
      <c r="C81" s="233">
        <v>12</v>
      </c>
      <c r="D81" s="235"/>
      <c r="E81" s="234"/>
      <c r="F81" s="215">
        <v>4</v>
      </c>
      <c r="G81" s="322"/>
      <c r="H81" s="236"/>
      <c r="I81" s="322"/>
      <c r="J81" s="35">
        <f t="shared" si="35"/>
        <v>16</v>
      </c>
      <c r="K81" s="362">
        <v>560000</v>
      </c>
      <c r="L81" s="294">
        <f>D81*35200</f>
        <v>0</v>
      </c>
      <c r="M81" s="299">
        <f>E81*35200</f>
        <v>0</v>
      </c>
      <c r="N81" s="282"/>
      <c r="O81" s="282">
        <f>F81*37600</f>
        <v>150400</v>
      </c>
      <c r="P81" s="282"/>
      <c r="Q81" s="5"/>
      <c r="R81" s="4">
        <f t="shared" si="36"/>
        <v>710400</v>
      </c>
      <c r="S81" s="4">
        <f>(C81+D81+E81+F81+I81+G81+H81)*18934</f>
        <v>302944</v>
      </c>
    </row>
    <row r="82" spans="1:19" s="3" customFormat="1">
      <c r="A82" s="115" t="s">
        <v>114</v>
      </c>
      <c r="B82" s="380" t="s">
        <v>115</v>
      </c>
      <c r="C82" s="233"/>
      <c r="D82" s="235"/>
      <c r="E82" s="234"/>
      <c r="F82" s="230"/>
      <c r="G82" s="322"/>
      <c r="H82" s="236"/>
      <c r="I82" s="230"/>
      <c r="J82" s="35">
        <f t="shared" si="35"/>
        <v>0</v>
      </c>
      <c r="K82" s="288">
        <f>C82*16800</f>
        <v>0</v>
      </c>
      <c r="L82" s="294">
        <f>D82*12100</f>
        <v>0</v>
      </c>
      <c r="M82" s="299">
        <f>E82*12100</f>
        <v>0</v>
      </c>
      <c r="N82" s="282"/>
      <c r="O82" s="282">
        <f>F82*9000</f>
        <v>0</v>
      </c>
      <c r="P82" s="282"/>
      <c r="Q82" s="5"/>
      <c r="R82" s="4">
        <f t="shared" si="36"/>
        <v>0</v>
      </c>
      <c r="S82" s="4">
        <f>(C82+D82+E82+F82+I82+G82+H82)*5319</f>
        <v>0</v>
      </c>
    </row>
    <row r="83" spans="1:19">
      <c r="A83" s="115" t="s">
        <v>116</v>
      </c>
      <c r="B83" s="380" t="s">
        <v>115</v>
      </c>
      <c r="C83" s="237"/>
      <c r="D83" s="235"/>
      <c r="E83" s="234"/>
      <c r="F83" s="230"/>
      <c r="G83" s="322"/>
      <c r="H83" s="236"/>
      <c r="I83" s="230"/>
      <c r="J83" s="35">
        <f t="shared" si="35"/>
        <v>0</v>
      </c>
      <c r="K83" s="288">
        <f t="shared" ref="K83:K84" si="41">C83*16800</f>
        <v>0</v>
      </c>
      <c r="L83" s="294">
        <f t="shared" ref="L83:L84" si="42">D83*12100</f>
        <v>0</v>
      </c>
      <c r="M83" s="299">
        <f t="shared" ref="M83:M84" si="43">E83*12100</f>
        <v>0</v>
      </c>
      <c r="N83" s="282"/>
      <c r="O83" s="282">
        <f>F83*9000</f>
        <v>0</v>
      </c>
      <c r="P83" s="282"/>
      <c r="R83" s="4">
        <f t="shared" si="36"/>
        <v>0</v>
      </c>
      <c r="S83" s="4">
        <f t="shared" ref="S83:S84" si="44">(C83+D83+E83+F83+I83+G83+H83)*5319</f>
        <v>0</v>
      </c>
    </row>
    <row r="84" spans="1:19">
      <c r="A84" s="115" t="s">
        <v>117</v>
      </c>
      <c r="B84" s="380" t="s">
        <v>115</v>
      </c>
      <c r="C84" s="233"/>
      <c r="D84" s="235"/>
      <c r="E84" s="234"/>
      <c r="F84" s="230"/>
      <c r="G84" s="322"/>
      <c r="H84" s="236"/>
      <c r="I84" s="230"/>
      <c r="J84" s="35">
        <f t="shared" si="35"/>
        <v>0</v>
      </c>
      <c r="K84" s="288">
        <f t="shared" si="41"/>
        <v>0</v>
      </c>
      <c r="L84" s="294">
        <f t="shared" si="42"/>
        <v>0</v>
      </c>
      <c r="M84" s="299">
        <f t="shared" si="43"/>
        <v>0</v>
      </c>
      <c r="N84" s="282"/>
      <c r="O84" s="282">
        <f>F84*9000</f>
        <v>0</v>
      </c>
      <c r="P84" s="282"/>
      <c r="R84" s="4">
        <f t="shared" si="36"/>
        <v>0</v>
      </c>
      <c r="S84" s="4">
        <f t="shared" si="44"/>
        <v>0</v>
      </c>
    </row>
    <row r="85" spans="1:19" s="24" customFormat="1">
      <c r="A85" s="68"/>
      <c r="B85" s="69"/>
      <c r="C85" s="70" t="s">
        <v>2</v>
      </c>
      <c r="D85" s="9" t="s">
        <v>3</v>
      </c>
      <c r="E85" s="10" t="s">
        <v>4</v>
      </c>
      <c r="F85" s="12" t="s">
        <v>5</v>
      </c>
      <c r="G85" s="12"/>
      <c r="H85" s="681" t="s">
        <v>118</v>
      </c>
      <c r="I85" s="681"/>
      <c r="J85" s="13" t="s">
        <v>6</v>
      </c>
      <c r="K85" s="443">
        <f t="shared" ref="K85:S85" si="45">SUM(K68:K84)</f>
        <v>10284000</v>
      </c>
      <c r="L85" s="456">
        <f t="shared" si="45"/>
        <v>268800</v>
      </c>
      <c r="M85" s="445">
        <f t="shared" si="45"/>
        <v>1149200</v>
      </c>
      <c r="N85" s="446">
        <f t="shared" si="45"/>
        <v>0</v>
      </c>
      <c r="O85" s="446">
        <f t="shared" si="45"/>
        <v>150400</v>
      </c>
      <c r="P85" s="446">
        <f t="shared" si="45"/>
        <v>0</v>
      </c>
      <c r="Q85" s="443">
        <f t="shared" si="45"/>
        <v>0</v>
      </c>
      <c r="R85" s="447">
        <f t="shared" si="45"/>
        <v>11852400</v>
      </c>
      <c r="S85" s="448">
        <f t="shared" si="45"/>
        <v>3585819</v>
      </c>
    </row>
    <row r="86" spans="1:19">
      <c r="C86" s="14"/>
      <c r="D86" s="388" t="s">
        <v>119</v>
      </c>
      <c r="E86" s="15" t="s">
        <v>120</v>
      </c>
      <c r="F86" s="45" t="s">
        <v>121</v>
      </c>
      <c r="G86" s="7" t="s">
        <v>400</v>
      </c>
      <c r="H86" s="20"/>
      <c r="I86" s="157"/>
      <c r="J86" s="17"/>
      <c r="L86" s="294"/>
      <c r="M86" s="299"/>
      <c r="P86" s="210"/>
    </row>
    <row r="87" spans="1:19">
      <c r="A87" s="24" t="s">
        <v>122</v>
      </c>
      <c r="C87" s="18"/>
      <c r="D87" s="389" t="s">
        <v>123</v>
      </c>
      <c r="E87" s="19" t="s">
        <v>124</v>
      </c>
      <c r="F87" s="71" t="s">
        <v>125</v>
      </c>
      <c r="G87" s="71" t="s">
        <v>401</v>
      </c>
      <c r="H87" s="203"/>
      <c r="I87" s="71"/>
      <c r="J87" s="72"/>
      <c r="K87" s="219" t="s">
        <v>2</v>
      </c>
      <c r="L87" s="664" t="s">
        <v>734</v>
      </c>
      <c r="M87" s="664"/>
      <c r="N87" s="348" t="s">
        <v>16</v>
      </c>
      <c r="O87" s="348" t="s">
        <v>557</v>
      </c>
      <c r="P87" s="348" t="s">
        <v>464</v>
      </c>
      <c r="Q87" s="420" t="s">
        <v>412</v>
      </c>
      <c r="R87" s="220" t="s">
        <v>18</v>
      </c>
      <c r="S87" s="221" t="s">
        <v>19</v>
      </c>
    </row>
    <row r="88" spans="1:19">
      <c r="A88" s="79" t="s">
        <v>126</v>
      </c>
      <c r="B88" s="375" t="s">
        <v>127</v>
      </c>
      <c r="C88" s="233">
        <v>82</v>
      </c>
      <c r="D88" s="538"/>
      <c r="E88" s="234">
        <v>20</v>
      </c>
      <c r="F88" s="230"/>
      <c r="G88" s="322"/>
      <c r="H88" s="230"/>
      <c r="I88" s="230"/>
      <c r="J88" s="35">
        <f>SUM(C88:I88)</f>
        <v>102</v>
      </c>
      <c r="K88" s="362">
        <v>1546200</v>
      </c>
      <c r="L88" s="294">
        <f>D88*15400</f>
        <v>0</v>
      </c>
      <c r="M88" s="299">
        <f>E88*15400</f>
        <v>308000</v>
      </c>
      <c r="N88" s="282"/>
      <c r="O88" s="282"/>
      <c r="P88" s="286">
        <f>H88*18000</f>
        <v>0</v>
      </c>
      <c r="Q88" s="159"/>
      <c r="R88" s="4">
        <f>SUM(K88:Q88)</f>
        <v>1854200</v>
      </c>
      <c r="S88" s="4">
        <f>J88*7734</f>
        <v>788868</v>
      </c>
    </row>
    <row r="89" spans="1:19">
      <c r="A89" s="79" t="s">
        <v>128</v>
      </c>
      <c r="B89" s="375" t="s">
        <v>127</v>
      </c>
      <c r="C89" s="233">
        <v>92</v>
      </c>
      <c r="D89" s="235"/>
      <c r="E89" s="234">
        <v>38</v>
      </c>
      <c r="F89" s="230"/>
      <c r="G89" s="322"/>
      <c r="H89" s="230"/>
      <c r="I89" s="230"/>
      <c r="J89" s="35">
        <f t="shared" ref="J89:J99" si="46">SUM(C89:I89)</f>
        <v>130</v>
      </c>
      <c r="K89" s="362">
        <v>1734300</v>
      </c>
      <c r="L89" s="294">
        <f t="shared" ref="L89:L93" si="47">D89*15400</f>
        <v>0</v>
      </c>
      <c r="M89" s="299">
        <f t="shared" ref="M89:M93" si="48">E89*15400</f>
        <v>585200</v>
      </c>
      <c r="N89" s="282"/>
      <c r="O89" s="282"/>
      <c r="P89" s="286">
        <f>H89*18000</f>
        <v>0</v>
      </c>
      <c r="Q89" s="159"/>
      <c r="R89" s="4">
        <f t="shared" ref="R89:R99" si="49">SUM(K89:Q89)</f>
        <v>2319500</v>
      </c>
      <c r="S89" s="4">
        <f t="shared" ref="S89:S93" si="50">J89*7734</f>
        <v>1005420</v>
      </c>
    </row>
    <row r="90" spans="1:19">
      <c r="A90" s="79" t="s">
        <v>129</v>
      </c>
      <c r="B90" s="375" t="s">
        <v>127</v>
      </c>
      <c r="C90" s="233">
        <v>89</v>
      </c>
      <c r="D90" s="235"/>
      <c r="E90" s="234">
        <v>16</v>
      </c>
      <c r="F90" s="230"/>
      <c r="G90" s="322"/>
      <c r="H90" s="230"/>
      <c r="I90" s="230"/>
      <c r="J90" s="35">
        <f t="shared" si="46"/>
        <v>105</v>
      </c>
      <c r="K90" s="362">
        <f t="shared" ref="K90:K92" si="51">C90*18900</f>
        <v>1682100</v>
      </c>
      <c r="L90" s="294">
        <f t="shared" si="47"/>
        <v>0</v>
      </c>
      <c r="M90" s="299">
        <f t="shared" si="48"/>
        <v>246400</v>
      </c>
      <c r="N90" s="282"/>
      <c r="O90" s="282"/>
      <c r="P90" s="286">
        <f t="shared" ref="P90:P93" si="52">H90*18000</f>
        <v>0</v>
      </c>
      <c r="Q90" s="159"/>
      <c r="R90" s="4">
        <f t="shared" si="49"/>
        <v>1928500</v>
      </c>
      <c r="S90" s="4">
        <f t="shared" si="50"/>
        <v>812070</v>
      </c>
    </row>
    <row r="91" spans="1:19">
      <c r="A91" s="79" t="s">
        <v>131</v>
      </c>
      <c r="B91" s="375" t="s">
        <v>127</v>
      </c>
      <c r="C91" s="233">
        <v>64</v>
      </c>
      <c r="D91" s="235"/>
      <c r="E91" s="234">
        <v>16</v>
      </c>
      <c r="F91" s="230"/>
      <c r="G91" s="322"/>
      <c r="H91" s="230"/>
      <c r="I91" s="230"/>
      <c r="J91" s="35">
        <f t="shared" si="46"/>
        <v>80</v>
      </c>
      <c r="K91" s="362">
        <v>1202400</v>
      </c>
      <c r="L91" s="294">
        <f t="shared" si="47"/>
        <v>0</v>
      </c>
      <c r="M91" s="299">
        <f t="shared" si="48"/>
        <v>246400</v>
      </c>
      <c r="N91" s="282"/>
      <c r="O91" s="282"/>
      <c r="P91" s="286">
        <f t="shared" si="52"/>
        <v>0</v>
      </c>
      <c r="Q91" s="159"/>
      <c r="R91" s="4">
        <f t="shared" si="49"/>
        <v>1448800</v>
      </c>
      <c r="S91" s="4">
        <f t="shared" si="50"/>
        <v>618720</v>
      </c>
    </row>
    <row r="92" spans="1:19">
      <c r="A92" s="79" t="s">
        <v>130</v>
      </c>
      <c r="B92" s="375" t="s">
        <v>127</v>
      </c>
      <c r="C92" s="233">
        <v>64</v>
      </c>
      <c r="D92" s="235"/>
      <c r="E92" s="234">
        <v>14</v>
      </c>
      <c r="F92" s="230"/>
      <c r="G92" s="322"/>
      <c r="H92" s="230"/>
      <c r="I92" s="230"/>
      <c r="J92" s="35">
        <f t="shared" si="46"/>
        <v>78</v>
      </c>
      <c r="K92" s="362">
        <f t="shared" si="51"/>
        <v>1209600</v>
      </c>
      <c r="L92" s="294">
        <f t="shared" si="47"/>
        <v>0</v>
      </c>
      <c r="M92" s="299">
        <f t="shared" si="48"/>
        <v>215600</v>
      </c>
      <c r="N92" s="282"/>
      <c r="O92" s="282"/>
      <c r="P92" s="286">
        <f t="shared" si="52"/>
        <v>0</v>
      </c>
      <c r="Q92" s="159"/>
      <c r="R92" s="4">
        <f t="shared" si="49"/>
        <v>1425200</v>
      </c>
      <c r="S92" s="4">
        <f t="shared" si="50"/>
        <v>603252</v>
      </c>
    </row>
    <row r="93" spans="1:19">
      <c r="A93" s="79" t="s">
        <v>132</v>
      </c>
      <c r="B93" s="375" t="s">
        <v>127</v>
      </c>
      <c r="C93" s="233">
        <v>56</v>
      </c>
      <c r="D93" s="235"/>
      <c r="E93" s="234">
        <v>8</v>
      </c>
      <c r="F93" s="230"/>
      <c r="G93" s="322"/>
      <c r="H93" s="230"/>
      <c r="I93" s="230"/>
      <c r="J93" s="35">
        <f t="shared" si="46"/>
        <v>64</v>
      </c>
      <c r="K93" s="362">
        <v>1052100</v>
      </c>
      <c r="L93" s="294">
        <f t="shared" si="47"/>
        <v>0</v>
      </c>
      <c r="M93" s="299">
        <f t="shared" si="48"/>
        <v>123200</v>
      </c>
      <c r="N93" s="282"/>
      <c r="O93" s="282"/>
      <c r="P93" s="286">
        <f t="shared" si="52"/>
        <v>0</v>
      </c>
      <c r="Q93" s="159"/>
      <c r="R93" s="4">
        <f t="shared" si="49"/>
        <v>1175300</v>
      </c>
      <c r="S93" s="4">
        <f t="shared" si="50"/>
        <v>494976</v>
      </c>
    </row>
    <row r="94" spans="1:19">
      <c r="A94" s="79" t="s">
        <v>133</v>
      </c>
      <c r="B94" s="375" t="s">
        <v>134</v>
      </c>
      <c r="C94" s="233">
        <v>32</v>
      </c>
      <c r="D94" s="235"/>
      <c r="E94" s="531"/>
      <c r="F94" s="230">
        <v>525</v>
      </c>
      <c r="G94" s="322"/>
      <c r="H94" s="236"/>
      <c r="I94" s="242"/>
      <c r="J94" s="35">
        <f t="shared" si="46"/>
        <v>557</v>
      </c>
      <c r="K94" s="362">
        <f>C94*8400</f>
        <v>268800</v>
      </c>
      <c r="L94" s="294">
        <f>D94*6600</f>
        <v>0</v>
      </c>
      <c r="M94" s="299">
        <f>E94*6600</f>
        <v>0</v>
      </c>
      <c r="N94" s="282">
        <v>3525120</v>
      </c>
      <c r="O94" s="282"/>
      <c r="P94" s="282"/>
      <c r="Q94" s="159"/>
      <c r="R94" s="4">
        <f>SUM(K94:Q94)</f>
        <v>3793920</v>
      </c>
      <c r="S94" s="4">
        <f>J94*2880</f>
        <v>1604160</v>
      </c>
    </row>
    <row r="95" spans="1:19">
      <c r="A95" s="79" t="s">
        <v>135</v>
      </c>
      <c r="B95" s="375" t="s">
        <v>134</v>
      </c>
      <c r="C95" s="233">
        <v>27</v>
      </c>
      <c r="D95" s="235"/>
      <c r="E95" s="234"/>
      <c r="F95" s="230">
        <v>350</v>
      </c>
      <c r="G95" s="322"/>
      <c r="H95" s="236"/>
      <c r="I95" s="330"/>
      <c r="J95" s="35">
        <f t="shared" si="46"/>
        <v>377</v>
      </c>
      <c r="K95" s="362">
        <f t="shared" ref="K95:K97" si="53">C95*8400</f>
        <v>226800</v>
      </c>
      <c r="L95" s="294">
        <f t="shared" ref="L95:L99" si="54">D95*6600</f>
        <v>0</v>
      </c>
      <c r="M95" s="299">
        <f t="shared" ref="M95:M99" si="55">E95*6600</f>
        <v>0</v>
      </c>
      <c r="N95" s="282">
        <v>2350080</v>
      </c>
      <c r="O95" s="282"/>
      <c r="P95" s="282"/>
      <c r="Q95" s="159"/>
      <c r="R95" s="4">
        <f>SUM(K95:Q95)</f>
        <v>2576880</v>
      </c>
      <c r="S95" s="4">
        <f t="shared" ref="S95:S99" si="56">J95*2880</f>
        <v>1085760</v>
      </c>
    </row>
    <row r="96" spans="1:19">
      <c r="A96" s="79" t="s">
        <v>136</v>
      </c>
      <c r="B96" s="375" t="s">
        <v>134</v>
      </c>
      <c r="C96" s="233">
        <v>61</v>
      </c>
      <c r="D96" s="235"/>
      <c r="E96" s="234"/>
      <c r="F96" s="230">
        <v>350</v>
      </c>
      <c r="G96" s="322"/>
      <c r="H96" s="236"/>
      <c r="I96" s="242"/>
      <c r="J96" s="35">
        <f t="shared" si="46"/>
        <v>411</v>
      </c>
      <c r="K96" s="362">
        <f t="shared" si="53"/>
        <v>512400</v>
      </c>
      <c r="L96" s="294">
        <f t="shared" si="54"/>
        <v>0</v>
      </c>
      <c r="M96" s="299">
        <f t="shared" si="55"/>
        <v>0</v>
      </c>
      <c r="N96" s="282">
        <v>2350080</v>
      </c>
      <c r="O96" s="282"/>
      <c r="P96" s="282"/>
      <c r="Q96" s="159"/>
      <c r="R96" s="4">
        <f t="shared" si="49"/>
        <v>2862480</v>
      </c>
      <c r="S96" s="4">
        <f t="shared" si="56"/>
        <v>1183680</v>
      </c>
    </row>
    <row r="97" spans="1:19">
      <c r="A97" s="79" t="s">
        <v>138</v>
      </c>
      <c r="B97" s="375" t="s">
        <v>134</v>
      </c>
      <c r="C97" s="233">
        <v>49</v>
      </c>
      <c r="D97" s="235"/>
      <c r="E97" s="234"/>
      <c r="F97" s="230">
        <v>525</v>
      </c>
      <c r="G97" s="322"/>
      <c r="H97" s="236"/>
      <c r="I97" s="242"/>
      <c r="J97" s="35">
        <f t="shared" si="46"/>
        <v>574</v>
      </c>
      <c r="K97" s="362">
        <f t="shared" si="53"/>
        <v>411600</v>
      </c>
      <c r="L97" s="294">
        <f t="shared" si="54"/>
        <v>0</v>
      </c>
      <c r="M97" s="299">
        <f t="shared" si="55"/>
        <v>0</v>
      </c>
      <c r="N97" s="282">
        <v>3525120</v>
      </c>
      <c r="O97" s="282"/>
      <c r="P97" s="282"/>
      <c r="Q97" s="159"/>
      <c r="R97" s="4">
        <f t="shared" si="49"/>
        <v>3936720</v>
      </c>
      <c r="S97" s="4">
        <f t="shared" si="56"/>
        <v>1653120</v>
      </c>
    </row>
    <row r="98" spans="1:19">
      <c r="A98" s="79" t="s">
        <v>137</v>
      </c>
      <c r="B98" s="375" t="s">
        <v>134</v>
      </c>
      <c r="C98" s="233">
        <v>41</v>
      </c>
      <c r="D98" s="235"/>
      <c r="E98" s="234"/>
      <c r="F98" s="230"/>
      <c r="G98" s="322"/>
      <c r="H98" s="236"/>
      <c r="I98" s="330"/>
      <c r="J98" s="35">
        <f t="shared" si="46"/>
        <v>41</v>
      </c>
      <c r="K98" s="362">
        <v>344000</v>
      </c>
      <c r="L98" s="294">
        <f t="shared" si="54"/>
        <v>0</v>
      </c>
      <c r="M98" s="299">
        <f t="shared" si="55"/>
        <v>0</v>
      </c>
      <c r="N98" s="282">
        <f t="shared" ref="N98:N99" si="57">F98*6720</f>
        <v>0</v>
      </c>
      <c r="O98" s="282"/>
      <c r="P98" s="282"/>
      <c r="Q98" s="159"/>
      <c r="R98" s="4">
        <f t="shared" si="49"/>
        <v>344000</v>
      </c>
      <c r="S98" s="4">
        <f t="shared" si="56"/>
        <v>118080</v>
      </c>
    </row>
    <row r="99" spans="1:19">
      <c r="A99" s="423" t="s">
        <v>139</v>
      </c>
      <c r="B99" s="379" t="s">
        <v>134</v>
      </c>
      <c r="C99" s="311">
        <v>27</v>
      </c>
      <c r="D99" s="335"/>
      <c r="E99" s="336"/>
      <c r="F99" s="424"/>
      <c r="G99" s="337"/>
      <c r="H99" s="338"/>
      <c r="I99" s="425"/>
      <c r="J99" s="66">
        <f t="shared" si="46"/>
        <v>27</v>
      </c>
      <c r="K99" s="362">
        <v>226400</v>
      </c>
      <c r="L99" s="294">
        <f t="shared" si="54"/>
        <v>0</v>
      </c>
      <c r="M99" s="299">
        <f t="shared" si="55"/>
        <v>0</v>
      </c>
      <c r="N99" s="282">
        <f t="shared" si="57"/>
        <v>0</v>
      </c>
      <c r="O99" s="282"/>
      <c r="P99" s="282"/>
      <c r="Q99" s="159"/>
      <c r="R99" s="4">
        <f t="shared" si="49"/>
        <v>226400</v>
      </c>
      <c r="S99" s="4">
        <f t="shared" si="56"/>
        <v>77760</v>
      </c>
    </row>
    <row r="100" spans="1:19" s="24" customFormat="1">
      <c r="A100" s="81" t="s">
        <v>560</v>
      </c>
      <c r="B100" s="375"/>
      <c r="C100" s="233">
        <f>SUM(C88:C99)</f>
        <v>684</v>
      </c>
      <c r="D100" s="235">
        <f>SUM(D88:D99)</f>
        <v>0</v>
      </c>
      <c r="E100" s="234">
        <f>SUM(E88:E99)</f>
        <v>112</v>
      </c>
      <c r="F100" s="230">
        <f t="shared" ref="F100:I100" si="58">SUM(F88:F93)</f>
        <v>0</v>
      </c>
      <c r="G100" s="230">
        <f t="shared" si="58"/>
        <v>0</v>
      </c>
      <c r="H100" s="230">
        <f t="shared" si="58"/>
        <v>0</v>
      </c>
      <c r="I100" s="422">
        <f t="shared" si="58"/>
        <v>0</v>
      </c>
      <c r="J100" s="422">
        <f>SUM(J88:J93)</f>
        <v>559</v>
      </c>
      <c r="K100" s="426">
        <f>SUM(K88:K93)</f>
        <v>8426700</v>
      </c>
      <c r="L100" s="431">
        <f t="shared" ref="L100:Q100" si="59">SUM(L88:L93)</f>
        <v>0</v>
      </c>
      <c r="M100" s="433">
        <f t="shared" si="59"/>
        <v>1724800</v>
      </c>
      <c r="N100" s="435">
        <f t="shared" si="59"/>
        <v>0</v>
      </c>
      <c r="O100" s="435">
        <f t="shared" si="59"/>
        <v>0</v>
      </c>
      <c r="P100" s="435">
        <f t="shared" si="59"/>
        <v>0</v>
      </c>
      <c r="Q100" s="437">
        <f t="shared" si="59"/>
        <v>0</v>
      </c>
      <c r="R100" s="427"/>
      <c r="S100" s="427"/>
    </row>
    <row r="101" spans="1:19">
      <c r="A101" s="81" t="s">
        <v>140</v>
      </c>
      <c r="B101" s="73"/>
      <c r="C101" s="35">
        <f>SUM(C94:C99)</f>
        <v>237</v>
      </c>
      <c r="D101" s="32">
        <f>SUM(D94:D99)</f>
        <v>0</v>
      </c>
      <c r="E101" s="33">
        <f>SUM(E94:E99)</f>
        <v>0</v>
      </c>
      <c r="F101" s="191">
        <f>SUM(F94:F99)</f>
        <v>1750</v>
      </c>
      <c r="G101" s="191"/>
      <c r="H101" s="191">
        <f>SUM(H94:H99)</f>
        <v>0</v>
      </c>
      <c r="I101" s="41">
        <f>SUM(I88:I93)</f>
        <v>0</v>
      </c>
      <c r="J101" s="438">
        <f>SUM(J94:J99)</f>
        <v>1987</v>
      </c>
      <c r="K101" s="428">
        <f>SUM(K94:K99)</f>
        <v>1990000</v>
      </c>
      <c r="L101" s="432">
        <f>SUM(L94:L99)</f>
        <v>0</v>
      </c>
      <c r="M101" s="434">
        <f t="shared" ref="M101:P101" si="60">SUM(M94:M99)</f>
        <v>0</v>
      </c>
      <c r="N101" s="436">
        <f t="shared" si="60"/>
        <v>11750400</v>
      </c>
      <c r="O101" s="436">
        <f t="shared" si="60"/>
        <v>0</v>
      </c>
      <c r="P101" s="436">
        <f t="shared" si="60"/>
        <v>0</v>
      </c>
      <c r="Q101" s="429"/>
      <c r="R101" s="430"/>
      <c r="S101" s="430"/>
    </row>
    <row r="102" spans="1:19" s="24" customFormat="1">
      <c r="B102" s="74"/>
      <c r="C102" s="74"/>
      <c r="D102" s="9"/>
      <c r="E102" s="10"/>
      <c r="F102" s="12"/>
      <c r="G102" s="12"/>
      <c r="H102" s="192"/>
      <c r="I102" s="12"/>
      <c r="J102" s="13" t="s">
        <v>6</v>
      </c>
      <c r="K102" s="443">
        <f t="shared" ref="K102:S102" si="61">SUM(K88:K99)</f>
        <v>10416700</v>
      </c>
      <c r="L102" s="456">
        <f t="shared" si="61"/>
        <v>0</v>
      </c>
      <c r="M102" s="445">
        <f t="shared" si="61"/>
        <v>1724800</v>
      </c>
      <c r="N102" s="446">
        <f t="shared" si="61"/>
        <v>11750400</v>
      </c>
      <c r="O102" s="446">
        <f t="shared" si="61"/>
        <v>0</v>
      </c>
      <c r="P102" s="446">
        <f t="shared" si="61"/>
        <v>0</v>
      </c>
      <c r="Q102" s="446">
        <f t="shared" si="61"/>
        <v>0</v>
      </c>
      <c r="R102" s="447">
        <f t="shared" si="61"/>
        <v>23891900</v>
      </c>
      <c r="S102" s="448">
        <f t="shared" si="61"/>
        <v>10045866</v>
      </c>
    </row>
    <row r="103" spans="1:19" s="24" customFormat="1">
      <c r="B103" s="74"/>
      <c r="C103" s="74" t="s">
        <v>2</v>
      </c>
      <c r="D103" s="9" t="s">
        <v>3</v>
      </c>
      <c r="E103" s="10" t="s">
        <v>4</v>
      </c>
      <c r="F103" s="12" t="s">
        <v>5</v>
      </c>
      <c r="G103" s="12"/>
      <c r="H103" s="192"/>
      <c r="I103" s="12"/>
      <c r="J103" s="13"/>
      <c r="K103" s="458"/>
      <c r="L103" s="459"/>
      <c r="M103" s="460"/>
      <c r="N103" s="461"/>
      <c r="O103" s="461"/>
      <c r="P103" s="461"/>
      <c r="Q103" s="461"/>
      <c r="R103" s="462"/>
      <c r="S103" s="462"/>
    </row>
    <row r="104" spans="1:19">
      <c r="C104" s="14"/>
      <c r="D104" s="388" t="s">
        <v>142</v>
      </c>
      <c r="E104" s="15" t="s">
        <v>143</v>
      </c>
      <c r="F104" s="75"/>
      <c r="G104" s="75"/>
      <c r="H104" s="204"/>
      <c r="I104" s="76"/>
      <c r="J104" s="76"/>
      <c r="K104" s="181"/>
      <c r="P104" s="210"/>
    </row>
    <row r="105" spans="1:19">
      <c r="C105" s="314"/>
      <c r="D105" s="388" t="s">
        <v>144</v>
      </c>
      <c r="E105" s="15" t="s">
        <v>145</v>
      </c>
      <c r="F105" s="75"/>
      <c r="G105" s="75"/>
      <c r="H105" s="205"/>
      <c r="I105" s="78"/>
      <c r="J105" s="78"/>
      <c r="P105" s="210"/>
    </row>
    <row r="106" spans="1:19">
      <c r="A106" s="24" t="s">
        <v>146</v>
      </c>
      <c r="C106" s="25"/>
      <c r="D106" s="389" t="s">
        <v>85</v>
      </c>
      <c r="E106" s="19" t="s">
        <v>86</v>
      </c>
      <c r="F106" s="75"/>
      <c r="G106" s="77"/>
      <c r="H106" s="205"/>
      <c r="I106" s="78"/>
      <c r="J106" s="78"/>
      <c r="K106" s="219" t="s">
        <v>2</v>
      </c>
      <c r="L106" s="664" t="s">
        <v>734</v>
      </c>
      <c r="M106" s="664"/>
      <c r="N106" s="348" t="s">
        <v>16</v>
      </c>
      <c r="O106" s="348" t="s">
        <v>557</v>
      </c>
      <c r="P106" s="348" t="s">
        <v>464</v>
      </c>
      <c r="Q106" s="220"/>
      <c r="R106" s="220" t="s">
        <v>18</v>
      </c>
      <c r="S106" s="221" t="s">
        <v>19</v>
      </c>
    </row>
    <row r="107" spans="1:19">
      <c r="A107" s="79" t="s">
        <v>147</v>
      </c>
      <c r="B107" s="375" t="s">
        <v>148</v>
      </c>
      <c r="C107" s="240"/>
      <c r="D107" s="235"/>
      <c r="E107" s="256"/>
      <c r="F107" s="230"/>
      <c r="G107" s="241"/>
      <c r="H107" s="236"/>
      <c r="I107" s="35"/>
      <c r="J107" s="35">
        <f t="shared" ref="J107:J118" si="62">SUM(C107:I107)</f>
        <v>0</v>
      </c>
      <c r="K107" s="254">
        <f t="shared" ref="K107:M112" si="63">C107*12000</f>
        <v>0</v>
      </c>
      <c r="L107" s="294">
        <f t="shared" si="63"/>
        <v>0</v>
      </c>
      <c r="M107" s="299">
        <f>E107*12000</f>
        <v>0</v>
      </c>
      <c r="N107" s="282"/>
      <c r="O107" s="282"/>
      <c r="P107" s="282"/>
      <c r="Q107" s="285"/>
      <c r="R107" s="4">
        <f>SUM(K107:Q107)</f>
        <v>0</v>
      </c>
      <c r="S107" s="4">
        <f>J107*5967</f>
        <v>0</v>
      </c>
    </row>
    <row r="108" spans="1:19">
      <c r="A108" s="228" t="s">
        <v>149</v>
      </c>
      <c r="B108" s="357" t="s">
        <v>148</v>
      </c>
      <c r="C108" s="240"/>
      <c r="D108" s="235"/>
      <c r="E108" s="256"/>
      <c r="F108" s="230"/>
      <c r="G108" s="231"/>
      <c r="H108" s="236"/>
      <c r="I108" s="41"/>
      <c r="J108" s="35">
        <f t="shared" si="62"/>
        <v>0</v>
      </c>
      <c r="K108" s="254">
        <f t="shared" si="63"/>
        <v>0</v>
      </c>
      <c r="L108" s="294">
        <f t="shared" si="63"/>
        <v>0</v>
      </c>
      <c r="M108" s="299">
        <f t="shared" si="63"/>
        <v>0</v>
      </c>
      <c r="N108" s="282"/>
      <c r="O108" s="282"/>
      <c r="P108" s="282"/>
      <c r="Q108" s="285"/>
      <c r="R108" s="4">
        <f t="shared" ref="R108:R118" si="64">SUM(K108:Q108)</f>
        <v>0</v>
      </c>
      <c r="S108" s="4">
        <f t="shared" ref="S108:S112" si="65">J108*5967</f>
        <v>0</v>
      </c>
    </row>
    <row r="109" spans="1:19">
      <c r="A109" s="79" t="s">
        <v>150</v>
      </c>
      <c r="B109" s="375" t="s">
        <v>148</v>
      </c>
      <c r="C109" s="239"/>
      <c r="D109" s="235"/>
      <c r="E109" s="256"/>
      <c r="F109" s="230"/>
      <c r="G109" s="231"/>
      <c r="H109" s="236"/>
      <c r="I109" s="35"/>
      <c r="J109" s="35">
        <f t="shared" si="62"/>
        <v>0</v>
      </c>
      <c r="K109" s="254">
        <f t="shared" si="63"/>
        <v>0</v>
      </c>
      <c r="L109" s="294">
        <f t="shared" si="63"/>
        <v>0</v>
      </c>
      <c r="M109" s="299">
        <f t="shared" si="63"/>
        <v>0</v>
      </c>
      <c r="N109" s="282"/>
      <c r="O109" s="282"/>
      <c r="P109" s="282"/>
      <c r="Q109" s="285"/>
      <c r="R109" s="4">
        <f t="shared" si="64"/>
        <v>0</v>
      </c>
      <c r="S109" s="4">
        <f t="shared" si="65"/>
        <v>0</v>
      </c>
    </row>
    <row r="110" spans="1:19">
      <c r="A110" s="79" t="s">
        <v>152</v>
      </c>
      <c r="B110" s="375" t="s">
        <v>148</v>
      </c>
      <c r="C110" s="240">
        <v>15</v>
      </c>
      <c r="D110" s="235"/>
      <c r="E110" s="256"/>
      <c r="F110" s="230"/>
      <c r="G110" s="231"/>
      <c r="H110" s="236"/>
      <c r="I110" s="35"/>
      <c r="J110" s="35">
        <f t="shared" si="62"/>
        <v>15</v>
      </c>
      <c r="K110" s="254">
        <f>C110*12000</f>
        <v>180000</v>
      </c>
      <c r="L110" s="294">
        <f>D110*12000</f>
        <v>0</v>
      </c>
      <c r="M110" s="299">
        <f t="shared" si="63"/>
        <v>0</v>
      </c>
      <c r="N110" s="282"/>
      <c r="O110" s="282"/>
      <c r="P110" s="282"/>
      <c r="Q110" s="285"/>
      <c r="R110" s="4">
        <f t="shared" si="64"/>
        <v>180000</v>
      </c>
      <c r="S110" s="4">
        <f t="shared" si="65"/>
        <v>89505</v>
      </c>
    </row>
    <row r="111" spans="1:19">
      <c r="A111" s="79" t="s">
        <v>151</v>
      </c>
      <c r="B111" s="375" t="s">
        <v>148</v>
      </c>
      <c r="C111" s="240">
        <v>27</v>
      </c>
      <c r="D111" s="235"/>
      <c r="E111" s="256"/>
      <c r="F111" s="230"/>
      <c r="G111" s="231"/>
      <c r="H111" s="236"/>
      <c r="I111" s="35"/>
      <c r="J111" s="35">
        <f t="shared" si="62"/>
        <v>27</v>
      </c>
      <c r="K111" s="254">
        <f t="shared" ref="K111:L112" si="66">C111*12000</f>
        <v>324000</v>
      </c>
      <c r="L111" s="294">
        <f t="shared" si="66"/>
        <v>0</v>
      </c>
      <c r="M111" s="299">
        <f t="shared" si="63"/>
        <v>0</v>
      </c>
      <c r="N111" s="282"/>
      <c r="O111" s="282"/>
      <c r="P111" s="282"/>
      <c r="Q111" s="285"/>
      <c r="R111" s="4">
        <f t="shared" si="64"/>
        <v>324000</v>
      </c>
      <c r="S111" s="4">
        <f t="shared" si="65"/>
        <v>161109</v>
      </c>
    </row>
    <row r="112" spans="1:19">
      <c r="A112" s="79" t="s">
        <v>153</v>
      </c>
      <c r="B112" s="375" t="s">
        <v>148</v>
      </c>
      <c r="C112" s="240">
        <v>14</v>
      </c>
      <c r="D112" s="235"/>
      <c r="E112" s="256"/>
      <c r="F112" s="230"/>
      <c r="G112" s="231"/>
      <c r="H112" s="236"/>
      <c r="I112" s="35"/>
      <c r="J112" s="35">
        <f t="shared" si="62"/>
        <v>14</v>
      </c>
      <c r="K112" s="254">
        <f t="shared" si="66"/>
        <v>168000</v>
      </c>
      <c r="L112" s="294">
        <f t="shared" si="66"/>
        <v>0</v>
      </c>
      <c r="M112" s="299">
        <f t="shared" si="63"/>
        <v>0</v>
      </c>
      <c r="N112" s="282"/>
      <c r="O112" s="282"/>
      <c r="P112" s="282"/>
      <c r="Q112" s="285"/>
      <c r="R112" s="4">
        <f t="shared" si="64"/>
        <v>168000</v>
      </c>
      <c r="S112" s="4">
        <f t="shared" si="65"/>
        <v>83538</v>
      </c>
    </row>
    <row r="113" spans="1:19">
      <c r="A113" s="79" t="s">
        <v>154</v>
      </c>
      <c r="B113" s="375" t="s">
        <v>155</v>
      </c>
      <c r="C113" s="35">
        <v>1</v>
      </c>
      <c r="D113" s="235"/>
      <c r="E113" s="256"/>
      <c r="F113" s="322"/>
      <c r="G113" s="231"/>
      <c r="H113" s="236"/>
      <c r="I113" s="35"/>
      <c r="J113" s="35">
        <f t="shared" si="62"/>
        <v>1</v>
      </c>
      <c r="K113" s="362">
        <f>C113*47000</f>
        <v>47000</v>
      </c>
      <c r="L113" s="294">
        <f>D113*35200</f>
        <v>0</v>
      </c>
      <c r="M113" s="299">
        <f>E113*35200</f>
        <v>0</v>
      </c>
      <c r="N113" s="282"/>
      <c r="O113" s="282"/>
      <c r="P113" s="282"/>
      <c r="Q113" s="285"/>
      <c r="R113" s="4">
        <f t="shared" si="64"/>
        <v>47000</v>
      </c>
      <c r="S113" s="4">
        <f>J113*15480</f>
        <v>15480</v>
      </c>
    </row>
    <row r="114" spans="1:19">
      <c r="A114" s="79" t="s">
        <v>156</v>
      </c>
      <c r="B114" s="375" t="s">
        <v>155</v>
      </c>
      <c r="C114" s="240"/>
      <c r="D114" s="235"/>
      <c r="E114" s="256"/>
      <c r="F114" s="230"/>
      <c r="G114" s="231"/>
      <c r="H114" s="236"/>
      <c r="I114" s="35"/>
      <c r="J114" s="35">
        <f t="shared" si="62"/>
        <v>0</v>
      </c>
      <c r="K114" s="362">
        <f t="shared" ref="K114:K118" si="67">C114*47000</f>
        <v>0</v>
      </c>
      <c r="L114" s="294">
        <f t="shared" ref="L114:L118" si="68">D114*35200</f>
        <v>0</v>
      </c>
      <c r="M114" s="299">
        <f t="shared" ref="M114:M118" si="69">E114*35200</f>
        <v>0</v>
      </c>
      <c r="N114" s="282">
        <f>F114*22500</f>
        <v>0</v>
      </c>
      <c r="O114" s="282"/>
      <c r="P114" s="282"/>
      <c r="Q114" s="285"/>
      <c r="R114" s="4">
        <f t="shared" si="64"/>
        <v>0</v>
      </c>
      <c r="S114" s="4">
        <f t="shared" ref="S114:S118" si="70">J114*15480</f>
        <v>0</v>
      </c>
    </row>
    <row r="115" spans="1:19">
      <c r="A115" s="79" t="s">
        <v>157</v>
      </c>
      <c r="B115" s="375" t="s">
        <v>155</v>
      </c>
      <c r="C115" s="240">
        <v>1</v>
      </c>
      <c r="D115" s="235"/>
      <c r="E115" s="256"/>
      <c r="F115" s="230"/>
      <c r="G115" s="231"/>
      <c r="H115" s="236"/>
      <c r="I115" s="35"/>
      <c r="J115" s="35">
        <f t="shared" si="62"/>
        <v>1</v>
      </c>
      <c r="K115" s="362">
        <v>45000</v>
      </c>
      <c r="L115" s="294">
        <f t="shared" si="68"/>
        <v>0</v>
      </c>
      <c r="M115" s="299">
        <f t="shared" si="69"/>
        <v>0</v>
      </c>
      <c r="N115" s="282">
        <f>F115*22500</f>
        <v>0</v>
      </c>
      <c r="O115" s="282"/>
      <c r="P115" s="282"/>
      <c r="Q115" s="285"/>
      <c r="R115" s="4">
        <f t="shared" si="64"/>
        <v>45000</v>
      </c>
      <c r="S115" s="4">
        <f t="shared" si="70"/>
        <v>15480</v>
      </c>
    </row>
    <row r="116" spans="1:19">
      <c r="A116" s="79" t="s">
        <v>159</v>
      </c>
      <c r="B116" s="375" t="s">
        <v>155</v>
      </c>
      <c r="C116" s="240">
        <v>2</v>
      </c>
      <c r="D116" s="235"/>
      <c r="E116" s="256"/>
      <c r="F116" s="230"/>
      <c r="G116" s="231"/>
      <c r="H116" s="236"/>
      <c r="I116" s="35"/>
      <c r="J116" s="35">
        <f t="shared" si="62"/>
        <v>2</v>
      </c>
      <c r="K116" s="362">
        <f t="shared" si="67"/>
        <v>94000</v>
      </c>
      <c r="L116" s="294">
        <f t="shared" si="68"/>
        <v>0</v>
      </c>
      <c r="M116" s="299">
        <f t="shared" si="69"/>
        <v>0</v>
      </c>
      <c r="N116" s="282">
        <f>F116*22500</f>
        <v>0</v>
      </c>
      <c r="O116" s="282"/>
      <c r="P116" s="282"/>
      <c r="Q116" s="285"/>
      <c r="R116" s="4">
        <f t="shared" si="64"/>
        <v>94000</v>
      </c>
      <c r="S116" s="4">
        <f t="shared" si="70"/>
        <v>30960</v>
      </c>
    </row>
    <row r="117" spans="1:19">
      <c r="A117" s="79" t="s">
        <v>158</v>
      </c>
      <c r="B117" s="375" t="s">
        <v>155</v>
      </c>
      <c r="C117" s="240"/>
      <c r="D117" s="235"/>
      <c r="E117" s="256"/>
      <c r="F117" s="230"/>
      <c r="G117" s="231"/>
      <c r="H117" s="236"/>
      <c r="I117" s="35"/>
      <c r="J117" s="35">
        <f t="shared" si="62"/>
        <v>0</v>
      </c>
      <c r="K117" s="362">
        <f t="shared" si="67"/>
        <v>0</v>
      </c>
      <c r="L117" s="294">
        <f t="shared" si="68"/>
        <v>0</v>
      </c>
      <c r="M117" s="299">
        <f t="shared" si="69"/>
        <v>0</v>
      </c>
      <c r="N117" s="282">
        <f>F117*22500</f>
        <v>0</v>
      </c>
      <c r="O117" s="282"/>
      <c r="P117" s="282"/>
      <c r="Q117" s="285"/>
      <c r="R117" s="4">
        <f t="shared" si="64"/>
        <v>0</v>
      </c>
      <c r="S117" s="4">
        <f t="shared" si="70"/>
        <v>0</v>
      </c>
    </row>
    <row r="118" spans="1:19">
      <c r="A118" s="79" t="s">
        <v>160</v>
      </c>
      <c r="B118" s="375" t="s">
        <v>155</v>
      </c>
      <c r="C118" s="237">
        <v>1</v>
      </c>
      <c r="D118" s="235"/>
      <c r="E118" s="234"/>
      <c r="F118" s="230"/>
      <c r="G118" s="230"/>
      <c r="H118" s="197"/>
      <c r="I118" s="35"/>
      <c r="J118" s="35">
        <f t="shared" si="62"/>
        <v>1</v>
      </c>
      <c r="K118" s="362">
        <f t="shared" si="67"/>
        <v>47000</v>
      </c>
      <c r="L118" s="294">
        <f t="shared" si="68"/>
        <v>0</v>
      </c>
      <c r="M118" s="299">
        <f t="shared" si="69"/>
        <v>0</v>
      </c>
      <c r="N118" s="282">
        <f>F118*31500</f>
        <v>0</v>
      </c>
      <c r="O118" s="282"/>
      <c r="P118" s="282"/>
      <c r="Q118" s="285"/>
      <c r="R118" s="4">
        <f t="shared" si="64"/>
        <v>47000</v>
      </c>
      <c r="S118" s="4">
        <f t="shared" si="70"/>
        <v>15480</v>
      </c>
    </row>
    <row r="119" spans="1:19">
      <c r="A119" s="81"/>
      <c r="B119" s="29"/>
      <c r="C119" s="35"/>
      <c r="D119" s="32"/>
      <c r="E119" s="33"/>
      <c r="F119" s="191"/>
      <c r="G119" s="191"/>
      <c r="H119" s="191"/>
      <c r="I119" s="191"/>
      <c r="J119" s="35"/>
      <c r="L119" s="294"/>
      <c r="M119" s="299"/>
      <c r="N119" s="282"/>
      <c r="O119" s="282"/>
      <c r="P119" s="282"/>
      <c r="Q119" s="285"/>
    </row>
    <row r="120" spans="1:19" s="24" customFormat="1">
      <c r="B120" s="13"/>
      <c r="C120" s="74"/>
      <c r="D120" s="82"/>
      <c r="E120" s="83"/>
      <c r="F120" s="84"/>
      <c r="G120" s="84"/>
      <c r="H120" s="206"/>
      <c r="I120" s="84"/>
      <c r="J120" s="85" t="s">
        <v>6</v>
      </c>
      <c r="K120" s="443">
        <f t="shared" ref="K120:S120" si="71">SUM(K107:K119)</f>
        <v>905000</v>
      </c>
      <c r="L120" s="456">
        <f t="shared" si="71"/>
        <v>0</v>
      </c>
      <c r="M120" s="445">
        <f t="shared" si="71"/>
        <v>0</v>
      </c>
      <c r="N120" s="446">
        <f t="shared" si="71"/>
        <v>0</v>
      </c>
      <c r="O120" s="446">
        <f t="shared" si="71"/>
        <v>0</v>
      </c>
      <c r="P120" s="446">
        <f t="shared" si="71"/>
        <v>0</v>
      </c>
      <c r="Q120" s="465">
        <f t="shared" si="71"/>
        <v>0</v>
      </c>
      <c r="R120" s="447">
        <f t="shared" si="71"/>
        <v>905000</v>
      </c>
      <c r="S120" s="448">
        <f t="shared" si="71"/>
        <v>411552</v>
      </c>
    </row>
    <row r="121" spans="1:19" s="24" customFormat="1">
      <c r="B121" s="13"/>
      <c r="C121" s="74" t="s">
        <v>2</v>
      </c>
      <c r="D121" s="82" t="s">
        <v>3</v>
      </c>
      <c r="E121" s="83" t="s">
        <v>4</v>
      </c>
      <c r="F121" s="84" t="s">
        <v>5</v>
      </c>
      <c r="G121" s="84"/>
      <c r="H121" s="206"/>
      <c r="I121" s="84"/>
      <c r="J121" s="85"/>
      <c r="K121" s="253"/>
      <c r="L121" s="421"/>
      <c r="M121" s="463"/>
      <c r="N121" s="284"/>
      <c r="O121" s="284"/>
      <c r="P121" s="284"/>
      <c r="Q121" s="305"/>
      <c r="R121" s="464"/>
      <c r="S121" s="464"/>
    </row>
    <row r="122" spans="1:19">
      <c r="A122" s="24" t="s">
        <v>161</v>
      </c>
      <c r="B122" s="86"/>
      <c r="D122" s="55" t="s">
        <v>162</v>
      </c>
      <c r="E122" s="15" t="s">
        <v>163</v>
      </c>
      <c r="F122" s="45"/>
      <c r="G122" s="45"/>
      <c r="H122" s="199"/>
      <c r="I122" s="35"/>
      <c r="J122" s="35"/>
      <c r="K122" s="580" t="s">
        <v>2</v>
      </c>
      <c r="L122" s="664" t="s">
        <v>734</v>
      </c>
      <c r="M122" s="664"/>
      <c r="N122" s="581" t="s">
        <v>16</v>
      </c>
      <c r="O122" s="581" t="s">
        <v>557</v>
      </c>
      <c r="P122" s="581" t="s">
        <v>464</v>
      </c>
      <c r="Q122" s="582"/>
      <c r="R122" s="582" t="s">
        <v>18</v>
      </c>
      <c r="S122" s="583" t="s">
        <v>19</v>
      </c>
    </row>
    <row r="123" spans="1:19">
      <c r="A123" s="29" t="s">
        <v>164</v>
      </c>
      <c r="B123" s="375" t="s">
        <v>165</v>
      </c>
      <c r="C123" s="237"/>
      <c r="D123" s="235"/>
      <c r="E123" s="234"/>
      <c r="F123" s="230"/>
      <c r="G123" s="230"/>
      <c r="H123" s="197"/>
      <c r="I123" s="35"/>
      <c r="J123" s="35">
        <f>SUM(C123:I123)</f>
        <v>0</v>
      </c>
      <c r="K123" s="288">
        <f>C123*100800</f>
        <v>0</v>
      </c>
      <c r="L123" s="294">
        <f>D123*86900</f>
        <v>0</v>
      </c>
      <c r="M123" s="299">
        <f>E123*86900</f>
        <v>0</v>
      </c>
      <c r="N123" s="282"/>
      <c r="O123" s="282"/>
      <c r="P123" s="282"/>
      <c r="R123" s="4">
        <f>SUM(K123:Q123)</f>
        <v>0</v>
      </c>
      <c r="S123" s="4">
        <f>J123*36064</f>
        <v>0</v>
      </c>
    </row>
    <row r="124" spans="1:19">
      <c r="A124" s="29" t="s">
        <v>166</v>
      </c>
      <c r="B124" s="375" t="s">
        <v>165</v>
      </c>
      <c r="C124" s="237">
        <v>2</v>
      </c>
      <c r="D124" s="235"/>
      <c r="E124" s="234"/>
      <c r="F124" s="230"/>
      <c r="G124" s="230"/>
      <c r="H124" s="197"/>
      <c r="I124" s="35"/>
      <c r="J124" s="35">
        <f>SUM(C124:I124)</f>
        <v>2</v>
      </c>
      <c r="K124" s="288">
        <f t="shared" ref="K124:K126" si="72">C124*100800</f>
        <v>201600</v>
      </c>
      <c r="L124" s="294">
        <f t="shared" ref="L124:L126" si="73">D124*86900</f>
        <v>0</v>
      </c>
      <c r="M124" s="299">
        <f t="shared" ref="M124:M126" si="74">E124*86900</f>
        <v>0</v>
      </c>
      <c r="N124" s="282"/>
      <c r="O124" s="282"/>
      <c r="P124" s="282"/>
      <c r="R124" s="4">
        <f t="shared" ref="R124:R126" si="75">SUM(K124:Q124)</f>
        <v>201600</v>
      </c>
      <c r="S124" s="4">
        <f t="shared" ref="S124:S126" si="76">J124*36064</f>
        <v>72128</v>
      </c>
    </row>
    <row r="125" spans="1:19">
      <c r="A125" s="29" t="s">
        <v>167</v>
      </c>
      <c r="B125" s="375" t="s">
        <v>165</v>
      </c>
      <c r="C125" s="233">
        <v>2</v>
      </c>
      <c r="D125" s="235"/>
      <c r="E125" s="234"/>
      <c r="F125" s="230"/>
      <c r="G125" s="230"/>
      <c r="H125" s="197"/>
      <c r="I125" s="35"/>
      <c r="J125" s="35">
        <f>SUM(C125:I125)</f>
        <v>2</v>
      </c>
      <c r="K125" s="288">
        <f t="shared" si="72"/>
        <v>201600</v>
      </c>
      <c r="L125" s="294">
        <f t="shared" si="73"/>
        <v>0</v>
      </c>
      <c r="M125" s="299">
        <f t="shared" si="74"/>
        <v>0</v>
      </c>
      <c r="N125" s="282"/>
      <c r="O125" s="282"/>
      <c r="P125" s="282"/>
      <c r="R125" s="4">
        <f t="shared" si="75"/>
        <v>201600</v>
      </c>
      <c r="S125" s="4">
        <f t="shared" si="76"/>
        <v>72128</v>
      </c>
    </row>
    <row r="126" spans="1:19">
      <c r="A126" s="29" t="s">
        <v>168</v>
      </c>
      <c r="B126" s="375" t="s">
        <v>165</v>
      </c>
      <c r="C126" s="237"/>
      <c r="D126" s="235"/>
      <c r="E126" s="234">
        <v>1</v>
      </c>
      <c r="F126" s="230"/>
      <c r="G126" s="230"/>
      <c r="H126" s="197"/>
      <c r="I126" s="35"/>
      <c r="J126" s="35">
        <f>SUM(C126:I126)</f>
        <v>1</v>
      </c>
      <c r="K126" s="288">
        <f t="shared" si="72"/>
        <v>0</v>
      </c>
      <c r="L126" s="294">
        <f t="shared" si="73"/>
        <v>0</v>
      </c>
      <c r="M126" s="299">
        <f t="shared" si="74"/>
        <v>86900</v>
      </c>
      <c r="N126" s="282"/>
      <c r="O126" s="282"/>
      <c r="P126" s="282"/>
      <c r="R126" s="4">
        <f t="shared" si="75"/>
        <v>86900</v>
      </c>
      <c r="S126" s="4">
        <f t="shared" si="76"/>
        <v>36064</v>
      </c>
    </row>
    <row r="127" spans="1:19" s="24" customFormat="1">
      <c r="B127" s="74"/>
      <c r="C127" s="74"/>
      <c r="D127" s="82" t="s">
        <v>3</v>
      </c>
      <c r="E127" s="83" t="s">
        <v>4</v>
      </c>
      <c r="F127" s="84" t="s">
        <v>5</v>
      </c>
      <c r="G127" s="84"/>
      <c r="H127" s="206"/>
      <c r="I127" s="84"/>
      <c r="J127" s="74" t="s">
        <v>6</v>
      </c>
      <c r="K127" s="443">
        <f>SUM(K123:K126)</f>
        <v>403200</v>
      </c>
      <c r="L127" s="456">
        <f t="shared" ref="L127:Q127" si="77">SUM(L123:L126)</f>
        <v>0</v>
      </c>
      <c r="M127" s="445">
        <f t="shared" si="77"/>
        <v>86900</v>
      </c>
      <c r="N127" s="446">
        <f t="shared" si="77"/>
        <v>0</v>
      </c>
      <c r="O127" s="446">
        <f t="shared" si="77"/>
        <v>0</v>
      </c>
      <c r="P127" s="446">
        <f t="shared" si="77"/>
        <v>0</v>
      </c>
      <c r="Q127" s="443">
        <f t="shared" si="77"/>
        <v>0</v>
      </c>
      <c r="R127" s="447">
        <f>SUM(R123:R126)</f>
        <v>490100</v>
      </c>
      <c r="S127" s="448">
        <f>SUM(S123:S126)</f>
        <v>180320</v>
      </c>
    </row>
    <row r="128" spans="1:19">
      <c r="A128" s="24" t="s">
        <v>169</v>
      </c>
      <c r="B128" s="2" t="s">
        <v>2</v>
      </c>
      <c r="C128" s="87"/>
      <c r="D128" s="88" t="s">
        <v>170</v>
      </c>
      <c r="E128" s="89" t="s">
        <v>171</v>
      </c>
      <c r="F128" s="90" t="s">
        <v>370</v>
      </c>
      <c r="G128" s="73"/>
      <c r="H128" s="195"/>
      <c r="I128" s="73"/>
      <c r="J128" s="74"/>
      <c r="K128" s="219" t="s">
        <v>2</v>
      </c>
      <c r="L128" s="664" t="s">
        <v>734</v>
      </c>
      <c r="M128" s="664"/>
      <c r="N128" s="348" t="s">
        <v>16</v>
      </c>
      <c r="O128" s="348" t="s">
        <v>557</v>
      </c>
      <c r="P128" s="348" t="s">
        <v>464</v>
      </c>
      <c r="Q128" s="220"/>
      <c r="R128" s="220" t="s">
        <v>18</v>
      </c>
      <c r="S128" s="221" t="s">
        <v>19</v>
      </c>
    </row>
    <row r="129" spans="1:19">
      <c r="A129" s="129" t="s">
        <v>172</v>
      </c>
      <c r="B129" s="87"/>
      <c r="C129" s="35"/>
      <c r="D129" s="32"/>
      <c r="E129" s="33"/>
      <c r="F129" s="230"/>
      <c r="G129" s="241"/>
      <c r="H129" s="195"/>
      <c r="I129" s="73"/>
      <c r="J129" s="35">
        <f>SUM(C129:I129)</f>
        <v>0</v>
      </c>
      <c r="L129" s="173"/>
      <c r="M129" s="299"/>
      <c r="N129" s="282">
        <f>F129*39000</f>
        <v>0</v>
      </c>
      <c r="P129" s="210"/>
      <c r="R129" s="4">
        <f>SUM(K129:Q129)</f>
        <v>0</v>
      </c>
      <c r="S129" s="4">
        <f>J129*22255</f>
        <v>0</v>
      </c>
    </row>
    <row r="130" spans="1:19">
      <c r="A130" s="129" t="s">
        <v>173</v>
      </c>
      <c r="B130" s="87"/>
      <c r="C130" s="35"/>
      <c r="D130" s="32"/>
      <c r="E130" s="33"/>
      <c r="F130" s="230"/>
      <c r="G130" s="241"/>
      <c r="H130" s="195"/>
      <c r="I130" s="73"/>
      <c r="J130" s="35">
        <f>SUM(C130:I130)</f>
        <v>0</v>
      </c>
      <c r="L130" s="173"/>
      <c r="M130" s="299"/>
      <c r="N130" s="282">
        <f>F130*39000</f>
        <v>0</v>
      </c>
      <c r="P130" s="210"/>
      <c r="R130" s="4">
        <f t="shared" ref="R130:R132" si="78">SUM(K130:Q130)</f>
        <v>0</v>
      </c>
      <c r="S130" s="4">
        <f>J130*32062</f>
        <v>0</v>
      </c>
    </row>
    <row r="131" spans="1:19">
      <c r="A131" s="129" t="s">
        <v>174</v>
      </c>
      <c r="B131" s="87"/>
      <c r="C131" s="35"/>
      <c r="D131" s="32"/>
      <c r="E131" s="33"/>
      <c r="F131" s="230"/>
      <c r="G131" s="241"/>
      <c r="H131" s="195"/>
      <c r="I131" s="73"/>
      <c r="J131" s="35">
        <f>SUM(C131:I131)</f>
        <v>0</v>
      </c>
      <c r="L131" s="173"/>
      <c r="M131" s="299"/>
      <c r="N131" s="282">
        <f>F131*39000</f>
        <v>0</v>
      </c>
      <c r="P131" s="210"/>
      <c r="R131" s="4">
        <f t="shared" si="78"/>
        <v>0</v>
      </c>
      <c r="S131" s="4">
        <f>J131*29799</f>
        <v>0</v>
      </c>
    </row>
    <row r="132" spans="1:19">
      <c r="A132" s="129" t="s">
        <v>175</v>
      </c>
      <c r="B132" s="87"/>
      <c r="C132" s="35"/>
      <c r="D132" s="32"/>
      <c r="E132" s="33"/>
      <c r="F132" s="230"/>
      <c r="G132" s="241"/>
      <c r="H132" s="195"/>
      <c r="I132" s="73"/>
      <c r="J132" s="35">
        <f>SUM(C132:I132)</f>
        <v>0</v>
      </c>
      <c r="L132" s="173"/>
      <c r="M132" s="299"/>
      <c r="N132" s="282">
        <f>F132*39000</f>
        <v>0</v>
      </c>
      <c r="P132" s="210"/>
      <c r="R132" s="4">
        <f t="shared" si="78"/>
        <v>0</v>
      </c>
      <c r="S132" s="4">
        <f>J132*32062</f>
        <v>0</v>
      </c>
    </row>
    <row r="133" spans="1:19" s="24" customFormat="1">
      <c r="B133" s="74"/>
      <c r="C133" s="74"/>
      <c r="D133" s="9"/>
      <c r="E133" s="10"/>
      <c r="F133" s="12"/>
      <c r="G133" s="12"/>
      <c r="H133" s="192"/>
      <c r="I133" s="84"/>
      <c r="J133" s="13" t="s">
        <v>6</v>
      </c>
      <c r="K133" s="443">
        <f t="shared" ref="K133:S133" si="79">SUM(K129:K132)</f>
        <v>0</v>
      </c>
      <c r="L133" s="444">
        <f t="shared" si="79"/>
        <v>0</v>
      </c>
      <c r="M133" s="445">
        <f t="shared" si="79"/>
        <v>0</v>
      </c>
      <c r="N133" s="446">
        <f t="shared" si="79"/>
        <v>0</v>
      </c>
      <c r="O133" s="446">
        <f t="shared" si="79"/>
        <v>0</v>
      </c>
      <c r="P133" s="443">
        <f t="shared" si="79"/>
        <v>0</v>
      </c>
      <c r="Q133" s="443">
        <f t="shared" si="79"/>
        <v>0</v>
      </c>
      <c r="R133" s="447">
        <f t="shared" si="79"/>
        <v>0</v>
      </c>
      <c r="S133" s="448">
        <f t="shared" si="79"/>
        <v>0</v>
      </c>
    </row>
    <row r="134" spans="1:19" s="24" customFormat="1">
      <c r="B134" s="74"/>
      <c r="C134" s="74" t="s">
        <v>2</v>
      </c>
      <c r="D134" s="9" t="s">
        <v>3</v>
      </c>
      <c r="E134" s="10" t="s">
        <v>4</v>
      </c>
      <c r="F134" s="12" t="s">
        <v>5</v>
      </c>
      <c r="G134" s="12"/>
      <c r="H134" s="192"/>
      <c r="I134" s="92"/>
      <c r="J134" s="13"/>
      <c r="K134" s="253"/>
      <c r="L134" s="466"/>
      <c r="M134" s="463"/>
      <c r="N134" s="284"/>
      <c r="O134" s="284"/>
      <c r="P134" s="253"/>
      <c r="Q134" s="253"/>
      <c r="R134" s="464"/>
      <c r="S134" s="464"/>
    </row>
    <row r="135" spans="1:19">
      <c r="C135" s="1"/>
      <c r="D135" s="55" t="s">
        <v>176</v>
      </c>
      <c r="E135" s="15" t="s">
        <v>437</v>
      </c>
      <c r="F135" s="84"/>
      <c r="G135" s="12"/>
      <c r="H135" s="192"/>
      <c r="I135" s="92"/>
      <c r="J135" s="13"/>
      <c r="L135" s="173"/>
      <c r="M135" s="299"/>
      <c r="P135" s="210"/>
    </row>
    <row r="136" spans="1:19">
      <c r="A136" s="24" t="s">
        <v>177</v>
      </c>
      <c r="B136" s="93"/>
      <c r="C136" s="94"/>
      <c r="D136" s="55" t="s">
        <v>178</v>
      </c>
      <c r="E136" s="15" t="s">
        <v>179</v>
      </c>
      <c r="F136" s="45"/>
      <c r="G136" s="22"/>
      <c r="H136" s="193"/>
      <c r="I136" s="66"/>
      <c r="J136" s="66"/>
      <c r="K136" s="219" t="s">
        <v>2</v>
      </c>
      <c r="L136" s="664" t="s">
        <v>734</v>
      </c>
      <c r="M136" s="664"/>
      <c r="N136" s="348" t="s">
        <v>16</v>
      </c>
      <c r="O136" s="348" t="s">
        <v>557</v>
      </c>
      <c r="P136" s="348" t="s">
        <v>464</v>
      </c>
      <c r="Q136" s="419"/>
      <c r="R136" s="220" t="s">
        <v>18</v>
      </c>
      <c r="S136" s="221" t="s">
        <v>19</v>
      </c>
    </row>
    <row r="137" spans="1:19">
      <c r="A137" s="24"/>
      <c r="B137" s="365"/>
      <c r="C137" s="94"/>
      <c r="D137" s="55"/>
      <c r="E137" s="15" t="s">
        <v>504</v>
      </c>
      <c r="F137" s="45"/>
      <c r="G137" s="22"/>
      <c r="H137" s="193"/>
      <c r="I137" s="66"/>
      <c r="J137" s="66"/>
      <c r="K137" s="28"/>
      <c r="L137" s="296"/>
      <c r="M137" s="301"/>
      <c r="N137" s="286"/>
      <c r="O137" s="286"/>
      <c r="P137" s="286"/>
      <c r="Q137" s="279"/>
      <c r="R137" s="5"/>
    </row>
    <row r="138" spans="1:19">
      <c r="A138" s="95" t="s">
        <v>180</v>
      </c>
      <c r="B138" s="67" t="s">
        <v>110</v>
      </c>
      <c r="C138" s="312">
        <v>5</v>
      </c>
      <c r="D138" s="235"/>
      <c r="E138" s="234">
        <v>8</v>
      </c>
      <c r="F138" s="34"/>
      <c r="G138" s="34"/>
      <c r="H138" s="195"/>
      <c r="I138" s="41"/>
      <c r="J138" s="35">
        <f>SUM(C138:I138)</f>
        <v>13</v>
      </c>
      <c r="K138" s="254">
        <f>C138*134000</f>
        <v>670000</v>
      </c>
      <c r="L138" s="173">
        <f>D138*106700</f>
        <v>0</v>
      </c>
      <c r="M138" s="299">
        <f>E138*106700</f>
        <v>853600</v>
      </c>
      <c r="N138" s="282"/>
      <c r="O138" s="282"/>
      <c r="P138" s="282"/>
      <c r="Q138" s="279"/>
      <c r="R138" s="4">
        <f>SUM(K138:Q138)</f>
        <v>1523600</v>
      </c>
      <c r="S138" s="4">
        <f>J138*59055</f>
        <v>767715</v>
      </c>
    </row>
    <row r="139" spans="1:19">
      <c r="A139" s="95" t="s">
        <v>181</v>
      </c>
      <c r="B139" s="67" t="s">
        <v>115</v>
      </c>
      <c r="C139" s="312">
        <v>1</v>
      </c>
      <c r="D139" s="235"/>
      <c r="E139" s="234">
        <v>2</v>
      </c>
      <c r="F139" s="34"/>
      <c r="G139" s="34"/>
      <c r="H139" s="195"/>
      <c r="I139" s="41"/>
      <c r="J139" s="35">
        <f>SUM(C139:I139)</f>
        <v>3</v>
      </c>
      <c r="K139" s="254">
        <f>C139*134000</f>
        <v>134000</v>
      </c>
      <c r="L139" s="173">
        <f>D139*106700</f>
        <v>0</v>
      </c>
      <c r="M139" s="299">
        <f>E139*106700</f>
        <v>213400</v>
      </c>
      <c r="N139" s="282"/>
      <c r="O139" s="282"/>
      <c r="P139" s="282"/>
      <c r="Q139" s="279"/>
      <c r="R139" s="4">
        <f t="shared" ref="R139:R140" si="80">SUM(K139:Q139)</f>
        <v>347400</v>
      </c>
      <c r="S139" s="4">
        <f>J139*40000</f>
        <v>120000</v>
      </c>
    </row>
    <row r="140" spans="1:19">
      <c r="A140" s="555" t="s">
        <v>493</v>
      </c>
      <c r="B140" s="556" t="s">
        <v>494</v>
      </c>
      <c r="C140" s="559"/>
      <c r="D140" s="235"/>
      <c r="E140" s="234"/>
      <c r="F140" s="191"/>
      <c r="G140" s="34"/>
      <c r="H140" s="195"/>
      <c r="I140" s="41"/>
      <c r="J140" s="35">
        <f>SUM(C140:I140)</f>
        <v>0</v>
      </c>
      <c r="K140" s="268">
        <f>C140*89600</f>
        <v>0</v>
      </c>
      <c r="L140" s="173">
        <f>D140*89600</f>
        <v>0</v>
      </c>
      <c r="M140" s="299">
        <f>E140*89600</f>
        <v>0</v>
      </c>
      <c r="N140" s="282">
        <f>F140*89600</f>
        <v>0</v>
      </c>
      <c r="O140" s="282"/>
      <c r="P140" s="282"/>
      <c r="Q140" s="279"/>
      <c r="R140" s="4">
        <f t="shared" si="80"/>
        <v>0</v>
      </c>
      <c r="S140" s="4">
        <f>J140*55173</f>
        <v>0</v>
      </c>
    </row>
    <row r="141" spans="1:19">
      <c r="A141" s="96"/>
      <c r="D141" s="97"/>
      <c r="E141" s="98"/>
      <c r="F141" s="99"/>
      <c r="G141" s="100"/>
      <c r="H141" s="198"/>
      <c r="I141" s="72"/>
      <c r="J141" s="72" t="s">
        <v>6</v>
      </c>
      <c r="K141" s="443">
        <f>SUM(K137:K140)</f>
        <v>804000</v>
      </c>
      <c r="L141" s="444">
        <f t="shared" ref="L141:S141" si="81">SUM(L137:L140)</f>
        <v>0</v>
      </c>
      <c r="M141" s="445">
        <f t="shared" si="81"/>
        <v>1067000</v>
      </c>
      <c r="N141" s="446">
        <f t="shared" si="81"/>
        <v>0</v>
      </c>
      <c r="O141" s="446">
        <f t="shared" si="81"/>
        <v>0</v>
      </c>
      <c r="P141" s="446">
        <f t="shared" si="81"/>
        <v>0</v>
      </c>
      <c r="Q141" s="446">
        <f t="shared" si="81"/>
        <v>0</v>
      </c>
      <c r="R141" s="447">
        <f t="shared" si="81"/>
        <v>1871000</v>
      </c>
      <c r="S141" s="448">
        <f t="shared" si="81"/>
        <v>887715</v>
      </c>
    </row>
    <row r="142" spans="1:19" s="24" customFormat="1">
      <c r="B142" s="74"/>
      <c r="C142" s="31"/>
      <c r="D142" s="588" t="s">
        <v>3</v>
      </c>
      <c r="E142" s="589" t="s">
        <v>4</v>
      </c>
      <c r="F142" s="579" t="s">
        <v>5</v>
      </c>
      <c r="G142" s="579"/>
      <c r="H142" s="590"/>
      <c r="I142" s="84" t="s">
        <v>368</v>
      </c>
      <c r="J142" s="85"/>
      <c r="K142" s="253"/>
      <c r="L142" s="466"/>
      <c r="M142" s="463"/>
      <c r="N142" s="284"/>
      <c r="O142" s="284"/>
      <c r="P142" s="284"/>
      <c r="Q142" s="284"/>
      <c r="R142" s="464"/>
      <c r="S142" s="464"/>
    </row>
    <row r="143" spans="1:19">
      <c r="A143" s="24"/>
      <c r="C143" s="584"/>
      <c r="D143" s="584" t="s">
        <v>359</v>
      </c>
      <c r="E143" s="585" t="s">
        <v>184</v>
      </c>
      <c r="F143" s="586"/>
      <c r="G143" s="108"/>
      <c r="H143" s="587"/>
      <c r="I143" s="108"/>
      <c r="J143" s="107"/>
      <c r="L143" s="173"/>
      <c r="P143" s="210"/>
    </row>
    <row r="144" spans="1:19">
      <c r="A144" s="24"/>
      <c r="C144" s="104" t="s">
        <v>345</v>
      </c>
      <c r="D144" s="394" t="s">
        <v>182</v>
      </c>
      <c r="E144" s="15" t="s">
        <v>183</v>
      </c>
      <c r="F144" s="20" t="s">
        <v>515</v>
      </c>
      <c r="G144" s="84" t="s">
        <v>374</v>
      </c>
      <c r="H144" s="195"/>
      <c r="I144" s="73"/>
      <c r="J144" s="102"/>
      <c r="L144" s="173"/>
      <c r="P144" s="210"/>
    </row>
    <row r="145" spans="1:19">
      <c r="A145" s="24"/>
      <c r="C145" s="104" t="s">
        <v>187</v>
      </c>
      <c r="D145" s="394" t="s">
        <v>188</v>
      </c>
      <c r="E145" s="15" t="s">
        <v>189</v>
      </c>
      <c r="F145" s="45" t="s">
        <v>185</v>
      </c>
      <c r="G145" s="101" t="s">
        <v>561</v>
      </c>
      <c r="H145" s="207"/>
      <c r="I145" s="84"/>
      <c r="J145" s="102"/>
      <c r="L145" s="173"/>
      <c r="P145" s="210"/>
    </row>
    <row r="146" spans="1:19" ht="24">
      <c r="A146" s="24" t="s">
        <v>186</v>
      </c>
      <c r="C146" s="104" t="s">
        <v>190</v>
      </c>
      <c r="D146" s="394" t="s">
        <v>191</v>
      </c>
      <c r="E146" s="15" t="s">
        <v>192</v>
      </c>
      <c r="F146" s="20" t="s">
        <v>14</v>
      </c>
      <c r="G146" s="26" t="s">
        <v>15</v>
      </c>
      <c r="H146" s="195"/>
      <c r="I146" s="20"/>
      <c r="J146" s="102"/>
      <c r="L146" s="173"/>
      <c r="P146" s="210"/>
    </row>
    <row r="147" spans="1:19">
      <c r="A147" s="24"/>
      <c r="C147" s="104" t="s">
        <v>193</v>
      </c>
      <c r="D147" s="394" t="s">
        <v>194</v>
      </c>
      <c r="E147" s="15" t="s">
        <v>195</v>
      </c>
      <c r="F147" s="20"/>
      <c r="G147" s="292"/>
      <c r="H147" s="195"/>
      <c r="I147" s="109"/>
      <c r="J147" s="124"/>
      <c r="L147" s="173"/>
      <c r="P147" s="210"/>
    </row>
    <row r="148" spans="1:19">
      <c r="A148" s="24"/>
      <c r="B148" s="104"/>
      <c r="C148" s="104" t="s">
        <v>196</v>
      </c>
      <c r="D148" s="55" t="s">
        <v>142</v>
      </c>
      <c r="E148" s="15" t="s">
        <v>143</v>
      </c>
      <c r="F148" s="20"/>
      <c r="G148" s="147"/>
      <c r="H148" s="195"/>
      <c r="I148" s="20"/>
      <c r="J148" s="124"/>
      <c r="L148" s="173"/>
      <c r="P148" s="210"/>
    </row>
    <row r="149" spans="1:19">
      <c r="A149" s="24"/>
      <c r="B149" s="1" t="s">
        <v>2</v>
      </c>
      <c r="C149" s="552"/>
      <c r="D149" s="553"/>
      <c r="E149" s="553"/>
      <c r="F149" s="106"/>
      <c r="G149" s="107"/>
      <c r="H149" s="202"/>
      <c r="I149" s="107"/>
      <c r="J149" s="108"/>
      <c r="K149" s="591" t="s">
        <v>2</v>
      </c>
      <c r="L149" s="664" t="s">
        <v>734</v>
      </c>
      <c r="M149" s="664"/>
      <c r="N149" s="348" t="s">
        <v>16</v>
      </c>
      <c r="O149" s="348" t="s">
        <v>557</v>
      </c>
      <c r="P149" s="348" t="s">
        <v>464</v>
      </c>
      <c r="Q149" s="348" t="s">
        <v>17</v>
      </c>
      <c r="R149" s="220" t="s">
        <v>18</v>
      </c>
      <c r="S149" s="221" t="s">
        <v>19</v>
      </c>
    </row>
    <row r="150" spans="1:19">
      <c r="A150" s="79" t="s">
        <v>197</v>
      </c>
      <c r="B150" s="375" t="s">
        <v>716</v>
      </c>
      <c r="C150" s="233">
        <v>420</v>
      </c>
      <c r="D150" s="366"/>
      <c r="E150" s="339">
        <v>36</v>
      </c>
      <c r="F150" s="230"/>
      <c r="G150" s="231"/>
      <c r="H150" s="236"/>
      <c r="I150" s="242"/>
      <c r="J150" s="35">
        <f t="shared" ref="J150:J158" si="82">SUM(C150:I150)</f>
        <v>456</v>
      </c>
      <c r="K150" s="254">
        <v>4362000</v>
      </c>
      <c r="L150" s="173">
        <f>D150*9000</f>
        <v>0</v>
      </c>
      <c r="M150" s="299">
        <f>E150*9000</f>
        <v>324000</v>
      </c>
      <c r="N150" s="282"/>
      <c r="O150" s="282"/>
      <c r="P150" s="282"/>
      <c r="Q150" s="286"/>
      <c r="R150" s="4">
        <f>SUM(K150:Q150)</f>
        <v>4686000</v>
      </c>
      <c r="S150" s="4">
        <f>J150*5400</f>
        <v>2462400</v>
      </c>
    </row>
    <row r="151" spans="1:19">
      <c r="A151" s="79" t="s">
        <v>198</v>
      </c>
      <c r="B151" s="375" t="s">
        <v>199</v>
      </c>
      <c r="C151" s="233">
        <v>223</v>
      </c>
      <c r="D151" s="235">
        <v>20</v>
      </c>
      <c r="E151" s="234">
        <v>24</v>
      </c>
      <c r="F151" s="230">
        <v>4</v>
      </c>
      <c r="G151" s="242"/>
      <c r="H151" s="236"/>
      <c r="I151" s="230"/>
      <c r="J151" s="35">
        <f t="shared" si="82"/>
        <v>271</v>
      </c>
      <c r="K151" s="254">
        <v>3270400</v>
      </c>
      <c r="L151" s="173">
        <f>D151*12900</f>
        <v>258000</v>
      </c>
      <c r="M151" s="299">
        <f>E151*12900</f>
        <v>309600</v>
      </c>
      <c r="N151" s="282"/>
      <c r="O151" s="282">
        <f>F151*11760</f>
        <v>47040</v>
      </c>
      <c r="P151" s="282"/>
      <c r="Q151" s="286"/>
      <c r="R151" s="4">
        <f t="shared" ref="R151:R158" si="83">SUM(K151:Q151)</f>
        <v>3885040</v>
      </c>
      <c r="S151" s="4">
        <f>J151*7140</f>
        <v>1934940</v>
      </c>
    </row>
    <row r="152" spans="1:19">
      <c r="A152" s="79" t="s">
        <v>200</v>
      </c>
      <c r="B152" s="373"/>
      <c r="C152" s="261"/>
      <c r="D152" s="340"/>
      <c r="E152" s="341"/>
      <c r="F152" s="230"/>
      <c r="G152" s="231"/>
      <c r="H152" s="236"/>
      <c r="I152" s="230"/>
      <c r="J152" s="35">
        <f t="shared" si="82"/>
        <v>0</v>
      </c>
      <c r="K152" s="181">
        <f>C152*4500</f>
        <v>0</v>
      </c>
      <c r="L152" s="173">
        <f>D152*4500</f>
        <v>0</v>
      </c>
      <c r="M152" s="299">
        <f>E152*4500</f>
        <v>0</v>
      </c>
      <c r="N152" s="282">
        <f>F152*4200</f>
        <v>0</v>
      </c>
      <c r="O152" s="282"/>
      <c r="P152" s="282"/>
      <c r="Q152" s="286"/>
      <c r="R152" s="4">
        <f t="shared" si="83"/>
        <v>0</v>
      </c>
      <c r="S152" s="4">
        <f>J152*1984</f>
        <v>0</v>
      </c>
    </row>
    <row r="153" spans="1:19">
      <c r="A153" s="79" t="s">
        <v>201</v>
      </c>
      <c r="B153" s="375" t="s">
        <v>202</v>
      </c>
      <c r="C153" s="233">
        <v>4</v>
      </c>
      <c r="D153" s="235"/>
      <c r="E153" s="234">
        <v>7</v>
      </c>
      <c r="F153" s="230"/>
      <c r="G153" s="231"/>
      <c r="H153" s="236"/>
      <c r="I153" s="230"/>
      <c r="J153" s="35">
        <f t="shared" si="82"/>
        <v>11</v>
      </c>
      <c r="K153" s="254">
        <f>C153*14700</f>
        <v>58800</v>
      </c>
      <c r="L153" s="173">
        <f>D153*11000</f>
        <v>0</v>
      </c>
      <c r="M153" s="299">
        <f>E153*11000</f>
        <v>77000</v>
      </c>
      <c r="N153" s="282"/>
      <c r="O153" s="282"/>
      <c r="P153" s="282"/>
      <c r="Q153" s="286"/>
      <c r="R153" s="4">
        <f t="shared" si="83"/>
        <v>135800</v>
      </c>
      <c r="S153" s="4">
        <f>J153*4658</f>
        <v>51238</v>
      </c>
    </row>
    <row r="154" spans="1:19">
      <c r="A154" s="79" t="s">
        <v>203</v>
      </c>
      <c r="B154" s="375" t="s">
        <v>512</v>
      </c>
      <c r="C154" s="233">
        <v>63</v>
      </c>
      <c r="D154" s="235">
        <v>5</v>
      </c>
      <c r="E154" s="234">
        <v>60</v>
      </c>
      <c r="F154" s="230"/>
      <c r="G154" s="231"/>
      <c r="H154" s="236"/>
      <c r="I154" s="230"/>
      <c r="J154" s="35">
        <f t="shared" si="82"/>
        <v>128</v>
      </c>
      <c r="K154" s="254">
        <f>C154*26400</f>
        <v>1663200</v>
      </c>
      <c r="L154" s="173">
        <f>D154*19200</f>
        <v>96000</v>
      </c>
      <c r="M154" s="299">
        <f>E154*18500</f>
        <v>1110000</v>
      </c>
      <c r="N154" s="282"/>
      <c r="O154" s="282"/>
      <c r="P154" s="282"/>
      <c r="Q154" s="286"/>
      <c r="R154" s="4">
        <f t="shared" si="83"/>
        <v>2869200</v>
      </c>
      <c r="S154" s="4">
        <f>J154*6653</f>
        <v>851584</v>
      </c>
    </row>
    <row r="155" spans="1:19">
      <c r="A155" s="79" t="s">
        <v>204</v>
      </c>
      <c r="B155" s="375" t="s">
        <v>409</v>
      </c>
      <c r="C155" s="233">
        <v>21</v>
      </c>
      <c r="D155" s="235"/>
      <c r="E155" s="234">
        <v>18</v>
      </c>
      <c r="F155" s="230"/>
      <c r="G155" s="231"/>
      <c r="H155" s="236"/>
      <c r="I155" s="230"/>
      <c r="J155" s="35">
        <f t="shared" si="82"/>
        <v>39</v>
      </c>
      <c r="K155" s="254">
        <f>C155*23100</f>
        <v>485100</v>
      </c>
      <c r="L155" s="173">
        <f>D155*17000</f>
        <v>0</v>
      </c>
      <c r="M155" s="299">
        <f>E155*15200</f>
        <v>273600</v>
      </c>
      <c r="N155" s="282"/>
      <c r="O155" s="282"/>
      <c r="P155" s="282"/>
      <c r="Q155" s="286"/>
      <c r="R155" s="4">
        <f t="shared" si="83"/>
        <v>758700</v>
      </c>
      <c r="S155" s="4">
        <f>J155*8415</f>
        <v>328185</v>
      </c>
    </row>
    <row r="156" spans="1:19">
      <c r="A156" s="109" t="s">
        <v>205</v>
      </c>
      <c r="B156" s="45" t="s">
        <v>206</v>
      </c>
      <c r="C156" s="215">
        <v>36</v>
      </c>
      <c r="D156" s="235"/>
      <c r="E156" s="234"/>
      <c r="F156" s="230"/>
      <c r="G156" s="231"/>
      <c r="H156" s="236"/>
      <c r="I156" s="230"/>
      <c r="J156" s="35">
        <f t="shared" si="82"/>
        <v>36</v>
      </c>
      <c r="K156" s="284">
        <v>722520</v>
      </c>
      <c r="L156" s="173">
        <f>D156*15200</f>
        <v>0</v>
      </c>
      <c r="M156" s="299">
        <f>E156*15200</f>
        <v>0</v>
      </c>
      <c r="N156" s="282">
        <f>F156*19640</f>
        <v>0</v>
      </c>
      <c r="O156" s="282"/>
      <c r="P156" s="282"/>
      <c r="Q156" s="286"/>
      <c r="R156" s="4">
        <f t="shared" si="83"/>
        <v>722520</v>
      </c>
      <c r="S156" s="4">
        <f>J156*8415</f>
        <v>302940</v>
      </c>
    </row>
    <row r="157" spans="1:19">
      <c r="A157" s="115" t="s">
        <v>207</v>
      </c>
      <c r="B157" s="375" t="s">
        <v>208</v>
      </c>
      <c r="C157" s="237"/>
      <c r="D157" s="235"/>
      <c r="E157" s="234"/>
      <c r="F157" s="230"/>
      <c r="G157" s="231"/>
      <c r="H157" s="236"/>
      <c r="I157" s="230"/>
      <c r="J157" s="35">
        <f t="shared" si="82"/>
        <v>0</v>
      </c>
      <c r="K157" s="254">
        <f>C157*14700</f>
        <v>0</v>
      </c>
      <c r="L157" s="173">
        <f>D157*11000</f>
        <v>0</v>
      </c>
      <c r="M157" s="299">
        <f>E157*11000</f>
        <v>0</v>
      </c>
      <c r="N157" s="282"/>
      <c r="O157" s="282"/>
      <c r="P157" s="282"/>
      <c r="Q157" s="286"/>
      <c r="R157" s="4">
        <f t="shared" si="83"/>
        <v>0</v>
      </c>
      <c r="S157" s="4">
        <f>J157*5590</f>
        <v>0</v>
      </c>
    </row>
    <row r="158" spans="1:19">
      <c r="A158" s="115" t="s">
        <v>209</v>
      </c>
      <c r="B158" s="375" t="s">
        <v>210</v>
      </c>
      <c r="C158" s="237"/>
      <c r="D158" s="235"/>
      <c r="E158" s="234"/>
      <c r="F158" s="230"/>
      <c r="G158" s="231"/>
      <c r="H158" s="236"/>
      <c r="I158" s="230"/>
      <c r="J158" s="35">
        <f t="shared" si="82"/>
        <v>0</v>
      </c>
      <c r="K158" s="254">
        <f>C158*17500</f>
        <v>0</v>
      </c>
      <c r="L158" s="173">
        <f>D158*17500</f>
        <v>0</v>
      </c>
      <c r="M158" s="299">
        <f>E158*17500</f>
        <v>0</v>
      </c>
      <c r="N158" s="282"/>
      <c r="O158" s="282"/>
      <c r="P158" s="282"/>
      <c r="Q158" s="286"/>
      <c r="R158" s="4">
        <f t="shared" si="83"/>
        <v>0</v>
      </c>
      <c r="S158" s="4">
        <f>J158*7123</f>
        <v>0</v>
      </c>
    </row>
    <row r="159" spans="1:19" s="24" customFormat="1">
      <c r="A159" s="468" t="s">
        <v>633</v>
      </c>
      <c r="B159" s="88" t="s">
        <v>431</v>
      </c>
      <c r="C159" s="560" t="s">
        <v>570</v>
      </c>
      <c r="D159" s="313" t="s">
        <v>418</v>
      </c>
      <c r="E159" s="89" t="s">
        <v>212</v>
      </c>
      <c r="F159" s="357"/>
      <c r="G159" s="357"/>
      <c r="H159" s="358"/>
      <c r="I159" s="92" t="s">
        <v>141</v>
      </c>
      <c r="J159" s="58" t="s">
        <v>6</v>
      </c>
      <c r="K159" s="443">
        <f t="shared" ref="K159:S159" si="84">SUM(K150:K158)</f>
        <v>10562020</v>
      </c>
      <c r="L159" s="444">
        <f t="shared" si="84"/>
        <v>354000</v>
      </c>
      <c r="M159" s="445">
        <f t="shared" si="84"/>
        <v>2094200</v>
      </c>
      <c r="N159" s="443">
        <f t="shared" si="84"/>
        <v>0</v>
      </c>
      <c r="O159" s="446">
        <f t="shared" si="84"/>
        <v>47040</v>
      </c>
      <c r="P159" s="446">
        <f t="shared" si="84"/>
        <v>0</v>
      </c>
      <c r="Q159" s="446">
        <f t="shared" si="84"/>
        <v>0</v>
      </c>
      <c r="R159" s="447">
        <f t="shared" si="84"/>
        <v>13057260</v>
      </c>
      <c r="S159" s="448">
        <f t="shared" si="84"/>
        <v>5931287</v>
      </c>
    </row>
    <row r="160" spans="1:19">
      <c r="A160" s="469" t="s">
        <v>562</v>
      </c>
      <c r="B160" s="55" t="s">
        <v>214</v>
      </c>
      <c r="C160" s="388" t="s">
        <v>635</v>
      </c>
      <c r="D160" s="88" t="s">
        <v>219</v>
      </c>
      <c r="E160" s="391" t="s">
        <v>752</v>
      </c>
      <c r="F160" s="20" t="s">
        <v>10</v>
      </c>
      <c r="G160" s="392" t="s">
        <v>11</v>
      </c>
      <c r="H160" s="20"/>
      <c r="I160" s="558"/>
      <c r="J160" s="353"/>
      <c r="K160" s="391"/>
      <c r="P160" s="210"/>
    </row>
    <row r="161" spans="1:19">
      <c r="A161" s="469" t="s">
        <v>413</v>
      </c>
      <c r="B161" s="88" t="s">
        <v>417</v>
      </c>
      <c r="C161" s="560" t="s">
        <v>636</v>
      </c>
      <c r="D161" s="88" t="s">
        <v>402</v>
      </c>
      <c r="E161" s="391" t="s">
        <v>407</v>
      </c>
      <c r="F161" s="20"/>
      <c r="G161" s="392"/>
      <c r="H161" s="20"/>
      <c r="I161" s="543"/>
      <c r="J161" s="395"/>
      <c r="K161" s="391"/>
      <c r="P161" s="210"/>
    </row>
    <row r="162" spans="1:19">
      <c r="A162" s="468" t="s">
        <v>719</v>
      </c>
      <c r="B162" s="88" t="s">
        <v>718</v>
      </c>
      <c r="C162" s="468" t="s">
        <v>572</v>
      </c>
      <c r="D162" s="55" t="s">
        <v>213</v>
      </c>
      <c r="E162" s="391" t="s">
        <v>516</v>
      </c>
      <c r="F162" s="20"/>
      <c r="G162" s="392"/>
      <c r="H162" s="20"/>
      <c r="I162" s="558"/>
      <c r="J162" s="107"/>
      <c r="K162" s="391"/>
      <c r="L162" s="142"/>
      <c r="P162" s="210"/>
    </row>
    <row r="163" spans="1:19">
      <c r="A163" s="469" t="s">
        <v>563</v>
      </c>
      <c r="B163" s="88" t="s">
        <v>365</v>
      </c>
      <c r="C163" s="560" t="s">
        <v>406</v>
      </c>
      <c r="D163" s="88" t="s">
        <v>405</v>
      </c>
      <c r="E163" s="391" t="s">
        <v>517</v>
      </c>
      <c r="F163" s="20"/>
      <c r="G163" s="533"/>
      <c r="H163" s="20"/>
      <c r="I163" s="157"/>
      <c r="J163" s="473"/>
      <c r="K163" s="391"/>
      <c r="L163" s="313"/>
      <c r="P163" s="210"/>
    </row>
    <row r="164" spans="1:19">
      <c r="A164" s="469" t="s">
        <v>564</v>
      </c>
      <c r="B164" s="88" t="s">
        <v>411</v>
      </c>
      <c r="C164" s="560" t="s">
        <v>498</v>
      </c>
      <c r="D164" s="88" t="s">
        <v>216</v>
      </c>
      <c r="E164" s="391" t="s">
        <v>518</v>
      </c>
      <c r="F164" s="20"/>
      <c r="G164" s="542"/>
      <c r="H164" s="20"/>
      <c r="I164" s="20"/>
      <c r="J164" s="112"/>
      <c r="K164" s="470"/>
      <c r="L164" s="313"/>
      <c r="P164" s="210"/>
    </row>
    <row r="165" spans="1:19" ht="24">
      <c r="A165" s="469" t="s">
        <v>427</v>
      </c>
      <c r="B165" s="88" t="s">
        <v>434</v>
      </c>
      <c r="C165" s="88" t="s">
        <v>569</v>
      </c>
      <c r="D165" s="88" t="s">
        <v>215</v>
      </c>
      <c r="E165" s="391" t="s">
        <v>642</v>
      </c>
      <c r="F165" s="20"/>
      <c r="G165" s="565"/>
      <c r="H165" s="20"/>
      <c r="I165" s="45" t="s">
        <v>0</v>
      </c>
      <c r="J165" s="473" t="s">
        <v>624</v>
      </c>
      <c r="K165" s="470"/>
      <c r="L165" s="142"/>
      <c r="P165" s="210"/>
    </row>
    <row r="166" spans="1:19" ht="24">
      <c r="A166" s="469" t="s">
        <v>565</v>
      </c>
      <c r="B166" s="88" t="s">
        <v>455</v>
      </c>
      <c r="C166" s="88" t="s">
        <v>422</v>
      </c>
      <c r="D166" s="88" t="s">
        <v>433</v>
      </c>
      <c r="E166" s="391" t="s">
        <v>643</v>
      </c>
      <c r="F166" s="20" t="s">
        <v>723</v>
      </c>
      <c r="G166" s="576" t="s">
        <v>724</v>
      </c>
      <c r="H166" s="575"/>
      <c r="I166" s="577"/>
      <c r="J166" s="45"/>
      <c r="K166" s="471"/>
      <c r="P166" s="210"/>
    </row>
    <row r="167" spans="1:19" ht="24">
      <c r="A167" s="469" t="s">
        <v>463</v>
      </c>
      <c r="B167" s="88" t="s">
        <v>462</v>
      </c>
      <c r="C167" s="562" t="s">
        <v>423</v>
      </c>
      <c r="D167" s="88" t="s">
        <v>432</v>
      </c>
      <c r="E167" s="391" t="s">
        <v>641</v>
      </c>
      <c r="F167" s="20" t="s">
        <v>595</v>
      </c>
      <c r="G167" s="578" t="s">
        <v>722</v>
      </c>
      <c r="H167" s="20"/>
      <c r="I167" s="308"/>
      <c r="J167" s="124" t="s">
        <v>368</v>
      </c>
      <c r="K167" s="22"/>
      <c r="P167" s="210"/>
    </row>
    <row r="168" spans="1:19">
      <c r="A168" s="469" t="s">
        <v>634</v>
      </c>
      <c r="B168" s="88" t="s">
        <v>218</v>
      </c>
      <c r="C168" s="563" t="s">
        <v>567</v>
      </c>
      <c r="D168" s="88" t="s">
        <v>502</v>
      </c>
      <c r="E168" s="391" t="s">
        <v>750</v>
      </c>
      <c r="F168" s="20" t="s">
        <v>475</v>
      </c>
      <c r="G168" s="471" t="s">
        <v>646</v>
      </c>
      <c r="H168" s="90" t="s">
        <v>242</v>
      </c>
      <c r="I168" s="467" t="s">
        <v>574</v>
      </c>
      <c r="J168" s="124"/>
      <c r="K168" s="22"/>
      <c r="P168" s="210"/>
    </row>
    <row r="169" spans="1:19">
      <c r="A169" s="469" t="s">
        <v>571</v>
      </c>
      <c r="B169" s="88" t="s">
        <v>566</v>
      </c>
      <c r="C169" s="88" t="s">
        <v>568</v>
      </c>
      <c r="D169" s="88" t="s">
        <v>220</v>
      </c>
      <c r="E169" s="391" t="s">
        <v>751</v>
      </c>
      <c r="F169" s="90"/>
      <c r="G169" s="557"/>
      <c r="H169" s="22"/>
      <c r="I169" s="308"/>
      <c r="J169" s="124"/>
      <c r="K169" s="472"/>
      <c r="P169" s="210"/>
    </row>
    <row r="170" spans="1:19">
      <c r="A170" s="468" t="s">
        <v>459</v>
      </c>
      <c r="B170" s="88" t="s">
        <v>461</v>
      </c>
      <c r="C170" s="561"/>
      <c r="D170" s="88"/>
      <c r="E170" s="391"/>
      <c r="F170" s="20"/>
      <c r="G170" s="393"/>
      <c r="H170" s="193"/>
      <c r="I170" s="535" t="s">
        <v>408</v>
      </c>
      <c r="J170" s="52" t="s">
        <v>368</v>
      </c>
      <c r="K170" s="474" t="s">
        <v>380</v>
      </c>
      <c r="L170" s="664" t="s">
        <v>734</v>
      </c>
      <c r="M170" s="664"/>
      <c r="N170" s="348" t="s">
        <v>465</v>
      </c>
      <c r="O170" s="549" t="s">
        <v>630</v>
      </c>
      <c r="P170" s="348" t="s">
        <v>464</v>
      </c>
      <c r="Q170" s="549" t="s">
        <v>631</v>
      </c>
      <c r="R170" s="220" t="s">
        <v>18</v>
      </c>
      <c r="S170" s="221" t="s">
        <v>19</v>
      </c>
    </row>
    <row r="171" spans="1:19">
      <c r="A171" s="24" t="s">
        <v>217</v>
      </c>
      <c r="B171" s="357"/>
      <c r="C171" s="233"/>
      <c r="D171" s="235"/>
      <c r="E171" s="241"/>
      <c r="F171" s="342"/>
      <c r="G171" s="241"/>
      <c r="H171" s="343"/>
      <c r="I171" s="232"/>
      <c r="J171" s="35"/>
      <c r="K171" s="28"/>
      <c r="L171" s="295"/>
      <c r="M171" s="299"/>
      <c r="N171" s="286"/>
      <c r="O171" s="286"/>
      <c r="P171" s="286"/>
      <c r="Q171" s="279"/>
      <c r="R171" s="5"/>
    </row>
    <row r="172" spans="1:19">
      <c r="A172" s="79" t="s">
        <v>424</v>
      </c>
      <c r="B172" s="375" t="s">
        <v>425</v>
      </c>
      <c r="C172" s="233"/>
      <c r="D172" s="235">
        <v>6</v>
      </c>
      <c r="E172" s="234"/>
      <c r="F172" s="342"/>
      <c r="G172" s="241"/>
      <c r="H172" s="343"/>
      <c r="I172" s="232"/>
      <c r="J172" s="35">
        <f>SUM(C172:I172)</f>
        <v>6</v>
      </c>
      <c r="K172" s="363">
        <f>C172*12800</f>
        <v>0</v>
      </c>
      <c r="L172" s="295">
        <f>D172*9600</f>
        <v>57600</v>
      </c>
      <c r="M172" s="299">
        <f>E172*9600</f>
        <v>0</v>
      </c>
      <c r="N172" s="286"/>
      <c r="O172" s="286"/>
      <c r="P172" s="286"/>
      <c r="Q172" s="279"/>
      <c r="R172" s="5">
        <f>SUM(K172:Q172)</f>
        <v>57600</v>
      </c>
      <c r="S172" s="4">
        <f>J172*3857</f>
        <v>23142</v>
      </c>
    </row>
    <row r="173" spans="1:19">
      <c r="A173" s="79" t="s">
        <v>714</v>
      </c>
      <c r="B173" s="375" t="s">
        <v>717</v>
      </c>
      <c r="C173" s="233">
        <v>2</v>
      </c>
      <c r="D173" s="235">
        <v>1</v>
      </c>
      <c r="E173" s="234"/>
      <c r="F173" s="342"/>
      <c r="G173" s="241"/>
      <c r="H173" s="343"/>
      <c r="I173" s="232"/>
      <c r="J173" s="35">
        <f>SUM(C173:I173)</f>
        <v>3</v>
      </c>
      <c r="K173" s="363">
        <f>C173*36000</f>
        <v>72000</v>
      </c>
      <c r="L173" s="295">
        <f>D173*33000</f>
        <v>33000</v>
      </c>
      <c r="M173" s="299">
        <f>E173*33000</f>
        <v>0</v>
      </c>
      <c r="N173" s="286"/>
      <c r="O173" s="286"/>
      <c r="P173" s="286"/>
      <c r="Q173" s="279"/>
      <c r="R173" s="5">
        <f>SUM(K173:Q173)</f>
        <v>105000</v>
      </c>
      <c r="S173" s="4">
        <f>J173*8619</f>
        <v>25857</v>
      </c>
    </row>
    <row r="174" spans="1:19">
      <c r="A174" s="115" t="s">
        <v>221</v>
      </c>
      <c r="B174" s="375" t="s">
        <v>222</v>
      </c>
      <c r="C174" s="233">
        <v>126</v>
      </c>
      <c r="D174" s="235">
        <v>18</v>
      </c>
      <c r="E174" s="234"/>
      <c r="F174" s="215"/>
      <c r="G174" s="230"/>
      <c r="H174" s="230"/>
      <c r="I174" s="230"/>
      <c r="J174" s="35">
        <f t="shared" ref="J174:J219" si="85">SUM(C174:I174)</f>
        <v>144</v>
      </c>
      <c r="K174" s="254">
        <f>C174*28800</f>
        <v>3628800</v>
      </c>
      <c r="L174" s="294">
        <f>D174*26400</f>
        <v>475200</v>
      </c>
      <c r="M174" s="299">
        <f>E174*26400</f>
        <v>0</v>
      </c>
      <c r="N174" s="282"/>
      <c r="O174" s="282"/>
      <c r="P174" s="282">
        <f>F174*28800</f>
        <v>0</v>
      </c>
      <c r="Q174" s="279"/>
      <c r="R174" s="5">
        <f t="shared" ref="R174:R219" si="86">SUM(K174:Q174)</f>
        <v>4104000</v>
      </c>
      <c r="S174" s="4">
        <f>J174*6704</f>
        <v>965376</v>
      </c>
    </row>
    <row r="175" spans="1:19">
      <c r="A175" s="115" t="s">
        <v>413</v>
      </c>
      <c r="B175" s="375" t="s">
        <v>414</v>
      </c>
      <c r="C175" s="233">
        <v>109</v>
      </c>
      <c r="D175" s="235">
        <v>33</v>
      </c>
      <c r="E175" s="234"/>
      <c r="F175" s="238"/>
      <c r="G175" s="242"/>
      <c r="H175" s="230"/>
      <c r="I175" s="242"/>
      <c r="J175" s="35">
        <f t="shared" si="85"/>
        <v>142</v>
      </c>
      <c r="K175" s="254">
        <f>C175*16000</f>
        <v>1744000</v>
      </c>
      <c r="L175" s="294">
        <f>D175*11200</f>
        <v>369600</v>
      </c>
      <c r="M175" s="299">
        <f>E175*11200</f>
        <v>0</v>
      </c>
      <c r="N175" s="282"/>
      <c r="O175" s="286"/>
      <c r="P175" s="282"/>
      <c r="Q175" s="279"/>
      <c r="R175" s="5">
        <f t="shared" si="86"/>
        <v>2113600</v>
      </c>
      <c r="S175" s="4">
        <f>J175*3489</f>
        <v>495438</v>
      </c>
    </row>
    <row r="176" spans="1:19">
      <c r="A176" s="227" t="s">
        <v>223</v>
      </c>
      <c r="B176" s="376" t="s">
        <v>224</v>
      </c>
      <c r="C176" s="233">
        <v>13</v>
      </c>
      <c r="D176" s="235">
        <v>16</v>
      </c>
      <c r="E176" s="234"/>
      <c r="F176" s="215"/>
      <c r="G176" s="231"/>
      <c r="H176" s="236"/>
      <c r="I176" s="230"/>
      <c r="J176" s="35">
        <f t="shared" si="85"/>
        <v>29</v>
      </c>
      <c r="K176" s="254">
        <f>C176*16800</f>
        <v>218400</v>
      </c>
      <c r="L176" s="294">
        <f>D176*12800</f>
        <v>204800</v>
      </c>
      <c r="M176" s="299">
        <f>E176*12800</f>
        <v>0</v>
      </c>
      <c r="N176" s="282"/>
      <c r="O176" s="282"/>
      <c r="P176" s="282"/>
      <c r="Q176" s="279"/>
      <c r="R176" s="5">
        <f t="shared" si="86"/>
        <v>423200</v>
      </c>
      <c r="S176" s="4">
        <f>J176*3075</f>
        <v>89175</v>
      </c>
    </row>
    <row r="177" spans="1:19">
      <c r="A177" s="227" t="s">
        <v>410</v>
      </c>
      <c r="B177" s="682" t="s">
        <v>430</v>
      </c>
      <c r="C177" s="233">
        <v>22</v>
      </c>
      <c r="D177" s="235">
        <v>5</v>
      </c>
      <c r="E177" s="234"/>
      <c r="F177" s="215"/>
      <c r="G177" s="231"/>
      <c r="H177" s="236"/>
      <c r="I177" s="242"/>
      <c r="J177" s="35">
        <f t="shared" si="85"/>
        <v>27</v>
      </c>
      <c r="K177" s="254">
        <f>C177*36800</f>
        <v>809600</v>
      </c>
      <c r="L177" s="294">
        <f>D177*27200</f>
        <v>136000</v>
      </c>
      <c r="M177" s="299">
        <f>E177*27200</f>
        <v>0</v>
      </c>
      <c r="N177" s="282"/>
      <c r="O177" s="282"/>
      <c r="P177" s="282"/>
      <c r="Q177" s="279"/>
      <c r="R177" s="5">
        <f t="shared" si="86"/>
        <v>945600</v>
      </c>
      <c r="S177" s="4">
        <f>J177*6040</f>
        <v>163080</v>
      </c>
    </row>
    <row r="178" spans="1:19">
      <c r="A178" s="227" t="s">
        <v>426</v>
      </c>
      <c r="B178" s="683"/>
      <c r="C178" s="233">
        <v>3</v>
      </c>
      <c r="D178" s="235">
        <v>1</v>
      </c>
      <c r="E178" s="234"/>
      <c r="F178" s="215"/>
      <c r="G178" s="231"/>
      <c r="H178" s="236"/>
      <c r="I178" s="242"/>
      <c r="J178" s="35">
        <f t="shared" si="85"/>
        <v>4</v>
      </c>
      <c r="K178" s="254">
        <f>C178*16000</f>
        <v>48000</v>
      </c>
      <c r="L178" s="294">
        <f>D178*12800</f>
        <v>12800</v>
      </c>
      <c r="M178" s="299">
        <f>E178*12800</f>
        <v>0</v>
      </c>
      <c r="N178" s="282"/>
      <c r="O178" s="282"/>
      <c r="P178" s="282"/>
      <c r="Q178" s="279"/>
      <c r="R178" s="5">
        <f t="shared" si="86"/>
        <v>60800</v>
      </c>
      <c r="S178" s="4">
        <f>J178*4212</f>
        <v>16848</v>
      </c>
    </row>
    <row r="179" spans="1:19">
      <c r="A179" s="227" t="s">
        <v>427</v>
      </c>
      <c r="B179" s="376" t="s">
        <v>429</v>
      </c>
      <c r="C179" s="233"/>
      <c r="D179" s="235">
        <v>3</v>
      </c>
      <c r="E179" s="234"/>
      <c r="F179" s="215"/>
      <c r="G179" s="231"/>
      <c r="H179" s="236"/>
      <c r="I179" s="230"/>
      <c r="J179" s="35">
        <f t="shared" si="85"/>
        <v>3</v>
      </c>
      <c r="K179" s="254">
        <f>C179*28000</f>
        <v>0</v>
      </c>
      <c r="L179" s="294">
        <f>D179*19600</f>
        <v>58800</v>
      </c>
      <c r="M179" s="299">
        <f>E179*19600</f>
        <v>0</v>
      </c>
      <c r="N179" s="282"/>
      <c r="O179" s="282"/>
      <c r="P179" s="282"/>
      <c r="Q179" s="279"/>
      <c r="R179" s="5">
        <f t="shared" si="86"/>
        <v>58800</v>
      </c>
      <c r="S179" s="4">
        <f>J179*6097</f>
        <v>18291</v>
      </c>
    </row>
    <row r="180" spans="1:19">
      <c r="A180" s="227" t="s">
        <v>439</v>
      </c>
      <c r="B180" s="376" t="s">
        <v>440</v>
      </c>
      <c r="C180" s="233">
        <v>3</v>
      </c>
      <c r="D180" s="235">
        <v>7</v>
      </c>
      <c r="E180" s="234"/>
      <c r="F180" s="215"/>
      <c r="G180" s="231"/>
      <c r="H180" s="236"/>
      <c r="I180" s="230"/>
      <c r="J180" s="35">
        <f t="shared" si="85"/>
        <v>10</v>
      </c>
      <c r="K180" s="254">
        <f>C180*31000</f>
        <v>93000</v>
      </c>
      <c r="L180" s="294">
        <f>D180*19800</f>
        <v>138600</v>
      </c>
      <c r="M180" s="299">
        <f>E180*19800</f>
        <v>0</v>
      </c>
      <c r="N180" s="282"/>
      <c r="O180" s="282"/>
      <c r="P180" s="282"/>
      <c r="Q180" s="279"/>
      <c r="R180" s="5">
        <f t="shared" si="86"/>
        <v>231600</v>
      </c>
      <c r="S180" s="4">
        <f>J180*6612</f>
        <v>66120</v>
      </c>
    </row>
    <row r="181" spans="1:19" s="567" customFormat="1">
      <c r="A181" s="346" t="s">
        <v>441</v>
      </c>
      <c r="B181" s="376" t="s">
        <v>227</v>
      </c>
      <c r="C181" s="233">
        <v>7</v>
      </c>
      <c r="D181" s="235">
        <v>7</v>
      </c>
      <c r="E181" s="330"/>
      <c r="F181" s="242"/>
      <c r="G181" s="330"/>
      <c r="H181" s="242"/>
      <c r="I181" s="242"/>
      <c r="J181" s="218">
        <f t="shared" si="85"/>
        <v>14</v>
      </c>
      <c r="K181" s="364">
        <f>C181*27200</f>
        <v>190400</v>
      </c>
      <c r="L181" s="294">
        <f>D181*20000</f>
        <v>140000</v>
      </c>
      <c r="M181" s="299">
        <f>E181*20000</f>
        <v>0</v>
      </c>
      <c r="N181" s="282"/>
      <c r="O181" s="282"/>
      <c r="P181" s="282"/>
      <c r="Q181" s="279"/>
      <c r="R181" s="573">
        <f t="shared" si="86"/>
        <v>330400</v>
      </c>
      <c r="S181" s="529">
        <f>J181*4582</f>
        <v>64148</v>
      </c>
    </row>
    <row r="182" spans="1:19">
      <c r="A182" s="115" t="s">
        <v>225</v>
      </c>
      <c r="B182" s="547" t="s">
        <v>226</v>
      </c>
      <c r="C182" s="233">
        <v>12</v>
      </c>
      <c r="D182" s="235">
        <v>6</v>
      </c>
      <c r="E182" s="259"/>
      <c r="F182" s="230"/>
      <c r="G182" s="231"/>
      <c r="H182" s="230"/>
      <c r="I182" s="230"/>
      <c r="J182" s="35">
        <f t="shared" si="85"/>
        <v>18</v>
      </c>
      <c r="K182" s="254">
        <f>C182*16000</f>
        <v>192000</v>
      </c>
      <c r="L182" s="294">
        <f>D182*12000</f>
        <v>72000</v>
      </c>
      <c r="M182" s="299">
        <f>E182*19200</f>
        <v>0</v>
      </c>
      <c r="N182" s="282"/>
      <c r="O182" s="282"/>
      <c r="P182" s="282"/>
      <c r="Q182" s="279"/>
      <c r="R182" s="5">
        <f t="shared" si="86"/>
        <v>264000</v>
      </c>
      <c r="S182" s="4">
        <f>J182*3501</f>
        <v>63018</v>
      </c>
    </row>
    <row r="183" spans="1:19">
      <c r="A183" s="115" t="s">
        <v>470</v>
      </c>
      <c r="B183" s="547" t="s">
        <v>471</v>
      </c>
      <c r="C183" s="233">
        <v>5</v>
      </c>
      <c r="D183" s="255">
        <v>2</v>
      </c>
      <c r="E183" s="232"/>
      <c r="F183" s="230"/>
      <c r="G183" s="231"/>
      <c r="H183" s="230"/>
      <c r="I183" s="230"/>
      <c r="J183" s="35">
        <f t="shared" si="85"/>
        <v>7</v>
      </c>
      <c r="K183" s="254">
        <f>C183*19000</f>
        <v>95000</v>
      </c>
      <c r="L183" s="294">
        <f>D183*13000</f>
        <v>26000</v>
      </c>
      <c r="M183" s="299">
        <f>E183*13000</f>
        <v>0</v>
      </c>
      <c r="N183" s="282"/>
      <c r="O183" s="282"/>
      <c r="P183" s="282"/>
      <c r="Q183" s="279"/>
      <c r="R183" s="5">
        <f t="shared" si="86"/>
        <v>121000</v>
      </c>
      <c r="S183" s="4">
        <f>J183*3677</f>
        <v>25739</v>
      </c>
    </row>
    <row r="184" spans="1:19">
      <c r="A184" s="346" t="s">
        <v>459</v>
      </c>
      <c r="B184" s="376" t="s">
        <v>460</v>
      </c>
      <c r="C184" s="239">
        <v>28</v>
      </c>
      <c r="D184" s="235">
        <v>9</v>
      </c>
      <c r="E184" s="234"/>
      <c r="F184" s="230"/>
      <c r="G184" s="322"/>
      <c r="H184" s="230"/>
      <c r="I184" s="242"/>
      <c r="J184" s="35">
        <f t="shared" si="85"/>
        <v>37</v>
      </c>
      <c r="K184" s="254">
        <f>C184*16000</f>
        <v>448000</v>
      </c>
      <c r="L184" s="294">
        <f>D184*12000</f>
        <v>108000</v>
      </c>
      <c r="M184" s="299">
        <f>E184*12000</f>
        <v>0</v>
      </c>
      <c r="N184" s="282"/>
      <c r="O184" s="282"/>
      <c r="P184" s="282"/>
      <c r="Q184" s="279"/>
      <c r="R184" s="5">
        <f t="shared" si="86"/>
        <v>556000</v>
      </c>
      <c r="S184" s="4">
        <f>J184*4716</f>
        <v>174492</v>
      </c>
    </row>
    <row r="185" spans="1:19" s="307" customFormat="1">
      <c r="A185" s="306" t="s">
        <v>416</v>
      </c>
      <c r="B185" s="375" t="s">
        <v>415</v>
      </c>
      <c r="C185" s="344">
        <v>11</v>
      </c>
      <c r="D185" s="235">
        <v>1</v>
      </c>
      <c r="E185" s="234"/>
      <c r="F185" s="230"/>
      <c r="G185" s="322"/>
      <c r="H185" s="230"/>
      <c r="I185" s="257"/>
      <c r="J185" s="35">
        <f t="shared" si="85"/>
        <v>12</v>
      </c>
      <c r="K185" s="254">
        <f>C185*26880</f>
        <v>295680</v>
      </c>
      <c r="L185" s="294">
        <f>D185*26400</f>
        <v>26400</v>
      </c>
      <c r="M185" s="299">
        <f>E185*26400</f>
        <v>0</v>
      </c>
      <c r="N185" s="282"/>
      <c r="O185" s="282"/>
      <c r="P185" s="282">
        <f>H185*26880</f>
        <v>0</v>
      </c>
      <c r="Q185" s="279"/>
      <c r="R185" s="5">
        <f t="shared" si="86"/>
        <v>322080</v>
      </c>
      <c r="S185" s="4">
        <f>J185*8712</f>
        <v>104544</v>
      </c>
    </row>
    <row r="186" spans="1:19">
      <c r="A186" s="115" t="s">
        <v>228</v>
      </c>
      <c r="B186" s="375" t="s">
        <v>229</v>
      </c>
      <c r="C186" s="239">
        <v>4</v>
      </c>
      <c r="D186" s="235">
        <v>3</v>
      </c>
      <c r="E186" s="232"/>
      <c r="F186" s="230"/>
      <c r="G186" s="322"/>
      <c r="H186" s="230"/>
      <c r="I186" s="242"/>
      <c r="J186" s="35">
        <f t="shared" si="85"/>
        <v>7</v>
      </c>
      <c r="K186" s="254">
        <f>C186*30400</f>
        <v>121600</v>
      </c>
      <c r="L186" s="294">
        <f>D186*25600</f>
        <v>76800</v>
      </c>
      <c r="M186" s="299">
        <f>E186*25600</f>
        <v>0</v>
      </c>
      <c r="N186" s="282"/>
      <c r="O186" s="282"/>
      <c r="P186" s="282"/>
      <c r="Q186" s="279"/>
      <c r="R186" s="5">
        <f t="shared" si="86"/>
        <v>198400</v>
      </c>
      <c r="S186" s="4">
        <f>J186*5760</f>
        <v>40320</v>
      </c>
    </row>
    <row r="187" spans="1:19">
      <c r="A187" s="115" t="s">
        <v>397</v>
      </c>
      <c r="B187" s="375" t="s">
        <v>398</v>
      </c>
      <c r="C187" s="239">
        <v>18</v>
      </c>
      <c r="D187" s="235">
        <v>10</v>
      </c>
      <c r="E187" s="232"/>
      <c r="F187" s="230"/>
      <c r="G187" s="322"/>
      <c r="H187" s="230"/>
      <c r="I187" s="242"/>
      <c r="J187" s="35">
        <f t="shared" si="85"/>
        <v>28</v>
      </c>
      <c r="K187" s="254">
        <f>C187*17600</f>
        <v>316800</v>
      </c>
      <c r="L187" s="294">
        <f>D187*14400</f>
        <v>144000</v>
      </c>
      <c r="M187" s="302">
        <f>E187*14400</f>
        <v>0</v>
      </c>
      <c r="N187" s="284"/>
      <c r="O187" s="282"/>
      <c r="P187" s="282"/>
      <c r="Q187" s="279"/>
      <c r="R187" s="5">
        <f t="shared" si="86"/>
        <v>460800</v>
      </c>
      <c r="S187" s="4">
        <f>J187*3867</f>
        <v>108276</v>
      </c>
    </row>
    <row r="188" spans="1:19">
      <c r="A188" s="115" t="s">
        <v>435</v>
      </c>
      <c r="B188" s="375" t="s">
        <v>230</v>
      </c>
      <c r="C188" s="233"/>
      <c r="D188" s="235"/>
      <c r="E188" s="232"/>
      <c r="F188" s="230"/>
      <c r="G188" s="322"/>
      <c r="H188" s="230"/>
      <c r="I188" s="230"/>
      <c r="J188" s="35">
        <f t="shared" si="85"/>
        <v>0</v>
      </c>
      <c r="K188" s="254">
        <f>C188*64800</f>
        <v>0</v>
      </c>
      <c r="L188" s="294">
        <f>D188*51840</f>
        <v>0</v>
      </c>
      <c r="M188" s="299">
        <f>E188*51840</f>
        <v>0</v>
      </c>
      <c r="N188" s="282">
        <f>F188*45360</f>
        <v>0</v>
      </c>
      <c r="O188" s="282"/>
      <c r="P188" s="282">
        <f>H188*45360</f>
        <v>0</v>
      </c>
      <c r="Q188" s="279"/>
      <c r="R188" s="5">
        <f t="shared" si="86"/>
        <v>0</v>
      </c>
      <c r="S188" s="4">
        <f>J188*20308</f>
        <v>0</v>
      </c>
    </row>
    <row r="189" spans="1:19">
      <c r="A189" s="227" t="s">
        <v>403</v>
      </c>
      <c r="B189" s="375" t="s">
        <v>404</v>
      </c>
      <c r="C189" s="233">
        <v>316</v>
      </c>
      <c r="D189" s="235">
        <v>20</v>
      </c>
      <c r="E189" s="234">
        <v>96</v>
      </c>
      <c r="F189" s="230"/>
      <c r="G189" s="230"/>
      <c r="H189" s="230"/>
      <c r="I189" s="230"/>
      <c r="J189" s="35">
        <f t="shared" si="85"/>
        <v>432</v>
      </c>
      <c r="K189" s="254">
        <f>C189*11000</f>
        <v>3476000</v>
      </c>
      <c r="L189" s="294">
        <f>D189*9900</f>
        <v>198000</v>
      </c>
      <c r="M189" s="299">
        <f>E189*8800</f>
        <v>844800</v>
      </c>
      <c r="N189" s="282"/>
      <c r="O189" s="282">
        <f>F189*11000</f>
        <v>0</v>
      </c>
      <c r="P189" s="282">
        <f>H189*11000</f>
        <v>0</v>
      </c>
      <c r="Q189" s="279"/>
      <c r="R189" s="5">
        <f t="shared" si="86"/>
        <v>4518800</v>
      </c>
      <c r="S189" s="4">
        <f>J189*2006</f>
        <v>866592</v>
      </c>
    </row>
    <row r="190" spans="1:19">
      <c r="A190" s="115" t="s">
        <v>498</v>
      </c>
      <c r="B190" s="375" t="s">
        <v>231</v>
      </c>
      <c r="C190" s="233">
        <v>5</v>
      </c>
      <c r="D190" s="235">
        <v>10</v>
      </c>
      <c r="E190" s="232"/>
      <c r="F190" s="215">
        <v>1</v>
      </c>
      <c r="G190" s="242"/>
      <c r="H190" s="230"/>
      <c r="I190" s="238"/>
      <c r="J190" s="35">
        <f t="shared" si="85"/>
        <v>16</v>
      </c>
      <c r="K190" s="254">
        <f>C190*16000</f>
        <v>80000</v>
      </c>
      <c r="L190" s="294">
        <f>D190*12000</f>
        <v>120000</v>
      </c>
      <c r="M190" s="299">
        <f>E190*12000</f>
        <v>0</v>
      </c>
      <c r="N190" s="282"/>
      <c r="O190" s="282">
        <f>F190*13200</f>
        <v>13200</v>
      </c>
      <c r="P190" s="282"/>
      <c r="Q190" s="279"/>
      <c r="R190" s="5">
        <f t="shared" si="86"/>
        <v>213200</v>
      </c>
      <c r="S190" s="4">
        <f>J190*2144</f>
        <v>34304</v>
      </c>
    </row>
    <row r="191" spans="1:19">
      <c r="A191" s="224" t="s">
        <v>232</v>
      </c>
      <c r="B191" s="90" t="s">
        <v>233</v>
      </c>
      <c r="C191" s="230">
        <v>400</v>
      </c>
      <c r="D191" s="235">
        <v>100</v>
      </c>
      <c r="E191" s="259"/>
      <c r="F191" s="230"/>
      <c r="G191" s="230"/>
      <c r="H191" s="230"/>
      <c r="I191" s="238"/>
      <c r="J191" s="35">
        <f t="shared" si="85"/>
        <v>500</v>
      </c>
      <c r="K191" s="284">
        <f>C191*1800</f>
        <v>720000</v>
      </c>
      <c r="L191" s="294">
        <f>D191*1600</f>
        <v>160000</v>
      </c>
      <c r="M191" s="299">
        <f>E191*1600</f>
        <v>0</v>
      </c>
      <c r="N191" s="282"/>
      <c r="O191" s="282">
        <f>F191*1600</f>
        <v>0</v>
      </c>
      <c r="P191" s="282"/>
      <c r="Q191" s="279"/>
      <c r="R191" s="5">
        <f t="shared" si="86"/>
        <v>880000</v>
      </c>
      <c r="S191" s="4">
        <f>J191*818</f>
        <v>409000</v>
      </c>
    </row>
    <row r="192" spans="1:19">
      <c r="A192" s="115" t="s">
        <v>234</v>
      </c>
      <c r="B192" s="375" t="s">
        <v>233</v>
      </c>
      <c r="C192" s="233">
        <v>160</v>
      </c>
      <c r="D192" s="235"/>
      <c r="E192" s="259"/>
      <c r="F192" s="230">
        <v>5</v>
      </c>
      <c r="G192" s="230"/>
      <c r="H192" s="230"/>
      <c r="I192" s="215"/>
      <c r="J192" s="35">
        <f t="shared" si="85"/>
        <v>165</v>
      </c>
      <c r="K192" s="254">
        <f>C192*2000</f>
        <v>320000</v>
      </c>
      <c r="L192" s="294">
        <f>D192*1600</f>
        <v>0</v>
      </c>
      <c r="M192" s="299">
        <f>E192*1600</f>
        <v>0</v>
      </c>
      <c r="N192" s="282"/>
      <c r="O192" s="282">
        <f>F192*1600</f>
        <v>8000</v>
      </c>
      <c r="P192" s="282"/>
      <c r="Q192" s="279"/>
      <c r="R192" s="5">
        <f t="shared" si="86"/>
        <v>328000</v>
      </c>
      <c r="S192" s="4">
        <f>J192*863</f>
        <v>142395</v>
      </c>
    </row>
    <row r="193" spans="1:19">
      <c r="A193" s="115" t="s">
        <v>422</v>
      </c>
      <c r="B193" s="375" t="s">
        <v>645</v>
      </c>
      <c r="C193" s="233">
        <v>35</v>
      </c>
      <c r="D193" s="235"/>
      <c r="E193" s="234"/>
      <c r="F193" s="230"/>
      <c r="G193" s="230"/>
      <c r="H193" s="230"/>
      <c r="I193" s="238"/>
      <c r="J193" s="35">
        <f t="shared" si="85"/>
        <v>35</v>
      </c>
      <c r="K193" s="254">
        <f>C193*19200</f>
        <v>672000</v>
      </c>
      <c r="L193" s="294">
        <f>D193*21000</f>
        <v>0</v>
      </c>
      <c r="M193" s="299">
        <f>E193*11000</f>
        <v>0</v>
      </c>
      <c r="N193" s="282"/>
      <c r="O193" s="282">
        <f>G193*19200</f>
        <v>0</v>
      </c>
      <c r="P193" s="282"/>
      <c r="Q193" s="279"/>
      <c r="R193" s="5">
        <f t="shared" si="86"/>
        <v>672000</v>
      </c>
      <c r="S193" s="4">
        <f>J193*4062</f>
        <v>142170</v>
      </c>
    </row>
    <row r="194" spans="1:19">
      <c r="A194" s="115" t="s">
        <v>423</v>
      </c>
      <c r="B194" s="375" t="s">
        <v>428</v>
      </c>
      <c r="C194" s="233"/>
      <c r="D194" s="235"/>
      <c r="E194" s="234"/>
      <c r="F194" s="230"/>
      <c r="G194" s="230"/>
      <c r="H194" s="230"/>
      <c r="I194" s="215"/>
      <c r="J194" s="35">
        <f t="shared" si="85"/>
        <v>0</v>
      </c>
      <c r="K194" s="254">
        <f>C194*24000</f>
        <v>0</v>
      </c>
      <c r="L194" s="294">
        <f>D194*21000</f>
        <v>0</v>
      </c>
      <c r="M194" s="299">
        <f>E194*21000</f>
        <v>0</v>
      </c>
      <c r="N194" s="282"/>
      <c r="O194" s="282">
        <f>G194*19200</f>
        <v>0</v>
      </c>
      <c r="P194" s="282"/>
      <c r="Q194" s="279"/>
      <c r="R194" s="5">
        <f t="shared" si="86"/>
        <v>0</v>
      </c>
      <c r="S194" s="4">
        <f>J194*7146</f>
        <v>0</v>
      </c>
    </row>
    <row r="195" spans="1:19">
      <c r="A195" s="115" t="s">
        <v>638</v>
      </c>
      <c r="B195" s="375" t="s">
        <v>640</v>
      </c>
      <c r="C195" s="233">
        <v>3</v>
      </c>
      <c r="D195" s="235"/>
      <c r="E195" s="234"/>
      <c r="F195" s="230"/>
      <c r="G195" s="230"/>
      <c r="H195" s="230"/>
      <c r="I195" s="215"/>
      <c r="J195" s="35">
        <f t="shared" si="85"/>
        <v>3</v>
      </c>
      <c r="K195" s="254">
        <f>C195*19200</f>
        <v>57600</v>
      </c>
      <c r="L195" s="294"/>
      <c r="M195" s="299">
        <f>E195*11000</f>
        <v>0</v>
      </c>
      <c r="N195" s="282"/>
      <c r="O195" s="282"/>
      <c r="P195" s="282"/>
      <c r="Q195" s="279"/>
      <c r="R195" s="5">
        <f t="shared" si="86"/>
        <v>57600</v>
      </c>
      <c r="S195" s="4">
        <f>J195*4314</f>
        <v>12942</v>
      </c>
    </row>
    <row r="196" spans="1:19">
      <c r="A196" s="115" t="s">
        <v>639</v>
      </c>
      <c r="B196" s="375" t="s">
        <v>644</v>
      </c>
      <c r="C196" s="233"/>
      <c r="D196" s="235"/>
      <c r="E196" s="234"/>
      <c r="F196" s="230"/>
      <c r="G196" s="230"/>
      <c r="H196" s="230"/>
      <c r="I196" s="238"/>
      <c r="J196" s="35">
        <f t="shared" si="85"/>
        <v>0</v>
      </c>
      <c r="K196" s="254">
        <f>C196*9000</f>
        <v>0</v>
      </c>
      <c r="L196" s="294"/>
      <c r="M196" s="299">
        <f>E196*6600</f>
        <v>0</v>
      </c>
      <c r="N196" s="282"/>
      <c r="O196" s="282"/>
      <c r="P196" s="282"/>
      <c r="Q196" s="279"/>
      <c r="R196" s="5">
        <f t="shared" si="86"/>
        <v>0</v>
      </c>
      <c r="S196" s="4">
        <f>J196*3131</f>
        <v>0</v>
      </c>
    </row>
    <row r="197" spans="1:19">
      <c r="A197" s="115" t="s">
        <v>648</v>
      </c>
      <c r="B197" s="375" t="s">
        <v>647</v>
      </c>
      <c r="C197" s="233"/>
      <c r="D197" s="235"/>
      <c r="E197" s="234"/>
      <c r="F197" s="230"/>
      <c r="G197" s="230"/>
      <c r="H197" s="230"/>
      <c r="I197" s="238"/>
      <c r="J197" s="35">
        <f t="shared" si="85"/>
        <v>0</v>
      </c>
      <c r="K197" s="254">
        <f>C197*5500</f>
        <v>0</v>
      </c>
      <c r="L197" s="254">
        <f>D197*5500</f>
        <v>0</v>
      </c>
      <c r="M197" s="299">
        <f>E197*5500</f>
        <v>0</v>
      </c>
      <c r="N197" s="282"/>
      <c r="O197" s="282"/>
      <c r="P197" s="282"/>
      <c r="Q197" s="279"/>
      <c r="R197" s="5">
        <f t="shared" si="86"/>
        <v>0</v>
      </c>
      <c r="S197" s="4">
        <f>J197*2426</f>
        <v>0</v>
      </c>
    </row>
    <row r="198" spans="1:19">
      <c r="A198" s="115" t="s">
        <v>649</v>
      </c>
      <c r="B198" s="375" t="s">
        <v>650</v>
      </c>
      <c r="C198" s="233"/>
      <c r="D198" s="235"/>
      <c r="E198" s="234"/>
      <c r="F198" s="230"/>
      <c r="G198" s="230"/>
      <c r="H198" s="230"/>
      <c r="I198" s="238"/>
      <c r="J198" s="35">
        <f t="shared" si="85"/>
        <v>0</v>
      </c>
      <c r="K198" s="254">
        <f>C198*14500</f>
        <v>0</v>
      </c>
      <c r="L198" s="254">
        <f>D198*14500</f>
        <v>0</v>
      </c>
      <c r="M198" s="299">
        <f>E198*12100</f>
        <v>0</v>
      </c>
      <c r="N198" s="282"/>
      <c r="O198" s="282"/>
      <c r="P198" s="282"/>
      <c r="Q198" s="279"/>
      <c r="R198" s="5">
        <f>SUM(K198:Q198)</f>
        <v>0</v>
      </c>
      <c r="S198" s="4">
        <f>J198*5557</f>
        <v>0</v>
      </c>
    </row>
    <row r="199" spans="1:19" s="3" customFormat="1">
      <c r="A199" s="115" t="s">
        <v>499</v>
      </c>
      <c r="B199" s="678" t="s">
        <v>501</v>
      </c>
      <c r="C199" s="233">
        <v>5</v>
      </c>
      <c r="D199" s="235"/>
      <c r="E199" s="234"/>
      <c r="F199" s="230"/>
      <c r="G199" s="230"/>
      <c r="H199" s="230"/>
      <c r="I199" s="238"/>
      <c r="J199" s="35">
        <f t="shared" si="85"/>
        <v>5</v>
      </c>
      <c r="K199" s="254">
        <f>C199*12000</f>
        <v>60000</v>
      </c>
      <c r="L199" s="294">
        <f>D199*9900</f>
        <v>0</v>
      </c>
      <c r="M199" s="299">
        <f>E199*9900</f>
        <v>0</v>
      </c>
      <c r="N199" s="282"/>
      <c r="O199" s="282">
        <f>F199*7200</f>
        <v>0</v>
      </c>
      <c r="P199" s="282"/>
      <c r="Q199" s="279"/>
      <c r="R199" s="5">
        <f t="shared" si="86"/>
        <v>60000</v>
      </c>
      <c r="S199" s="4">
        <f>J199*2633</f>
        <v>13165</v>
      </c>
    </row>
    <row r="200" spans="1:19" s="3" customFormat="1">
      <c r="A200" s="227" t="s">
        <v>500</v>
      </c>
      <c r="B200" s="680"/>
      <c r="C200" s="233">
        <v>5</v>
      </c>
      <c r="D200" s="235"/>
      <c r="E200" s="234"/>
      <c r="F200" s="230"/>
      <c r="G200" s="322"/>
      <c r="H200" s="230"/>
      <c r="I200" s="238"/>
      <c r="J200" s="35">
        <f t="shared" si="85"/>
        <v>5</v>
      </c>
      <c r="K200" s="3">
        <f>C200*14000</f>
        <v>70000</v>
      </c>
      <c r="L200" s="294">
        <f>D200*11600</f>
        <v>0</v>
      </c>
      <c r="M200" s="299">
        <f>E200*11600</f>
        <v>0</v>
      </c>
      <c r="N200" s="282"/>
      <c r="O200" s="282">
        <f>F200*8400</f>
        <v>0</v>
      </c>
      <c r="P200" s="282"/>
      <c r="Q200" s="279"/>
      <c r="R200" s="5">
        <f t="shared" si="86"/>
        <v>70000</v>
      </c>
      <c r="S200" s="4">
        <f>J200*3569</f>
        <v>17845</v>
      </c>
    </row>
    <row r="201" spans="1:19" s="3" customFormat="1">
      <c r="A201" s="115" t="s">
        <v>235</v>
      </c>
      <c r="B201" s="678" t="s">
        <v>236</v>
      </c>
      <c r="C201" s="233">
        <v>21</v>
      </c>
      <c r="D201" s="235"/>
      <c r="E201" s="259"/>
      <c r="F201" s="215">
        <v>1</v>
      </c>
      <c r="G201" s="230"/>
      <c r="H201" s="230"/>
      <c r="I201" s="230">
        <v>2</v>
      </c>
      <c r="J201" s="35">
        <f t="shared" si="85"/>
        <v>24</v>
      </c>
      <c r="K201" s="254">
        <f>C201*6600</f>
        <v>138600</v>
      </c>
      <c r="L201" s="294"/>
      <c r="M201" s="299">
        <f>E201*5500</f>
        <v>0</v>
      </c>
      <c r="N201" s="282"/>
      <c r="O201" s="282">
        <f>F201*5300</f>
        <v>5300</v>
      </c>
      <c r="P201" s="282"/>
      <c r="Q201" s="286">
        <f>I201*4620</f>
        <v>9240</v>
      </c>
      <c r="R201" s="5">
        <f t="shared" si="86"/>
        <v>153140</v>
      </c>
      <c r="S201" s="4">
        <f>J201*2573</f>
        <v>61752</v>
      </c>
    </row>
    <row r="202" spans="1:19" s="3" customFormat="1">
      <c r="A202" s="115" t="s">
        <v>237</v>
      </c>
      <c r="B202" s="680"/>
      <c r="C202" s="233">
        <v>31</v>
      </c>
      <c r="D202" s="235"/>
      <c r="E202" s="259"/>
      <c r="F202" s="215">
        <v>1</v>
      </c>
      <c r="G202" s="230"/>
      <c r="H202" s="230"/>
      <c r="I202" s="230">
        <v>2</v>
      </c>
      <c r="J202" s="35">
        <f t="shared" si="85"/>
        <v>34</v>
      </c>
      <c r="K202" s="254">
        <f>C202*6600</f>
        <v>204600</v>
      </c>
      <c r="L202" s="294"/>
      <c r="M202" s="299">
        <f>E202*5500</f>
        <v>0</v>
      </c>
      <c r="N202" s="282"/>
      <c r="O202" s="282">
        <f>F202*5300</f>
        <v>5300</v>
      </c>
      <c r="P202" s="282"/>
      <c r="Q202" s="286">
        <f>I202*4620</f>
        <v>9240</v>
      </c>
      <c r="R202" s="5">
        <f t="shared" si="86"/>
        <v>219140</v>
      </c>
      <c r="S202" s="4">
        <f>J202*3222</f>
        <v>109548</v>
      </c>
    </row>
    <row r="203" spans="1:19" s="3" customFormat="1">
      <c r="A203" s="115" t="s">
        <v>238</v>
      </c>
      <c r="B203" s="373"/>
      <c r="C203" s="237"/>
      <c r="D203" s="235"/>
      <c r="E203" s="234"/>
      <c r="F203" s="230"/>
      <c r="G203" s="322"/>
      <c r="H203" s="230"/>
      <c r="I203" s="351"/>
      <c r="J203" s="35">
        <f t="shared" si="85"/>
        <v>0</v>
      </c>
      <c r="L203" s="294"/>
      <c r="M203" s="299">
        <f>E203*180000</f>
        <v>0</v>
      </c>
      <c r="N203" s="282"/>
      <c r="O203" s="282"/>
      <c r="P203" s="282"/>
      <c r="Q203" s="279"/>
      <c r="R203" s="5">
        <f t="shared" si="86"/>
        <v>0</v>
      </c>
      <c r="S203" s="4">
        <f>J203*63000</f>
        <v>0</v>
      </c>
    </row>
    <row r="204" spans="1:19" s="3" customFormat="1">
      <c r="A204" s="115" t="s">
        <v>239</v>
      </c>
      <c r="B204" s="373"/>
      <c r="C204" s="35"/>
      <c r="D204" s="32"/>
      <c r="E204" s="234"/>
      <c r="F204" s="34"/>
      <c r="G204" s="34"/>
      <c r="H204" s="191"/>
      <c r="I204" s="80"/>
      <c r="J204" s="35">
        <f t="shared" si="85"/>
        <v>0</v>
      </c>
      <c r="L204" s="294"/>
      <c r="M204" s="299">
        <f>E204*180000</f>
        <v>0</v>
      </c>
      <c r="N204" s="282"/>
      <c r="O204" s="282"/>
      <c r="P204" s="282"/>
      <c r="Q204" s="279"/>
      <c r="R204" s="5">
        <f t="shared" si="86"/>
        <v>0</v>
      </c>
      <c r="S204" s="4">
        <f>J204*90000</f>
        <v>0</v>
      </c>
    </row>
    <row r="205" spans="1:19" s="3" customFormat="1">
      <c r="A205" s="115" t="s">
        <v>523</v>
      </c>
      <c r="B205" s="375" t="s">
        <v>554</v>
      </c>
      <c r="C205" s="237">
        <v>102</v>
      </c>
      <c r="D205" s="235"/>
      <c r="E205" s="234">
        <v>5</v>
      </c>
      <c r="F205" s="242"/>
      <c r="G205" s="230"/>
      <c r="H205" s="230"/>
      <c r="I205" s="238"/>
      <c r="J205" s="35">
        <f>SUM(C205:I205)</f>
        <v>107</v>
      </c>
      <c r="K205" s="3">
        <f>C205*16500</f>
        <v>1683000</v>
      </c>
      <c r="L205" s="294"/>
      <c r="M205" s="299">
        <f>E205*12500</f>
        <v>62500</v>
      </c>
      <c r="N205" s="282"/>
      <c r="O205" s="282"/>
      <c r="P205" s="282"/>
      <c r="Q205" s="286"/>
      <c r="R205" s="5">
        <f>SUM(K205:Q205)</f>
        <v>1745500</v>
      </c>
      <c r="S205" s="4">
        <f>J205*3069</f>
        <v>328383</v>
      </c>
    </row>
    <row r="206" spans="1:19" s="3" customFormat="1">
      <c r="A206" s="115" t="s">
        <v>522</v>
      </c>
      <c r="B206" s="375" t="s">
        <v>555</v>
      </c>
      <c r="C206" s="237">
        <v>28</v>
      </c>
      <c r="D206" s="235"/>
      <c r="E206" s="234">
        <v>19</v>
      </c>
      <c r="F206" s="230"/>
      <c r="G206" s="322"/>
      <c r="H206" s="230"/>
      <c r="I206" s="238"/>
      <c r="J206" s="35">
        <f t="shared" ref="J206:J216" si="87">SUM(C206:I206)</f>
        <v>47</v>
      </c>
      <c r="K206" s="3">
        <f>C206*18000</f>
        <v>504000</v>
      </c>
      <c r="L206" s="294"/>
      <c r="M206" s="299">
        <f>E206*13200</f>
        <v>250800</v>
      </c>
      <c r="N206" s="282">
        <f>F206*18000</f>
        <v>0</v>
      </c>
      <c r="O206" s="282"/>
      <c r="P206" s="282"/>
      <c r="Q206" s="279"/>
      <c r="R206" s="5">
        <f t="shared" si="86"/>
        <v>754800</v>
      </c>
      <c r="S206" s="4">
        <f>J206*3147</f>
        <v>147909</v>
      </c>
    </row>
    <row r="207" spans="1:19" s="3" customFormat="1">
      <c r="A207" s="115" t="s">
        <v>524</v>
      </c>
      <c r="B207" s="375" t="s">
        <v>556</v>
      </c>
      <c r="C207" s="237">
        <v>10</v>
      </c>
      <c r="D207" s="235"/>
      <c r="E207" s="234">
        <v>2</v>
      </c>
      <c r="F207" s="230"/>
      <c r="G207" s="230">
        <v>10</v>
      </c>
      <c r="H207" s="230"/>
      <c r="I207" s="238"/>
      <c r="J207" s="35">
        <f t="shared" si="87"/>
        <v>22</v>
      </c>
      <c r="K207" s="3">
        <f>C207*12000</f>
        <v>120000</v>
      </c>
      <c r="L207" s="294"/>
      <c r="M207" s="299">
        <f>E207*9600</f>
        <v>19200</v>
      </c>
      <c r="N207" s="282">
        <f>F207*12000</f>
        <v>0</v>
      </c>
      <c r="O207" s="282">
        <f>G207*9600</f>
        <v>96000</v>
      </c>
      <c r="P207" s="282"/>
      <c r="Q207" s="279"/>
      <c r="R207" s="5">
        <f t="shared" si="86"/>
        <v>235200</v>
      </c>
      <c r="S207" s="4">
        <f>J207*2740</f>
        <v>60280</v>
      </c>
    </row>
    <row r="208" spans="1:19" s="3" customFormat="1">
      <c r="A208" s="115" t="s">
        <v>583</v>
      </c>
      <c r="B208" s="375" t="s">
        <v>586</v>
      </c>
      <c r="C208" s="237">
        <v>8</v>
      </c>
      <c r="D208" s="235"/>
      <c r="E208" s="234"/>
      <c r="F208" s="230"/>
      <c r="G208" s="322"/>
      <c r="H208" s="230"/>
      <c r="I208" s="238"/>
      <c r="J208" s="35">
        <f t="shared" si="87"/>
        <v>8</v>
      </c>
      <c r="K208" s="3">
        <f>C208*28000</f>
        <v>224000</v>
      </c>
      <c r="L208" s="294"/>
      <c r="M208" s="299"/>
      <c r="N208" s="282">
        <f>F208*19600</f>
        <v>0</v>
      </c>
      <c r="O208" s="282"/>
      <c r="P208" s="282">
        <f>H208*22400</f>
        <v>0</v>
      </c>
      <c r="Q208" s="279"/>
      <c r="R208" s="5">
        <f>SUM(K208:Q208)</f>
        <v>224000</v>
      </c>
      <c r="S208" s="4">
        <f>J208*6493</f>
        <v>51944</v>
      </c>
    </row>
    <row r="209" spans="1:19" s="3" customFormat="1">
      <c r="A209" s="115" t="s">
        <v>584</v>
      </c>
      <c r="B209" s="375" t="s">
        <v>587</v>
      </c>
      <c r="C209" s="35">
        <v>6</v>
      </c>
      <c r="D209" s="235"/>
      <c r="E209" s="234"/>
      <c r="F209" s="230"/>
      <c r="G209" s="322"/>
      <c r="H209" s="230"/>
      <c r="I209" s="238"/>
      <c r="J209" s="35">
        <f t="shared" si="87"/>
        <v>6</v>
      </c>
      <c r="K209" s="3">
        <f>C209*28000</f>
        <v>168000</v>
      </c>
      <c r="L209" s="294"/>
      <c r="M209" s="299"/>
      <c r="N209" s="282">
        <f>F209*19600</f>
        <v>0</v>
      </c>
      <c r="O209" s="282"/>
      <c r="P209" s="282">
        <f>H209*22400</f>
        <v>0</v>
      </c>
      <c r="Q209" s="279"/>
      <c r="R209" s="5">
        <f>SUM(K209:Q209)</f>
        <v>168000</v>
      </c>
      <c r="S209" s="4">
        <f>J209*6900</f>
        <v>41400</v>
      </c>
    </row>
    <row r="210" spans="1:19" s="3" customFormat="1">
      <c r="A210" s="115" t="s">
        <v>585</v>
      </c>
      <c r="B210" s="375" t="s">
        <v>588</v>
      </c>
      <c r="C210" s="237"/>
      <c r="D210" s="235"/>
      <c r="E210" s="234"/>
      <c r="F210" s="230"/>
      <c r="G210" s="322"/>
      <c r="H210" s="230"/>
      <c r="I210" s="238"/>
      <c r="J210" s="35">
        <f t="shared" si="87"/>
        <v>0</v>
      </c>
      <c r="K210" s="3">
        <f>C210*22000</f>
        <v>0</v>
      </c>
      <c r="L210" s="294"/>
      <c r="M210" s="299"/>
      <c r="N210" s="282">
        <f>F210*17100</f>
        <v>0</v>
      </c>
      <c r="O210" s="282"/>
      <c r="P210" s="282"/>
      <c r="Q210" s="279"/>
      <c r="R210" s="5">
        <f t="shared" si="86"/>
        <v>0</v>
      </c>
      <c r="S210" s="4">
        <f>J210*2573</f>
        <v>0</v>
      </c>
    </row>
    <row r="211" spans="1:19" s="3" customFormat="1" ht="24">
      <c r="A211" s="115" t="s">
        <v>589</v>
      </c>
      <c r="B211" s="532" t="s">
        <v>622</v>
      </c>
      <c r="C211" s="237"/>
      <c r="D211" s="235"/>
      <c r="E211" s="234"/>
      <c r="F211" s="230"/>
      <c r="G211" s="322"/>
      <c r="H211" s="230"/>
      <c r="I211" s="351"/>
      <c r="J211" s="35">
        <f t="shared" si="87"/>
        <v>0</v>
      </c>
      <c r="K211" s="3">
        <f>C211*22000</f>
        <v>0</v>
      </c>
      <c r="L211" s="294"/>
      <c r="M211" s="299"/>
      <c r="N211" s="282"/>
      <c r="O211" s="282"/>
      <c r="P211" s="282"/>
      <c r="Q211" s="279"/>
      <c r="R211" s="5">
        <f>SUM(K211:Q211)</f>
        <v>0</v>
      </c>
      <c r="S211" s="4">
        <f>J211*4950</f>
        <v>0</v>
      </c>
    </row>
    <row r="212" spans="1:19" s="3" customFormat="1" ht="16.5" customHeight="1">
      <c r="A212" s="115" t="s">
        <v>519</v>
      </c>
      <c r="B212" s="684" t="s">
        <v>590</v>
      </c>
      <c r="C212" s="237"/>
      <c r="D212" s="235"/>
      <c r="E212" s="234"/>
      <c r="F212" s="230"/>
      <c r="G212" s="322"/>
      <c r="H212" s="230"/>
      <c r="I212" s="238"/>
      <c r="J212" s="35">
        <f t="shared" si="87"/>
        <v>0</v>
      </c>
      <c r="K212" s="3">
        <f>C212*12000</f>
        <v>0</v>
      </c>
      <c r="L212" s="294"/>
      <c r="M212" s="299">
        <f>E212*12000</f>
        <v>0</v>
      </c>
      <c r="N212" s="282">
        <f>F212*9600</f>
        <v>0</v>
      </c>
      <c r="O212" s="282"/>
      <c r="P212" s="282">
        <f>H212*12000</f>
        <v>0</v>
      </c>
      <c r="Q212" s="279"/>
      <c r="R212" s="5">
        <f t="shared" si="86"/>
        <v>0</v>
      </c>
      <c r="S212" s="4">
        <f>J212*2645</f>
        <v>0</v>
      </c>
    </row>
    <row r="213" spans="1:19" s="3" customFormat="1">
      <c r="A213" s="115" t="s">
        <v>529</v>
      </c>
      <c r="B213" s="685"/>
      <c r="C213" s="237"/>
      <c r="D213" s="235"/>
      <c r="E213" s="234"/>
      <c r="F213" s="230"/>
      <c r="G213" s="322"/>
      <c r="H213" s="230"/>
      <c r="I213" s="238"/>
      <c r="J213" s="35">
        <f t="shared" si="87"/>
        <v>0</v>
      </c>
      <c r="K213" s="3">
        <f>C213*48000</f>
        <v>0</v>
      </c>
      <c r="L213" s="294"/>
      <c r="M213" s="299">
        <f>E213*48000</f>
        <v>0</v>
      </c>
      <c r="N213" s="282">
        <f>F213*38400</f>
        <v>0</v>
      </c>
      <c r="O213" s="282"/>
      <c r="P213" s="282"/>
      <c r="Q213" s="279"/>
      <c r="R213" s="5">
        <f t="shared" si="86"/>
        <v>0</v>
      </c>
      <c r="S213" s="4">
        <f>J213*5981</f>
        <v>0</v>
      </c>
    </row>
    <row r="214" spans="1:19" ht="16.5" customHeight="1">
      <c r="A214" s="115" t="s">
        <v>520</v>
      </c>
      <c r="B214" s="684" t="s">
        <v>591</v>
      </c>
      <c r="C214" s="257"/>
      <c r="D214" s="235"/>
      <c r="E214" s="234"/>
      <c r="F214" s="230"/>
      <c r="G214" s="322"/>
      <c r="H214" s="230"/>
      <c r="I214" s="351"/>
      <c r="J214" s="35">
        <f t="shared" si="87"/>
        <v>0</v>
      </c>
      <c r="K214" s="3">
        <f>C214*12000</f>
        <v>0</v>
      </c>
      <c r="L214" s="294"/>
      <c r="M214" s="299">
        <f>E214*12000</f>
        <v>0</v>
      </c>
      <c r="N214" s="282">
        <f>F214*9600</f>
        <v>0</v>
      </c>
      <c r="O214" s="282"/>
      <c r="P214" s="282">
        <f>H214*12000</f>
        <v>0</v>
      </c>
      <c r="Q214" s="279"/>
      <c r="R214" s="5">
        <f t="shared" si="86"/>
        <v>0</v>
      </c>
      <c r="S214" s="4">
        <f>J214*2718</f>
        <v>0</v>
      </c>
    </row>
    <row r="215" spans="1:19">
      <c r="A215" s="115" t="s">
        <v>528</v>
      </c>
      <c r="B215" s="685"/>
      <c r="C215" s="237"/>
      <c r="D215" s="235"/>
      <c r="E215" s="234"/>
      <c r="F215" s="230"/>
      <c r="G215" s="322"/>
      <c r="H215" s="230"/>
      <c r="I215" s="351"/>
      <c r="J215" s="35">
        <f t="shared" si="87"/>
        <v>0</v>
      </c>
      <c r="K215" s="3">
        <f>C215*48000</f>
        <v>0</v>
      </c>
      <c r="L215" s="294"/>
      <c r="M215" s="299">
        <f>E215*48000</f>
        <v>0</v>
      </c>
      <c r="N215" s="282">
        <f>F215*38400</f>
        <v>0</v>
      </c>
      <c r="O215" s="282"/>
      <c r="P215" s="282"/>
      <c r="Q215" s="279"/>
      <c r="R215" s="5">
        <f t="shared" si="86"/>
        <v>0</v>
      </c>
      <c r="S215" s="4">
        <f>J215*6197</f>
        <v>0</v>
      </c>
    </row>
    <row r="216" spans="1:19" ht="24">
      <c r="A216" s="115" t="s">
        <v>521</v>
      </c>
      <c r="B216" s="532" t="s">
        <v>592</v>
      </c>
      <c r="C216" s="237">
        <v>5</v>
      </c>
      <c r="D216" s="235"/>
      <c r="E216" s="234"/>
      <c r="F216" s="230"/>
      <c r="G216" s="322"/>
      <c r="H216" s="230"/>
      <c r="I216" s="238"/>
      <c r="J216" s="35">
        <f t="shared" si="87"/>
        <v>5</v>
      </c>
      <c r="K216" s="3">
        <f>C216*18000</f>
        <v>90000</v>
      </c>
      <c r="L216" s="294"/>
      <c r="M216" s="299"/>
      <c r="N216" s="282">
        <f>F216*14400</f>
        <v>0</v>
      </c>
      <c r="O216" s="282"/>
      <c r="P216" s="282"/>
      <c r="Q216" s="279"/>
      <c r="R216" s="5">
        <f t="shared" si="86"/>
        <v>90000</v>
      </c>
      <c r="S216" s="4">
        <f>J216*3129</f>
        <v>15645</v>
      </c>
    </row>
    <row r="217" spans="1:19" ht="16.5" customHeight="1">
      <c r="A217" s="115" t="s">
        <v>525</v>
      </c>
      <c r="B217" s="684" t="s">
        <v>593</v>
      </c>
      <c r="C217" s="257">
        <v>28</v>
      </c>
      <c r="D217" s="235"/>
      <c r="E217" s="234"/>
      <c r="F217" s="230">
        <v>5</v>
      </c>
      <c r="G217" s="322"/>
      <c r="H217" s="230"/>
      <c r="I217" s="238"/>
      <c r="J217" s="35">
        <f t="shared" si="85"/>
        <v>33</v>
      </c>
      <c r="K217" s="3">
        <f>C217*18000</f>
        <v>504000</v>
      </c>
      <c r="L217" s="294"/>
      <c r="M217" s="299">
        <f>E217*18000</f>
        <v>0</v>
      </c>
      <c r="N217" s="282">
        <f>F217*14400</f>
        <v>72000</v>
      </c>
      <c r="O217" s="282"/>
      <c r="P217" s="282">
        <f>H217*18000</f>
        <v>0</v>
      </c>
      <c r="Q217" s="279"/>
      <c r="R217" s="5">
        <f t="shared" si="86"/>
        <v>576000</v>
      </c>
      <c r="S217" s="4">
        <f>J217*2748</f>
        <v>90684</v>
      </c>
    </row>
    <row r="218" spans="1:19">
      <c r="A218" s="115" t="s">
        <v>526</v>
      </c>
      <c r="B218" s="686"/>
      <c r="C218" s="257">
        <v>15</v>
      </c>
      <c r="D218" s="235"/>
      <c r="E218" s="234"/>
      <c r="F218" s="230">
        <v>2</v>
      </c>
      <c r="G218" s="322"/>
      <c r="H218" s="230"/>
      <c r="I218" s="351"/>
      <c r="J218" s="35">
        <f t="shared" si="85"/>
        <v>17</v>
      </c>
      <c r="K218" s="3">
        <f>C218*36000</f>
        <v>540000</v>
      </c>
      <c r="L218" s="294"/>
      <c r="M218" s="299">
        <f>E218*36000</f>
        <v>0</v>
      </c>
      <c r="N218" s="282">
        <f>F218*28800</f>
        <v>57600</v>
      </c>
      <c r="O218" s="282"/>
      <c r="P218" s="282">
        <f>H218*36000</f>
        <v>0</v>
      </c>
      <c r="Q218" s="279"/>
      <c r="R218" s="5">
        <f t="shared" si="86"/>
        <v>597600</v>
      </c>
      <c r="S218" s="4">
        <f>J218*4960</f>
        <v>84320</v>
      </c>
    </row>
    <row r="219" spans="1:19">
      <c r="A219" s="115" t="s">
        <v>527</v>
      </c>
      <c r="B219" s="685"/>
      <c r="C219" s="539">
        <v>1</v>
      </c>
      <c r="D219" s="32"/>
      <c r="E219" s="234"/>
      <c r="F219" s="191"/>
      <c r="G219" s="34"/>
      <c r="H219" s="191"/>
      <c r="I219" s="80"/>
      <c r="J219" s="35">
        <f t="shared" si="85"/>
        <v>1</v>
      </c>
      <c r="K219" s="3">
        <f>C219*90000</f>
        <v>90000</v>
      </c>
      <c r="L219" s="294"/>
      <c r="M219" s="299">
        <f>E219*90000</f>
        <v>0</v>
      </c>
      <c r="N219" s="282">
        <f>F219*72000</f>
        <v>0</v>
      </c>
      <c r="O219" s="282"/>
      <c r="P219" s="282"/>
      <c r="Q219" s="279"/>
      <c r="R219" s="5">
        <f t="shared" si="86"/>
        <v>90000</v>
      </c>
      <c r="S219" s="4">
        <f>J219*14800</f>
        <v>14800</v>
      </c>
    </row>
    <row r="220" spans="1:19" s="24" customFormat="1">
      <c r="B220" s="74"/>
      <c r="C220" s="74"/>
      <c r="D220" s="116"/>
      <c r="E220" s="10"/>
      <c r="F220" s="10"/>
      <c r="G220" s="11"/>
      <c r="H220" s="192"/>
      <c r="I220" s="12" t="s">
        <v>5</v>
      </c>
      <c r="J220" s="117" t="s">
        <v>6</v>
      </c>
      <c r="K220" s="118">
        <f t="shared" ref="K220:S220" si="88">SUM(K171:K219)</f>
        <v>17995080</v>
      </c>
      <c r="L220" s="297">
        <f t="shared" si="88"/>
        <v>2557600</v>
      </c>
      <c r="M220" s="303">
        <f t="shared" si="88"/>
        <v>1177300</v>
      </c>
      <c r="N220" s="280">
        <f t="shared" si="88"/>
        <v>129600</v>
      </c>
      <c r="O220" s="280">
        <f t="shared" si="88"/>
        <v>127800</v>
      </c>
      <c r="P220" s="280">
        <f t="shared" si="88"/>
        <v>0</v>
      </c>
      <c r="Q220" s="118">
        <f t="shared" si="88"/>
        <v>18480</v>
      </c>
      <c r="R220" s="119">
        <f t="shared" si="88"/>
        <v>22005860</v>
      </c>
      <c r="S220" s="119">
        <f t="shared" si="88"/>
        <v>5088942</v>
      </c>
    </row>
    <row r="221" spans="1:19" s="244" customFormat="1">
      <c r="B221" s="245"/>
      <c r="C221" s="245"/>
      <c r="D221" s="116" t="s">
        <v>573</v>
      </c>
      <c r="E221" s="475"/>
      <c r="F221" s="475"/>
      <c r="G221" s="476"/>
      <c r="H221" s="477"/>
      <c r="I221" s="478"/>
      <c r="J221" s="479"/>
      <c r="K221" s="248"/>
      <c r="L221" s="318"/>
      <c r="M221" s="480"/>
      <c r="N221" s="319"/>
      <c r="O221" s="319"/>
      <c r="P221" s="319"/>
      <c r="Q221" s="248"/>
      <c r="R221" s="249"/>
      <c r="S221" s="249"/>
    </row>
    <row r="222" spans="1:19" ht="24">
      <c r="A222" s="120" t="s">
        <v>240</v>
      </c>
      <c r="C222" s="121" t="s">
        <v>737</v>
      </c>
      <c r="D222" s="668" t="s">
        <v>243</v>
      </c>
      <c r="E222" s="313"/>
      <c r="F222" s="10" t="s">
        <v>456</v>
      </c>
      <c r="G222" s="15" t="s">
        <v>241</v>
      </c>
      <c r="H222" s="16"/>
      <c r="I222" s="125"/>
      <c r="J222" s="107"/>
      <c r="K222" s="181"/>
      <c r="P222" s="210"/>
    </row>
    <row r="223" spans="1:19" ht="17.25" customHeight="1">
      <c r="A223" s="120"/>
      <c r="C223" s="592" t="s">
        <v>736</v>
      </c>
      <c r="D223" s="669"/>
      <c r="E223" s="398"/>
      <c r="F223" s="397"/>
      <c r="G223" s="20"/>
      <c r="H223" s="544"/>
      <c r="I223" s="534"/>
      <c r="J223" s="20"/>
      <c r="K223" s="414"/>
      <c r="P223" s="210"/>
    </row>
    <row r="224" spans="1:19" ht="21.75" customHeight="1">
      <c r="A224" s="120"/>
      <c r="C224" s="592" t="s">
        <v>739</v>
      </c>
      <c r="D224" s="669"/>
      <c r="E224" s="398"/>
      <c r="F224" s="396" t="s">
        <v>243</v>
      </c>
      <c r="G224" s="566"/>
      <c r="H224" s="20" t="s">
        <v>637</v>
      </c>
      <c r="I224" s="534" t="s">
        <v>726</v>
      </c>
      <c r="J224" s="320"/>
      <c r="K224" s="321"/>
      <c r="P224" s="210"/>
    </row>
    <row r="225" spans="1:19" ht="24">
      <c r="B225" s="2" t="s">
        <v>2</v>
      </c>
      <c r="C225" s="563" t="s">
        <v>735</v>
      </c>
      <c r="D225" s="398" t="s">
        <v>503</v>
      </c>
      <c r="E225" s="595" t="s">
        <v>503</v>
      </c>
      <c r="F225" s="208"/>
      <c r="G225" s="399" t="s">
        <v>720</v>
      </c>
      <c r="H225" s="20" t="s">
        <v>599</v>
      </c>
      <c r="I225" s="575" t="s">
        <v>725</v>
      </c>
      <c r="J225" s="124"/>
      <c r="K225" s="219" t="s">
        <v>2</v>
      </c>
      <c r="L225" s="664" t="s">
        <v>743</v>
      </c>
      <c r="M225" s="664"/>
      <c r="N225" s="664"/>
      <c r="O225" s="316"/>
      <c r="P225" s="481"/>
      <c r="Q225" s="278" t="s">
        <v>731</v>
      </c>
      <c r="R225" s="220" t="s">
        <v>18</v>
      </c>
      <c r="S225" s="221" t="s">
        <v>19</v>
      </c>
    </row>
    <row r="226" spans="1:19">
      <c r="A226" s="29" t="s">
        <v>245</v>
      </c>
      <c r="B226" s="374" t="s">
        <v>246</v>
      </c>
      <c r="C226" s="233">
        <v>130</v>
      </c>
      <c r="D226" s="235">
        <v>29</v>
      </c>
      <c r="E226" s="234"/>
      <c r="F226" s="234"/>
      <c r="G226" s="235"/>
      <c r="H226" s="230"/>
      <c r="I226" s="352"/>
      <c r="J226" s="35">
        <f>SUM(C226:I226)</f>
        <v>159</v>
      </c>
      <c r="K226" s="254">
        <f>C226*12000</f>
        <v>1560000</v>
      </c>
      <c r="L226" s="294">
        <f>D226*9900</f>
        <v>287100</v>
      </c>
      <c r="M226" s="294">
        <f>F226*9900</f>
        <v>0</v>
      </c>
      <c r="N226" s="299"/>
      <c r="O226" s="287"/>
      <c r="P226" s="482"/>
      <c r="Q226" s="279">
        <f>H226*12000</f>
        <v>0</v>
      </c>
      <c r="R226" s="4">
        <f>SUM(K226:Q226)</f>
        <v>1847100</v>
      </c>
      <c r="S226" s="4">
        <f>J226*4006</f>
        <v>636954</v>
      </c>
    </row>
    <row r="227" spans="1:19">
      <c r="A227" s="29" t="s">
        <v>247</v>
      </c>
      <c r="B227" s="374" t="s">
        <v>248</v>
      </c>
      <c r="C227" s="233">
        <v>101</v>
      </c>
      <c r="D227" s="235">
        <v>42</v>
      </c>
      <c r="E227" s="234"/>
      <c r="F227" s="234"/>
      <c r="G227" s="229"/>
      <c r="H227" s="230"/>
      <c r="I227" s="36"/>
      <c r="J227" s="35">
        <f>SUM(C227:I227)</f>
        <v>143</v>
      </c>
      <c r="K227" s="254">
        <f>C227*22000</f>
        <v>2222000</v>
      </c>
      <c r="L227" s="294">
        <f>D227*18000</f>
        <v>756000</v>
      </c>
      <c r="M227" s="294">
        <f>F227*18000</f>
        <v>0</v>
      </c>
      <c r="N227" s="299"/>
      <c r="O227" s="287"/>
      <c r="P227" s="482"/>
      <c r="Q227" s="279">
        <f>H227*22000</f>
        <v>0</v>
      </c>
      <c r="R227" s="4">
        <f t="shared" ref="R227:R229" si="89">SUM(K227:Q227)</f>
        <v>2978000</v>
      </c>
      <c r="S227" s="4">
        <f>J227*3489</f>
        <v>498927</v>
      </c>
    </row>
    <row r="228" spans="1:19">
      <c r="A228" s="29" t="s">
        <v>249</v>
      </c>
      <c r="B228" s="374" t="s">
        <v>250</v>
      </c>
      <c r="C228" s="239">
        <v>26</v>
      </c>
      <c r="D228" s="255">
        <v>3</v>
      </c>
      <c r="E228" s="234"/>
      <c r="F228" s="234"/>
      <c r="G228" s="229"/>
      <c r="H228" s="230"/>
      <c r="I228" s="352"/>
      <c r="J228" s="35">
        <f>SUM(C228:I228)</f>
        <v>29</v>
      </c>
      <c r="K228" s="254">
        <f>C228*16500</f>
        <v>429000</v>
      </c>
      <c r="L228" s="294">
        <f>D228*13200</f>
        <v>39600</v>
      </c>
      <c r="M228" s="294">
        <f>F228*13200</f>
        <v>0</v>
      </c>
      <c r="N228" s="299"/>
      <c r="O228" s="287"/>
      <c r="P228" s="482"/>
      <c r="Q228" s="279">
        <f>H228*13200</f>
        <v>0</v>
      </c>
      <c r="R228" s="4">
        <f t="shared" si="89"/>
        <v>468600</v>
      </c>
      <c r="S228" s="4">
        <f>J228*2598</f>
        <v>75342</v>
      </c>
    </row>
    <row r="229" spans="1:19">
      <c r="A229" s="29" t="s">
        <v>495</v>
      </c>
      <c r="B229" s="374" t="s">
        <v>497</v>
      </c>
      <c r="C229" s="239">
        <v>29</v>
      </c>
      <c r="D229" s="255"/>
      <c r="E229" s="234"/>
      <c r="F229" s="234"/>
      <c r="G229" s="229"/>
      <c r="H229" s="230"/>
      <c r="I229" s="352"/>
      <c r="J229" s="35">
        <f>SUM(C229:I229)</f>
        <v>29</v>
      </c>
      <c r="K229" s="254">
        <f>C229*16000</f>
        <v>464000</v>
      </c>
      <c r="L229" s="294">
        <f>D229*13100</f>
        <v>0</v>
      </c>
      <c r="M229" s="294"/>
      <c r="N229" s="299"/>
      <c r="O229" s="287"/>
      <c r="P229" s="482"/>
      <c r="Q229" s="279">
        <f>G229*16000</f>
        <v>0</v>
      </c>
      <c r="R229" s="4">
        <f t="shared" si="89"/>
        <v>464000</v>
      </c>
      <c r="S229" s="4">
        <f>J229*4740</f>
        <v>137460</v>
      </c>
    </row>
    <row r="230" spans="1:19" s="24" customFormat="1" ht="40.5">
      <c r="B230" s="2" t="s">
        <v>2</v>
      </c>
      <c r="C230" s="74"/>
      <c r="D230" s="113" t="s">
        <v>211</v>
      </c>
      <c r="E230" s="347" t="s">
        <v>244</v>
      </c>
      <c r="F230" s="123"/>
      <c r="G230" s="123"/>
      <c r="H230" s="20"/>
      <c r="I230" s="125" t="s">
        <v>395</v>
      </c>
      <c r="J230" s="58" t="s">
        <v>6</v>
      </c>
      <c r="K230" s="118">
        <f t="shared" ref="K230:S230" si="90">SUM(K226:K229)</f>
        <v>4675000</v>
      </c>
      <c r="L230" s="297">
        <f t="shared" si="90"/>
        <v>1082700</v>
      </c>
      <c r="M230" s="118">
        <f t="shared" si="90"/>
        <v>0</v>
      </c>
      <c r="N230" s="303">
        <f t="shared" si="90"/>
        <v>0</v>
      </c>
      <c r="O230" s="280">
        <f t="shared" si="90"/>
        <v>0</v>
      </c>
      <c r="P230" s="280">
        <f t="shared" si="90"/>
        <v>0</v>
      </c>
      <c r="Q230" s="118">
        <f t="shared" si="90"/>
        <v>0</v>
      </c>
      <c r="R230" s="119">
        <f t="shared" si="90"/>
        <v>5757700</v>
      </c>
      <c r="S230" s="119">
        <f t="shared" si="90"/>
        <v>1348683</v>
      </c>
    </row>
    <row r="231" spans="1:19" s="24" customFormat="1">
      <c r="B231" s="2"/>
      <c r="C231" s="74"/>
      <c r="D231" s="401" t="s">
        <v>357</v>
      </c>
      <c r="E231" s="123"/>
      <c r="F231" s="123"/>
      <c r="G231" s="123"/>
      <c r="H231" s="20"/>
      <c r="I231" s="317"/>
      <c r="J231" s="117"/>
      <c r="K231" s="248"/>
      <c r="L231" s="318"/>
      <c r="M231" s="248"/>
      <c r="N231" s="248"/>
      <c r="O231" s="319"/>
      <c r="P231" s="248"/>
      <c r="Q231" s="248"/>
      <c r="R231" s="249"/>
      <c r="S231" s="249"/>
    </row>
    <row r="232" spans="1:19">
      <c r="A232" s="74" t="s">
        <v>364</v>
      </c>
      <c r="B232" s="126"/>
      <c r="C232" s="100"/>
      <c r="D232" s="390" t="s">
        <v>251</v>
      </c>
      <c r="E232" s="113"/>
      <c r="F232" s="127"/>
      <c r="G232" s="209"/>
      <c r="H232" s="20" t="s">
        <v>17</v>
      </c>
      <c r="I232" s="20"/>
      <c r="J232" s="108"/>
      <c r="K232" s="28" t="s">
        <v>2</v>
      </c>
      <c r="L232" s="665" t="s">
        <v>744</v>
      </c>
      <c r="M232" s="665"/>
      <c r="N232" s="286" t="s">
        <v>465</v>
      </c>
      <c r="O232" s="286" t="s">
        <v>557</v>
      </c>
      <c r="P232" s="484" t="s">
        <v>464</v>
      </c>
      <c r="Q232" s="286"/>
      <c r="R232" s="5" t="s">
        <v>18</v>
      </c>
      <c r="S232" s="4" t="s">
        <v>19</v>
      </c>
    </row>
    <row r="233" spans="1:19">
      <c r="A233" s="128" t="s">
        <v>253</v>
      </c>
      <c r="B233" s="377" t="s">
        <v>254</v>
      </c>
      <c r="C233" s="237"/>
      <c r="D233" s="32"/>
      <c r="E233" s="33"/>
      <c r="F233" s="191"/>
      <c r="G233" s="197"/>
      <c r="H233" s="36"/>
      <c r="I233" s="191"/>
      <c r="J233" s="35">
        <f>SUM(C233:I233)</f>
        <v>0</v>
      </c>
      <c r="K233" s="3">
        <f>C233*7000</f>
        <v>0</v>
      </c>
      <c r="L233" s="294"/>
      <c r="M233" s="299">
        <f>E233*0</f>
        <v>0</v>
      </c>
      <c r="N233" s="282"/>
      <c r="O233" s="282">
        <f>H233*1680</f>
        <v>0</v>
      </c>
      <c r="P233" s="485"/>
      <c r="Q233" s="286"/>
      <c r="R233" s="4">
        <f>SUM(K233:Q233)</f>
        <v>0</v>
      </c>
      <c r="S233" s="4">
        <f>J233*1957</f>
        <v>0</v>
      </c>
    </row>
    <row r="234" spans="1:19">
      <c r="A234" s="129" t="s">
        <v>255</v>
      </c>
      <c r="B234" s="378" t="s">
        <v>254</v>
      </c>
      <c r="C234" s="215"/>
      <c r="D234" s="32"/>
      <c r="E234" s="33"/>
      <c r="F234" s="191"/>
      <c r="G234" s="197"/>
      <c r="H234" s="36"/>
      <c r="I234" s="191"/>
      <c r="J234" s="35">
        <f>SUM(C234:I234)</f>
        <v>0</v>
      </c>
      <c r="K234" s="284">
        <f>C234*7800</f>
        <v>0</v>
      </c>
      <c r="L234" s="294"/>
      <c r="M234" s="299">
        <f>E234*0</f>
        <v>0</v>
      </c>
      <c r="N234" s="282"/>
      <c r="O234" s="282">
        <f>H234*1680</f>
        <v>0</v>
      </c>
      <c r="P234" s="485"/>
      <c r="Q234" s="286"/>
      <c r="R234" s="4">
        <f t="shared" ref="R234:R235" si="91">SUM(K234:Q234)</f>
        <v>0</v>
      </c>
      <c r="S234" s="4">
        <f>J234*10200</f>
        <v>0</v>
      </c>
    </row>
    <row r="235" spans="1:19">
      <c r="A235" s="128" t="s">
        <v>256</v>
      </c>
      <c r="B235" s="374" t="s">
        <v>252</v>
      </c>
      <c r="C235" s="237">
        <v>240</v>
      </c>
      <c r="D235" s="235">
        <v>300</v>
      </c>
      <c r="E235" s="33"/>
      <c r="F235" s="191"/>
      <c r="G235" s="197"/>
      <c r="H235" s="191"/>
      <c r="I235" s="36"/>
      <c r="J235" s="35">
        <f>SUM(C235:I235)</f>
        <v>540</v>
      </c>
      <c r="K235" s="254">
        <f>C235*600</f>
        <v>144000</v>
      </c>
      <c r="L235" s="294">
        <f>D235*600</f>
        <v>180000</v>
      </c>
      <c r="M235" s="299">
        <f>E235*600</f>
        <v>0</v>
      </c>
      <c r="N235" s="282"/>
      <c r="O235" s="282">
        <f>H235*1680</f>
        <v>0</v>
      </c>
      <c r="P235" s="485"/>
      <c r="Q235" s="286"/>
      <c r="R235" s="4">
        <f t="shared" si="91"/>
        <v>324000</v>
      </c>
      <c r="S235" s="4">
        <f>J235*480</f>
        <v>259200</v>
      </c>
    </row>
    <row r="236" spans="1:19" s="24" customFormat="1" ht="27">
      <c r="B236" s="74"/>
      <c r="C236" s="74"/>
      <c r="D236" s="55" t="s">
        <v>573</v>
      </c>
      <c r="E236" s="125" t="s">
        <v>458</v>
      </c>
      <c r="F236" s="130" t="s">
        <v>741</v>
      </c>
      <c r="G236" s="10" t="s">
        <v>456</v>
      </c>
      <c r="H236" s="130"/>
      <c r="I236" s="131" t="s">
        <v>257</v>
      </c>
      <c r="J236" s="58" t="s">
        <v>6</v>
      </c>
      <c r="K236" s="118">
        <f t="shared" ref="K236:S236" si="92">SUM(K233:K235)</f>
        <v>144000</v>
      </c>
      <c r="L236" s="297">
        <f t="shared" si="92"/>
        <v>180000</v>
      </c>
      <c r="M236" s="304">
        <f t="shared" si="92"/>
        <v>0</v>
      </c>
      <c r="N236" s="280">
        <f t="shared" si="92"/>
        <v>0</v>
      </c>
      <c r="O236" s="280">
        <f t="shared" si="92"/>
        <v>0</v>
      </c>
      <c r="P236" s="280">
        <f t="shared" si="92"/>
        <v>0</v>
      </c>
      <c r="Q236" s="280">
        <f t="shared" si="92"/>
        <v>0</v>
      </c>
      <c r="R236" s="119">
        <f t="shared" si="92"/>
        <v>324000</v>
      </c>
      <c r="S236" s="119">
        <f t="shared" si="92"/>
        <v>259200</v>
      </c>
    </row>
    <row r="237" spans="1:19">
      <c r="C237" s="592" t="s">
        <v>738</v>
      </c>
      <c r="D237" s="404" t="s">
        <v>457</v>
      </c>
      <c r="E237" s="400" t="s">
        <v>375</v>
      </c>
      <c r="F237" s="399" t="s">
        <v>244</v>
      </c>
      <c r="G237" s="396" t="s">
        <v>243</v>
      </c>
      <c r="H237" s="103"/>
      <c r="I237" s="103" t="s">
        <v>360</v>
      </c>
      <c r="J237" s="107"/>
      <c r="P237" s="210"/>
    </row>
    <row r="238" spans="1:19">
      <c r="D238" s="404"/>
      <c r="E238" s="402" t="s">
        <v>242</v>
      </c>
      <c r="F238" s="402"/>
      <c r="G238" s="405"/>
      <c r="H238" s="399"/>
      <c r="I238" s="400"/>
      <c r="J238" s="124"/>
      <c r="P238" s="210"/>
    </row>
    <row r="239" spans="1:19">
      <c r="D239" s="88"/>
      <c r="E239" s="403" t="s">
        <v>185</v>
      </c>
      <c r="F239" s="400"/>
      <c r="G239" s="209"/>
      <c r="H239" s="132"/>
      <c r="I239" s="132"/>
      <c r="J239" s="124" t="s">
        <v>368</v>
      </c>
      <c r="P239" s="210"/>
    </row>
    <row r="240" spans="1:19">
      <c r="A240" s="74"/>
      <c r="D240" s="133"/>
      <c r="E240" s="402" t="s">
        <v>511</v>
      </c>
      <c r="F240" s="402" t="s">
        <v>508</v>
      </c>
      <c r="G240" s="209"/>
      <c r="H240" s="122"/>
      <c r="I240" s="536" t="s">
        <v>412</v>
      </c>
      <c r="J240" s="102"/>
      <c r="P240" s="210"/>
    </row>
    <row r="241" spans="1:19">
      <c r="C241" s="2" t="s">
        <v>2</v>
      </c>
      <c r="D241" s="134"/>
      <c r="E241" s="108"/>
      <c r="F241" s="350"/>
      <c r="G241" s="206"/>
      <c r="H241" s="109"/>
      <c r="I241" s="64"/>
      <c r="J241" s="108"/>
      <c r="K241" s="28" t="s">
        <v>2</v>
      </c>
      <c r="L241" s="597" t="s">
        <v>742</v>
      </c>
      <c r="M241" s="285" t="s">
        <v>482</v>
      </c>
      <c r="N241" s="596" t="s">
        <v>740</v>
      </c>
      <c r="O241" s="315"/>
      <c r="P241" s="293" t="s">
        <v>257</v>
      </c>
      <c r="Q241" s="293"/>
      <c r="R241" s="28" t="s">
        <v>18</v>
      </c>
      <c r="S241" s="4" t="s">
        <v>19</v>
      </c>
    </row>
    <row r="242" spans="1:19">
      <c r="A242" s="79" t="s">
        <v>258</v>
      </c>
      <c r="B242" s="374" t="s">
        <v>259</v>
      </c>
      <c r="C242" s="233">
        <v>240</v>
      </c>
      <c r="D242" s="235"/>
      <c r="E242" s="215">
        <v>1700</v>
      </c>
      <c r="F242" s="234">
        <v>350</v>
      </c>
      <c r="G242" s="234"/>
      <c r="H242" s="234"/>
      <c r="I242" s="234"/>
      <c r="J242" s="35">
        <f>SUM(C242:I242)+I241</f>
        <v>2290</v>
      </c>
      <c r="K242" s="254">
        <f>C242*1750</f>
        <v>420000</v>
      </c>
      <c r="L242" s="294">
        <f>D242*1750</f>
        <v>0</v>
      </c>
      <c r="M242" s="283">
        <f>E242*1400</f>
        <v>2380000</v>
      </c>
      <c r="N242" s="299">
        <f>F242*1400</f>
        <v>490000</v>
      </c>
      <c r="O242" s="315"/>
      <c r="P242" s="299">
        <f>H242*1200</f>
        <v>0</v>
      </c>
      <c r="Q242" s="299"/>
      <c r="R242" s="3">
        <f>SUM(K242:Q242)</f>
        <v>3290000</v>
      </c>
      <c r="S242" s="3">
        <f>J242*289</f>
        <v>661810</v>
      </c>
    </row>
    <row r="243" spans="1:19">
      <c r="A243" s="128" t="s">
        <v>260</v>
      </c>
      <c r="B243" s="374" t="s">
        <v>492</v>
      </c>
      <c r="C243" s="237">
        <v>80</v>
      </c>
      <c r="D243" s="235"/>
      <c r="E243" s="215">
        <v>1450</v>
      </c>
      <c r="F243" s="234">
        <v>250</v>
      </c>
      <c r="G243" s="234"/>
      <c r="H243" s="234"/>
      <c r="I243" s="242"/>
      <c r="J243" s="35">
        <f>SUM(C243:I243)</f>
        <v>1780</v>
      </c>
      <c r="K243" s="254">
        <f>C243*1750</f>
        <v>140000</v>
      </c>
      <c r="L243" s="294">
        <f>D243*1750</f>
        <v>0</v>
      </c>
      <c r="M243" s="283">
        <f>E243*1400</f>
        <v>2030000</v>
      </c>
      <c r="N243" s="299">
        <f>F243*1400</f>
        <v>350000</v>
      </c>
      <c r="O243" s="315"/>
      <c r="P243" s="299">
        <f>H243*1200</f>
        <v>0</v>
      </c>
      <c r="Q243" s="299"/>
      <c r="R243" s="3">
        <f t="shared" ref="R243" si="93">SUM(I243:Q243)</f>
        <v>2521780</v>
      </c>
      <c r="S243" s="3">
        <f>J243*305</f>
        <v>542900</v>
      </c>
    </row>
    <row r="244" spans="1:19" s="24" customFormat="1">
      <c r="B244" s="74"/>
      <c r="C244" s="486"/>
      <c r="D244" s="486"/>
      <c r="E244" s="273"/>
      <c r="F244" s="272"/>
      <c r="G244" s="272"/>
      <c r="H244" s="272"/>
      <c r="I244" s="84" t="s">
        <v>141</v>
      </c>
      <c r="J244" s="58" t="s">
        <v>6</v>
      </c>
      <c r="K244" s="118">
        <f t="shared" ref="K244:S244" si="94">SUM(K242:K243)</f>
        <v>560000</v>
      </c>
      <c r="L244" s="297">
        <f t="shared" si="94"/>
        <v>0</v>
      </c>
      <c r="M244" s="118">
        <f t="shared" si="94"/>
        <v>4410000</v>
      </c>
      <c r="N244" s="118">
        <f t="shared" si="94"/>
        <v>840000</v>
      </c>
      <c r="O244" s="303">
        <f t="shared" si="94"/>
        <v>0</v>
      </c>
      <c r="P244" s="118">
        <f t="shared" si="94"/>
        <v>0</v>
      </c>
      <c r="Q244" s="118">
        <f t="shared" si="94"/>
        <v>0</v>
      </c>
      <c r="R244" s="135">
        <f t="shared" si="94"/>
        <v>5811780</v>
      </c>
      <c r="S244" s="136">
        <f t="shared" si="94"/>
        <v>1204710</v>
      </c>
    </row>
    <row r="245" spans="1:19" s="24" customFormat="1">
      <c r="B245" s="74"/>
      <c r="C245" s="74"/>
      <c r="D245" s="142" t="s">
        <v>3</v>
      </c>
      <c r="E245" s="143"/>
      <c r="F245" s="22"/>
      <c r="G245" s="26"/>
      <c r="H245" s="144"/>
      <c r="I245" s="22"/>
      <c r="J245" s="22"/>
      <c r="K245" s="492"/>
      <c r="L245" s="492"/>
      <c r="M245" s="493"/>
      <c r="N245" s="493"/>
      <c r="O245" s="494"/>
      <c r="P245" s="495"/>
      <c r="Q245" s="496"/>
      <c r="R245" s="492"/>
      <c r="S245" s="497"/>
    </row>
    <row r="246" spans="1:19" s="24" customFormat="1">
      <c r="B246" s="74"/>
      <c r="C246" s="74"/>
      <c r="D246" s="406" t="s">
        <v>262</v>
      </c>
      <c r="E246" s="143" t="s">
        <v>4</v>
      </c>
      <c r="F246" s="498" t="s">
        <v>263</v>
      </c>
      <c r="G246" s="12" t="s">
        <v>264</v>
      </c>
      <c r="H246" s="144"/>
      <c r="I246" s="498"/>
      <c r="J246" s="499" t="s">
        <v>465</v>
      </c>
      <c r="K246" s="492"/>
      <c r="L246" s="492"/>
      <c r="M246" s="493"/>
      <c r="N246" s="493"/>
      <c r="O246" s="494"/>
      <c r="P246" s="495"/>
      <c r="Q246" s="496"/>
      <c r="R246" s="492"/>
      <c r="S246" s="497"/>
    </row>
    <row r="247" spans="1:19" s="244" customFormat="1" ht="24">
      <c r="B247" s="245"/>
      <c r="C247" s="245"/>
      <c r="D247" s="406" t="s">
        <v>265</v>
      </c>
      <c r="E247" s="19" t="s">
        <v>266</v>
      </c>
      <c r="F247" s="20" t="s">
        <v>14</v>
      </c>
      <c r="G247" s="26" t="s">
        <v>15</v>
      </c>
      <c r="H247" s="491"/>
      <c r="I247" s="20" t="s">
        <v>0</v>
      </c>
      <c r="J247" s="77" t="s">
        <v>1</v>
      </c>
      <c r="K247" s="492"/>
      <c r="L247" s="492"/>
      <c r="M247" s="493"/>
      <c r="N247" s="493"/>
      <c r="O247" s="494"/>
      <c r="P247" s="495"/>
      <c r="Q247" s="496"/>
      <c r="R247" s="492"/>
      <c r="S247" s="497"/>
    </row>
    <row r="248" spans="1:19">
      <c r="A248" s="24" t="s">
        <v>267</v>
      </c>
      <c r="C248" s="2" t="s">
        <v>2</v>
      </c>
      <c r="D248" s="406" t="s">
        <v>268</v>
      </c>
      <c r="E248" s="91"/>
      <c r="F248" s="20" t="s">
        <v>10</v>
      </c>
      <c r="G248" s="110" t="s">
        <v>11</v>
      </c>
      <c r="I248" s="102"/>
      <c r="J248" s="140"/>
      <c r="K248" s="219" t="s">
        <v>2</v>
      </c>
      <c r="L248" s="664" t="s">
        <v>733</v>
      </c>
      <c r="M248" s="664"/>
      <c r="N248" s="419"/>
      <c r="O248" s="419" t="s">
        <v>747</v>
      </c>
      <c r="P248" s="594"/>
      <c r="Q248" s="278" t="s">
        <v>17</v>
      </c>
      <c r="R248" s="220" t="s">
        <v>18</v>
      </c>
      <c r="S248" s="593" t="s">
        <v>19</v>
      </c>
    </row>
    <row r="249" spans="1:19">
      <c r="A249" s="79" t="s">
        <v>270</v>
      </c>
      <c r="B249" s="548" t="s">
        <v>269</v>
      </c>
      <c r="C249" s="233">
        <v>12</v>
      </c>
      <c r="D249" s="235">
        <v>1</v>
      </c>
      <c r="E249" s="234"/>
      <c r="F249" s="215">
        <v>4</v>
      </c>
      <c r="G249" s="236"/>
      <c r="H249" s="231"/>
      <c r="I249" s="230"/>
      <c r="J249" s="35">
        <f t="shared" ref="J249:J255" si="95">SUM(C249:I249)</f>
        <v>17</v>
      </c>
      <c r="K249" s="254">
        <v>2421000</v>
      </c>
      <c r="L249" s="294">
        <f>D249*176000</f>
        <v>176000</v>
      </c>
      <c r="M249" s="299">
        <f>E249*176000</f>
        <v>0</v>
      </c>
      <c r="N249" s="276"/>
      <c r="O249" s="276">
        <f>F249*162000</f>
        <v>648000</v>
      </c>
      <c r="P249" s="210"/>
      <c r="Q249" s="279"/>
      <c r="R249" s="4">
        <f t="shared" ref="R249:R255" si="96">SUM(K249:Q249)</f>
        <v>3245000</v>
      </c>
      <c r="S249" s="4">
        <f>J249*55000</f>
        <v>935000</v>
      </c>
    </row>
    <row r="250" spans="1:19">
      <c r="A250" s="79" t="s">
        <v>271</v>
      </c>
      <c r="B250" s="548" t="s">
        <v>269</v>
      </c>
      <c r="C250" s="233">
        <v>6</v>
      </c>
      <c r="D250" s="235"/>
      <c r="E250" s="234"/>
      <c r="F250" s="215">
        <v>1</v>
      </c>
      <c r="G250" s="229"/>
      <c r="H250" s="231"/>
      <c r="I250" s="215">
        <v>2</v>
      </c>
      <c r="J250" s="35">
        <f t="shared" si="95"/>
        <v>9</v>
      </c>
      <c r="K250" s="254">
        <v>270600</v>
      </c>
      <c r="L250" s="294">
        <f>D250*44000</f>
        <v>0</v>
      </c>
      <c r="M250" s="299">
        <f>E250*44000</f>
        <v>0</v>
      </c>
      <c r="N250" s="276"/>
      <c r="O250" s="276">
        <f>F250*36520</f>
        <v>36520</v>
      </c>
      <c r="P250" s="210"/>
      <c r="Q250" s="279">
        <f>I250*30800</f>
        <v>61600</v>
      </c>
      <c r="R250" s="4">
        <f t="shared" si="96"/>
        <v>368720</v>
      </c>
      <c r="S250" s="4">
        <f>J250*13500</f>
        <v>121500</v>
      </c>
    </row>
    <row r="251" spans="1:19">
      <c r="A251" s="79" t="s">
        <v>272</v>
      </c>
      <c r="B251" s="377" t="s">
        <v>273</v>
      </c>
      <c r="C251" s="233">
        <v>25</v>
      </c>
      <c r="D251" s="235"/>
      <c r="E251" s="234">
        <v>2</v>
      </c>
      <c r="F251" s="229"/>
      <c r="G251" s="236"/>
      <c r="H251" s="231"/>
      <c r="I251" s="231"/>
      <c r="J251" s="35">
        <f t="shared" si="95"/>
        <v>27</v>
      </c>
      <c r="K251" s="254">
        <v>521000</v>
      </c>
      <c r="L251" s="294">
        <f>D251*15400</f>
        <v>0</v>
      </c>
      <c r="M251" s="299">
        <f>E251*15400</f>
        <v>30800</v>
      </c>
      <c r="N251" s="276"/>
      <c r="P251" s="210"/>
      <c r="Q251" s="279"/>
      <c r="R251" s="4">
        <f t="shared" si="96"/>
        <v>551800</v>
      </c>
      <c r="S251" s="4">
        <f>J251*4500</f>
        <v>121500</v>
      </c>
    </row>
    <row r="252" spans="1:19">
      <c r="A252" s="128" t="s">
        <v>274</v>
      </c>
      <c r="B252" s="377" t="s">
        <v>273</v>
      </c>
      <c r="C252" s="233">
        <v>22</v>
      </c>
      <c r="D252" s="235"/>
      <c r="E252" s="234">
        <v>2</v>
      </c>
      <c r="F252" s="230"/>
      <c r="G252" s="236"/>
      <c r="H252" s="231"/>
      <c r="I252" s="231"/>
      <c r="J252" s="35">
        <f t="shared" si="95"/>
        <v>24</v>
      </c>
      <c r="K252" s="254">
        <v>453000</v>
      </c>
      <c r="L252" s="294">
        <f>D252*15400</f>
        <v>0</v>
      </c>
      <c r="M252" s="299">
        <f>E252*15400</f>
        <v>30800</v>
      </c>
      <c r="N252" s="276"/>
      <c r="P252" s="210"/>
      <c r="Q252" s="279"/>
      <c r="R252" s="4">
        <f t="shared" si="96"/>
        <v>483800</v>
      </c>
      <c r="S252" s="4">
        <f>J252*4700</f>
        <v>112800</v>
      </c>
    </row>
    <row r="253" spans="1:19">
      <c r="A253" s="128" t="s">
        <v>275</v>
      </c>
      <c r="B253" s="377" t="s">
        <v>273</v>
      </c>
      <c r="C253" s="233">
        <v>6</v>
      </c>
      <c r="D253" s="235"/>
      <c r="E253" s="234"/>
      <c r="F253" s="230"/>
      <c r="G253" s="236"/>
      <c r="H253" s="231"/>
      <c r="I253" s="230"/>
      <c r="J253" s="35">
        <f t="shared" si="95"/>
        <v>6</v>
      </c>
      <c r="K253" s="254">
        <f>C253*10400</f>
        <v>62400</v>
      </c>
      <c r="L253" s="294">
        <f>D253*10400</f>
        <v>0</v>
      </c>
      <c r="M253" s="299">
        <f>E253*10400</f>
        <v>0</v>
      </c>
      <c r="N253" s="276"/>
      <c r="P253" s="210"/>
      <c r="Q253" s="279"/>
      <c r="R253" s="4">
        <f t="shared" si="96"/>
        <v>62400</v>
      </c>
      <c r="S253" s="4">
        <f>J253*2700</f>
        <v>16200</v>
      </c>
    </row>
    <row r="254" spans="1:19">
      <c r="A254" s="79" t="s">
        <v>276</v>
      </c>
      <c r="B254" s="377" t="s">
        <v>277</v>
      </c>
      <c r="C254" s="237"/>
      <c r="D254" s="235"/>
      <c r="E254" s="234"/>
      <c r="F254" s="230"/>
      <c r="G254" s="236"/>
      <c r="H254" s="231"/>
      <c r="I254" s="231"/>
      <c r="J254" s="35">
        <f t="shared" si="95"/>
        <v>0</v>
      </c>
      <c r="K254" s="3">
        <f>C254*150000</f>
        <v>0</v>
      </c>
      <c r="L254" s="294">
        <f>D254*120000</f>
        <v>0</v>
      </c>
      <c r="M254" s="299">
        <f>E254*120000</f>
        <v>0</v>
      </c>
      <c r="N254" s="276"/>
      <c r="P254" s="210"/>
      <c r="Q254" s="279"/>
      <c r="R254" s="4">
        <f t="shared" si="96"/>
        <v>0</v>
      </c>
      <c r="S254" s="4">
        <f>J254*79000</f>
        <v>0</v>
      </c>
    </row>
    <row r="255" spans="1:19">
      <c r="A255" s="109" t="s">
        <v>278</v>
      </c>
      <c r="B255" s="378" t="s">
        <v>254</v>
      </c>
      <c r="C255" s="230"/>
      <c r="D255" s="32"/>
      <c r="E255" s="33"/>
      <c r="F255" s="191"/>
      <c r="G255" s="197"/>
      <c r="H255" s="80"/>
      <c r="I255" s="80"/>
      <c r="J255" s="35">
        <f t="shared" si="95"/>
        <v>0</v>
      </c>
      <c r="K255" s="268">
        <f>C255*12000</f>
        <v>0</v>
      </c>
      <c r="L255" s="294"/>
      <c r="M255" s="299"/>
      <c r="N255" s="276"/>
      <c r="P255" s="210"/>
      <c r="Q255" s="279">
        <f>F255*12000</f>
        <v>0</v>
      </c>
      <c r="R255" s="4">
        <f t="shared" si="96"/>
        <v>0</v>
      </c>
      <c r="S255" s="4">
        <f>J255*8230</f>
        <v>0</v>
      </c>
    </row>
    <row r="256" spans="1:19" s="244" customFormat="1">
      <c r="B256" s="245"/>
      <c r="C256" s="486"/>
      <c r="D256" s="475"/>
      <c r="E256" s="487"/>
      <c r="F256" s="488"/>
      <c r="G256" s="488"/>
      <c r="H256" s="488"/>
      <c r="I256" s="246"/>
      <c r="J256" s="247"/>
      <c r="K256" s="248"/>
      <c r="L256" s="318"/>
      <c r="M256" s="248"/>
      <c r="N256" s="248"/>
      <c r="O256" s="480"/>
      <c r="P256" s="248"/>
      <c r="Q256" s="248"/>
      <c r="R256" s="248"/>
      <c r="S256" s="252"/>
    </row>
    <row r="257" spans="1:19" s="24" customFormat="1">
      <c r="B257" s="74"/>
      <c r="C257" s="74"/>
      <c r="D257" s="9" t="s">
        <v>3</v>
      </c>
      <c r="E257" s="10"/>
      <c r="F257" s="12"/>
      <c r="G257" s="12"/>
      <c r="H257" s="12"/>
      <c r="I257" s="12"/>
      <c r="J257" s="117" t="s">
        <v>6</v>
      </c>
      <c r="K257" s="145">
        <f>SUM(K249:K256)</f>
        <v>3728000</v>
      </c>
      <c r="L257" s="145">
        <f t="shared" ref="L257:R257" si="97">SUM(L249:L256)</f>
        <v>176000</v>
      </c>
      <c r="M257" s="145">
        <f t="shared" si="97"/>
        <v>61600</v>
      </c>
      <c r="N257" s="145">
        <f t="shared" si="97"/>
        <v>0</v>
      </c>
      <c r="O257" s="145">
        <f t="shared" si="97"/>
        <v>684520</v>
      </c>
      <c r="P257" s="145">
        <f t="shared" si="97"/>
        <v>0</v>
      </c>
      <c r="Q257" s="145">
        <f t="shared" si="97"/>
        <v>61600</v>
      </c>
      <c r="R257" s="145">
        <f t="shared" si="97"/>
        <v>4711720</v>
      </c>
      <c r="S257" s="145">
        <f>SUM(S249:S256)</f>
        <v>1307000</v>
      </c>
    </row>
    <row r="258" spans="1:19">
      <c r="C258" s="104" t="s">
        <v>347</v>
      </c>
      <c r="D258" s="55" t="s">
        <v>279</v>
      </c>
      <c r="E258" s="10" t="s">
        <v>4</v>
      </c>
      <c r="F258" s="12" t="s">
        <v>5</v>
      </c>
      <c r="G258" s="12"/>
      <c r="H258" s="12"/>
      <c r="I258" s="12" t="s">
        <v>261</v>
      </c>
      <c r="J258" s="110"/>
      <c r="P258" s="210"/>
    </row>
    <row r="259" spans="1:19">
      <c r="A259" s="74" t="s">
        <v>281</v>
      </c>
      <c r="C259" s="104" t="s">
        <v>282</v>
      </c>
      <c r="D259" s="55" t="s">
        <v>283</v>
      </c>
      <c r="E259" s="15" t="s">
        <v>280</v>
      </c>
      <c r="F259" s="20"/>
      <c r="G259" s="110"/>
      <c r="H259" s="137"/>
      <c r="I259" s="20" t="s">
        <v>10</v>
      </c>
      <c r="J259" s="110" t="s">
        <v>11</v>
      </c>
      <c r="P259" s="210"/>
    </row>
    <row r="260" spans="1:19" ht="24">
      <c r="C260" s="104" t="s">
        <v>285</v>
      </c>
      <c r="D260" s="105" t="s">
        <v>286</v>
      </c>
      <c r="E260" s="15" t="s">
        <v>284</v>
      </c>
      <c r="F260" s="19" t="s">
        <v>729</v>
      </c>
      <c r="G260" s="146"/>
      <c r="H260" s="146"/>
      <c r="I260" s="20" t="s">
        <v>14</v>
      </c>
      <c r="J260" s="26" t="s">
        <v>15</v>
      </c>
      <c r="P260" s="210"/>
    </row>
    <row r="261" spans="1:19">
      <c r="C261" s="552"/>
      <c r="D261" s="545"/>
      <c r="E261" s="19" t="s">
        <v>287</v>
      </c>
      <c r="F261" s="569"/>
      <c r="G261" s="146"/>
      <c r="H261" s="146"/>
      <c r="I261" s="20"/>
      <c r="J261" s="309"/>
      <c r="P261" s="210"/>
    </row>
    <row r="262" spans="1:19">
      <c r="A262" s="148"/>
      <c r="B262" s="2" t="s">
        <v>2</v>
      </c>
      <c r="C262" s="104" t="s">
        <v>350</v>
      </c>
      <c r="D262" s="105" t="s">
        <v>268</v>
      </c>
      <c r="E262" s="19" t="s">
        <v>728</v>
      </c>
      <c r="F262" s="20"/>
      <c r="G262" s="26"/>
      <c r="H262" s="146"/>
      <c r="I262" s="124" t="s">
        <v>408</v>
      </c>
      <c r="J262" s="140"/>
      <c r="K262" s="219" t="s">
        <v>2</v>
      </c>
      <c r="L262" s="664" t="s">
        <v>733</v>
      </c>
      <c r="M262" s="664"/>
      <c r="N262" s="348" t="s">
        <v>559</v>
      </c>
      <c r="O262" s="348" t="s">
        <v>557</v>
      </c>
      <c r="P262" s="348" t="s">
        <v>464</v>
      </c>
      <c r="Q262" s="220"/>
      <c r="R262" s="220" t="s">
        <v>18</v>
      </c>
      <c r="S262" s="593" t="s">
        <v>19</v>
      </c>
    </row>
    <row r="263" spans="1:19" s="3" customFormat="1">
      <c r="A263" s="115" t="s">
        <v>288</v>
      </c>
      <c r="B263" s="684" t="s">
        <v>289</v>
      </c>
      <c r="C263" s="237">
        <v>6</v>
      </c>
      <c r="D263" s="235">
        <v>4</v>
      </c>
      <c r="E263" s="234">
        <v>6</v>
      </c>
      <c r="F263" s="230"/>
      <c r="G263" s="236"/>
      <c r="H263" s="231"/>
      <c r="I263" s="230"/>
      <c r="J263" s="35">
        <f t="shared" ref="J263:J291" si="98">SUM(C263:I263)</f>
        <v>16</v>
      </c>
      <c r="K263" s="254">
        <f>C263*25000</f>
        <v>150000</v>
      </c>
      <c r="L263" s="294">
        <f>D263*22000</f>
        <v>88000</v>
      </c>
      <c r="M263" s="299">
        <f>E263*22000</f>
        <v>132000</v>
      </c>
      <c r="N263" s="282">
        <f>F263*10000</f>
        <v>0</v>
      </c>
      <c r="O263" s="282"/>
      <c r="P263" s="282"/>
      <c r="Q263" s="5"/>
      <c r="R263" s="4">
        <f>SUM(K263:Q263)</f>
        <v>370000</v>
      </c>
      <c r="S263" s="4">
        <f>J263*15400</f>
        <v>246400</v>
      </c>
    </row>
    <row r="264" spans="1:19" s="3" customFormat="1">
      <c r="A264" s="115" t="s">
        <v>290</v>
      </c>
      <c r="B264" s="685"/>
      <c r="C264" s="233">
        <v>47</v>
      </c>
      <c r="D264" s="235"/>
      <c r="E264" s="234"/>
      <c r="F264" s="230"/>
      <c r="G264" s="236"/>
      <c r="H264" s="231"/>
      <c r="I264" s="242"/>
      <c r="J264" s="35">
        <f t="shared" si="98"/>
        <v>47</v>
      </c>
      <c r="K264" s="254">
        <f>C264*12000</f>
        <v>564000</v>
      </c>
      <c r="L264" s="294">
        <f>D264*12000</f>
        <v>0</v>
      </c>
      <c r="M264" s="299">
        <f>E264*12000</f>
        <v>0</v>
      </c>
      <c r="N264" s="282"/>
      <c r="O264" s="282"/>
      <c r="P264" s="282"/>
      <c r="Q264" s="5"/>
      <c r="R264" s="4">
        <f t="shared" ref="R264:R301" si="99">SUM(K264:Q264)</f>
        <v>564000</v>
      </c>
      <c r="S264" s="4">
        <f>J264*7150</f>
        <v>336050</v>
      </c>
    </row>
    <row r="265" spans="1:19" s="3" customFormat="1">
      <c r="A265" s="115" t="s">
        <v>291</v>
      </c>
      <c r="B265" s="369" t="s">
        <v>510</v>
      </c>
      <c r="C265" s="233">
        <v>16</v>
      </c>
      <c r="D265" s="235"/>
      <c r="E265" s="234">
        <v>9</v>
      </c>
      <c r="F265" s="229"/>
      <c r="G265" s="236"/>
      <c r="H265" s="231"/>
      <c r="I265" s="230"/>
      <c r="J265" s="35">
        <f t="shared" si="98"/>
        <v>25</v>
      </c>
      <c r="K265" s="254">
        <f>C265*22000</f>
        <v>352000</v>
      </c>
      <c r="L265" s="294">
        <f>D265*22000</f>
        <v>0</v>
      </c>
      <c r="M265" s="299">
        <f>E265*15000</f>
        <v>135000</v>
      </c>
      <c r="N265" s="282"/>
      <c r="O265" s="282"/>
      <c r="P265" s="282"/>
      <c r="Q265" s="5"/>
      <c r="R265" s="4">
        <f t="shared" si="99"/>
        <v>487000</v>
      </c>
      <c r="S265" s="4">
        <f>J265*10835</f>
        <v>270875</v>
      </c>
    </row>
    <row r="266" spans="1:19" s="3" customFormat="1">
      <c r="A266" s="115" t="s">
        <v>292</v>
      </c>
      <c r="B266" s="370" t="s">
        <v>293</v>
      </c>
      <c r="C266" s="233">
        <v>21</v>
      </c>
      <c r="D266" s="235"/>
      <c r="E266" s="234">
        <v>2</v>
      </c>
      <c r="F266" s="230"/>
      <c r="G266" s="236"/>
      <c r="H266" s="231"/>
      <c r="I266" s="242"/>
      <c r="J266" s="35">
        <f t="shared" si="98"/>
        <v>23</v>
      </c>
      <c r="K266" s="254">
        <f>C266*22000</f>
        <v>462000</v>
      </c>
      <c r="L266" s="294">
        <f>D266*22000</f>
        <v>0</v>
      </c>
      <c r="M266" s="299">
        <f>E266*22000</f>
        <v>44000</v>
      </c>
      <c r="N266" s="282"/>
      <c r="O266" s="282"/>
      <c r="P266" s="282"/>
      <c r="Q266" s="5"/>
      <c r="R266" s="4">
        <f t="shared" si="99"/>
        <v>506000</v>
      </c>
      <c r="S266" s="4">
        <f>J266*9361</f>
        <v>215303</v>
      </c>
    </row>
    <row r="267" spans="1:19" s="3" customFormat="1">
      <c r="A267" s="115" t="s">
        <v>294</v>
      </c>
      <c r="B267" s="370" t="s">
        <v>295</v>
      </c>
      <c r="C267" s="257">
        <v>6</v>
      </c>
      <c r="D267" s="235"/>
      <c r="E267" s="234"/>
      <c r="F267" s="230"/>
      <c r="G267" s="236"/>
      <c r="H267" s="231"/>
      <c r="I267" s="215">
        <v>4</v>
      </c>
      <c r="J267" s="35">
        <f t="shared" si="98"/>
        <v>10</v>
      </c>
      <c r="K267" s="254">
        <v>105000</v>
      </c>
      <c r="L267" s="294">
        <f>D267*15000</f>
        <v>0</v>
      </c>
      <c r="M267" s="299">
        <f>E267*14000</f>
        <v>0</v>
      </c>
      <c r="N267" s="282"/>
      <c r="O267" s="282">
        <f>I267*14400</f>
        <v>57600</v>
      </c>
      <c r="P267" s="282"/>
      <c r="Q267" s="286"/>
      <c r="R267" s="4">
        <f t="shared" si="99"/>
        <v>162600</v>
      </c>
      <c r="S267" s="4">
        <f>J267*4238</f>
        <v>42380</v>
      </c>
    </row>
    <row r="268" spans="1:19" s="3" customFormat="1">
      <c r="A268" s="115" t="s">
        <v>296</v>
      </c>
      <c r="B268" s="370" t="s">
        <v>297</v>
      </c>
      <c r="C268" s="237">
        <v>5</v>
      </c>
      <c r="D268" s="235"/>
      <c r="E268" s="234">
        <v>1</v>
      </c>
      <c r="F268" s="230"/>
      <c r="G268" s="236"/>
      <c r="H268" s="231"/>
      <c r="I268" s="215"/>
      <c r="J268" s="35">
        <f t="shared" si="98"/>
        <v>6</v>
      </c>
      <c r="K268" s="254">
        <v>72000</v>
      </c>
      <c r="L268" s="294">
        <f>D268*11600</f>
        <v>0</v>
      </c>
      <c r="M268" s="299">
        <f>E268*11600</f>
        <v>11600</v>
      </c>
      <c r="N268" s="282"/>
      <c r="O268" s="282"/>
      <c r="P268" s="282"/>
      <c r="Q268" s="5"/>
      <c r="R268" s="4">
        <f t="shared" si="99"/>
        <v>83600</v>
      </c>
      <c r="S268" s="4">
        <f>J268*3719</f>
        <v>22314</v>
      </c>
    </row>
    <row r="269" spans="1:19" s="3" customFormat="1">
      <c r="A269" s="115" t="s">
        <v>348</v>
      </c>
      <c r="B269" s="383" t="s">
        <v>349</v>
      </c>
      <c r="C269" s="237">
        <v>4</v>
      </c>
      <c r="D269" s="235"/>
      <c r="E269" s="234"/>
      <c r="F269" s="230"/>
      <c r="G269" s="236"/>
      <c r="H269" s="231"/>
      <c r="I269" s="215"/>
      <c r="J269" s="35">
        <f t="shared" si="98"/>
        <v>4</v>
      </c>
      <c r="K269" s="254">
        <f>C269*33000</f>
        <v>132000</v>
      </c>
      <c r="L269" s="294">
        <f>D269*33000</f>
        <v>0</v>
      </c>
      <c r="M269" s="302">
        <f>E269*33000</f>
        <v>0</v>
      </c>
      <c r="N269" s="284"/>
      <c r="O269" s="284"/>
      <c r="P269" s="284"/>
      <c r="Q269" s="5"/>
      <c r="R269" s="4">
        <f t="shared" si="99"/>
        <v>132000</v>
      </c>
      <c r="S269" s="4">
        <f>J269*16500</f>
        <v>66000</v>
      </c>
    </row>
    <row r="270" spans="1:19" s="3" customFormat="1">
      <c r="A270" s="211" t="s">
        <v>362</v>
      </c>
      <c r="B270" s="383" t="s">
        <v>366</v>
      </c>
      <c r="C270" s="237">
        <v>1</v>
      </c>
      <c r="D270" s="235"/>
      <c r="E270" s="234"/>
      <c r="F270" s="230"/>
      <c r="G270" s="236"/>
      <c r="H270" s="231"/>
      <c r="I270" s="215"/>
      <c r="J270" s="35">
        <f t="shared" si="98"/>
        <v>1</v>
      </c>
      <c r="K270" s="3">
        <f>C270*77000</f>
        <v>77000</v>
      </c>
      <c r="L270" s="294">
        <f>D270*77000</f>
        <v>0</v>
      </c>
      <c r="M270" s="302">
        <f>E270*77000</f>
        <v>0</v>
      </c>
      <c r="N270" s="284"/>
      <c r="O270" s="284"/>
      <c r="P270" s="284"/>
      <c r="Q270" s="286"/>
      <c r="R270" s="4">
        <f t="shared" si="99"/>
        <v>77000</v>
      </c>
      <c r="S270" s="4">
        <f>J270*38500</f>
        <v>38500</v>
      </c>
    </row>
    <row r="271" spans="1:19" s="3" customFormat="1" ht="21.75" customHeight="1">
      <c r="A271" s="149" t="s">
        <v>300</v>
      </c>
      <c r="B271" s="383" t="s">
        <v>351</v>
      </c>
      <c r="C271" s="233">
        <v>104</v>
      </c>
      <c r="D271" s="235"/>
      <c r="E271" s="234"/>
      <c r="F271" s="230"/>
      <c r="G271" s="236"/>
      <c r="H271" s="231"/>
      <c r="I271" s="214"/>
      <c r="J271" s="35">
        <f t="shared" si="98"/>
        <v>104</v>
      </c>
      <c r="K271" s="364">
        <f>C271*2500</f>
        <v>260000</v>
      </c>
      <c r="L271" s="294"/>
      <c r="M271" s="299"/>
      <c r="N271" s="282"/>
      <c r="O271" s="282"/>
      <c r="P271" s="282"/>
      <c r="Q271" s="286"/>
      <c r="R271" s="4">
        <f t="shared" si="99"/>
        <v>260000</v>
      </c>
      <c r="S271" s="4">
        <f>J271*1070</f>
        <v>111280</v>
      </c>
    </row>
    <row r="272" spans="1:19" s="3" customFormat="1">
      <c r="A272" s="150" t="s">
        <v>301</v>
      </c>
      <c r="B272" s="371" t="s">
        <v>371</v>
      </c>
      <c r="C272" s="215"/>
      <c r="D272" s="235"/>
      <c r="E272" s="234">
        <v>100</v>
      </c>
      <c r="F272" s="230"/>
      <c r="G272" s="236"/>
      <c r="H272" s="231"/>
      <c r="I272" s="215">
        <v>4</v>
      </c>
      <c r="J272" s="35">
        <f t="shared" si="98"/>
        <v>104</v>
      </c>
      <c r="K272" s="284">
        <f>C272*1700</f>
        <v>0</v>
      </c>
      <c r="L272" s="294">
        <f>D272*1700</f>
        <v>0</v>
      </c>
      <c r="M272" s="299">
        <f>E272*1700</f>
        <v>170000</v>
      </c>
      <c r="N272" s="282"/>
      <c r="O272" s="282">
        <f>I272*2000</f>
        <v>8000</v>
      </c>
      <c r="P272" s="282"/>
      <c r="Q272" s="286"/>
      <c r="R272" s="4">
        <f t="shared" si="99"/>
        <v>178000</v>
      </c>
      <c r="S272" s="4">
        <f>J272*1070</f>
        <v>111280</v>
      </c>
    </row>
    <row r="273" spans="1:19" s="3" customFormat="1">
      <c r="A273" s="151" t="s">
        <v>303</v>
      </c>
      <c r="B273" s="383" t="s">
        <v>304</v>
      </c>
      <c r="C273" s="239">
        <v>37</v>
      </c>
      <c r="D273" s="235"/>
      <c r="E273" s="234"/>
      <c r="F273" s="230"/>
      <c r="G273" s="236"/>
      <c r="H273" s="231"/>
      <c r="I273" s="215"/>
      <c r="J273" s="35">
        <f t="shared" si="98"/>
        <v>37</v>
      </c>
      <c r="K273" s="364">
        <f>C273*2500</f>
        <v>92500</v>
      </c>
      <c r="L273" s="294"/>
      <c r="M273" s="299">
        <f t="shared" ref="M273" si="100">E273*1500</f>
        <v>0</v>
      </c>
      <c r="N273" s="282"/>
      <c r="O273" s="282"/>
      <c r="P273" s="282"/>
      <c r="Q273" s="5"/>
      <c r="R273" s="4">
        <f t="shared" si="99"/>
        <v>92500</v>
      </c>
      <c r="S273" s="4">
        <f>J273*495</f>
        <v>18315</v>
      </c>
    </row>
    <row r="274" spans="1:19" s="3" customFormat="1">
      <c r="A274" s="152" t="s">
        <v>305</v>
      </c>
      <c r="B274" s="372" t="s">
        <v>302</v>
      </c>
      <c r="C274" s="215">
        <v>100</v>
      </c>
      <c r="D274" s="235"/>
      <c r="E274" s="234"/>
      <c r="F274" s="230"/>
      <c r="G274" s="236"/>
      <c r="H274" s="231"/>
      <c r="I274" s="215"/>
      <c r="J274" s="35">
        <f t="shared" si="98"/>
        <v>100</v>
      </c>
      <c r="K274" s="284">
        <v>150000</v>
      </c>
      <c r="L274" s="294">
        <f>D274*1700</f>
        <v>0</v>
      </c>
      <c r="M274" s="299">
        <f>E274*1700</f>
        <v>0</v>
      </c>
      <c r="N274" s="282"/>
      <c r="O274" s="282">
        <f>I274*2000</f>
        <v>0</v>
      </c>
      <c r="P274" s="282"/>
      <c r="Q274" s="5"/>
      <c r="R274" s="4">
        <f t="shared" si="99"/>
        <v>150000</v>
      </c>
      <c r="S274" s="4">
        <f>J274*495</f>
        <v>49500</v>
      </c>
    </row>
    <row r="275" spans="1:19" s="3" customFormat="1">
      <c r="A275" s="153" t="s">
        <v>306</v>
      </c>
      <c r="B275" s="384" t="s">
        <v>307</v>
      </c>
      <c r="C275" s="239">
        <v>212</v>
      </c>
      <c r="D275" s="235"/>
      <c r="E275" s="234"/>
      <c r="F275" s="230"/>
      <c r="G275" s="236"/>
      <c r="H275" s="231"/>
      <c r="I275" s="214"/>
      <c r="J275" s="35">
        <f t="shared" si="98"/>
        <v>212</v>
      </c>
      <c r="K275" s="364">
        <f>C275*2500</f>
        <v>530000</v>
      </c>
      <c r="L275" s="294"/>
      <c r="M275" s="299"/>
      <c r="N275" s="282"/>
      <c r="O275" s="282"/>
      <c r="P275" s="282"/>
      <c r="Q275" s="286"/>
      <c r="R275" s="4">
        <f t="shared" si="99"/>
        <v>530000</v>
      </c>
      <c r="S275" s="4">
        <f>J275*310</f>
        <v>65720</v>
      </c>
    </row>
    <row r="276" spans="1:19" s="3" customFormat="1">
      <c r="A276" s="154" t="s">
        <v>308</v>
      </c>
      <c r="B276" s="372" t="s">
        <v>302</v>
      </c>
      <c r="C276" s="215">
        <v>100</v>
      </c>
      <c r="D276" s="235"/>
      <c r="E276" s="234"/>
      <c r="F276" s="229"/>
      <c r="G276" s="236"/>
      <c r="H276" s="231"/>
      <c r="I276" s="215">
        <v>5</v>
      </c>
      <c r="J276" s="35">
        <f t="shared" si="98"/>
        <v>105</v>
      </c>
      <c r="K276" s="284">
        <v>150000</v>
      </c>
      <c r="L276" s="294">
        <f>D276*1700</f>
        <v>0</v>
      </c>
      <c r="M276" s="299">
        <f>E276*1700</f>
        <v>0</v>
      </c>
      <c r="N276" s="282"/>
      <c r="O276" s="282">
        <f>I276*2000</f>
        <v>10000</v>
      </c>
      <c r="P276" s="282"/>
      <c r="Q276" s="286"/>
      <c r="R276" s="4">
        <f t="shared" si="99"/>
        <v>160000</v>
      </c>
      <c r="S276" s="4">
        <f>J276*310</f>
        <v>32550</v>
      </c>
    </row>
    <row r="277" spans="1:19" s="3" customFormat="1">
      <c r="A277" s="260" t="s">
        <v>377</v>
      </c>
      <c r="B277" s="666" t="s">
        <v>378</v>
      </c>
      <c r="C277" s="239">
        <v>5</v>
      </c>
      <c r="D277" s="235"/>
      <c r="E277" s="234">
        <v>2</v>
      </c>
      <c r="F277" s="233"/>
      <c r="G277" s="233"/>
      <c r="H277" s="242"/>
      <c r="I277" s="215">
        <v>4</v>
      </c>
      <c r="J277" s="35">
        <f t="shared" si="98"/>
        <v>11</v>
      </c>
      <c r="K277" s="254">
        <v>93600</v>
      </c>
      <c r="L277" s="294">
        <f>D277*15400</f>
        <v>0</v>
      </c>
      <c r="M277" s="302">
        <f>E277*15400</f>
        <v>30800</v>
      </c>
      <c r="N277" s="284"/>
      <c r="O277" s="551">
        <f>I277*15120</f>
        <v>60480</v>
      </c>
      <c r="P277" s="284"/>
      <c r="Q277" s="284"/>
      <c r="R277" s="4">
        <f t="shared" si="99"/>
        <v>184880</v>
      </c>
      <c r="S277" s="4">
        <f>J277*4794</f>
        <v>52734</v>
      </c>
    </row>
    <row r="278" spans="1:19" s="3" customFormat="1">
      <c r="A278" s="155" t="s">
        <v>379</v>
      </c>
      <c r="B278" s="667"/>
      <c r="C278" s="239"/>
      <c r="D278" s="235"/>
      <c r="E278" s="234"/>
      <c r="F278" s="229"/>
      <c r="G278" s="236"/>
      <c r="H278" s="231"/>
      <c r="I278" s="215"/>
      <c r="J278" s="35">
        <f t="shared" si="98"/>
        <v>0</v>
      </c>
      <c r="K278" s="3">
        <f>C278*11000</f>
        <v>0</v>
      </c>
      <c r="L278" s="294">
        <f>D278*7000</f>
        <v>0</v>
      </c>
      <c r="M278" s="299">
        <f>E278*7000</f>
        <v>0</v>
      </c>
      <c r="N278" s="282"/>
      <c r="O278" s="282"/>
      <c r="P278" s="282"/>
      <c r="Q278" s="5"/>
      <c r="R278" s="4">
        <f t="shared" si="99"/>
        <v>0</v>
      </c>
      <c r="S278" s="4">
        <f>J278*1200</f>
        <v>0</v>
      </c>
    </row>
    <row r="279" spans="1:19">
      <c r="A279" s="115" t="s">
        <v>298</v>
      </c>
      <c r="B279" s="383" t="s">
        <v>299</v>
      </c>
      <c r="C279" s="237">
        <v>2</v>
      </c>
      <c r="D279" s="235"/>
      <c r="E279" s="234"/>
      <c r="F279" s="230"/>
      <c r="G279" s="236"/>
      <c r="H279" s="231"/>
      <c r="I279" s="238"/>
      <c r="J279" s="35">
        <f t="shared" si="98"/>
        <v>2</v>
      </c>
      <c r="K279" s="254">
        <f>C279*25000</f>
        <v>50000</v>
      </c>
      <c r="L279" s="294">
        <f>D279*20000</f>
        <v>0</v>
      </c>
      <c r="M279" s="299">
        <f>E279*20000</f>
        <v>0</v>
      </c>
      <c r="N279" s="282"/>
      <c r="O279" s="282"/>
      <c r="P279" s="282"/>
      <c r="R279" s="4">
        <f t="shared" si="99"/>
        <v>50000</v>
      </c>
      <c r="S279" s="4">
        <f>J279*12400</f>
        <v>24800</v>
      </c>
    </row>
    <row r="280" spans="1:19">
      <c r="A280" s="155" t="s">
        <v>312</v>
      </c>
      <c r="B280" s="666" t="s">
        <v>393</v>
      </c>
      <c r="C280" s="237"/>
      <c r="D280" s="235"/>
      <c r="E280" s="234"/>
      <c r="F280" s="237"/>
      <c r="G280" s="236"/>
      <c r="H280" s="241"/>
      <c r="I280" s="237"/>
      <c r="J280" s="35">
        <f t="shared" si="98"/>
        <v>0</v>
      </c>
      <c r="K280" s="254">
        <f>C280*40000</f>
        <v>0</v>
      </c>
      <c r="L280" s="294">
        <f>D280*40000</f>
        <v>0</v>
      </c>
      <c r="M280" s="299">
        <f>E280*38000</f>
        <v>0</v>
      </c>
      <c r="N280" s="282"/>
      <c r="O280" s="550"/>
      <c r="P280" s="282"/>
      <c r="R280" s="4">
        <f t="shared" si="99"/>
        <v>0</v>
      </c>
      <c r="S280" s="4">
        <f>J280*26400</f>
        <v>0</v>
      </c>
    </row>
    <row r="281" spans="1:19">
      <c r="A281" s="155" t="s">
        <v>313</v>
      </c>
      <c r="B281" s="670"/>
      <c r="C281" s="237">
        <v>2</v>
      </c>
      <c r="D281" s="235"/>
      <c r="E281" s="234"/>
      <c r="F281" s="237"/>
      <c r="G281" s="236"/>
      <c r="H281" s="241"/>
      <c r="I281" s="237"/>
      <c r="J281" s="35">
        <f t="shared" si="98"/>
        <v>2</v>
      </c>
      <c r="K281" s="254">
        <f>C281*22000</f>
        <v>44000</v>
      </c>
      <c r="L281" s="294">
        <f>D281*22000</f>
        <v>0</v>
      </c>
      <c r="M281" s="299">
        <f>E281*18000</f>
        <v>0</v>
      </c>
      <c r="N281" s="282"/>
      <c r="O281" s="282"/>
      <c r="P281" s="282"/>
      <c r="R281" s="4">
        <f t="shared" si="99"/>
        <v>44000</v>
      </c>
      <c r="S281" s="4">
        <f>J281*11000</f>
        <v>22000</v>
      </c>
    </row>
    <row r="282" spans="1:19">
      <c r="A282" s="155" t="s">
        <v>314</v>
      </c>
      <c r="B282" s="667"/>
      <c r="C282" s="237">
        <v>10</v>
      </c>
      <c r="D282" s="235"/>
      <c r="E282" s="234"/>
      <c r="F282" s="237"/>
      <c r="G282" s="236"/>
      <c r="H282" s="241"/>
      <c r="I282" s="237"/>
      <c r="J282" s="35">
        <f t="shared" si="98"/>
        <v>10</v>
      </c>
      <c r="K282" s="3">
        <f>C282*4000</f>
        <v>40000</v>
      </c>
      <c r="L282" s="294">
        <f>D282*4000</f>
        <v>0</v>
      </c>
      <c r="M282" s="299">
        <f>E282*3000</f>
        <v>0</v>
      </c>
      <c r="N282" s="282"/>
      <c r="O282" s="282"/>
      <c r="P282" s="282"/>
      <c r="R282" s="4">
        <f t="shared" si="99"/>
        <v>40000</v>
      </c>
      <c r="S282" s="4">
        <f>J282*1760</f>
        <v>17600</v>
      </c>
    </row>
    <row r="283" spans="1:19">
      <c r="A283" s="155" t="s">
        <v>315</v>
      </c>
      <c r="B283" s="385" t="s">
        <v>316</v>
      </c>
      <c r="C283" s="233">
        <v>2</v>
      </c>
      <c r="D283" s="237"/>
      <c r="E283" s="234"/>
      <c r="F283" s="237"/>
      <c r="G283" s="236"/>
      <c r="H283" s="241"/>
      <c r="I283" s="237"/>
      <c r="J283" s="35">
        <f t="shared" si="98"/>
        <v>2</v>
      </c>
      <c r="K283" s="254">
        <f>C283*25000</f>
        <v>50000</v>
      </c>
      <c r="L283" s="294">
        <f>D283*25000</f>
        <v>0</v>
      </c>
      <c r="M283" s="299">
        <f>E283*25000</f>
        <v>0</v>
      </c>
      <c r="N283" s="282"/>
      <c r="O283" s="282"/>
      <c r="P283" s="282"/>
      <c r="R283" s="4">
        <f t="shared" si="99"/>
        <v>50000</v>
      </c>
      <c r="S283" s="4">
        <f>J283*18000</f>
        <v>36000</v>
      </c>
    </row>
    <row r="284" spans="1:19">
      <c r="A284" s="155" t="s">
        <v>317</v>
      </c>
      <c r="B284" s="385" t="s">
        <v>399</v>
      </c>
      <c r="C284" s="237"/>
      <c r="D284" s="235"/>
      <c r="E284" s="234"/>
      <c r="F284" s="237"/>
      <c r="G284" s="236"/>
      <c r="H284" s="241"/>
      <c r="I284" s="237"/>
      <c r="J284" s="35">
        <f t="shared" si="98"/>
        <v>0</v>
      </c>
      <c r="K284" s="254">
        <f>C284*5000</f>
        <v>0</v>
      </c>
      <c r="L284" s="294">
        <f>D284*5000</f>
        <v>0</v>
      </c>
      <c r="M284" s="299">
        <f>E284*4500</f>
        <v>0</v>
      </c>
      <c r="N284" s="282"/>
      <c r="O284" s="282"/>
      <c r="P284" s="282"/>
      <c r="R284" s="4">
        <f t="shared" si="99"/>
        <v>0</v>
      </c>
      <c r="S284" s="4">
        <f>J284*1800</f>
        <v>0</v>
      </c>
    </row>
    <row r="285" spans="1:19">
      <c r="A285" s="128" t="s">
        <v>329</v>
      </c>
      <c r="B285" s="156"/>
      <c r="C285" s="237"/>
      <c r="D285" s="235"/>
      <c r="E285" s="234"/>
      <c r="F285" s="237"/>
      <c r="G285" s="236"/>
      <c r="H285" s="241"/>
      <c r="I285" s="241"/>
      <c r="J285" s="35">
        <f t="shared" si="98"/>
        <v>0</v>
      </c>
      <c r="L285" s="294">
        <f>D285*20000</f>
        <v>0</v>
      </c>
      <c r="M285" s="299">
        <f>E285*20000</f>
        <v>0</v>
      </c>
      <c r="N285" s="282"/>
      <c r="O285" s="282"/>
      <c r="P285" s="282"/>
      <c r="R285" s="4">
        <f t="shared" si="99"/>
        <v>0</v>
      </c>
      <c r="S285" s="4">
        <f>J285*13000</f>
        <v>0</v>
      </c>
    </row>
    <row r="286" spans="1:19">
      <c r="A286" s="155" t="s">
        <v>318</v>
      </c>
      <c r="B286" s="373"/>
      <c r="C286" s="237"/>
      <c r="D286" s="235"/>
      <c r="E286" s="234"/>
      <c r="F286" s="237"/>
      <c r="G286" s="236"/>
      <c r="H286" s="241"/>
      <c r="I286" s="237"/>
      <c r="J286" s="35">
        <f t="shared" si="98"/>
        <v>0</v>
      </c>
      <c r="K286" s="3">
        <f>C286*4000</f>
        <v>0</v>
      </c>
      <c r="L286" s="294">
        <f>D286*4000</f>
        <v>0</v>
      </c>
      <c r="M286" s="299">
        <f>E286*4000</f>
        <v>0</v>
      </c>
      <c r="N286" s="282"/>
      <c r="O286" s="282"/>
      <c r="P286" s="282"/>
      <c r="R286" s="4">
        <f t="shared" si="99"/>
        <v>0</v>
      </c>
      <c r="S286" s="4">
        <f>J286*2600</f>
        <v>0</v>
      </c>
    </row>
    <row r="287" spans="1:19">
      <c r="A287" s="155" t="s">
        <v>353</v>
      </c>
      <c r="B287" s="385" t="s">
        <v>352</v>
      </c>
      <c r="C287" s="233">
        <v>94</v>
      </c>
      <c r="D287" s="235"/>
      <c r="E287" s="234"/>
      <c r="F287" s="237"/>
      <c r="G287" s="236"/>
      <c r="H287" s="241"/>
      <c r="I287" s="230"/>
      <c r="J287" s="35">
        <f t="shared" si="98"/>
        <v>94</v>
      </c>
      <c r="K287" s="3">
        <f>C287*3900</f>
        <v>366600</v>
      </c>
      <c r="L287" s="294">
        <f>D287*3900</f>
        <v>0</v>
      </c>
      <c r="M287" s="299">
        <f>E287*3900</f>
        <v>0</v>
      </c>
      <c r="N287" s="282"/>
      <c r="O287" s="282"/>
      <c r="P287" s="282"/>
      <c r="R287" s="4">
        <f t="shared" si="99"/>
        <v>366600</v>
      </c>
      <c r="S287" s="4">
        <f>J287*3000</f>
        <v>282000</v>
      </c>
    </row>
    <row r="288" spans="1:19">
      <c r="A288" s="155" t="s">
        <v>651</v>
      </c>
      <c r="B288" s="385" t="s">
        <v>654</v>
      </c>
      <c r="C288" s="233">
        <v>13</v>
      </c>
      <c r="D288" s="235"/>
      <c r="E288" s="234"/>
      <c r="F288" s="237"/>
      <c r="G288" s="236"/>
      <c r="H288" s="241"/>
      <c r="I288" s="230"/>
      <c r="J288" s="35">
        <f t="shared" si="98"/>
        <v>13</v>
      </c>
      <c r="K288" s="3">
        <f>C288*6600</f>
        <v>85800</v>
      </c>
      <c r="L288" s="294">
        <f>D288*6600</f>
        <v>0</v>
      </c>
      <c r="M288" s="299">
        <f>E288*6600</f>
        <v>0</v>
      </c>
      <c r="N288" s="282"/>
      <c r="O288" s="282"/>
      <c r="P288" s="282"/>
      <c r="R288" s="4">
        <f t="shared" si="99"/>
        <v>85800</v>
      </c>
      <c r="S288" s="4">
        <f>J288*4400</f>
        <v>57200</v>
      </c>
    </row>
    <row r="289" spans="1:19">
      <c r="A289" s="155" t="s">
        <v>319</v>
      </c>
      <c r="B289" s="373"/>
      <c r="C289" s="237"/>
      <c r="D289" s="235"/>
      <c r="E289" s="234"/>
      <c r="F289" s="237"/>
      <c r="G289" s="236"/>
      <c r="H289" s="241"/>
      <c r="I289" s="241"/>
      <c r="J289" s="35">
        <f t="shared" si="98"/>
        <v>0</v>
      </c>
      <c r="K289" s="3">
        <f>C289*25000</f>
        <v>0</v>
      </c>
      <c r="L289" s="294">
        <f>D289*20000</f>
        <v>0</v>
      </c>
      <c r="M289" s="299">
        <f>E289*20000</f>
        <v>0</v>
      </c>
      <c r="N289" s="282"/>
      <c r="O289" s="282"/>
      <c r="P289" s="282"/>
      <c r="R289" s="4">
        <f t="shared" si="99"/>
        <v>0</v>
      </c>
      <c r="S289" s="4">
        <f>J289*8800</f>
        <v>0</v>
      </c>
    </row>
    <row r="290" spans="1:19">
      <c r="A290" s="155" t="s">
        <v>446</v>
      </c>
      <c r="B290" s="370" t="s">
        <v>448</v>
      </c>
      <c r="C290" s="237">
        <v>1</v>
      </c>
      <c r="D290" s="235"/>
      <c r="E290" s="234"/>
      <c r="F290" s="237"/>
      <c r="G290" s="236"/>
      <c r="H290" s="241"/>
      <c r="I290" s="241"/>
      <c r="J290" s="35">
        <f t="shared" si="98"/>
        <v>1</v>
      </c>
      <c r="K290" s="254">
        <f>C290*15000</f>
        <v>15000</v>
      </c>
      <c r="L290" s="294">
        <f>D290*10000</f>
        <v>0</v>
      </c>
      <c r="M290" s="299">
        <f>E290*10000</f>
        <v>0</v>
      </c>
      <c r="N290" s="282"/>
      <c r="O290" s="282"/>
      <c r="P290" s="282"/>
      <c r="R290" s="4">
        <f t="shared" si="99"/>
        <v>15000</v>
      </c>
      <c r="S290" s="4">
        <f>J290*4000</f>
        <v>4000</v>
      </c>
    </row>
    <row r="291" spans="1:19">
      <c r="A291" s="155" t="s">
        <v>447</v>
      </c>
      <c r="B291" s="370" t="s">
        <v>449</v>
      </c>
      <c r="C291" s="237"/>
      <c r="D291" s="235"/>
      <c r="E291" s="234"/>
      <c r="F291" s="237"/>
      <c r="G291" s="236"/>
      <c r="H291" s="241"/>
      <c r="I291" s="241"/>
      <c r="J291" s="35">
        <f t="shared" si="98"/>
        <v>0</v>
      </c>
      <c r="K291" s="254">
        <f>C291*15000</f>
        <v>0</v>
      </c>
      <c r="L291" s="294">
        <f>D291*10000</f>
        <v>0</v>
      </c>
      <c r="M291" s="299">
        <f>E291*10000</f>
        <v>0</v>
      </c>
      <c r="N291" s="282"/>
      <c r="O291" s="282"/>
      <c r="P291" s="282"/>
      <c r="R291" s="4">
        <f t="shared" si="99"/>
        <v>0</v>
      </c>
      <c r="S291" s="4">
        <f>J291*4000</f>
        <v>0</v>
      </c>
    </row>
    <row r="292" spans="1:19" s="161" customFormat="1">
      <c r="A292" s="128" t="s">
        <v>320</v>
      </c>
      <c r="B292" s="385" t="s">
        <v>321</v>
      </c>
      <c r="C292" s="237"/>
      <c r="D292" s="237"/>
      <c r="E292" s="234"/>
      <c r="F292" s="237"/>
      <c r="G292" s="236"/>
      <c r="H292" s="243"/>
      <c r="I292" s="243"/>
      <c r="J292" s="35">
        <f t="shared" ref="J292:J327" si="101">SUM(C292:I292)</f>
        <v>0</v>
      </c>
      <c r="K292" s="364">
        <f>C292*30000</f>
        <v>0</v>
      </c>
      <c r="L292" s="294">
        <f>D292*25000</f>
        <v>0</v>
      </c>
      <c r="M292" s="299">
        <f>E292*25000</f>
        <v>0</v>
      </c>
      <c r="N292" s="282"/>
      <c r="O292" s="282"/>
      <c r="P292" s="282"/>
      <c r="Q292" s="160"/>
      <c r="R292" s="4">
        <f t="shared" si="99"/>
        <v>0</v>
      </c>
      <c r="S292" s="4">
        <f>J292*16500</f>
        <v>0</v>
      </c>
    </row>
    <row r="293" spans="1:19">
      <c r="A293" s="128" t="s">
        <v>322</v>
      </c>
      <c r="B293" s="385" t="s">
        <v>323</v>
      </c>
      <c r="C293" s="237">
        <v>1</v>
      </c>
      <c r="D293" s="237"/>
      <c r="E293" s="234"/>
      <c r="F293" s="237"/>
      <c r="G293" s="236"/>
      <c r="H293" s="241"/>
      <c r="I293" s="241"/>
      <c r="J293" s="35">
        <f t="shared" si="101"/>
        <v>1</v>
      </c>
      <c r="K293" s="3">
        <f>C293*24000</f>
        <v>24000</v>
      </c>
      <c r="L293" s="294">
        <f>D293*20000</f>
        <v>0</v>
      </c>
      <c r="M293" s="299">
        <f>E293*18000</f>
        <v>0</v>
      </c>
      <c r="N293" s="282"/>
      <c r="O293" s="282"/>
      <c r="P293" s="282"/>
      <c r="R293" s="4">
        <f t="shared" si="99"/>
        <v>24000</v>
      </c>
      <c r="S293" s="4">
        <f>J293*9945</f>
        <v>9945</v>
      </c>
    </row>
    <row r="294" spans="1:19">
      <c r="A294" t="s">
        <v>364</v>
      </c>
      <c r="B294" s="666" t="s">
        <v>316</v>
      </c>
      <c r="C294" s="237"/>
      <c r="D294" s="235"/>
      <c r="E294" s="234"/>
      <c r="F294" s="230"/>
      <c r="G294" s="236"/>
      <c r="H294" s="231"/>
      <c r="I294" s="215"/>
      <c r="J294" s="35">
        <f t="shared" si="101"/>
        <v>0</v>
      </c>
      <c r="K294" s="3">
        <f>C294*25000</f>
        <v>0</v>
      </c>
      <c r="L294" s="294">
        <f>D294*25000</f>
        <v>0</v>
      </c>
      <c r="M294" s="299">
        <f>E294*25000</f>
        <v>0</v>
      </c>
      <c r="N294" s="282"/>
      <c r="O294" s="282"/>
      <c r="P294" s="282"/>
      <c r="R294" s="4">
        <f t="shared" si="99"/>
        <v>0</v>
      </c>
      <c r="S294" s="4">
        <f>J294*18000</f>
        <v>0</v>
      </c>
    </row>
    <row r="295" spans="1:19">
      <c r="A295" s="128" t="s">
        <v>324</v>
      </c>
      <c r="B295" s="670"/>
      <c r="C295" s="237"/>
      <c r="D295" s="237"/>
      <c r="E295" s="234"/>
      <c r="F295" s="237"/>
      <c r="G295" s="236"/>
      <c r="H295" s="241"/>
      <c r="I295" s="241"/>
      <c r="J295" s="35">
        <f t="shared" si="101"/>
        <v>0</v>
      </c>
      <c r="K295" s="254">
        <f>C295*10000</f>
        <v>0</v>
      </c>
      <c r="L295" s="294"/>
      <c r="M295" s="299"/>
      <c r="N295" s="282"/>
      <c r="O295" s="282"/>
      <c r="P295" s="282"/>
      <c r="R295" s="4">
        <f t="shared" si="99"/>
        <v>0</v>
      </c>
      <c r="S295" s="4">
        <f>J295*9000</f>
        <v>0</v>
      </c>
    </row>
    <row r="296" spans="1:19">
      <c r="A296" s="128" t="s">
        <v>325</v>
      </c>
      <c r="B296" s="670"/>
      <c r="C296" s="237"/>
      <c r="D296" s="237"/>
      <c r="E296" s="234"/>
      <c r="F296" s="237"/>
      <c r="G296" s="236"/>
      <c r="H296" s="241"/>
      <c r="I296" s="241"/>
      <c r="J296" s="35">
        <f t="shared" si="101"/>
        <v>0</v>
      </c>
      <c r="K296" s="3">
        <f>C296*24000</f>
        <v>0</v>
      </c>
      <c r="L296" s="294"/>
      <c r="M296" s="299"/>
      <c r="N296" s="282"/>
      <c r="O296" s="282"/>
      <c r="P296" s="282"/>
      <c r="R296" s="4">
        <f t="shared" si="99"/>
        <v>0</v>
      </c>
      <c r="S296" s="4">
        <f>J296*18000</f>
        <v>0</v>
      </c>
    </row>
    <row r="297" spans="1:19">
      <c r="A297" s="128" t="s">
        <v>326</v>
      </c>
      <c r="B297" s="667"/>
      <c r="C297" s="237">
        <v>1</v>
      </c>
      <c r="D297" s="237"/>
      <c r="E297" s="234"/>
      <c r="F297" s="237"/>
      <c r="G297" s="236"/>
      <c r="H297" s="241"/>
      <c r="I297" s="241"/>
      <c r="J297" s="35">
        <f t="shared" si="101"/>
        <v>1</v>
      </c>
      <c r="K297" s="3">
        <f>C297*7000</f>
        <v>7000</v>
      </c>
      <c r="L297" s="294">
        <f>D297*7000</f>
        <v>0</v>
      </c>
      <c r="M297" s="299">
        <f>E297*7000</f>
        <v>0</v>
      </c>
      <c r="N297" s="282"/>
      <c r="O297" s="282"/>
      <c r="P297" s="282"/>
      <c r="R297" s="4">
        <f t="shared" si="99"/>
        <v>7000</v>
      </c>
      <c r="S297" s="4">
        <f>J297*4000</f>
        <v>4000</v>
      </c>
    </row>
    <row r="298" spans="1:19">
      <c r="A298" s="128" t="s">
        <v>745</v>
      </c>
      <c r="B298" s="598"/>
      <c r="C298" s="237"/>
      <c r="D298" s="237"/>
      <c r="E298" s="234"/>
      <c r="F298" s="237"/>
      <c r="G298" s="236"/>
      <c r="H298" s="241"/>
      <c r="I298" s="241"/>
      <c r="J298" s="35">
        <f t="shared" si="101"/>
        <v>0</v>
      </c>
      <c r="K298" s="3">
        <f>C298*10000</f>
        <v>0</v>
      </c>
      <c r="L298" s="294">
        <f>D298*10000</f>
        <v>0</v>
      </c>
      <c r="M298" s="299">
        <f>E298*10000</f>
        <v>0</v>
      </c>
      <c r="N298" s="282"/>
      <c r="O298" s="282"/>
      <c r="P298" s="282"/>
      <c r="R298" s="4">
        <f t="shared" si="99"/>
        <v>0</v>
      </c>
      <c r="S298" s="4">
        <f>J298*2664</f>
        <v>0</v>
      </c>
    </row>
    <row r="299" spans="1:19">
      <c r="A299" s="128" t="s">
        <v>442</v>
      </c>
      <c r="B299" s="386" t="s">
        <v>443</v>
      </c>
      <c r="C299" s="237">
        <v>220</v>
      </c>
      <c r="D299" s="237"/>
      <c r="E299" s="234"/>
      <c r="F299" s="237"/>
      <c r="G299" s="236"/>
      <c r="H299" s="241"/>
      <c r="I299" s="242"/>
      <c r="J299" s="35">
        <f t="shared" si="101"/>
        <v>220</v>
      </c>
      <c r="K299" s="254">
        <f t="shared" ref="K299:K300" si="102">C299*200</f>
        <v>44000</v>
      </c>
      <c r="L299" s="294">
        <f t="shared" ref="L299:L300" si="103">D299*200</f>
        <v>0</v>
      </c>
      <c r="M299" s="299">
        <f t="shared" ref="M299:M300" si="104">E299*200</f>
        <v>0</v>
      </c>
      <c r="N299" s="282"/>
      <c r="O299" s="282"/>
      <c r="P299" s="282"/>
      <c r="R299" s="4">
        <f t="shared" si="99"/>
        <v>44000</v>
      </c>
      <c r="S299" s="4">
        <f>J299*110</f>
        <v>24200</v>
      </c>
    </row>
    <row r="300" spans="1:19">
      <c r="A300" s="162" t="s">
        <v>444</v>
      </c>
      <c r="B300" s="386" t="s">
        <v>445</v>
      </c>
      <c r="C300" s="237">
        <v>20</v>
      </c>
      <c r="D300" s="237"/>
      <c r="E300" s="234"/>
      <c r="F300" s="237"/>
      <c r="G300" s="236"/>
      <c r="H300" s="241"/>
      <c r="I300" s="241"/>
      <c r="J300" s="35">
        <f t="shared" si="101"/>
        <v>20</v>
      </c>
      <c r="K300" s="254">
        <f t="shared" si="102"/>
        <v>4000</v>
      </c>
      <c r="L300" s="294">
        <f t="shared" si="103"/>
        <v>0</v>
      </c>
      <c r="M300" s="299">
        <f t="shared" si="104"/>
        <v>0</v>
      </c>
      <c r="N300" s="282"/>
      <c r="O300" s="282"/>
      <c r="P300" s="282"/>
      <c r="R300" s="4">
        <f t="shared" si="99"/>
        <v>4000</v>
      </c>
      <c r="S300" s="4">
        <f>J300*110</f>
        <v>2200</v>
      </c>
    </row>
    <row r="301" spans="1:19">
      <c r="A301" s="162" t="s">
        <v>713</v>
      </c>
      <c r="B301" s="386"/>
      <c r="C301" s="237"/>
      <c r="D301" s="237"/>
      <c r="E301" s="234"/>
      <c r="F301" s="237"/>
      <c r="G301" s="236"/>
      <c r="H301" s="241"/>
      <c r="I301" s="241"/>
      <c r="J301" s="35">
        <f t="shared" si="101"/>
        <v>0</v>
      </c>
      <c r="K301" s="254"/>
      <c r="L301" s="294"/>
      <c r="M301" s="299">
        <f>E301*150</f>
        <v>0</v>
      </c>
      <c r="N301" s="282"/>
      <c r="O301" s="282"/>
      <c r="P301" s="282"/>
      <c r="R301" s="4">
        <f t="shared" si="99"/>
        <v>0</v>
      </c>
      <c r="S301" s="4">
        <f>J301*127</f>
        <v>0</v>
      </c>
    </row>
    <row r="302" spans="1:19">
      <c r="A302" s="162" t="s">
        <v>732</v>
      </c>
      <c r="B302" s="386"/>
      <c r="C302" s="237"/>
      <c r="D302" s="237"/>
      <c r="E302" s="234">
        <v>1</v>
      </c>
      <c r="F302" s="237"/>
      <c r="G302" s="236"/>
      <c r="H302" s="241"/>
      <c r="I302" s="241"/>
      <c r="J302" s="35">
        <f t="shared" si="101"/>
        <v>1</v>
      </c>
      <c r="K302" s="254"/>
      <c r="L302" s="294"/>
      <c r="M302" s="299">
        <f>E302*15000</f>
        <v>15000</v>
      </c>
      <c r="N302" s="282"/>
      <c r="O302" s="282"/>
      <c r="P302" s="282"/>
      <c r="R302" s="4">
        <f>SUM(K302:Q302)</f>
        <v>15000</v>
      </c>
      <c r="S302" s="4">
        <f>J302*9680</f>
        <v>9680</v>
      </c>
    </row>
    <row r="303" spans="1:19">
      <c r="A303" s="128" t="s">
        <v>332</v>
      </c>
      <c r="B303" s="385" t="s">
        <v>394</v>
      </c>
      <c r="C303" s="237"/>
      <c r="D303" s="235"/>
      <c r="E303" s="234"/>
      <c r="F303" s="237"/>
      <c r="G303" s="236"/>
      <c r="H303" s="241"/>
      <c r="I303" s="241"/>
      <c r="J303" s="35">
        <f t="shared" si="101"/>
        <v>0</v>
      </c>
      <c r="K303" s="3">
        <f>C303*3000</f>
        <v>0</v>
      </c>
      <c r="L303" s="294">
        <f>D303*3000</f>
        <v>0</v>
      </c>
      <c r="M303" s="299">
        <f>E303*3000</f>
        <v>0</v>
      </c>
      <c r="N303" s="282"/>
      <c r="O303" s="282"/>
      <c r="P303" s="282"/>
      <c r="R303" s="4">
        <f t="shared" ref="R303:R327" si="105">SUM(K303:Q303)</f>
        <v>0</v>
      </c>
      <c r="S303" s="4">
        <f>J303*1320</f>
        <v>0</v>
      </c>
    </row>
    <row r="304" spans="1:19" s="3" customFormat="1">
      <c r="A304" s="155" t="s">
        <v>309</v>
      </c>
      <c r="B304" s="666" t="s">
        <v>310</v>
      </c>
      <c r="C304" s="237">
        <v>20</v>
      </c>
      <c r="D304" s="237"/>
      <c r="E304" s="234"/>
      <c r="F304" s="237"/>
      <c r="G304" s="236"/>
      <c r="H304" s="241"/>
      <c r="I304" s="240"/>
      <c r="J304" s="35">
        <f t="shared" si="101"/>
        <v>20</v>
      </c>
      <c r="K304" s="254">
        <f>C304*1100</f>
        <v>22000</v>
      </c>
      <c r="L304" s="294">
        <f>D304*850</f>
        <v>0</v>
      </c>
      <c r="M304" s="299">
        <f>E304*850</f>
        <v>0</v>
      </c>
      <c r="N304" s="282"/>
      <c r="O304" s="282"/>
      <c r="P304" s="282"/>
      <c r="Q304" s="5"/>
      <c r="R304" s="4">
        <f t="shared" si="105"/>
        <v>22000</v>
      </c>
      <c r="S304" s="4">
        <f>J304*780</f>
        <v>15600</v>
      </c>
    </row>
    <row r="305" spans="1:19" s="3" customFormat="1">
      <c r="A305" s="155" t="s">
        <v>311</v>
      </c>
      <c r="B305" s="667"/>
      <c r="C305" s="237"/>
      <c r="D305" s="237"/>
      <c r="E305" s="234"/>
      <c r="F305" s="237"/>
      <c r="G305" s="236"/>
      <c r="H305" s="241"/>
      <c r="I305" s="237"/>
      <c r="J305" s="35">
        <f t="shared" si="101"/>
        <v>0</v>
      </c>
      <c r="K305" s="254">
        <f>C305*1200</f>
        <v>0</v>
      </c>
      <c r="L305" s="294">
        <f>D305*980</f>
        <v>0</v>
      </c>
      <c r="M305" s="299">
        <f>E305*980</f>
        <v>0</v>
      </c>
      <c r="N305" s="282"/>
      <c r="O305" s="282"/>
      <c r="P305" s="282"/>
      <c r="Q305" s="5"/>
      <c r="R305" s="4">
        <f t="shared" si="105"/>
        <v>0</v>
      </c>
      <c r="S305" s="4">
        <f>J305*836</f>
        <v>0</v>
      </c>
    </row>
    <row r="306" spans="1:19" s="3" customFormat="1">
      <c r="A306" s="155" t="s">
        <v>708</v>
      </c>
      <c r="B306" s="385" t="s">
        <v>709</v>
      </c>
      <c r="C306" s="237"/>
      <c r="D306" s="237"/>
      <c r="E306" s="234"/>
      <c r="F306" s="237"/>
      <c r="G306" s="236"/>
      <c r="H306" s="241"/>
      <c r="I306" s="242"/>
      <c r="J306" s="35">
        <f t="shared" si="101"/>
        <v>0</v>
      </c>
      <c r="K306" s="254">
        <f>C306*1100</f>
        <v>0</v>
      </c>
      <c r="L306" s="294">
        <f>D306*1100</f>
        <v>0</v>
      </c>
      <c r="M306" s="299">
        <f>E306*1100</f>
        <v>0</v>
      </c>
      <c r="N306" s="282"/>
      <c r="O306" s="282"/>
      <c r="P306" s="282"/>
      <c r="Q306" s="5"/>
      <c r="R306" s="4">
        <f t="shared" si="105"/>
        <v>0</v>
      </c>
      <c r="S306" s="4">
        <f>J306*968</f>
        <v>0</v>
      </c>
    </row>
    <row r="307" spans="1:19" s="3" customFormat="1">
      <c r="A307" s="155" t="s">
        <v>450</v>
      </c>
      <c r="B307" s="671" t="s">
        <v>453</v>
      </c>
      <c r="C307" s="237"/>
      <c r="D307" s="237"/>
      <c r="E307" s="234"/>
      <c r="F307" s="237"/>
      <c r="G307" s="236"/>
      <c r="H307" s="241"/>
      <c r="I307" s="237"/>
      <c r="J307" s="35">
        <f t="shared" si="101"/>
        <v>0</v>
      </c>
      <c r="K307" s="3">
        <f t="shared" ref="K307:K309" si="106">C307*550</f>
        <v>0</v>
      </c>
      <c r="L307" s="294">
        <f t="shared" ref="L307:L309" si="107">D307*550</f>
        <v>0</v>
      </c>
      <c r="M307" s="299">
        <f t="shared" ref="M307:M309" si="108">E307*550</f>
        <v>0</v>
      </c>
      <c r="N307" s="282"/>
      <c r="O307" s="282"/>
      <c r="P307" s="282"/>
      <c r="Q307" s="5"/>
      <c r="R307" s="4">
        <f t="shared" si="105"/>
        <v>0</v>
      </c>
      <c r="S307" s="4">
        <f>J307*389</f>
        <v>0</v>
      </c>
    </row>
    <row r="308" spans="1:19" s="3" customFormat="1">
      <c r="A308" s="155" t="s">
        <v>451</v>
      </c>
      <c r="B308" s="672"/>
      <c r="C308" s="237"/>
      <c r="D308" s="237"/>
      <c r="E308" s="234"/>
      <c r="F308" s="237"/>
      <c r="G308" s="236"/>
      <c r="H308" s="241"/>
      <c r="I308" s="237"/>
      <c r="J308" s="35">
        <f t="shared" si="101"/>
        <v>0</v>
      </c>
      <c r="K308" s="3">
        <f t="shared" si="106"/>
        <v>0</v>
      </c>
      <c r="L308" s="294">
        <f t="shared" si="107"/>
        <v>0</v>
      </c>
      <c r="M308" s="299">
        <f t="shared" si="108"/>
        <v>0</v>
      </c>
      <c r="N308" s="282"/>
      <c r="O308" s="282"/>
      <c r="P308" s="282"/>
      <c r="Q308" s="5"/>
      <c r="R308" s="4">
        <f t="shared" si="105"/>
        <v>0</v>
      </c>
      <c r="S308" s="4">
        <f>J308*389</f>
        <v>0</v>
      </c>
    </row>
    <row r="309" spans="1:19" s="3" customFormat="1">
      <c r="A309" s="155" t="s">
        <v>452</v>
      </c>
      <c r="B309" s="673"/>
      <c r="C309" s="237"/>
      <c r="D309" s="237"/>
      <c r="E309" s="234"/>
      <c r="F309" s="237"/>
      <c r="G309" s="236"/>
      <c r="H309" s="241"/>
      <c r="I309" s="237"/>
      <c r="J309" s="35">
        <f t="shared" si="101"/>
        <v>0</v>
      </c>
      <c r="K309" s="3">
        <f t="shared" si="106"/>
        <v>0</v>
      </c>
      <c r="L309" s="294">
        <f t="shared" si="107"/>
        <v>0</v>
      </c>
      <c r="M309" s="299">
        <f t="shared" si="108"/>
        <v>0</v>
      </c>
      <c r="N309" s="282"/>
      <c r="O309" s="282"/>
      <c r="P309" s="282"/>
      <c r="Q309" s="5"/>
      <c r="R309" s="4">
        <f t="shared" si="105"/>
        <v>0</v>
      </c>
      <c r="S309" s="4">
        <f>J309*389</f>
        <v>0</v>
      </c>
    </row>
    <row r="310" spans="1:19" s="3" customFormat="1">
      <c r="A310" s="155" t="s">
        <v>496</v>
      </c>
      <c r="B310" s="387" t="s">
        <v>507</v>
      </c>
      <c r="C310" s="237">
        <v>6</v>
      </c>
      <c r="D310" s="235"/>
      <c r="E310" s="234"/>
      <c r="F310" s="237"/>
      <c r="G310" s="236"/>
      <c r="H310" s="241"/>
      <c r="I310" s="242"/>
      <c r="J310" s="35">
        <f t="shared" si="101"/>
        <v>6</v>
      </c>
      <c r="K310" s="254">
        <f>C310*2500</f>
        <v>15000</v>
      </c>
      <c r="L310" s="294">
        <f>D310*2500</f>
        <v>0</v>
      </c>
      <c r="M310" s="299">
        <f>E310*2500</f>
        <v>0</v>
      </c>
      <c r="N310" s="282"/>
      <c r="O310" s="282"/>
      <c r="P310" s="282"/>
      <c r="Q310" s="5"/>
      <c r="R310" s="4">
        <f t="shared" si="105"/>
        <v>15000</v>
      </c>
      <c r="S310" s="4">
        <f>J310*1412</f>
        <v>8472</v>
      </c>
    </row>
    <row r="311" spans="1:19" s="3" customFormat="1">
      <c r="A311" s="155" t="s">
        <v>513</v>
      </c>
      <c r="B311" s="386" t="s">
        <v>514</v>
      </c>
      <c r="C311" s="237"/>
      <c r="D311" s="237"/>
      <c r="E311" s="234"/>
      <c r="F311" s="237"/>
      <c r="G311" s="236"/>
      <c r="H311" s="241"/>
      <c r="I311" s="242">
        <v>87</v>
      </c>
      <c r="J311" s="35">
        <f t="shared" si="101"/>
        <v>87</v>
      </c>
      <c r="K311" s="254">
        <f>C311*110</f>
        <v>0</v>
      </c>
      <c r="L311" s="294"/>
      <c r="M311" s="299"/>
      <c r="N311" s="282"/>
      <c r="O311" s="282"/>
      <c r="P311" s="282"/>
      <c r="Q311" s="5"/>
      <c r="R311" s="4">
        <f t="shared" si="105"/>
        <v>0</v>
      </c>
      <c r="S311" s="4">
        <f>J311*60</f>
        <v>5220</v>
      </c>
    </row>
    <row r="312" spans="1:19" s="3" customFormat="1">
      <c r="A312" s="155" t="s">
        <v>611</v>
      </c>
      <c r="B312" s="386" t="s">
        <v>604</v>
      </c>
      <c r="C312" s="237"/>
      <c r="D312" s="237"/>
      <c r="E312" s="234"/>
      <c r="F312" s="237"/>
      <c r="G312" s="236"/>
      <c r="H312" s="241"/>
      <c r="I312" s="242"/>
      <c r="J312" s="35">
        <f t="shared" si="101"/>
        <v>0</v>
      </c>
      <c r="K312" s="254">
        <f>C312*75000</f>
        <v>0</v>
      </c>
      <c r="L312" s="294"/>
      <c r="M312" s="299"/>
      <c r="N312" s="282"/>
      <c r="O312" s="282"/>
      <c r="P312" s="282"/>
      <c r="Q312" s="5"/>
      <c r="R312" s="4">
        <f t="shared" si="105"/>
        <v>0</v>
      </c>
      <c r="S312" s="4">
        <f>J312*27500</f>
        <v>0</v>
      </c>
    </row>
    <row r="313" spans="1:19" s="3" customFormat="1">
      <c r="A313" s="155" t="s">
        <v>609</v>
      </c>
      <c r="B313" s="671" t="s">
        <v>603</v>
      </c>
      <c r="C313" s="237"/>
      <c r="D313" s="237"/>
      <c r="E313" s="234"/>
      <c r="F313" s="237"/>
      <c r="G313" s="236"/>
      <c r="H313" s="241"/>
      <c r="I313" s="242"/>
      <c r="J313" s="35">
        <f t="shared" si="101"/>
        <v>0</v>
      </c>
      <c r="K313" s="254">
        <f>C313*120000</f>
        <v>0</v>
      </c>
      <c r="L313" s="294"/>
      <c r="M313" s="299"/>
      <c r="N313" s="282"/>
      <c r="O313" s="282"/>
      <c r="P313" s="282"/>
      <c r="Q313" s="5"/>
      <c r="R313" s="4">
        <f t="shared" si="105"/>
        <v>0</v>
      </c>
      <c r="S313" s="4">
        <f>J313*59400</f>
        <v>0</v>
      </c>
    </row>
    <row r="314" spans="1:19" s="3" customFormat="1">
      <c r="A314" s="155" t="s">
        <v>610</v>
      </c>
      <c r="B314" s="673"/>
      <c r="C314" s="237">
        <v>1</v>
      </c>
      <c r="D314" s="237"/>
      <c r="E314" s="234"/>
      <c r="F314" s="237"/>
      <c r="G314" s="236"/>
      <c r="H314" s="241"/>
      <c r="I314" s="242"/>
      <c r="J314" s="35">
        <f t="shared" si="101"/>
        <v>1</v>
      </c>
      <c r="K314" s="254">
        <f>C314*75000</f>
        <v>75000</v>
      </c>
      <c r="L314" s="294"/>
      <c r="M314" s="299"/>
      <c r="N314" s="282"/>
      <c r="O314" s="282"/>
      <c r="P314" s="282"/>
      <c r="Q314" s="5"/>
      <c r="R314" s="4">
        <f t="shared" si="105"/>
        <v>75000</v>
      </c>
      <c r="S314" s="4">
        <f>J314*33000</f>
        <v>33000</v>
      </c>
    </row>
    <row r="315" spans="1:19" s="3" customFormat="1">
      <c r="A315" s="155" t="s">
        <v>596</v>
      </c>
      <c r="B315" s="386" t="s">
        <v>605</v>
      </c>
      <c r="C315" s="237">
        <v>1</v>
      </c>
      <c r="D315" s="237"/>
      <c r="E315" s="234"/>
      <c r="F315" s="237"/>
      <c r="G315" s="236"/>
      <c r="H315" s="241"/>
      <c r="I315" s="242"/>
      <c r="J315" s="35">
        <f t="shared" si="101"/>
        <v>1</v>
      </c>
      <c r="K315" s="254">
        <f>C315*35000</f>
        <v>35000</v>
      </c>
      <c r="L315" s="294"/>
      <c r="M315" s="299"/>
      <c r="N315" s="282"/>
      <c r="O315" s="282"/>
      <c r="P315" s="282"/>
      <c r="Q315" s="5"/>
      <c r="R315" s="4">
        <f t="shared" si="105"/>
        <v>35000</v>
      </c>
      <c r="S315" s="4">
        <f>J315*15400</f>
        <v>15400</v>
      </c>
    </row>
    <row r="316" spans="1:19" s="3" customFormat="1">
      <c r="A316" s="155" t="s">
        <v>606</v>
      </c>
      <c r="B316" s="671" t="s">
        <v>607</v>
      </c>
      <c r="C316" s="237"/>
      <c r="D316" s="237"/>
      <c r="E316" s="234"/>
      <c r="F316" s="237"/>
      <c r="G316" s="236"/>
      <c r="H316" s="241"/>
      <c r="I316" s="242"/>
      <c r="J316" s="35">
        <f t="shared" si="101"/>
        <v>0</v>
      </c>
      <c r="K316" s="254">
        <f>C316*36000</f>
        <v>0</v>
      </c>
      <c r="L316" s="294"/>
      <c r="M316" s="299"/>
      <c r="N316" s="282"/>
      <c r="O316" s="282"/>
      <c r="P316" s="282"/>
      <c r="Q316" s="5"/>
      <c r="R316" s="4">
        <f t="shared" si="105"/>
        <v>0</v>
      </c>
      <c r="S316" s="4">
        <f>J316*12000</f>
        <v>0</v>
      </c>
    </row>
    <row r="317" spans="1:19" s="3" customFormat="1">
      <c r="A317" s="155" t="s">
        <v>608</v>
      </c>
      <c r="B317" s="673"/>
      <c r="C317" s="237"/>
      <c r="D317" s="237"/>
      <c r="E317" s="234"/>
      <c r="F317" s="237"/>
      <c r="G317" s="236"/>
      <c r="H317" s="241"/>
      <c r="I317" s="242"/>
      <c r="J317" s="35">
        <f t="shared" si="101"/>
        <v>0</v>
      </c>
      <c r="K317" s="254">
        <f>C317*81000</f>
        <v>0</v>
      </c>
      <c r="L317" s="294"/>
      <c r="M317" s="299"/>
      <c r="N317" s="282"/>
      <c r="O317" s="282"/>
      <c r="P317" s="282"/>
      <c r="Q317" s="5"/>
      <c r="R317" s="4">
        <f t="shared" si="105"/>
        <v>0</v>
      </c>
      <c r="S317" s="4">
        <f>J317*34000</f>
        <v>0</v>
      </c>
    </row>
    <row r="318" spans="1:19" s="3" customFormat="1">
      <c r="A318" s="155" t="s">
        <v>730</v>
      </c>
      <c r="B318" s="386" t="s">
        <v>602</v>
      </c>
      <c r="C318" s="237"/>
      <c r="D318" s="237"/>
      <c r="E318" s="234"/>
      <c r="F318" s="237"/>
      <c r="G318" s="236"/>
      <c r="H318" s="241"/>
      <c r="I318" s="242"/>
      <c r="J318" s="35">
        <f t="shared" si="101"/>
        <v>0</v>
      </c>
      <c r="K318" s="254">
        <f>C318*72000</f>
        <v>0</v>
      </c>
      <c r="L318" s="294"/>
      <c r="M318" s="299"/>
      <c r="N318" s="282"/>
      <c r="O318" s="282"/>
      <c r="P318" s="282"/>
      <c r="Q318" s="5"/>
      <c r="R318" s="4">
        <f t="shared" si="105"/>
        <v>0</v>
      </c>
      <c r="S318" s="4">
        <f>J318*12000</f>
        <v>0</v>
      </c>
    </row>
    <row r="319" spans="1:19" s="3" customFormat="1">
      <c r="A319" s="155" t="s">
        <v>600</v>
      </c>
      <c r="B319" s="386" t="s">
        <v>601</v>
      </c>
      <c r="C319" s="237"/>
      <c r="D319" s="237"/>
      <c r="E319" s="234"/>
      <c r="F319" s="237"/>
      <c r="G319" s="236"/>
      <c r="H319" s="241"/>
      <c r="I319" s="242"/>
      <c r="J319" s="35">
        <f t="shared" si="101"/>
        <v>0</v>
      </c>
      <c r="K319" s="254">
        <f>C319*81000</f>
        <v>0</v>
      </c>
      <c r="L319" s="294"/>
      <c r="M319" s="299"/>
      <c r="N319" s="282"/>
      <c r="O319" s="282"/>
      <c r="P319" s="282"/>
      <c r="Q319" s="5"/>
      <c r="R319" s="4">
        <f t="shared" si="105"/>
        <v>0</v>
      </c>
      <c r="S319" s="4">
        <f>J319*12000</f>
        <v>0</v>
      </c>
    </row>
    <row r="320" spans="1:19" s="3" customFormat="1">
      <c r="A320" s="155" t="s">
        <v>618</v>
      </c>
      <c r="B320" s="386" t="s">
        <v>619</v>
      </c>
      <c r="C320" s="237">
        <v>10</v>
      </c>
      <c r="D320" s="237"/>
      <c r="E320" s="234"/>
      <c r="F320" s="237"/>
      <c r="G320" s="236"/>
      <c r="H320" s="241"/>
      <c r="I320" s="242"/>
      <c r="J320" s="35">
        <f t="shared" si="101"/>
        <v>10</v>
      </c>
      <c r="K320" s="254">
        <f>C320*1100</f>
        <v>11000</v>
      </c>
      <c r="L320" s="294"/>
      <c r="M320" s="299"/>
      <c r="N320" s="282"/>
      <c r="O320" s="282"/>
      <c r="P320" s="282"/>
      <c r="Q320" s="5"/>
      <c r="R320" s="4">
        <f t="shared" si="105"/>
        <v>11000</v>
      </c>
      <c r="S320" s="4">
        <f>J320*915</f>
        <v>9150</v>
      </c>
    </row>
    <row r="321" spans="1:19">
      <c r="A321" s="155" t="s">
        <v>652</v>
      </c>
      <c r="B321" s="386" t="s">
        <v>653</v>
      </c>
      <c r="C321" s="237">
        <v>16</v>
      </c>
      <c r="D321" s="237"/>
      <c r="E321" s="234"/>
      <c r="F321" s="237"/>
      <c r="G321" s="236"/>
      <c r="H321" s="241"/>
      <c r="I321" s="242"/>
      <c r="J321" s="35">
        <f t="shared" si="101"/>
        <v>16</v>
      </c>
      <c r="K321" s="225">
        <f>C321*3000</f>
        <v>48000</v>
      </c>
      <c r="L321" s="294"/>
      <c r="M321" s="299"/>
      <c r="N321" s="282"/>
      <c r="O321" s="282"/>
      <c r="P321" s="282"/>
      <c r="R321" s="4">
        <f t="shared" si="105"/>
        <v>48000</v>
      </c>
      <c r="S321" s="4">
        <f>J321*2000</f>
        <v>32000</v>
      </c>
    </row>
    <row r="322" spans="1:19">
      <c r="A322" s="128" t="s">
        <v>327</v>
      </c>
      <c r="B322" s="385" t="s">
        <v>328</v>
      </c>
      <c r="C322" s="257"/>
      <c r="D322" s="237"/>
      <c r="E322" s="234"/>
      <c r="F322" s="237"/>
      <c r="G322" s="236"/>
      <c r="H322" s="241"/>
      <c r="I322" s="241"/>
      <c r="J322" s="35">
        <f t="shared" si="101"/>
        <v>0</v>
      </c>
      <c r="K322" s="225">
        <f>C322*1000</f>
        <v>0</v>
      </c>
      <c r="L322" s="294">
        <f>D322*10000</f>
        <v>0</v>
      </c>
      <c r="M322" s="299">
        <f>E322*10000</f>
        <v>0</v>
      </c>
      <c r="N322" s="282"/>
      <c r="O322" s="282"/>
      <c r="P322" s="282"/>
      <c r="R322" s="4">
        <f t="shared" si="105"/>
        <v>0</v>
      </c>
      <c r="S322" s="4">
        <f>J322*528</f>
        <v>0</v>
      </c>
    </row>
    <row r="323" spans="1:19">
      <c r="A323" s="79" t="s">
        <v>356</v>
      </c>
      <c r="B323" s="666" t="s">
        <v>705</v>
      </c>
      <c r="C323" s="237"/>
      <c r="D323" s="237"/>
      <c r="E323" s="234"/>
      <c r="F323" s="237"/>
      <c r="G323" s="236"/>
      <c r="H323" s="241"/>
      <c r="I323" s="241"/>
      <c r="J323" s="35">
        <f t="shared" si="101"/>
        <v>0</v>
      </c>
      <c r="K323" s="3">
        <f>C323*600</f>
        <v>0</v>
      </c>
      <c r="L323" s="294">
        <f>D323*600</f>
        <v>0</v>
      </c>
      <c r="M323" s="299">
        <f>E323*600</f>
        <v>0</v>
      </c>
      <c r="N323" s="282"/>
      <c r="O323" s="282"/>
      <c r="P323" s="282"/>
      <c r="R323" s="4">
        <f t="shared" si="105"/>
        <v>0</v>
      </c>
      <c r="S323" s="4">
        <f>J323*484</f>
        <v>0</v>
      </c>
    </row>
    <row r="324" spans="1:19" s="1" customFormat="1">
      <c r="A324" s="128" t="s">
        <v>334</v>
      </c>
      <c r="B324" s="667"/>
      <c r="C324" s="237">
        <v>10</v>
      </c>
      <c r="D324" s="237"/>
      <c r="E324" s="234"/>
      <c r="F324" s="237"/>
      <c r="G324" s="236"/>
      <c r="H324" s="241"/>
      <c r="I324" s="242"/>
      <c r="J324" s="35">
        <f t="shared" si="101"/>
        <v>10</v>
      </c>
      <c r="K324" s="254">
        <f>C324*1500</f>
        <v>15000</v>
      </c>
      <c r="L324" s="294">
        <f>D324*1500</f>
        <v>0</v>
      </c>
      <c r="M324" s="299">
        <f>E324*1500</f>
        <v>0</v>
      </c>
      <c r="N324" s="282"/>
      <c r="O324" s="282"/>
      <c r="P324" s="282"/>
      <c r="Q324" s="5"/>
      <c r="R324" s="4">
        <f t="shared" si="105"/>
        <v>15000</v>
      </c>
      <c r="S324" s="4">
        <f>J324*1155</f>
        <v>11550</v>
      </c>
    </row>
    <row r="325" spans="1:19" s="1" customFormat="1">
      <c r="A325" s="79" t="s">
        <v>330</v>
      </c>
      <c r="B325" s="385" t="s">
        <v>331</v>
      </c>
      <c r="C325" s="237"/>
      <c r="D325" s="237"/>
      <c r="E325" s="234"/>
      <c r="F325" s="237"/>
      <c r="G325" s="236"/>
      <c r="H325" s="241"/>
      <c r="I325" s="241"/>
      <c r="J325" s="35">
        <f t="shared" si="101"/>
        <v>0</v>
      </c>
      <c r="K325" s="3">
        <f>C325*1100</f>
        <v>0</v>
      </c>
      <c r="L325" s="294">
        <f>D325*110</f>
        <v>0</v>
      </c>
      <c r="M325" s="299">
        <f>E325*110</f>
        <v>0</v>
      </c>
      <c r="N325" s="282"/>
      <c r="O325" s="282"/>
      <c r="P325" s="282"/>
      <c r="Q325" s="5"/>
      <c r="R325" s="4">
        <f t="shared" si="105"/>
        <v>0</v>
      </c>
      <c r="S325" s="4">
        <f>J325*968</f>
        <v>0</v>
      </c>
    </row>
    <row r="326" spans="1:19" s="1" customFormat="1">
      <c r="A326" t="s">
        <v>358</v>
      </c>
      <c r="B326" s="385" t="s">
        <v>363</v>
      </c>
      <c r="C326" s="237"/>
      <c r="D326" s="237"/>
      <c r="E326" s="234"/>
      <c r="F326" s="237"/>
      <c r="G326" s="236"/>
      <c r="H326" s="241"/>
      <c r="I326" s="241"/>
      <c r="J326" s="35">
        <f t="shared" si="101"/>
        <v>0</v>
      </c>
      <c r="K326" s="3">
        <f>C326*88000</f>
        <v>0</v>
      </c>
      <c r="L326" s="294">
        <f>D326*88000</f>
        <v>0</v>
      </c>
      <c r="M326" s="302">
        <f>E326*88000</f>
        <v>0</v>
      </c>
      <c r="N326" s="284"/>
      <c r="O326" s="282"/>
      <c r="P326" s="282"/>
      <c r="Q326" s="5"/>
      <c r="R326" s="4">
        <f t="shared" si="105"/>
        <v>0</v>
      </c>
      <c r="S326" s="4">
        <f>J326*66000</f>
        <v>0</v>
      </c>
    </row>
    <row r="327" spans="1:19" s="1" customFormat="1">
      <c r="A327" s="128" t="s">
        <v>333</v>
      </c>
      <c r="B327" s="385" t="s">
        <v>436</v>
      </c>
      <c r="C327" s="237"/>
      <c r="D327" s="235"/>
      <c r="E327" s="234"/>
      <c r="F327" s="237"/>
      <c r="G327" s="236"/>
      <c r="H327" s="241"/>
      <c r="I327" s="241"/>
      <c r="J327" s="35">
        <f t="shared" si="101"/>
        <v>0</v>
      </c>
      <c r="K327" s="254">
        <f>C327*650</f>
        <v>0</v>
      </c>
      <c r="L327" s="294">
        <f>D327*650</f>
        <v>0</v>
      </c>
      <c r="M327" s="299">
        <f>E327*650</f>
        <v>0</v>
      </c>
      <c r="N327" s="282"/>
      <c r="O327" s="282"/>
      <c r="P327" s="282"/>
      <c r="Q327" s="5"/>
      <c r="R327" s="4">
        <f t="shared" si="105"/>
        <v>0</v>
      </c>
      <c r="S327" s="4">
        <f>J327*517</f>
        <v>0</v>
      </c>
    </row>
    <row r="328" spans="1:19" s="1" customFormat="1">
      <c r="A328"/>
      <c r="C328" s="2"/>
      <c r="K328" s="145">
        <f>SUM(K263:K327)</f>
        <v>4141500</v>
      </c>
      <c r="L328" s="298">
        <f>SUM(L263:L327)</f>
        <v>88000</v>
      </c>
      <c r="M328" s="298">
        <f t="shared" ref="M328:S328" si="109">SUM(M263:M327)</f>
        <v>538400</v>
      </c>
      <c r="N328" s="298">
        <f t="shared" si="109"/>
        <v>0</v>
      </c>
      <c r="O328" s="298">
        <f t="shared" si="109"/>
        <v>136080</v>
      </c>
      <c r="P328" s="298">
        <f t="shared" si="109"/>
        <v>0</v>
      </c>
      <c r="Q328" s="298">
        <f t="shared" si="109"/>
        <v>0</v>
      </c>
      <c r="R328" s="298">
        <f t="shared" si="109"/>
        <v>4903980</v>
      </c>
      <c r="S328" s="298">
        <f t="shared" si="109"/>
        <v>2303218</v>
      </c>
    </row>
    <row r="329" spans="1:19" s="244" customFormat="1">
      <c r="B329" s="245"/>
      <c r="C329" s="113"/>
      <c r="D329" s="274"/>
      <c r="E329" s="407"/>
      <c r="F329" s="272"/>
      <c r="G329" s="272"/>
      <c r="H329" s="272"/>
      <c r="I329" s="246"/>
      <c r="J329" s="247"/>
      <c r="K329" s="248"/>
      <c r="L329" s="248"/>
      <c r="M329" s="249"/>
      <c r="N329" s="249"/>
      <c r="O329" s="281"/>
      <c r="P329" s="250"/>
      <c r="Q329" s="251"/>
      <c r="R329" s="249"/>
      <c r="S329" s="249"/>
    </row>
    <row r="330" spans="1:19" s="244" customFormat="1">
      <c r="B330" s="245"/>
      <c r="C330" s="271"/>
      <c r="D330" s="274"/>
      <c r="E330" s="407"/>
      <c r="F330" s="272"/>
      <c r="G330" s="272"/>
      <c r="H330" s="272"/>
      <c r="I330" s="246"/>
      <c r="J330" s="247"/>
      <c r="K330" s="248"/>
      <c r="L330" s="248"/>
      <c r="M330" s="249"/>
      <c r="N330" s="249"/>
      <c r="O330" s="281"/>
      <c r="P330" s="250"/>
      <c r="Q330" s="251"/>
      <c r="R330" s="249"/>
      <c r="S330" s="249"/>
    </row>
    <row r="331" spans="1:19" s="244" customFormat="1">
      <c r="B331" s="245"/>
      <c r="C331" s="409" t="s">
        <v>380</v>
      </c>
      <c r="D331" s="409"/>
      <c r="E331" s="489" t="s">
        <v>382</v>
      </c>
      <c r="F331" s="272"/>
      <c r="G331" s="272"/>
      <c r="H331" s="272"/>
      <c r="I331" s="246"/>
      <c r="J331" s="247"/>
      <c r="K331" s="248"/>
      <c r="L331" s="248"/>
      <c r="M331" s="249"/>
      <c r="N331" s="249"/>
      <c r="O331" s="281"/>
      <c r="P331" s="250"/>
      <c r="Q331" s="251"/>
      <c r="R331" s="249"/>
      <c r="S331" s="249"/>
    </row>
    <row r="332" spans="1:19">
      <c r="D332" s="410"/>
      <c r="E332" s="408"/>
      <c r="F332" s="272"/>
      <c r="G332" s="272"/>
      <c r="H332" s="138"/>
      <c r="I332" s="138"/>
      <c r="J332" s="139"/>
      <c r="P332" s="210"/>
    </row>
    <row r="333" spans="1:19">
      <c r="A333" s="74" t="s">
        <v>483</v>
      </c>
      <c r="D333" s="410"/>
      <c r="E333" s="408"/>
      <c r="F333" s="272"/>
      <c r="G333" s="272"/>
      <c r="I333" s="20"/>
      <c r="J333" s="140"/>
      <c r="P333" s="210"/>
    </row>
    <row r="334" spans="1:19" ht="48">
      <c r="A334" s="111" t="s">
        <v>632</v>
      </c>
      <c r="B334" s="554" t="s">
        <v>711</v>
      </c>
      <c r="C334" s="410"/>
      <c r="D334" s="275"/>
      <c r="E334" s="408"/>
      <c r="F334" s="272"/>
      <c r="G334" s="272"/>
      <c r="H334" s="141"/>
      <c r="I334" s="141" t="s">
        <v>261</v>
      </c>
      <c r="J334" s="140"/>
      <c r="K334" s="28" t="s">
        <v>2</v>
      </c>
      <c r="L334" s="301"/>
      <c r="M334" s="301" t="s">
        <v>382</v>
      </c>
      <c r="N334" s="301"/>
      <c r="O334" s="279"/>
      <c r="P334" s="483"/>
      <c r="R334" s="28" t="s">
        <v>18</v>
      </c>
      <c r="S334" s="4" t="s">
        <v>19</v>
      </c>
    </row>
    <row r="335" spans="1:19" s="1" customFormat="1">
      <c r="A335" s="356" t="s">
        <v>558</v>
      </c>
      <c r="B335" s="374"/>
      <c r="C335" s="237"/>
      <c r="D335" s="234"/>
      <c r="E335" s="242"/>
      <c r="F335" s="230"/>
      <c r="G335" s="345"/>
      <c r="H335" s="80"/>
      <c r="I335" s="64"/>
      <c r="J335" s="35">
        <f t="shared" ref="J335:J376" si="110">SUM(B335:I335)</f>
        <v>0</v>
      </c>
      <c r="K335" s="3">
        <f>C335*4400</f>
        <v>0</v>
      </c>
      <c r="L335" s="302"/>
      <c r="M335" s="299"/>
      <c r="N335" s="283"/>
      <c r="O335" s="276"/>
      <c r="P335" s="482"/>
      <c r="Q335" s="5"/>
      <c r="R335" s="3">
        <f t="shared" ref="R335:R488" si="111">SUM(K335:Q335)</f>
        <v>0</v>
      </c>
      <c r="S335" s="3">
        <f>J335*1340</f>
        <v>0</v>
      </c>
    </row>
    <row r="336" spans="1:19" s="1" customFormat="1">
      <c r="A336" s="356" t="s">
        <v>655</v>
      </c>
      <c r="B336" s="568"/>
      <c r="C336" s="237"/>
      <c r="D336" s="234"/>
      <c r="E336" s="242"/>
      <c r="F336" s="230"/>
      <c r="G336" s="345"/>
      <c r="H336" s="80"/>
      <c r="I336" s="64"/>
      <c r="J336" s="35">
        <f t="shared" si="110"/>
        <v>0</v>
      </c>
      <c r="K336" s="3"/>
      <c r="L336" s="302"/>
      <c r="M336" s="299"/>
      <c r="N336" s="283"/>
      <c r="O336" s="276"/>
      <c r="P336" s="482"/>
      <c r="Q336" s="5"/>
      <c r="R336" s="3">
        <f t="shared" si="111"/>
        <v>0</v>
      </c>
      <c r="S336" s="3">
        <f>J336*1349</f>
        <v>0</v>
      </c>
    </row>
    <row r="337" spans="1:19" s="1" customFormat="1">
      <c r="A337" s="356" t="s">
        <v>685</v>
      </c>
      <c r="B337" s="568"/>
      <c r="C337" s="237"/>
      <c r="D337" s="234"/>
      <c r="E337" s="242"/>
      <c r="F337" s="230"/>
      <c r="G337" s="345"/>
      <c r="H337" s="80"/>
      <c r="I337" s="64"/>
      <c r="J337" s="35">
        <f t="shared" si="110"/>
        <v>0</v>
      </c>
      <c r="K337" s="3">
        <f>C337*60000</f>
        <v>0</v>
      </c>
      <c r="L337" s="302"/>
      <c r="M337" s="299"/>
      <c r="N337" s="283">
        <f>F337*54000</f>
        <v>0</v>
      </c>
      <c r="O337" s="276"/>
      <c r="P337" s="482"/>
      <c r="Q337" s="5"/>
      <c r="R337" s="3">
        <f t="shared" si="111"/>
        <v>0</v>
      </c>
      <c r="S337" s="3">
        <f>J337*5060</f>
        <v>0</v>
      </c>
    </row>
    <row r="338" spans="1:19" s="1" customFormat="1" ht="16.5" customHeight="1">
      <c r="A338" s="356" t="s">
        <v>658</v>
      </c>
      <c r="B338" s="674" t="s">
        <v>712</v>
      </c>
      <c r="C338" s="218"/>
      <c r="D338" s="234"/>
      <c r="E338" s="234"/>
      <c r="F338" s="191"/>
      <c r="G338" s="345"/>
      <c r="H338" s="80"/>
      <c r="I338" s="114"/>
      <c r="J338" s="35">
        <f t="shared" si="110"/>
        <v>0</v>
      </c>
      <c r="K338" s="3">
        <f>C338*VLOOKUP(A338,[1]오일단가!$A:$S,16,0)</f>
        <v>0</v>
      </c>
      <c r="L338" s="302"/>
      <c r="M338" s="299"/>
      <c r="N338" s="283">
        <f>F338*VLOOKUP(A338,[1]오일단가!$A:$S,17,0)</f>
        <v>0</v>
      </c>
      <c r="O338" s="276"/>
      <c r="P338" s="482"/>
      <c r="Q338" s="5"/>
      <c r="R338" s="3">
        <f>SUM(K338:Q338)</f>
        <v>0</v>
      </c>
      <c r="S338" s="3">
        <f>J338*2850</f>
        <v>0</v>
      </c>
    </row>
    <row r="339" spans="1:19" s="1" customFormat="1" ht="16.5" customHeight="1">
      <c r="A339" s="356" t="s">
        <v>697</v>
      </c>
      <c r="B339" s="675"/>
      <c r="C339" s="218"/>
      <c r="D339" s="234"/>
      <c r="E339" s="234"/>
      <c r="F339" s="191"/>
      <c r="G339" s="345"/>
      <c r="H339" s="80"/>
      <c r="I339" s="114"/>
      <c r="J339" s="35">
        <f t="shared" si="110"/>
        <v>0</v>
      </c>
      <c r="K339" s="3">
        <f>C339*17000</f>
        <v>0</v>
      </c>
      <c r="L339" s="302"/>
      <c r="M339" s="299"/>
      <c r="N339" s="283">
        <f>F339*15000</f>
        <v>0</v>
      </c>
      <c r="O339" s="276"/>
      <c r="P339" s="482"/>
      <c r="Q339" s="5"/>
      <c r="R339" s="3">
        <f t="shared" ref="R339:R350" si="112">SUM(K339:Q339)</f>
        <v>0</v>
      </c>
      <c r="S339" s="3">
        <f>J339*2670</f>
        <v>0</v>
      </c>
    </row>
    <row r="340" spans="1:19" s="1" customFormat="1">
      <c r="A340" s="356" t="s">
        <v>659</v>
      </c>
      <c r="B340" s="675"/>
      <c r="C340" s="237"/>
      <c r="D340" s="234"/>
      <c r="E340" s="234"/>
      <c r="F340" s="230"/>
      <c r="G340" s="345"/>
      <c r="H340" s="80"/>
      <c r="I340" s="114"/>
      <c r="J340" s="35">
        <f t="shared" si="110"/>
        <v>0</v>
      </c>
      <c r="K340" s="3">
        <f>C340*VLOOKUP(A340,[1]오일단가!$A:$S,16,0)</f>
        <v>0</v>
      </c>
      <c r="L340" s="302"/>
      <c r="M340" s="299"/>
      <c r="N340" s="283">
        <f>F340*VLOOKUP(A340,[1]오일단가!$A:$S,17,0)</f>
        <v>0</v>
      </c>
      <c r="O340" s="276"/>
      <c r="P340" s="482"/>
      <c r="Q340" s="5"/>
      <c r="R340" s="3">
        <f t="shared" si="112"/>
        <v>0</v>
      </c>
      <c r="S340" s="3">
        <f>J340*2870</f>
        <v>0</v>
      </c>
    </row>
    <row r="341" spans="1:19" s="1" customFormat="1">
      <c r="A341" s="356" t="s">
        <v>686</v>
      </c>
      <c r="B341" s="675"/>
      <c r="C341" s="237"/>
      <c r="D341" s="234"/>
      <c r="E341" s="234"/>
      <c r="F341" s="230"/>
      <c r="G341" s="345"/>
      <c r="H341" s="80"/>
      <c r="I341" s="114"/>
      <c r="J341" s="35">
        <f t="shared" si="110"/>
        <v>0</v>
      </c>
      <c r="K341" s="3">
        <f>C341*16000</f>
        <v>0</v>
      </c>
      <c r="L341" s="302"/>
      <c r="M341" s="299"/>
      <c r="N341" s="283">
        <f>F341*14000</f>
        <v>0</v>
      </c>
      <c r="O341" s="276"/>
      <c r="P341" s="482"/>
      <c r="Q341" s="5"/>
      <c r="R341" s="3">
        <f t="shared" si="112"/>
        <v>0</v>
      </c>
      <c r="S341" s="3">
        <f>J341*2380</f>
        <v>0</v>
      </c>
    </row>
    <row r="342" spans="1:19" s="1" customFormat="1">
      <c r="A342" s="354" t="s">
        <v>660</v>
      </c>
      <c r="B342" s="675"/>
      <c r="C342" s="233">
        <v>1</v>
      </c>
      <c r="D342" s="242"/>
      <c r="E342" s="234"/>
      <c r="F342" s="230"/>
      <c r="G342" s="345"/>
      <c r="H342" s="80"/>
      <c r="I342" s="114"/>
      <c r="J342" s="35">
        <f t="shared" si="110"/>
        <v>1</v>
      </c>
      <c r="K342" s="3">
        <f>C342*VLOOKUP(A342,[1]오일단가!$A:$S,16,0)</f>
        <v>14000</v>
      </c>
      <c r="L342" s="302"/>
      <c r="M342" s="299"/>
      <c r="N342" s="283">
        <f>F342*VLOOKUP(A342,[1]오일단가!$A:$S,17,0)</f>
        <v>0</v>
      </c>
      <c r="O342" s="276"/>
      <c r="P342" s="482"/>
      <c r="Q342" s="5"/>
      <c r="R342" s="3">
        <f t="shared" si="112"/>
        <v>14000</v>
      </c>
      <c r="S342" s="3">
        <f>J342*2440</f>
        <v>2440</v>
      </c>
    </row>
    <row r="343" spans="1:19" s="1" customFormat="1">
      <c r="A343" s="354" t="s">
        <v>532</v>
      </c>
      <c r="B343" s="675"/>
      <c r="C343" s="233"/>
      <c r="D343" s="234"/>
      <c r="E343" s="234"/>
      <c r="F343" s="230"/>
      <c r="G343" s="345"/>
      <c r="H343" s="80"/>
      <c r="I343" s="114"/>
      <c r="J343" s="35">
        <f t="shared" si="110"/>
        <v>0</v>
      </c>
      <c r="K343" s="3">
        <f>C343*VLOOKUP(A343,[1]오일단가!$A:$S,16,0)</f>
        <v>0</v>
      </c>
      <c r="L343" s="302"/>
      <c r="M343" s="299"/>
      <c r="N343" s="283">
        <f>F343*VLOOKUP(A343,[1]오일단가!$A:$S,17,0)</f>
        <v>0</v>
      </c>
      <c r="O343" s="276"/>
      <c r="P343" s="482"/>
      <c r="Q343" s="5"/>
      <c r="R343" s="3">
        <f t="shared" si="112"/>
        <v>0</v>
      </c>
      <c r="S343" s="3">
        <f>J343*2740</f>
        <v>0</v>
      </c>
    </row>
    <row r="344" spans="1:19" s="1" customFormat="1">
      <c r="A344" s="355" t="s">
        <v>661</v>
      </c>
      <c r="B344" s="675"/>
      <c r="C344" s="233"/>
      <c r="D344" s="242"/>
      <c r="E344" s="234"/>
      <c r="F344" s="230"/>
      <c r="G344" s="345"/>
      <c r="H344" s="80"/>
      <c r="I344" s="114"/>
      <c r="J344" s="35">
        <f t="shared" si="110"/>
        <v>0</v>
      </c>
      <c r="K344" s="3">
        <f>C344*20000</f>
        <v>0</v>
      </c>
      <c r="L344" s="302"/>
      <c r="M344" s="299"/>
      <c r="N344" s="283">
        <f>F344*18000</f>
        <v>0</v>
      </c>
      <c r="O344" s="276"/>
      <c r="P344" s="482"/>
      <c r="Q344" s="5"/>
      <c r="R344" s="3">
        <f t="shared" si="112"/>
        <v>0</v>
      </c>
      <c r="S344" s="3">
        <f>J344*4940</f>
        <v>0</v>
      </c>
    </row>
    <row r="345" spans="1:19" s="1" customFormat="1">
      <c r="A345" s="354" t="s">
        <v>680</v>
      </c>
      <c r="B345" s="675"/>
      <c r="C345" s="233"/>
      <c r="D345" s="242"/>
      <c r="E345" s="234"/>
      <c r="F345" s="230"/>
      <c r="G345" s="345"/>
      <c r="H345" s="80"/>
      <c r="I345" s="114"/>
      <c r="J345" s="35">
        <f t="shared" si="110"/>
        <v>0</v>
      </c>
      <c r="K345" s="3">
        <f>C345*VLOOKUP(A345,[1]오일단가!$A:$S,16,0)</f>
        <v>0</v>
      </c>
      <c r="L345" s="302"/>
      <c r="M345" s="299"/>
      <c r="N345" s="283">
        <f>F345*VLOOKUP(A345,[1]오일단가!$A:$S,17,0)</f>
        <v>0</v>
      </c>
      <c r="O345" s="276"/>
      <c r="P345" s="482"/>
      <c r="Q345" s="5"/>
      <c r="R345" s="3">
        <f t="shared" si="112"/>
        <v>0</v>
      </c>
      <c r="S345" s="3">
        <f>J345*2470</f>
        <v>0</v>
      </c>
    </row>
    <row r="346" spans="1:19" s="1" customFormat="1">
      <c r="A346" s="354" t="s">
        <v>662</v>
      </c>
      <c r="B346" s="675"/>
      <c r="C346" s="233"/>
      <c r="D346" s="234"/>
      <c r="E346" s="234"/>
      <c r="F346" s="230"/>
      <c r="G346" s="345"/>
      <c r="H346" s="80"/>
      <c r="I346" s="114"/>
      <c r="J346" s="35">
        <f t="shared" si="110"/>
        <v>0</v>
      </c>
      <c r="K346" s="3">
        <f>C346*VLOOKUP(A346,[1]오일단가!$A:$S,16,0)</f>
        <v>0</v>
      </c>
      <c r="L346" s="302"/>
      <c r="M346" s="299"/>
      <c r="N346" s="283">
        <f>F346*VLOOKUP(A346,[1]오일단가!$A:$S,17,0)</f>
        <v>0</v>
      </c>
      <c r="O346" s="276"/>
      <c r="P346" s="482"/>
      <c r="Q346" s="5"/>
      <c r="R346" s="3">
        <f t="shared" si="112"/>
        <v>0</v>
      </c>
      <c r="S346" s="3">
        <f>J346*28700</f>
        <v>0</v>
      </c>
    </row>
    <row r="347" spans="1:19" s="1" customFormat="1">
      <c r="A347" s="354" t="s">
        <v>687</v>
      </c>
      <c r="B347" s="675"/>
      <c r="C347" s="233"/>
      <c r="D347" s="234"/>
      <c r="E347" s="234"/>
      <c r="F347" s="230"/>
      <c r="G347" s="345"/>
      <c r="H347" s="80"/>
      <c r="I347" s="114"/>
      <c r="J347" s="35">
        <f t="shared" si="110"/>
        <v>0</v>
      </c>
      <c r="K347" s="3">
        <f>C347*23000</f>
        <v>0</v>
      </c>
      <c r="L347" s="302"/>
      <c r="M347" s="299"/>
      <c r="N347" s="283">
        <f>F347*21000</f>
        <v>0</v>
      </c>
      <c r="O347" s="276"/>
      <c r="P347" s="482"/>
      <c r="Q347" s="5"/>
      <c r="R347" s="3">
        <f t="shared" si="112"/>
        <v>0</v>
      </c>
      <c r="S347" s="3">
        <f>J347*3170</f>
        <v>0</v>
      </c>
    </row>
    <row r="348" spans="1:19" s="1" customFormat="1">
      <c r="A348" s="354" t="s">
        <v>663</v>
      </c>
      <c r="B348" s="675"/>
      <c r="C348" s="233"/>
      <c r="D348" s="234"/>
      <c r="E348" s="234"/>
      <c r="F348" s="230"/>
      <c r="G348" s="345"/>
      <c r="H348" s="80"/>
      <c r="I348" s="114"/>
      <c r="J348" s="35">
        <f t="shared" si="110"/>
        <v>0</v>
      </c>
      <c r="K348" s="3">
        <f>C348*VLOOKUP(A348,[1]오일단가!$A:$S,16,0)</f>
        <v>0</v>
      </c>
      <c r="L348" s="302"/>
      <c r="M348" s="299"/>
      <c r="N348" s="283">
        <f>F348*VLOOKUP(A348,[1]오일단가!$A:$S,17,0)</f>
        <v>0</v>
      </c>
      <c r="O348" s="276"/>
      <c r="P348" s="482"/>
      <c r="Q348" s="5"/>
      <c r="R348" s="3">
        <f t="shared" si="112"/>
        <v>0</v>
      </c>
      <c r="S348" s="3">
        <f>J348*2300</f>
        <v>0</v>
      </c>
    </row>
    <row r="349" spans="1:19" s="1" customFormat="1">
      <c r="A349" s="354" t="s">
        <v>664</v>
      </c>
      <c r="B349" s="675"/>
      <c r="C349" s="233"/>
      <c r="D349" s="234"/>
      <c r="E349" s="234"/>
      <c r="F349" s="230"/>
      <c r="G349" s="345"/>
      <c r="H349" s="80"/>
      <c r="I349" s="114"/>
      <c r="J349" s="35">
        <f t="shared" si="110"/>
        <v>0</v>
      </c>
      <c r="K349" s="3">
        <f>C349*VLOOKUP(A349,[1]오일단가!$A:$S,16,0)</f>
        <v>0</v>
      </c>
      <c r="L349" s="302"/>
      <c r="M349" s="299"/>
      <c r="N349" s="283">
        <f>F349*VLOOKUP(A349,[1]오일단가!$A:$S,17,0)</f>
        <v>0</v>
      </c>
      <c r="O349" s="276"/>
      <c r="P349" s="482"/>
      <c r="Q349" s="5"/>
      <c r="R349" s="3">
        <f t="shared" si="112"/>
        <v>0</v>
      </c>
      <c r="S349" s="3">
        <f>J349*1670</f>
        <v>0</v>
      </c>
    </row>
    <row r="350" spans="1:19" s="1" customFormat="1">
      <c r="A350" s="356" t="s">
        <v>491</v>
      </c>
      <c r="B350" s="675"/>
      <c r="C350" s="218"/>
      <c r="D350" s="234"/>
      <c r="E350" s="234"/>
      <c r="F350" s="191"/>
      <c r="G350" s="195"/>
      <c r="H350" s="80"/>
      <c r="I350" s="114"/>
      <c r="J350" s="35">
        <f t="shared" si="110"/>
        <v>0</v>
      </c>
      <c r="K350" s="3">
        <f>C350*VLOOKUP(A350,[1]오일단가!$A:$S,16,0)</f>
        <v>0</v>
      </c>
      <c r="L350" s="302"/>
      <c r="M350" s="299"/>
      <c r="N350" s="283">
        <f>F350*VLOOKUP(A350,[1]오일단가!$A:$S,17,0)</f>
        <v>0</v>
      </c>
      <c r="O350" s="276"/>
      <c r="P350" s="482"/>
      <c r="Q350" s="5"/>
      <c r="R350" s="3">
        <f t="shared" si="112"/>
        <v>0</v>
      </c>
      <c r="S350" s="3">
        <f>J350*5710</f>
        <v>0</v>
      </c>
    </row>
    <row r="351" spans="1:19" s="1" customFormat="1">
      <c r="A351" s="356" t="s">
        <v>542</v>
      </c>
      <c r="B351" s="675"/>
      <c r="C351" s="218"/>
      <c r="D351" s="234"/>
      <c r="E351" s="234"/>
      <c r="F351" s="191"/>
      <c r="G351" s="195"/>
      <c r="H351" s="80"/>
      <c r="I351" s="114"/>
      <c r="J351" s="35">
        <f t="shared" si="110"/>
        <v>0</v>
      </c>
      <c r="K351" s="3">
        <f>C351*VLOOKUP(A351,[1]오일단가!$A:$S,16,0)</f>
        <v>0</v>
      </c>
      <c r="L351" s="302"/>
      <c r="M351" s="299"/>
      <c r="N351" s="283">
        <f>F351*VLOOKUP(A351,[1]오일단가!$A:$S,17,0)</f>
        <v>0</v>
      </c>
      <c r="O351" s="276"/>
      <c r="P351" s="482"/>
      <c r="Q351" s="5"/>
      <c r="R351" s="3">
        <f t="shared" si="111"/>
        <v>0</v>
      </c>
      <c r="S351" s="3">
        <f>J351*4170</f>
        <v>0</v>
      </c>
    </row>
    <row r="352" spans="1:19" s="1" customFormat="1">
      <c r="A352" s="356" t="s">
        <v>533</v>
      </c>
      <c r="B352" s="675"/>
      <c r="C352" s="218"/>
      <c r="D352" s="234"/>
      <c r="E352" s="234"/>
      <c r="F352" s="191"/>
      <c r="G352" s="195"/>
      <c r="H352" s="80"/>
      <c r="I352" s="114"/>
      <c r="J352" s="35">
        <f t="shared" si="110"/>
        <v>0</v>
      </c>
      <c r="K352" s="3">
        <f>C352*VLOOKUP(A352,[1]오일단가!$A:$S,16,0)</f>
        <v>0</v>
      </c>
      <c r="L352" s="302"/>
      <c r="M352" s="299"/>
      <c r="N352" s="283">
        <f>F352*VLOOKUP(A352,[1]오일단가!$A:$S,17,0)</f>
        <v>0</v>
      </c>
      <c r="O352" s="276"/>
      <c r="P352" s="482"/>
      <c r="Q352" s="5"/>
      <c r="R352" s="3">
        <f t="shared" si="111"/>
        <v>0</v>
      </c>
      <c r="S352" s="3">
        <f>J352*8570</f>
        <v>0</v>
      </c>
    </row>
    <row r="353" spans="1:19" s="1" customFormat="1">
      <c r="A353" s="356" t="s">
        <v>682</v>
      </c>
      <c r="B353" s="675"/>
      <c r="C353" s="218"/>
      <c r="D353" s="234"/>
      <c r="E353" s="234"/>
      <c r="F353" s="191"/>
      <c r="G353" s="195"/>
      <c r="H353" s="80"/>
      <c r="I353" s="114"/>
      <c r="J353" s="35">
        <f t="shared" si="110"/>
        <v>0</v>
      </c>
      <c r="K353" s="3">
        <f>C353*VLOOKUP(A353,[1]오일단가!$A:$S,16,0)</f>
        <v>0</v>
      </c>
      <c r="L353" s="302"/>
      <c r="M353" s="299"/>
      <c r="N353" s="283">
        <f>F353*VLOOKUP(A353,[1]오일단가!$A:$S,17,0)</f>
        <v>0</v>
      </c>
      <c r="O353" s="276"/>
      <c r="P353" s="482"/>
      <c r="Q353" s="5"/>
      <c r="R353" s="3">
        <f t="shared" si="111"/>
        <v>0</v>
      </c>
      <c r="S353" s="3">
        <f>J353*2260</f>
        <v>0</v>
      </c>
    </row>
    <row r="354" spans="1:19" s="1" customFormat="1">
      <c r="A354" s="354" t="s">
        <v>665</v>
      </c>
      <c r="B354" s="675"/>
      <c r="C354" s="233"/>
      <c r="D354" s="242"/>
      <c r="E354" s="234"/>
      <c r="F354" s="230"/>
      <c r="G354" s="345"/>
      <c r="H354" s="80"/>
      <c r="I354" s="114"/>
      <c r="J354" s="35">
        <f t="shared" si="110"/>
        <v>0</v>
      </c>
      <c r="K354" s="3">
        <f>C354*VLOOKUP(A354,[1]오일단가!$A:$S,16,0)</f>
        <v>0</v>
      </c>
      <c r="L354" s="302"/>
      <c r="M354" s="299"/>
      <c r="N354" s="283">
        <f>F354*VLOOKUP(A354,[1]오일단가!$A:$S,17,0)</f>
        <v>0</v>
      </c>
      <c r="O354" s="276"/>
      <c r="P354" s="482"/>
      <c r="Q354" s="5"/>
      <c r="R354" s="3">
        <f t="shared" si="111"/>
        <v>0</v>
      </c>
      <c r="S354" s="3">
        <f>J354*16916</f>
        <v>0</v>
      </c>
    </row>
    <row r="355" spans="1:19" s="1" customFormat="1">
      <c r="A355" s="356" t="s">
        <v>666</v>
      </c>
      <c r="B355" s="675"/>
      <c r="C355" s="218"/>
      <c r="D355" s="234"/>
      <c r="E355" s="234"/>
      <c r="F355" s="191"/>
      <c r="G355" s="195"/>
      <c r="H355" s="80"/>
      <c r="I355" s="114"/>
      <c r="J355" s="35">
        <f t="shared" si="110"/>
        <v>0</v>
      </c>
      <c r="K355" s="3">
        <f>C355*VLOOKUP(A355,[1]오일단가!$A:$S,16,0)</f>
        <v>0</v>
      </c>
      <c r="L355" s="302"/>
      <c r="M355" s="299"/>
      <c r="N355" s="283">
        <f>F355*VLOOKUP(A355,[1]오일단가!$A:$S,17,0)</f>
        <v>0</v>
      </c>
      <c r="O355" s="276"/>
      <c r="P355" s="482"/>
      <c r="Q355" s="5"/>
      <c r="R355" s="3">
        <f t="shared" si="111"/>
        <v>0</v>
      </c>
      <c r="S355" s="3">
        <f>J355*2470</f>
        <v>0</v>
      </c>
    </row>
    <row r="356" spans="1:19" s="1" customFormat="1">
      <c r="A356" s="356" t="s">
        <v>534</v>
      </c>
      <c r="B356" s="675"/>
      <c r="C356" s="218"/>
      <c r="D356" s="234"/>
      <c r="E356" s="234"/>
      <c r="F356" s="191"/>
      <c r="G356" s="195"/>
      <c r="H356" s="80"/>
      <c r="I356" s="114"/>
      <c r="J356" s="35">
        <f t="shared" si="110"/>
        <v>0</v>
      </c>
      <c r="K356" s="3">
        <f>C356*VLOOKUP(A356,[1]오일단가!$A:$S,16,0)</f>
        <v>0</v>
      </c>
      <c r="L356" s="302"/>
      <c r="M356" s="299"/>
      <c r="N356" s="283">
        <f>F356*VLOOKUP(A356,[1]오일단가!$A:$S,17,0)</f>
        <v>0</v>
      </c>
      <c r="O356" s="276"/>
      <c r="P356" s="482"/>
      <c r="Q356" s="5"/>
      <c r="R356" s="3">
        <f t="shared" si="111"/>
        <v>0</v>
      </c>
      <c r="S356" s="3">
        <f>J356*2160</f>
        <v>0</v>
      </c>
    </row>
    <row r="357" spans="1:19" s="1" customFormat="1">
      <c r="A357" s="356" t="s">
        <v>688</v>
      </c>
      <c r="B357" s="675"/>
      <c r="C357" s="218"/>
      <c r="D357" s="234"/>
      <c r="E357" s="234"/>
      <c r="F357" s="191"/>
      <c r="G357" s="195"/>
      <c r="H357" s="80"/>
      <c r="I357" s="114"/>
      <c r="J357" s="35">
        <f t="shared" si="110"/>
        <v>0</v>
      </c>
      <c r="K357" s="3">
        <f>C357*23000</f>
        <v>0</v>
      </c>
      <c r="L357" s="302"/>
      <c r="M357" s="299"/>
      <c r="N357" s="283">
        <f>F357*21000</f>
        <v>0</v>
      </c>
      <c r="O357" s="276"/>
      <c r="P357" s="482"/>
      <c r="Q357" s="5"/>
      <c r="R357" s="3">
        <f t="shared" si="111"/>
        <v>0</v>
      </c>
      <c r="S357" s="3">
        <f>J357*2540</f>
        <v>0</v>
      </c>
    </row>
    <row r="358" spans="1:19" s="1" customFormat="1">
      <c r="A358" s="354" t="s">
        <v>667</v>
      </c>
      <c r="B358" s="675"/>
      <c r="C358" s="233">
        <v>1</v>
      </c>
      <c r="D358" s="234"/>
      <c r="E358" s="234"/>
      <c r="F358" s="230"/>
      <c r="G358" s="345"/>
      <c r="H358" s="80"/>
      <c r="I358" s="114"/>
      <c r="J358" s="35">
        <f t="shared" si="110"/>
        <v>1</v>
      </c>
      <c r="K358" s="3">
        <f>C358*VLOOKUP(A358,[1]오일단가!$A:$S,16,0)</f>
        <v>17000</v>
      </c>
      <c r="L358" s="302"/>
      <c r="M358" s="299"/>
      <c r="N358" s="283">
        <f>F358*VLOOKUP(A358,[1]오일단가!$A:$S,17,0)</f>
        <v>0</v>
      </c>
      <c r="O358" s="276"/>
      <c r="P358" s="482"/>
      <c r="Q358" s="5"/>
      <c r="R358" s="3">
        <f t="shared" si="111"/>
        <v>17000</v>
      </c>
      <c r="S358" s="3">
        <f>J358*1690</f>
        <v>1690</v>
      </c>
    </row>
    <row r="359" spans="1:19" s="1" customFormat="1">
      <c r="A359" s="356" t="s">
        <v>668</v>
      </c>
      <c r="B359" s="675"/>
      <c r="C359" s="218"/>
      <c r="D359" s="234"/>
      <c r="E359" s="234"/>
      <c r="F359" s="191"/>
      <c r="G359" s="195"/>
      <c r="H359" s="80"/>
      <c r="I359" s="114"/>
      <c r="J359" s="35">
        <f t="shared" si="110"/>
        <v>0</v>
      </c>
      <c r="K359" s="3">
        <f>C359*VLOOKUP(A359,[1]오일단가!$A:$S,16,0)</f>
        <v>0</v>
      </c>
      <c r="L359" s="302"/>
      <c r="M359" s="299"/>
      <c r="N359" s="283">
        <f>F359*VLOOKUP(A359,[1]오일단가!$A:$S,17,0)</f>
        <v>0</v>
      </c>
      <c r="O359" s="276"/>
      <c r="P359" s="482"/>
      <c r="Q359" s="5"/>
      <c r="R359" s="3">
        <f t="shared" si="111"/>
        <v>0</v>
      </c>
      <c r="S359" s="3">
        <f>J359*10990</f>
        <v>0</v>
      </c>
    </row>
    <row r="360" spans="1:19" s="1" customFormat="1">
      <c r="A360" s="356" t="s">
        <v>681</v>
      </c>
      <c r="B360" s="675"/>
      <c r="C360" s="218"/>
      <c r="D360" s="234"/>
      <c r="E360" s="234"/>
      <c r="F360" s="191"/>
      <c r="G360" s="195"/>
      <c r="H360" s="80"/>
      <c r="I360" s="114"/>
      <c r="J360" s="35">
        <f t="shared" si="110"/>
        <v>0</v>
      </c>
      <c r="K360" s="3">
        <f>C360*VLOOKUP(A360,[1]오일단가!$A:$S,16,0)</f>
        <v>0</v>
      </c>
      <c r="L360" s="302"/>
      <c r="M360" s="299"/>
      <c r="N360" s="283">
        <f>F360*VLOOKUP(A360,[1]오일단가!$A:$S,17,0)</f>
        <v>0</v>
      </c>
      <c r="O360" s="276"/>
      <c r="P360" s="482"/>
      <c r="Q360" s="5"/>
      <c r="R360" s="3">
        <f t="shared" si="111"/>
        <v>0</v>
      </c>
      <c r="S360" s="3">
        <f>J360*2180</f>
        <v>0</v>
      </c>
    </row>
    <row r="361" spans="1:19" s="1" customFormat="1">
      <c r="A361" s="356" t="s">
        <v>669</v>
      </c>
      <c r="B361" s="675"/>
      <c r="C361" s="218"/>
      <c r="D361" s="234"/>
      <c r="E361" s="234"/>
      <c r="F361" s="191"/>
      <c r="G361" s="195"/>
      <c r="H361" s="80"/>
      <c r="I361" s="114"/>
      <c r="J361" s="35">
        <f t="shared" si="110"/>
        <v>0</v>
      </c>
      <c r="K361" s="3">
        <f>C361*VLOOKUP(A361,[1]오일단가!$A:$S,16,0)</f>
        <v>0</v>
      </c>
      <c r="L361" s="302"/>
      <c r="M361" s="299"/>
      <c r="N361" s="283">
        <f>F361*VLOOKUP(A361,[1]오일단가!$A:$S,17,0)</f>
        <v>0</v>
      </c>
      <c r="O361" s="276"/>
      <c r="P361" s="482"/>
      <c r="Q361" s="5"/>
      <c r="R361" s="3">
        <f t="shared" si="111"/>
        <v>0</v>
      </c>
      <c r="S361" s="3">
        <f>J361*7800</f>
        <v>0</v>
      </c>
    </row>
    <row r="362" spans="1:19" s="1" customFormat="1">
      <c r="A362" s="354" t="s">
        <v>670</v>
      </c>
      <c r="B362" s="675"/>
      <c r="C362" s="233"/>
      <c r="D362" s="234"/>
      <c r="E362" s="234"/>
      <c r="F362" s="230"/>
      <c r="G362" s="345"/>
      <c r="H362" s="80"/>
      <c r="I362" s="114"/>
      <c r="J362" s="35">
        <f t="shared" si="110"/>
        <v>0</v>
      </c>
      <c r="K362" s="3">
        <f>C362*VLOOKUP(A362,[1]오일단가!$A:$S,16,0)</f>
        <v>0</v>
      </c>
      <c r="L362" s="302"/>
      <c r="M362" s="299"/>
      <c r="N362" s="283">
        <f>F362*VLOOKUP(A362,[1]오일단가!$A:$S,17,0)</f>
        <v>0</v>
      </c>
      <c r="O362" s="276"/>
      <c r="P362" s="482"/>
      <c r="Q362" s="5"/>
      <c r="R362" s="3">
        <f t="shared" si="111"/>
        <v>0</v>
      </c>
      <c r="S362" s="3">
        <f>J362*4225</f>
        <v>0</v>
      </c>
    </row>
    <row r="363" spans="1:19" s="1" customFormat="1">
      <c r="A363" s="356" t="s">
        <v>671</v>
      </c>
      <c r="B363" s="675"/>
      <c r="C363" s="218"/>
      <c r="D363" s="234"/>
      <c r="E363" s="234"/>
      <c r="F363" s="191"/>
      <c r="G363" s="195"/>
      <c r="H363" s="80"/>
      <c r="I363" s="114"/>
      <c r="J363" s="35">
        <f t="shared" si="110"/>
        <v>0</v>
      </c>
      <c r="K363" s="3">
        <f>C363*VLOOKUP(A363,[1]오일단가!$A:$S,16,0)</f>
        <v>0</v>
      </c>
      <c r="L363" s="302"/>
      <c r="M363" s="299"/>
      <c r="N363" s="283">
        <f>F363*VLOOKUP(A363,[1]오일단가!$A:$S,17,0)</f>
        <v>0</v>
      </c>
      <c r="O363" s="276"/>
      <c r="P363" s="482"/>
      <c r="Q363" s="5"/>
      <c r="R363" s="3">
        <f t="shared" si="111"/>
        <v>0</v>
      </c>
      <c r="S363" s="3">
        <f>J363*2652</f>
        <v>0</v>
      </c>
    </row>
    <row r="364" spans="1:19" s="1" customFormat="1">
      <c r="A364" s="356" t="s">
        <v>535</v>
      </c>
      <c r="B364" s="675"/>
      <c r="C364" s="218"/>
      <c r="D364" s="234"/>
      <c r="E364" s="234"/>
      <c r="F364" s="191"/>
      <c r="G364" s="195"/>
      <c r="H364" s="80"/>
      <c r="I364" s="114"/>
      <c r="J364" s="35">
        <f t="shared" si="110"/>
        <v>0</v>
      </c>
      <c r="K364" s="3">
        <f>C364*VLOOKUP(A364,[1]오일단가!$A:$S,16,0)</f>
        <v>0</v>
      </c>
      <c r="L364" s="302"/>
      <c r="M364" s="299"/>
      <c r="N364" s="283">
        <f>F364*VLOOKUP(A364,[1]오일단가!$A:$S,17,0)</f>
        <v>0</v>
      </c>
      <c r="O364" s="276"/>
      <c r="P364" s="482"/>
      <c r="Q364" s="5"/>
      <c r="R364" s="3">
        <f t="shared" si="111"/>
        <v>0</v>
      </c>
      <c r="S364" s="3">
        <f>J364*2410</f>
        <v>0</v>
      </c>
    </row>
    <row r="365" spans="1:19" s="1" customFormat="1">
      <c r="A365" s="356" t="s">
        <v>614</v>
      </c>
      <c r="B365" s="675"/>
      <c r="C365" s="218"/>
      <c r="D365" s="234"/>
      <c r="E365" s="234"/>
      <c r="F365" s="191"/>
      <c r="G365" s="195"/>
      <c r="H365" s="80"/>
      <c r="I365" s="114"/>
      <c r="J365" s="35">
        <f t="shared" si="110"/>
        <v>0</v>
      </c>
      <c r="K365" s="3">
        <f>C365*VLOOKUP(A365,[1]오일단가!$A:$S,16,0)</f>
        <v>0</v>
      </c>
      <c r="L365" s="302"/>
      <c r="M365" s="299"/>
      <c r="N365" s="283">
        <f>F365*VLOOKUP(A365,[1]오일단가!$A:$S,17,0)</f>
        <v>0</v>
      </c>
      <c r="O365" s="276"/>
      <c r="P365" s="482"/>
      <c r="Q365" s="5"/>
      <c r="R365" s="3">
        <f t="shared" si="111"/>
        <v>0</v>
      </c>
      <c r="S365" s="3">
        <f>J365*1820</f>
        <v>0</v>
      </c>
    </row>
    <row r="366" spans="1:19" s="1" customFormat="1">
      <c r="A366" s="354" t="s">
        <v>484</v>
      </c>
      <c r="B366" s="675"/>
      <c r="C366" s="233"/>
      <c r="D366" s="234"/>
      <c r="E366" s="234"/>
      <c r="F366" s="230"/>
      <c r="G366" s="345"/>
      <c r="H366" s="80"/>
      <c r="I366" s="114"/>
      <c r="J366" s="35">
        <f t="shared" si="110"/>
        <v>0</v>
      </c>
      <c r="K366" s="3">
        <f>C366*VLOOKUP(A366,[1]오일단가!$A:$S,16,0)</f>
        <v>0</v>
      </c>
      <c r="L366" s="302"/>
      <c r="M366" s="299"/>
      <c r="N366" s="283">
        <f>F366*VLOOKUP(A366,[1]오일단가!$A:$S,17,0)</f>
        <v>0</v>
      </c>
      <c r="O366" s="276"/>
      <c r="P366" s="482"/>
      <c r="Q366" s="5"/>
      <c r="R366" s="3">
        <f t="shared" si="111"/>
        <v>0</v>
      </c>
      <c r="S366" s="3">
        <f>J366*4170</f>
        <v>0</v>
      </c>
    </row>
    <row r="367" spans="1:19" s="1" customFormat="1">
      <c r="A367" s="354" t="s">
        <v>698</v>
      </c>
      <c r="B367" s="675"/>
      <c r="C367" s="233">
        <v>1</v>
      </c>
      <c r="D367" s="234"/>
      <c r="E367" s="234"/>
      <c r="F367" s="230"/>
      <c r="G367" s="345"/>
      <c r="H367" s="80"/>
      <c r="I367" s="114"/>
      <c r="J367" s="35">
        <f t="shared" si="110"/>
        <v>1</v>
      </c>
      <c r="K367" s="3">
        <f>C367*125000</f>
        <v>125000</v>
      </c>
      <c r="L367" s="302"/>
      <c r="M367" s="299"/>
      <c r="N367" s="283">
        <f>F367*113000</f>
        <v>0</v>
      </c>
      <c r="O367" s="276"/>
      <c r="P367" s="482"/>
      <c r="Q367" s="5"/>
      <c r="R367" s="3">
        <f t="shared" si="111"/>
        <v>125000</v>
      </c>
      <c r="S367" s="3">
        <f>J367*9020</f>
        <v>9020</v>
      </c>
    </row>
    <row r="368" spans="1:19" s="1" customFormat="1">
      <c r="A368" s="354" t="s">
        <v>689</v>
      </c>
      <c r="B368" s="675"/>
      <c r="C368" s="233">
        <v>1</v>
      </c>
      <c r="D368" s="234"/>
      <c r="E368" s="234"/>
      <c r="F368" s="230"/>
      <c r="G368" s="345"/>
      <c r="H368" s="80"/>
      <c r="I368" s="114"/>
      <c r="J368" s="35">
        <f t="shared" si="110"/>
        <v>1</v>
      </c>
      <c r="K368" s="3">
        <f>C368*110000</f>
        <v>110000</v>
      </c>
      <c r="L368" s="302"/>
      <c r="M368" s="299"/>
      <c r="N368" s="283">
        <f>F368*99000</f>
        <v>0</v>
      </c>
      <c r="O368" s="276"/>
      <c r="P368" s="482"/>
      <c r="Q368" s="5"/>
      <c r="R368" s="3">
        <f t="shared" si="111"/>
        <v>110000</v>
      </c>
      <c r="S368" s="3">
        <f>J368*5930</f>
        <v>5930</v>
      </c>
    </row>
    <row r="369" spans="1:19" s="1" customFormat="1">
      <c r="A369" s="356" t="s">
        <v>536</v>
      </c>
      <c r="B369" s="675"/>
      <c r="C369" s="218"/>
      <c r="D369" s="234"/>
      <c r="E369" s="234"/>
      <c r="F369" s="191"/>
      <c r="G369" s="195"/>
      <c r="H369" s="80"/>
      <c r="I369" s="114"/>
      <c r="J369" s="35">
        <f t="shared" si="110"/>
        <v>0</v>
      </c>
      <c r="K369" s="3">
        <f>C369*VLOOKUP(A369,[1]오일단가!$A:$S,16,0)</f>
        <v>0</v>
      </c>
      <c r="L369" s="302"/>
      <c r="M369" s="299"/>
      <c r="N369" s="283">
        <f>F369*VLOOKUP(A369,[1]오일단가!$A:$S,17,0)</f>
        <v>0</v>
      </c>
      <c r="O369" s="276"/>
      <c r="P369" s="482"/>
      <c r="Q369" s="5"/>
      <c r="R369" s="3">
        <f t="shared" si="111"/>
        <v>0</v>
      </c>
      <c r="S369" s="3">
        <f>J369*17940</f>
        <v>0</v>
      </c>
    </row>
    <row r="370" spans="1:19" s="1" customFormat="1">
      <c r="A370" s="356" t="s">
        <v>683</v>
      </c>
      <c r="B370" s="675"/>
      <c r="C370" s="218"/>
      <c r="D370" s="234"/>
      <c r="E370" s="234"/>
      <c r="F370" s="191"/>
      <c r="G370" s="195"/>
      <c r="H370" s="80"/>
      <c r="I370" s="114"/>
      <c r="J370" s="35">
        <f t="shared" si="110"/>
        <v>0</v>
      </c>
      <c r="K370" s="3">
        <f>C370*VLOOKUP(A370,[1]오일단가!$A:$S,16,0)</f>
        <v>0</v>
      </c>
      <c r="L370" s="302"/>
      <c r="M370" s="299"/>
      <c r="N370" s="283">
        <f>F370*VLOOKUP(A370,[1]오일단가!$A:$S,17,0)</f>
        <v>0</v>
      </c>
      <c r="O370" s="276"/>
      <c r="P370" s="482"/>
      <c r="Q370" s="5"/>
      <c r="R370" s="3">
        <f t="shared" si="111"/>
        <v>0</v>
      </c>
      <c r="S370" s="3">
        <f>J370*2110</f>
        <v>0</v>
      </c>
    </row>
    <row r="371" spans="1:19" s="1" customFormat="1">
      <c r="A371" s="354" t="s">
        <v>487</v>
      </c>
      <c r="B371" s="675"/>
      <c r="C371" s="233"/>
      <c r="D371" s="234"/>
      <c r="E371" s="234"/>
      <c r="F371" s="230"/>
      <c r="G371" s="345"/>
      <c r="H371" s="80"/>
      <c r="I371" s="114"/>
      <c r="J371" s="35">
        <f t="shared" si="110"/>
        <v>0</v>
      </c>
      <c r="K371" s="3">
        <f>C371*VLOOKUP(A371,[1]오일단가!$A:$S,16,0)</f>
        <v>0</v>
      </c>
      <c r="L371" s="302"/>
      <c r="M371" s="299"/>
      <c r="N371" s="283">
        <f>F371*VLOOKUP(A371,[1]오일단가!$A:$S,17,0)</f>
        <v>0</v>
      </c>
      <c r="O371" s="276"/>
      <c r="P371" s="482"/>
      <c r="Q371" s="5"/>
      <c r="R371" s="3">
        <f t="shared" si="111"/>
        <v>0</v>
      </c>
      <c r="S371" s="3">
        <f>J371*1728</f>
        <v>0</v>
      </c>
    </row>
    <row r="372" spans="1:19" s="1" customFormat="1">
      <c r="A372" s="354" t="s">
        <v>690</v>
      </c>
      <c r="B372" s="675"/>
      <c r="C372" s="233"/>
      <c r="D372" s="234"/>
      <c r="E372" s="234"/>
      <c r="F372" s="230"/>
      <c r="G372" s="345"/>
      <c r="H372" s="80"/>
      <c r="I372" s="114"/>
      <c r="J372" s="35">
        <f t="shared" si="110"/>
        <v>0</v>
      </c>
      <c r="K372" s="3">
        <f>C372*17000</f>
        <v>0</v>
      </c>
      <c r="L372" s="302"/>
      <c r="M372" s="299"/>
      <c r="N372" s="283">
        <f>F372*15000</f>
        <v>0</v>
      </c>
      <c r="O372" s="276"/>
      <c r="P372" s="482"/>
      <c r="Q372" s="5"/>
      <c r="R372" s="3">
        <f t="shared" si="111"/>
        <v>0</v>
      </c>
      <c r="S372" s="3">
        <f>J372*2620</f>
        <v>0</v>
      </c>
    </row>
    <row r="373" spans="1:19" s="1" customFormat="1">
      <c r="A373" s="354" t="s">
        <v>488</v>
      </c>
      <c r="B373" s="675"/>
      <c r="C373" s="233"/>
      <c r="D373" s="234"/>
      <c r="E373" s="234"/>
      <c r="F373" s="230"/>
      <c r="G373" s="345"/>
      <c r="H373" s="80"/>
      <c r="I373" s="114"/>
      <c r="J373" s="35">
        <f t="shared" si="110"/>
        <v>0</v>
      </c>
      <c r="K373" s="3">
        <f>C373*VLOOKUP(A373,[1]오일단가!$A:$S,16,0)</f>
        <v>0</v>
      </c>
      <c r="L373" s="302"/>
      <c r="M373" s="299"/>
      <c r="N373" s="283">
        <f>F373*VLOOKUP(A373,[1]오일단가!$A:$S,17,0)</f>
        <v>0</v>
      </c>
      <c r="O373" s="276"/>
      <c r="P373" s="482"/>
      <c r="Q373" s="5"/>
      <c r="R373" s="3">
        <f t="shared" si="111"/>
        <v>0</v>
      </c>
      <c r="S373" s="3">
        <f>J373*1996</f>
        <v>0</v>
      </c>
    </row>
    <row r="374" spans="1:19" s="1" customFormat="1">
      <c r="A374" s="354" t="s">
        <v>613</v>
      </c>
      <c r="B374" s="675"/>
      <c r="C374" s="233"/>
      <c r="D374" s="234"/>
      <c r="E374" s="234"/>
      <c r="F374" s="230"/>
      <c r="G374" s="345"/>
      <c r="H374" s="80"/>
      <c r="I374" s="114"/>
      <c r="J374" s="35">
        <f t="shared" si="110"/>
        <v>0</v>
      </c>
      <c r="K374" s="3">
        <f>C374*VLOOKUP(A374,[1]오일단가!$A:$S,16,0)</f>
        <v>0</v>
      </c>
      <c r="L374" s="302"/>
      <c r="M374" s="299"/>
      <c r="N374" s="283">
        <f>F374*VLOOKUP(A374,[1]오일단가!$A:$S,17,0)</f>
        <v>0</v>
      </c>
      <c r="O374" s="276"/>
      <c r="P374" s="482"/>
      <c r="Q374" s="5"/>
      <c r="R374" s="3">
        <f t="shared" si="111"/>
        <v>0</v>
      </c>
      <c r="S374" s="3">
        <f>J374*2080</f>
        <v>0</v>
      </c>
    </row>
    <row r="375" spans="1:19" s="1" customFormat="1">
      <c r="A375" s="356" t="s">
        <v>489</v>
      </c>
      <c r="B375" s="675"/>
      <c r="C375" s="218"/>
      <c r="D375" s="33"/>
      <c r="E375" s="33"/>
      <c r="F375" s="191"/>
      <c r="G375" s="195"/>
      <c r="H375" s="80"/>
      <c r="I375" s="114"/>
      <c r="J375" s="35">
        <f t="shared" si="110"/>
        <v>0</v>
      </c>
      <c r="K375" s="3">
        <f>C375*VLOOKUP(A375,[1]오일단가!$A:$S,16,0)</f>
        <v>0</v>
      </c>
      <c r="L375" s="302"/>
      <c r="M375" s="299"/>
      <c r="N375" s="283">
        <f>F375*VLOOKUP(A375,[1]오일단가!$A:$S,17,0)</f>
        <v>0</v>
      </c>
      <c r="O375" s="276"/>
      <c r="P375" s="482"/>
      <c r="Q375" s="5"/>
      <c r="R375" s="3">
        <f t="shared" si="111"/>
        <v>0</v>
      </c>
      <c r="S375" s="3">
        <f>J375*5556</f>
        <v>0</v>
      </c>
    </row>
    <row r="376" spans="1:19" s="1" customFormat="1">
      <c r="A376" s="356" t="s">
        <v>672</v>
      </c>
      <c r="B376" s="675"/>
      <c r="C376" s="218"/>
      <c r="D376" s="234"/>
      <c r="E376" s="234"/>
      <c r="F376" s="191"/>
      <c r="G376" s="195"/>
      <c r="H376" s="80"/>
      <c r="I376" s="114"/>
      <c r="J376" s="35">
        <f t="shared" si="110"/>
        <v>0</v>
      </c>
      <c r="K376" s="3">
        <f>C376*VLOOKUP(A376,[1]오일단가!$A:$S,16,0)</f>
        <v>0</v>
      </c>
      <c r="L376" s="302"/>
      <c r="M376" s="299"/>
      <c r="N376" s="283">
        <f>F376*VLOOKUP(A376,[1]오일단가!$A:$S,17,0)</f>
        <v>0</v>
      </c>
      <c r="O376" s="276"/>
      <c r="P376" s="482"/>
      <c r="Q376" s="5"/>
      <c r="R376" s="3">
        <f t="shared" si="111"/>
        <v>0</v>
      </c>
      <c r="S376" s="3">
        <f>J376*5480</f>
        <v>0</v>
      </c>
    </row>
    <row r="377" spans="1:19" s="1" customFormat="1">
      <c r="A377" s="354" t="s">
        <v>673</v>
      </c>
      <c r="B377" s="675"/>
      <c r="C377" s="233"/>
      <c r="D377" s="234"/>
      <c r="E377" s="234"/>
      <c r="F377" s="230"/>
      <c r="G377" s="345"/>
      <c r="H377" s="80"/>
      <c r="I377" s="114"/>
      <c r="J377" s="35">
        <f t="shared" ref="J377:J488" si="113">SUM(B377:I377)</f>
        <v>0</v>
      </c>
      <c r="K377" s="3">
        <f>C377*VLOOKUP(A377,[1]오일단가!$A:$S,16,0)</f>
        <v>0</v>
      </c>
      <c r="L377" s="302"/>
      <c r="M377" s="299"/>
      <c r="N377" s="283">
        <f>F377*VLOOKUP(A377,[1]오일단가!$A:$S,17,0)</f>
        <v>0</v>
      </c>
      <c r="O377" s="276"/>
      <c r="P377" s="482"/>
      <c r="Q377" s="5"/>
      <c r="R377" s="3">
        <f t="shared" si="111"/>
        <v>0</v>
      </c>
      <c r="S377" s="3">
        <f>J377*6700</f>
        <v>0</v>
      </c>
    </row>
    <row r="378" spans="1:19" s="1" customFormat="1">
      <c r="A378" s="356" t="s">
        <v>537</v>
      </c>
      <c r="B378" s="675"/>
      <c r="C378" s="218"/>
      <c r="D378" s="234"/>
      <c r="E378" s="234"/>
      <c r="F378" s="191"/>
      <c r="G378" s="195"/>
      <c r="H378" s="80"/>
      <c r="I378" s="114"/>
      <c r="J378" s="35">
        <f t="shared" si="113"/>
        <v>0</v>
      </c>
      <c r="K378" s="3">
        <f>C378*VLOOKUP(A378,[1]오일단가!$A:$S,16,0)</f>
        <v>0</v>
      </c>
      <c r="L378" s="302"/>
      <c r="M378" s="299"/>
      <c r="N378" s="283">
        <f>F378*VLOOKUP(A378,[1]오일단가!$A:$S,17,0)</f>
        <v>0</v>
      </c>
      <c r="O378" s="276"/>
      <c r="P378" s="482"/>
      <c r="Q378" s="5"/>
      <c r="R378" s="3">
        <f t="shared" si="111"/>
        <v>0</v>
      </c>
      <c r="S378" s="3">
        <f>J378*4225</f>
        <v>0</v>
      </c>
    </row>
    <row r="379" spans="1:19" s="1" customFormat="1">
      <c r="A379" s="356" t="s">
        <v>538</v>
      </c>
      <c r="B379" s="675"/>
      <c r="C379" s="218"/>
      <c r="D379" s="234"/>
      <c r="E379" s="234"/>
      <c r="F379" s="191"/>
      <c r="G379" s="195"/>
      <c r="H379" s="80"/>
      <c r="I379" s="114"/>
      <c r="J379" s="35">
        <f t="shared" si="113"/>
        <v>0</v>
      </c>
      <c r="K379" s="3">
        <f>C379*VLOOKUP(A379,[1]오일단가!$A:$S,16,0)</f>
        <v>0</v>
      </c>
      <c r="L379" s="302"/>
      <c r="M379" s="299"/>
      <c r="N379" s="283">
        <f>F379*VLOOKUP(A379,[1]오일단가!$A:$S,17,0)</f>
        <v>0</v>
      </c>
      <c r="O379" s="276"/>
      <c r="P379" s="482"/>
      <c r="Q379" s="5"/>
      <c r="R379" s="3">
        <f t="shared" si="111"/>
        <v>0</v>
      </c>
      <c r="S379" s="3">
        <f>J379*5380</f>
        <v>0</v>
      </c>
    </row>
    <row r="380" spans="1:19" s="1" customFormat="1">
      <c r="A380" s="356" t="s">
        <v>699</v>
      </c>
      <c r="B380" s="675"/>
      <c r="C380" s="218"/>
      <c r="D380" s="234"/>
      <c r="E380" s="234"/>
      <c r="F380" s="191"/>
      <c r="G380" s="195"/>
      <c r="H380" s="80"/>
      <c r="I380" s="114"/>
      <c r="J380" s="35">
        <f t="shared" si="113"/>
        <v>0</v>
      </c>
      <c r="K380" s="3">
        <f>C380*23000</f>
        <v>0</v>
      </c>
      <c r="L380" s="302"/>
      <c r="M380" s="299"/>
      <c r="N380" s="283">
        <f>F380*21000</f>
        <v>0</v>
      </c>
      <c r="O380" s="276"/>
      <c r="P380" s="482"/>
      <c r="Q380" s="5"/>
      <c r="R380" s="3">
        <f t="shared" si="111"/>
        <v>0</v>
      </c>
      <c r="S380" s="3">
        <f>J380*3220</f>
        <v>0</v>
      </c>
    </row>
    <row r="381" spans="1:19" s="1" customFormat="1">
      <c r="A381" s="356" t="s">
        <v>700</v>
      </c>
      <c r="B381" s="675"/>
      <c r="C381" s="218"/>
      <c r="D381" s="234"/>
      <c r="E381" s="234"/>
      <c r="F381" s="191"/>
      <c r="G381" s="195"/>
      <c r="H381" s="80"/>
      <c r="I381" s="114"/>
      <c r="J381" s="35">
        <f t="shared" si="113"/>
        <v>0</v>
      </c>
      <c r="K381" s="3">
        <f>C381*29000</f>
        <v>0</v>
      </c>
      <c r="L381" s="302"/>
      <c r="M381" s="299"/>
      <c r="N381" s="283">
        <f>F381*26000</f>
        <v>0</v>
      </c>
      <c r="O381" s="276"/>
      <c r="P381" s="482"/>
      <c r="Q381" s="5"/>
      <c r="R381" s="3">
        <f t="shared" si="111"/>
        <v>0</v>
      </c>
      <c r="S381" s="3">
        <f>J381*5340</f>
        <v>0</v>
      </c>
    </row>
    <row r="382" spans="1:19" s="1" customFormat="1">
      <c r="A382" s="356" t="s">
        <v>615</v>
      </c>
      <c r="B382" s="675"/>
      <c r="C382" s="218"/>
      <c r="D382" s="234"/>
      <c r="E382" s="234"/>
      <c r="F382" s="191"/>
      <c r="G382" s="195"/>
      <c r="H382" s="80"/>
      <c r="I382" s="114"/>
      <c r="J382" s="35">
        <f t="shared" si="113"/>
        <v>0</v>
      </c>
      <c r="K382" s="3">
        <f>C382*VLOOKUP(A382,[1]오일단가!$A:$S,16,0)</f>
        <v>0</v>
      </c>
      <c r="L382" s="302"/>
      <c r="M382" s="299"/>
      <c r="N382" s="283">
        <f>F382*VLOOKUP(A382,[1]오일단가!$A:$S,17,0)</f>
        <v>0</v>
      </c>
      <c r="O382" s="276"/>
      <c r="P382" s="482"/>
      <c r="Q382" s="5"/>
      <c r="R382" s="3">
        <f t="shared" si="111"/>
        <v>0</v>
      </c>
      <c r="S382" s="3">
        <f>J382*5600</f>
        <v>0</v>
      </c>
    </row>
    <row r="383" spans="1:19" s="1" customFormat="1">
      <c r="A383" s="356" t="s">
        <v>684</v>
      </c>
      <c r="B383" s="675"/>
      <c r="C383" s="218"/>
      <c r="D383" s="234"/>
      <c r="E383" s="234"/>
      <c r="F383" s="191"/>
      <c r="G383" s="195"/>
      <c r="H383" s="80"/>
      <c r="I383" s="114"/>
      <c r="J383" s="35">
        <f t="shared" si="113"/>
        <v>0</v>
      </c>
      <c r="K383" s="3">
        <f>C383*VLOOKUP(A383,[1]오일단가!$A:$S,16,0)</f>
        <v>0</v>
      </c>
      <c r="L383" s="302"/>
      <c r="M383" s="299"/>
      <c r="N383" s="283">
        <f>F383*VLOOKUP(A383,[1]오일단가!$A:$S,17,0)</f>
        <v>0</v>
      </c>
      <c r="O383" s="276"/>
      <c r="P383" s="482"/>
      <c r="Q383" s="5"/>
      <c r="R383" s="3">
        <f t="shared" si="111"/>
        <v>0</v>
      </c>
      <c r="S383" s="3">
        <f>J383*2570</f>
        <v>0</v>
      </c>
    </row>
    <row r="384" spans="1:19" s="1" customFormat="1">
      <c r="A384" s="356" t="s">
        <v>691</v>
      </c>
      <c r="B384" s="675"/>
      <c r="C384" s="218">
        <v>1</v>
      </c>
      <c r="D384" s="234"/>
      <c r="E384" s="234"/>
      <c r="F384" s="191"/>
      <c r="G384" s="195"/>
      <c r="H384" s="80"/>
      <c r="I384" s="114"/>
      <c r="J384" s="35">
        <f t="shared" si="113"/>
        <v>1</v>
      </c>
      <c r="K384" s="3">
        <f>C384*23000</f>
        <v>23000</v>
      </c>
      <c r="L384" s="302"/>
      <c r="M384" s="299"/>
      <c r="N384" s="283">
        <f>F384*21000</f>
        <v>0</v>
      </c>
      <c r="O384" s="276"/>
      <c r="P384" s="482"/>
      <c r="Q384" s="5"/>
      <c r="R384" s="3">
        <f t="shared" si="111"/>
        <v>23000</v>
      </c>
      <c r="S384" s="3">
        <f>J384*3330</f>
        <v>3330</v>
      </c>
    </row>
    <row r="385" spans="1:19" s="1" customFormat="1">
      <c r="A385" s="356" t="s">
        <v>692</v>
      </c>
      <c r="B385" s="675"/>
      <c r="C385" s="218"/>
      <c r="D385" s="234"/>
      <c r="E385" s="234"/>
      <c r="F385" s="191"/>
      <c r="G385" s="195"/>
      <c r="H385" s="80"/>
      <c r="I385" s="114"/>
      <c r="J385" s="35">
        <f t="shared" si="113"/>
        <v>0</v>
      </c>
      <c r="K385" s="3">
        <f>C385*16000</f>
        <v>0</v>
      </c>
      <c r="L385" s="302"/>
      <c r="M385" s="299"/>
      <c r="N385" s="283">
        <f>F385*14000</f>
        <v>0</v>
      </c>
      <c r="O385" s="276"/>
      <c r="P385" s="482"/>
      <c r="Q385" s="5"/>
      <c r="R385" s="3">
        <f t="shared" si="111"/>
        <v>0</v>
      </c>
      <c r="S385" s="3">
        <f>J385*2090</f>
        <v>0</v>
      </c>
    </row>
    <row r="386" spans="1:19" s="1" customFormat="1">
      <c r="A386" s="356" t="s">
        <v>693</v>
      </c>
      <c r="B386" s="675"/>
      <c r="C386" s="218"/>
      <c r="D386" s="234"/>
      <c r="E386" s="234"/>
      <c r="F386" s="191"/>
      <c r="G386" s="195"/>
      <c r="H386" s="80"/>
      <c r="I386" s="114"/>
      <c r="J386" s="35">
        <f t="shared" si="113"/>
        <v>0</v>
      </c>
      <c r="K386" s="3">
        <f>C386*23000</f>
        <v>0</v>
      </c>
      <c r="L386" s="302"/>
      <c r="M386" s="299"/>
      <c r="N386" s="283">
        <f>F386*21000</f>
        <v>0</v>
      </c>
      <c r="O386" s="276"/>
      <c r="P386" s="482"/>
      <c r="Q386" s="5"/>
      <c r="R386" s="3">
        <f t="shared" si="111"/>
        <v>0</v>
      </c>
      <c r="S386" s="3">
        <f>J386*3170</f>
        <v>0</v>
      </c>
    </row>
    <row r="387" spans="1:19" s="1" customFormat="1">
      <c r="A387" s="356" t="s">
        <v>490</v>
      </c>
      <c r="B387" s="675"/>
      <c r="C387" s="218"/>
      <c r="D387" s="234"/>
      <c r="E387" s="234"/>
      <c r="F387" s="191"/>
      <c r="G387" s="195"/>
      <c r="H387" s="80"/>
      <c r="I387" s="114"/>
      <c r="J387" s="35">
        <f t="shared" si="113"/>
        <v>0</v>
      </c>
      <c r="K387" s="3">
        <f>C387*VLOOKUP(A387,[1]오일단가!$A:$S,16,0)</f>
        <v>0</v>
      </c>
      <c r="L387" s="302"/>
      <c r="M387" s="299"/>
      <c r="N387" s="283">
        <f>F387*VLOOKUP(A387,[1]오일단가!$A:$S,17,0)</f>
        <v>0</v>
      </c>
      <c r="O387" s="276"/>
      <c r="P387" s="482"/>
      <c r="Q387" s="5"/>
      <c r="R387" s="3">
        <f t="shared" si="111"/>
        <v>0</v>
      </c>
      <c r="S387" s="3">
        <f>J387*4720</f>
        <v>0</v>
      </c>
    </row>
    <row r="388" spans="1:19" s="1" customFormat="1">
      <c r="A388" s="356" t="s">
        <v>616</v>
      </c>
      <c r="B388" s="675"/>
      <c r="C388" s="218"/>
      <c r="D388" s="234"/>
      <c r="E388" s="234"/>
      <c r="F388" s="191"/>
      <c r="G388" s="195"/>
      <c r="H388" s="80"/>
      <c r="I388" s="114"/>
      <c r="J388" s="35">
        <f t="shared" si="113"/>
        <v>0</v>
      </c>
      <c r="K388" s="3">
        <f>C388*VLOOKUP(A388,[1]오일단가!$A:$S,16,0)</f>
        <v>0</v>
      </c>
      <c r="L388" s="302"/>
      <c r="M388" s="299"/>
      <c r="N388" s="283">
        <f>F388*VLOOKUP(A388,[1]오일단가!$A:$S,17,0)</f>
        <v>0</v>
      </c>
      <c r="O388" s="276"/>
      <c r="P388" s="482"/>
      <c r="Q388" s="5"/>
      <c r="R388" s="3">
        <f t="shared" si="111"/>
        <v>0</v>
      </c>
      <c r="S388" s="3">
        <f>J388*3048</f>
        <v>0</v>
      </c>
    </row>
    <row r="389" spans="1:19" s="1" customFormat="1">
      <c r="A389" s="356" t="s">
        <v>539</v>
      </c>
      <c r="B389" s="675"/>
      <c r="C389" s="218"/>
      <c r="D389" s="234"/>
      <c r="E389" s="234"/>
      <c r="F389" s="191"/>
      <c r="G389" s="195"/>
      <c r="H389" s="80"/>
      <c r="I389" s="114"/>
      <c r="J389" s="35">
        <f t="shared" si="113"/>
        <v>0</v>
      </c>
      <c r="K389" s="3">
        <f>C389*VLOOKUP(A389,[1]오일단가!$A:$S,16,0)</f>
        <v>0</v>
      </c>
      <c r="L389" s="302"/>
      <c r="M389" s="299"/>
      <c r="N389" s="283">
        <f>F389*VLOOKUP(A389,[1]오일단가!$A:$S,17,0)</f>
        <v>0</v>
      </c>
      <c r="O389" s="276"/>
      <c r="P389" s="482"/>
      <c r="Q389" s="5"/>
      <c r="R389" s="3">
        <f t="shared" si="111"/>
        <v>0</v>
      </c>
      <c r="S389" s="3">
        <f>J389*2740</f>
        <v>0</v>
      </c>
    </row>
    <row r="390" spans="1:19" s="1" customFormat="1">
      <c r="A390" s="356" t="s">
        <v>694</v>
      </c>
      <c r="B390" s="675"/>
      <c r="C390" s="218"/>
      <c r="D390" s="234"/>
      <c r="E390" s="234"/>
      <c r="F390" s="191"/>
      <c r="G390" s="195"/>
      <c r="H390" s="80"/>
      <c r="I390" s="114"/>
      <c r="J390" s="35">
        <f t="shared" si="113"/>
        <v>0</v>
      </c>
      <c r="K390" s="3">
        <f>C390*16000</f>
        <v>0</v>
      </c>
      <c r="L390" s="302"/>
      <c r="M390" s="299"/>
      <c r="N390" s="283">
        <f>F390*14000</f>
        <v>0</v>
      </c>
      <c r="O390" s="276"/>
      <c r="P390" s="482"/>
      <c r="Q390" s="5"/>
      <c r="R390" s="3">
        <f t="shared" si="111"/>
        <v>0</v>
      </c>
      <c r="S390" s="3">
        <f>J390*2160</f>
        <v>0</v>
      </c>
    </row>
    <row r="391" spans="1:19" s="1" customFormat="1">
      <c r="A391" s="354" t="s">
        <v>485</v>
      </c>
      <c r="B391" s="675"/>
      <c r="C391" s="233"/>
      <c r="D391" s="234"/>
      <c r="E391" s="234"/>
      <c r="F391" s="230"/>
      <c r="G391" s="345"/>
      <c r="H391" s="80"/>
      <c r="I391" s="114"/>
      <c r="J391" s="35">
        <f t="shared" si="113"/>
        <v>0</v>
      </c>
      <c r="K391" s="3">
        <f>C391*VLOOKUP(A391,[1]오일단가!$A:$S,16,0)</f>
        <v>0</v>
      </c>
      <c r="L391" s="302"/>
      <c r="M391" s="299"/>
      <c r="N391" s="283">
        <f>F391*VLOOKUP(A391,[1]오일단가!$A:$S,17,0)</f>
        <v>0</v>
      </c>
      <c r="O391" s="276"/>
      <c r="P391" s="482"/>
      <c r="Q391" s="5"/>
      <c r="R391" s="3">
        <f t="shared" si="111"/>
        <v>0</v>
      </c>
      <c r="S391" s="3">
        <f>J391*2060</f>
        <v>0</v>
      </c>
    </row>
    <row r="392" spans="1:19" s="1" customFormat="1">
      <c r="A392" s="356" t="s">
        <v>540</v>
      </c>
      <c r="B392" s="675"/>
      <c r="C392" s="218"/>
      <c r="D392" s="234"/>
      <c r="E392" s="234"/>
      <c r="F392" s="191"/>
      <c r="G392" s="195"/>
      <c r="H392" s="80"/>
      <c r="I392" s="114"/>
      <c r="J392" s="35">
        <f t="shared" si="113"/>
        <v>0</v>
      </c>
      <c r="K392" s="3">
        <f>C392*VLOOKUP(A392,[1]오일단가!$A:$S,16,0)</f>
        <v>0</v>
      </c>
      <c r="L392" s="302"/>
      <c r="M392" s="299"/>
      <c r="N392" s="283">
        <f>F392*VLOOKUP(A392,[1]오일단가!$A:$S,17,0)</f>
        <v>0</v>
      </c>
      <c r="O392" s="276"/>
      <c r="P392" s="482"/>
      <c r="Q392" s="5"/>
      <c r="R392" s="3">
        <f t="shared" si="111"/>
        <v>0</v>
      </c>
      <c r="S392" s="3">
        <f>J392*3730</f>
        <v>0</v>
      </c>
    </row>
    <row r="393" spans="1:19" s="1" customFormat="1">
      <c r="A393" s="356" t="s">
        <v>656</v>
      </c>
      <c r="B393" s="675"/>
      <c r="C393" s="218"/>
      <c r="D393" s="234"/>
      <c r="E393" s="234"/>
      <c r="F393" s="191"/>
      <c r="G393" s="195"/>
      <c r="H393" s="80"/>
      <c r="I393" s="114"/>
      <c r="J393" s="35">
        <f t="shared" si="113"/>
        <v>0</v>
      </c>
      <c r="K393" s="3">
        <f>C393*VLOOKUP(A393,[1]오일단가!$A:$S,16,0)</f>
        <v>0</v>
      </c>
      <c r="L393" s="302"/>
      <c r="M393" s="299"/>
      <c r="N393" s="283">
        <f>F393*VLOOKUP(A393,[1]오일단가!$A:$S,17,0)</f>
        <v>0</v>
      </c>
      <c r="O393" s="276"/>
      <c r="P393" s="482"/>
      <c r="Q393" s="5"/>
      <c r="R393" s="3">
        <f t="shared" si="111"/>
        <v>0</v>
      </c>
      <c r="S393" s="3">
        <f>J393*2160</f>
        <v>0</v>
      </c>
    </row>
    <row r="394" spans="1:19" s="1" customFormat="1">
      <c r="A394" s="354" t="s">
        <v>486</v>
      </c>
      <c r="B394" s="675"/>
      <c r="C394" s="233">
        <v>1</v>
      </c>
      <c r="D394" s="234"/>
      <c r="E394" s="234"/>
      <c r="F394" s="230"/>
      <c r="G394" s="345"/>
      <c r="H394" s="80"/>
      <c r="I394" s="114"/>
      <c r="J394" s="35">
        <f t="shared" si="113"/>
        <v>1</v>
      </c>
      <c r="K394" s="3">
        <f>C394*VLOOKUP(A394,[1]오일단가!$A:$S,16,0)</f>
        <v>10000</v>
      </c>
      <c r="L394" s="302"/>
      <c r="M394" s="299"/>
      <c r="N394" s="283">
        <f>F394*VLOOKUP(A394,[1]오일단가!$A:$S,17,0)</f>
        <v>0</v>
      </c>
      <c r="O394" s="276"/>
      <c r="P394" s="482"/>
      <c r="Q394" s="5"/>
      <c r="R394" s="3">
        <f t="shared" si="111"/>
        <v>10000</v>
      </c>
      <c r="S394" s="3">
        <f>J394*1790</f>
        <v>1790</v>
      </c>
    </row>
    <row r="395" spans="1:19" s="1" customFormat="1">
      <c r="A395" s="356" t="s">
        <v>541</v>
      </c>
      <c r="B395" s="675"/>
      <c r="C395" s="218"/>
      <c r="D395" s="234"/>
      <c r="E395" s="234"/>
      <c r="F395" s="191"/>
      <c r="G395" s="195"/>
      <c r="H395" s="80"/>
      <c r="I395" s="114"/>
      <c r="J395" s="35">
        <f t="shared" si="113"/>
        <v>0</v>
      </c>
      <c r="K395" s="3">
        <f>C395*VLOOKUP(A395,[1]오일단가!$A:$S,16,0)</f>
        <v>0</v>
      </c>
      <c r="L395" s="302"/>
      <c r="M395" s="299"/>
      <c r="N395" s="283">
        <f>F395*VLOOKUP(A395,[1]오일단가!$A:$S,17,0)</f>
        <v>0</v>
      </c>
      <c r="O395" s="276"/>
      <c r="P395" s="482"/>
      <c r="Q395" s="5"/>
      <c r="R395" s="3">
        <f t="shared" si="111"/>
        <v>0</v>
      </c>
      <c r="S395" s="3">
        <f>J395*4060</f>
        <v>0</v>
      </c>
    </row>
    <row r="396" spans="1:19" s="1" customFormat="1">
      <c r="A396" s="356" t="s">
        <v>543</v>
      </c>
      <c r="B396" s="675"/>
      <c r="C396" s="218"/>
      <c r="D396" s="234"/>
      <c r="E396" s="234"/>
      <c r="F396" s="191"/>
      <c r="G396" s="195"/>
      <c r="H396" s="80"/>
      <c r="I396" s="114"/>
      <c r="J396" s="35">
        <f t="shared" si="113"/>
        <v>0</v>
      </c>
      <c r="K396" s="3">
        <f>C396*VLOOKUP(A396,[1]오일단가!$A:$S,16,0)</f>
        <v>0</v>
      </c>
      <c r="L396" s="302"/>
      <c r="M396" s="299"/>
      <c r="N396" s="283">
        <f>F396*VLOOKUP(A396,[1]오일단가!$A:$S,17,0)</f>
        <v>0</v>
      </c>
      <c r="O396" s="276"/>
      <c r="P396" s="482"/>
      <c r="Q396" s="5"/>
      <c r="R396" s="3">
        <f t="shared" si="111"/>
        <v>0</v>
      </c>
      <c r="S396" s="3">
        <f>J396*7690</f>
        <v>0</v>
      </c>
    </row>
    <row r="397" spans="1:19" s="1" customFormat="1">
      <c r="A397" s="356" t="s">
        <v>617</v>
      </c>
      <c r="B397" s="675"/>
      <c r="C397" s="218"/>
      <c r="D397" s="234"/>
      <c r="E397" s="234"/>
      <c r="F397" s="191"/>
      <c r="G397" s="195"/>
      <c r="H397" s="80"/>
      <c r="I397" s="114"/>
      <c r="J397" s="35">
        <f t="shared" si="113"/>
        <v>0</v>
      </c>
      <c r="K397" s="3">
        <f>C397*VLOOKUP(A397,[1]오일단가!$A:$S,16,0)</f>
        <v>0</v>
      </c>
      <c r="L397" s="302"/>
      <c r="M397" s="299"/>
      <c r="N397" s="283">
        <f>F397*VLOOKUP(A397,[1]오일단가!$A:$S,17,0)</f>
        <v>0</v>
      </c>
      <c r="O397" s="276"/>
      <c r="P397" s="482"/>
      <c r="Q397" s="5"/>
      <c r="R397" s="3">
        <f t="shared" si="111"/>
        <v>0</v>
      </c>
      <c r="S397" s="3">
        <f>J397*3730</f>
        <v>0</v>
      </c>
    </row>
    <row r="398" spans="1:19" s="1" customFormat="1">
      <c r="A398" s="356" t="s">
        <v>674</v>
      </c>
      <c r="B398" s="675"/>
      <c r="C398" s="233"/>
      <c r="D398" s="234"/>
      <c r="E398" s="234"/>
      <c r="F398" s="230"/>
      <c r="G398" s="345"/>
      <c r="H398" s="80"/>
      <c r="I398" s="114"/>
      <c r="J398" s="35">
        <f t="shared" si="113"/>
        <v>0</v>
      </c>
      <c r="K398" s="3">
        <f>C398*VLOOKUP(A398,[1]오일단가!$A:$S,16,0)</f>
        <v>0</v>
      </c>
      <c r="L398" s="302"/>
      <c r="M398" s="299"/>
      <c r="N398" s="283">
        <f>F398*VLOOKUP(A398,[1]오일단가!$A:$S,17,0)</f>
        <v>0</v>
      </c>
      <c r="O398" s="276"/>
      <c r="P398" s="482"/>
      <c r="Q398" s="5"/>
      <c r="R398" s="3">
        <f t="shared" si="111"/>
        <v>0</v>
      </c>
      <c r="S398" s="3">
        <f>J398*5160</f>
        <v>0</v>
      </c>
    </row>
    <row r="399" spans="1:19" s="1" customFormat="1">
      <c r="A399" s="356" t="s">
        <v>695</v>
      </c>
      <c r="B399" s="675"/>
      <c r="C399" s="233"/>
      <c r="D399" s="234"/>
      <c r="E399" s="234"/>
      <c r="F399" s="230"/>
      <c r="G399" s="345"/>
      <c r="H399" s="80"/>
      <c r="I399" s="114"/>
      <c r="J399" s="35">
        <f t="shared" si="113"/>
        <v>0</v>
      </c>
      <c r="K399" s="3">
        <f>C399*125000</f>
        <v>0</v>
      </c>
      <c r="L399" s="302"/>
      <c r="M399" s="299"/>
      <c r="N399" s="283">
        <f>F399*113000</f>
        <v>0</v>
      </c>
      <c r="O399" s="276"/>
      <c r="P399" s="482"/>
      <c r="Q399" s="5"/>
      <c r="R399" s="3">
        <f t="shared" si="111"/>
        <v>0</v>
      </c>
      <c r="S399" s="3">
        <f>J399*3640</f>
        <v>0</v>
      </c>
    </row>
    <row r="400" spans="1:19" s="1" customFormat="1">
      <c r="A400" s="356" t="s">
        <v>696</v>
      </c>
      <c r="B400" s="675"/>
      <c r="C400" s="233"/>
      <c r="D400" s="234"/>
      <c r="E400" s="234"/>
      <c r="F400" s="230"/>
      <c r="G400" s="345"/>
      <c r="H400" s="80"/>
      <c r="I400" s="114"/>
      <c r="J400" s="35">
        <f t="shared" si="113"/>
        <v>0</v>
      </c>
      <c r="K400" s="3">
        <f>C400*23000</f>
        <v>0</v>
      </c>
      <c r="L400" s="302"/>
      <c r="M400" s="299"/>
      <c r="N400" s="283">
        <f>F400*21000</f>
        <v>0</v>
      </c>
      <c r="O400" s="276"/>
      <c r="P400" s="482"/>
      <c r="Q400" s="5"/>
      <c r="R400" s="3">
        <f t="shared" si="111"/>
        <v>0</v>
      </c>
      <c r="S400" s="3">
        <f>J400*3220</f>
        <v>0</v>
      </c>
    </row>
    <row r="401" spans="1:19" s="1" customFormat="1">
      <c r="A401" s="356" t="s">
        <v>675</v>
      </c>
      <c r="B401" s="675"/>
      <c r="C401" s="35"/>
      <c r="D401" s="234"/>
      <c r="E401" s="234"/>
      <c r="F401" s="191"/>
      <c r="G401" s="195"/>
      <c r="H401" s="80"/>
      <c r="I401" s="114"/>
      <c r="J401" s="35">
        <f t="shared" si="113"/>
        <v>0</v>
      </c>
      <c r="K401" s="3">
        <f>C401*VLOOKUP(A401,[1]오일단가!$A:$S,16,0)</f>
        <v>0</v>
      </c>
      <c r="L401" s="302"/>
      <c r="M401" s="299"/>
      <c r="N401" s="283">
        <f>F401*VLOOKUP(A401,[1]오일단가!$A:$S,17,0)</f>
        <v>0</v>
      </c>
      <c r="O401" s="276"/>
      <c r="P401" s="482"/>
      <c r="Q401" s="5"/>
      <c r="R401" s="3">
        <f t="shared" si="111"/>
        <v>0</v>
      </c>
      <c r="S401" s="3">
        <f>J401*8130</f>
        <v>0</v>
      </c>
    </row>
    <row r="402" spans="1:19" s="1" customFormat="1">
      <c r="A402" s="356" t="s">
        <v>676</v>
      </c>
      <c r="B402" s="675"/>
      <c r="C402" s="35"/>
      <c r="D402" s="234"/>
      <c r="E402" s="234"/>
      <c r="F402" s="191"/>
      <c r="G402" s="195"/>
      <c r="H402" s="80"/>
      <c r="I402" s="114"/>
      <c r="J402" s="35">
        <f t="shared" si="113"/>
        <v>0</v>
      </c>
      <c r="K402" s="3">
        <f>C402*VLOOKUP(A402,[1]오일단가!$A:$S,16,0)</f>
        <v>0</v>
      </c>
      <c r="L402" s="302"/>
      <c r="M402" s="299"/>
      <c r="N402" s="283">
        <f>F402*VLOOKUP(A402,[1]오일단가!$A:$S,17,0)</f>
        <v>0</v>
      </c>
      <c r="O402" s="276"/>
      <c r="P402" s="482"/>
      <c r="Q402" s="5"/>
      <c r="R402" s="3">
        <f t="shared" si="111"/>
        <v>0</v>
      </c>
      <c r="S402" s="3">
        <f>J402*2960</f>
        <v>0</v>
      </c>
    </row>
    <row r="403" spans="1:19" s="1" customFormat="1">
      <c r="A403" s="356" t="s">
        <v>544</v>
      </c>
      <c r="B403" s="675"/>
      <c r="C403" s="35"/>
      <c r="D403" s="234"/>
      <c r="E403" s="234"/>
      <c r="F403" s="191"/>
      <c r="G403" s="195"/>
      <c r="H403" s="80"/>
      <c r="I403" s="114"/>
      <c r="J403" s="35">
        <f t="shared" si="113"/>
        <v>0</v>
      </c>
      <c r="K403" s="3">
        <f>C403*VLOOKUP(A403,[1]오일단가!$A:$S,16,0)</f>
        <v>0</v>
      </c>
      <c r="L403" s="302"/>
      <c r="M403" s="299"/>
      <c r="N403" s="283">
        <f>F403*VLOOKUP(A403,[1]오일단가!$A:$S,17,0)</f>
        <v>0</v>
      </c>
      <c r="O403" s="276"/>
      <c r="P403" s="482"/>
      <c r="Q403" s="5"/>
      <c r="R403" s="3">
        <f t="shared" si="111"/>
        <v>0</v>
      </c>
      <c r="S403" s="3">
        <f>J403*4270</f>
        <v>0</v>
      </c>
    </row>
    <row r="404" spans="1:19" s="1" customFormat="1">
      <c r="A404" s="356" t="s">
        <v>545</v>
      </c>
      <c r="B404" s="675"/>
      <c r="C404" s="35"/>
      <c r="D404" s="234"/>
      <c r="E404" s="234"/>
      <c r="F404" s="191"/>
      <c r="G404" s="195"/>
      <c r="H404" s="80"/>
      <c r="I404" s="114"/>
      <c r="J404" s="35">
        <f t="shared" si="113"/>
        <v>0</v>
      </c>
      <c r="K404" s="3">
        <f>C404*VLOOKUP(A404,[1]오일단가!$A:$S,16,0)</f>
        <v>0</v>
      </c>
      <c r="L404" s="302"/>
      <c r="M404" s="299"/>
      <c r="N404" s="283">
        <f>F404*VLOOKUP(A404,[1]오일단가!$A:$S,17,0)</f>
        <v>0</v>
      </c>
      <c r="O404" s="276"/>
      <c r="P404" s="482"/>
      <c r="Q404" s="5"/>
      <c r="R404" s="3">
        <f t="shared" si="111"/>
        <v>0</v>
      </c>
      <c r="S404" s="3">
        <f>J404*5610</f>
        <v>0</v>
      </c>
    </row>
    <row r="405" spans="1:19" s="1" customFormat="1">
      <c r="A405" s="356" t="s">
        <v>546</v>
      </c>
      <c r="B405" s="675"/>
      <c r="C405" s="35"/>
      <c r="D405" s="234"/>
      <c r="E405" s="234"/>
      <c r="F405" s="191"/>
      <c r="G405" s="195"/>
      <c r="H405" s="80"/>
      <c r="I405" s="114"/>
      <c r="J405" s="35">
        <f t="shared" si="113"/>
        <v>0</v>
      </c>
      <c r="K405" s="3">
        <f>C405*VLOOKUP(A405,[1]오일단가!$A:$S,16,0)</f>
        <v>0</v>
      </c>
      <c r="L405" s="302"/>
      <c r="M405" s="299"/>
      <c r="N405" s="283">
        <f>F405*VLOOKUP(A405,[1]오일단가!$A:$S,17,0)</f>
        <v>0</v>
      </c>
      <c r="O405" s="276"/>
      <c r="P405" s="482"/>
      <c r="Q405" s="5"/>
      <c r="R405" s="3">
        <f t="shared" si="111"/>
        <v>0</v>
      </c>
      <c r="S405" s="3">
        <f>J405*7310</f>
        <v>0</v>
      </c>
    </row>
    <row r="406" spans="1:19" s="1" customFormat="1">
      <c r="A406" s="356" t="s">
        <v>547</v>
      </c>
      <c r="B406" s="675"/>
      <c r="C406" s="35"/>
      <c r="D406" s="234"/>
      <c r="E406" s="234"/>
      <c r="F406" s="191"/>
      <c r="G406" s="195"/>
      <c r="H406" s="80"/>
      <c r="I406" s="114"/>
      <c r="J406" s="35">
        <f t="shared" si="113"/>
        <v>0</v>
      </c>
      <c r="K406" s="3">
        <f>C406*VLOOKUP(A406,[1]오일단가!$A:$S,16,0)</f>
        <v>0</v>
      </c>
      <c r="L406" s="302"/>
      <c r="M406" s="299"/>
      <c r="N406" s="283">
        <f>F406*VLOOKUP(A406,[1]오일단가!$A:$S,17,0)</f>
        <v>0</v>
      </c>
      <c r="O406" s="276"/>
      <c r="P406" s="482"/>
      <c r="Q406" s="5"/>
      <c r="R406" s="3">
        <f t="shared" si="111"/>
        <v>0</v>
      </c>
      <c r="S406" s="3">
        <f>J406*3980</f>
        <v>0</v>
      </c>
    </row>
    <row r="407" spans="1:19" s="1" customFormat="1">
      <c r="A407" s="356" t="s">
        <v>548</v>
      </c>
      <c r="B407" s="676"/>
      <c r="C407" s="35"/>
      <c r="D407" s="234"/>
      <c r="E407" s="234"/>
      <c r="F407" s="191"/>
      <c r="G407" s="195"/>
      <c r="H407" s="80"/>
      <c r="I407" s="114"/>
      <c r="J407" s="35">
        <f t="shared" si="113"/>
        <v>0</v>
      </c>
      <c r="K407" s="3">
        <f>C407*VLOOKUP(A407,[1]오일단가!$A:$S,16,0)</f>
        <v>0</v>
      </c>
      <c r="L407" s="302"/>
      <c r="M407" s="299"/>
      <c r="N407" s="283">
        <f>F407*VLOOKUP(A407,[1]오일단가!$A:$S,17,0)</f>
        <v>0</v>
      </c>
      <c r="O407" s="276"/>
      <c r="P407" s="482"/>
      <c r="Q407" s="5"/>
      <c r="R407" s="3">
        <f t="shared" si="111"/>
        <v>0</v>
      </c>
      <c r="S407" s="3">
        <f>J407*3920</f>
        <v>0</v>
      </c>
    </row>
    <row r="408" spans="1:19" s="1" customFormat="1">
      <c r="A408" s="356"/>
      <c r="B408" s="417"/>
      <c r="C408" s="35"/>
      <c r="D408" s="234"/>
      <c r="E408" s="234"/>
      <c r="F408" s="191"/>
      <c r="G408" s="195"/>
      <c r="H408" s="80"/>
      <c r="I408" s="114"/>
      <c r="J408" s="35"/>
      <c r="K408" s="3"/>
      <c r="L408" s="302"/>
      <c r="M408" s="299"/>
      <c r="N408" s="283"/>
      <c r="O408" s="276"/>
      <c r="P408" s="482"/>
      <c r="Q408" s="5"/>
      <c r="R408" s="3"/>
      <c r="S408" s="3"/>
    </row>
    <row r="409" spans="1:19" s="74" customFormat="1">
      <c r="A409" s="504" t="s">
        <v>575</v>
      </c>
      <c r="B409" s="503"/>
      <c r="C409" s="450">
        <f>SUM(C338:C408)</f>
        <v>6</v>
      </c>
      <c r="D409" s="450">
        <f t="shared" ref="D409:J409" si="114">SUM(D338:D408)</f>
        <v>0</v>
      </c>
      <c r="E409" s="450">
        <f t="shared" si="114"/>
        <v>0</v>
      </c>
      <c r="F409" s="450">
        <f t="shared" si="114"/>
        <v>0</v>
      </c>
      <c r="G409" s="450">
        <f t="shared" si="114"/>
        <v>0</v>
      </c>
      <c r="H409" s="450">
        <f t="shared" si="114"/>
        <v>0</v>
      </c>
      <c r="I409" s="450">
        <f t="shared" si="114"/>
        <v>0</v>
      </c>
      <c r="J409" s="450">
        <f t="shared" si="114"/>
        <v>6</v>
      </c>
      <c r="K409" s="457">
        <f>SUM(K335:K408)</f>
        <v>299000</v>
      </c>
      <c r="L409" s="457">
        <f t="shared" ref="L409:Q409" si="115">SUM(L335:L408)</f>
        <v>0</v>
      </c>
      <c r="M409" s="457">
        <f t="shared" si="115"/>
        <v>0</v>
      </c>
      <c r="N409" s="540">
        <f t="shared" si="115"/>
        <v>0</v>
      </c>
      <c r="O409" s="457">
        <f t="shared" si="115"/>
        <v>0</v>
      </c>
      <c r="P409" s="457">
        <f t="shared" si="115"/>
        <v>0</v>
      </c>
      <c r="Q409" s="457">
        <f t="shared" si="115"/>
        <v>0</v>
      </c>
      <c r="R409" s="457">
        <f>SUM(K409:Q409)</f>
        <v>299000</v>
      </c>
      <c r="S409" s="457">
        <f>SUM(S335:S408)</f>
        <v>24200</v>
      </c>
    </row>
    <row r="410" spans="1:19" s="245" customFormat="1">
      <c r="A410" s="570" t="s">
        <v>685</v>
      </c>
      <c r="B410" s="571"/>
      <c r="C410" s="237"/>
      <c r="D410" s="237"/>
      <c r="E410" s="237"/>
      <c r="F410" s="237"/>
      <c r="G410" s="237"/>
      <c r="H410" s="237"/>
      <c r="I410" s="237"/>
      <c r="J410" s="35">
        <f t="shared" si="113"/>
        <v>0</v>
      </c>
      <c r="K410" s="458">
        <f>C410*480000</f>
        <v>0</v>
      </c>
      <c r="L410" s="458"/>
      <c r="M410" s="458"/>
      <c r="N410" s="461">
        <f>F410*432000</f>
        <v>0</v>
      </c>
      <c r="O410" s="458"/>
      <c r="P410" s="458"/>
      <c r="Q410" s="458"/>
      <c r="R410" s="3">
        <f>SUM(K410:Q410)</f>
        <v>0</v>
      </c>
      <c r="S410" s="458">
        <f>J410*40100</f>
        <v>0</v>
      </c>
    </row>
    <row r="411" spans="1:19" s="1" customFormat="1" ht="16.5" customHeight="1">
      <c r="A411" s="356" t="s">
        <v>658</v>
      </c>
      <c r="B411" s="674" t="s">
        <v>710</v>
      </c>
      <c r="C411" s="237"/>
      <c r="D411" s="234"/>
      <c r="E411" s="234"/>
      <c r="F411" s="230"/>
      <c r="G411" s="345"/>
      <c r="H411" s="80"/>
      <c r="I411" s="114"/>
      <c r="J411" s="35">
        <f t="shared" si="113"/>
        <v>0</v>
      </c>
      <c r="K411" s="3">
        <f>C411*VLOOKUP(A411,[1]오일단가!$A:$S,13,0)</f>
        <v>0</v>
      </c>
      <c r="L411" s="302"/>
      <c r="M411" s="299"/>
      <c r="N411" s="283">
        <f>F411*VLOOKUP(A411,[1]오일단가!$A:$S,14,0)</f>
        <v>0</v>
      </c>
      <c r="O411" s="276"/>
      <c r="P411" s="482"/>
      <c r="Q411" s="5"/>
      <c r="R411" s="3">
        <f t="shared" ref="R411:R480" si="116">SUM(K411:Q411)</f>
        <v>0</v>
      </c>
      <c r="S411" s="3">
        <f>J411*18000</f>
        <v>0</v>
      </c>
    </row>
    <row r="412" spans="1:19" s="1" customFormat="1" ht="16.5" customHeight="1">
      <c r="A412" s="356" t="s">
        <v>697</v>
      </c>
      <c r="B412" s="675"/>
      <c r="C412" s="237"/>
      <c r="D412" s="234"/>
      <c r="E412" s="234"/>
      <c r="F412" s="230"/>
      <c r="G412" s="345"/>
      <c r="H412" s="80"/>
      <c r="I412" s="114"/>
      <c r="J412" s="35">
        <f t="shared" si="113"/>
        <v>0</v>
      </c>
      <c r="K412" s="3">
        <f>C412*136000</f>
        <v>0</v>
      </c>
      <c r="L412" s="302"/>
      <c r="M412" s="299"/>
      <c r="N412" s="283">
        <f>F412*122000</f>
        <v>0</v>
      </c>
      <c r="O412" s="276"/>
      <c r="P412" s="482"/>
      <c r="Q412" s="5"/>
      <c r="R412" s="3">
        <f t="shared" si="116"/>
        <v>0</v>
      </c>
      <c r="S412" s="3">
        <f>J412*16200</f>
        <v>0</v>
      </c>
    </row>
    <row r="413" spans="1:19" s="1" customFormat="1">
      <c r="A413" s="356" t="s">
        <v>659</v>
      </c>
      <c r="B413" s="675"/>
      <c r="C413" s="237"/>
      <c r="D413" s="234"/>
      <c r="E413" s="234"/>
      <c r="F413" s="230"/>
      <c r="G413" s="345"/>
      <c r="H413" s="80"/>
      <c r="I413" s="114"/>
      <c r="J413" s="35">
        <f t="shared" si="113"/>
        <v>0</v>
      </c>
      <c r="K413" s="3">
        <f>C413*VLOOKUP(A413,[1]오일단가!$A:$S,13,0)</f>
        <v>0</v>
      </c>
      <c r="L413" s="302"/>
      <c r="M413" s="299"/>
      <c r="N413" s="283">
        <f>F413*VLOOKUP(A413,[1]오일단가!$A:$S,14,0)</f>
        <v>0</v>
      </c>
      <c r="O413" s="276"/>
      <c r="P413" s="482"/>
      <c r="Q413" s="5"/>
      <c r="R413" s="3">
        <f t="shared" si="116"/>
        <v>0</v>
      </c>
      <c r="S413" s="3">
        <f>J413*18200</f>
        <v>0</v>
      </c>
    </row>
    <row r="414" spans="1:19" s="1" customFormat="1">
      <c r="A414" s="356" t="s">
        <v>686</v>
      </c>
      <c r="B414" s="675"/>
      <c r="C414" s="237"/>
      <c r="D414" s="234"/>
      <c r="E414" s="234"/>
      <c r="F414" s="230"/>
      <c r="G414" s="345"/>
      <c r="H414" s="80"/>
      <c r="I414" s="114"/>
      <c r="J414" s="35">
        <f t="shared" si="113"/>
        <v>0</v>
      </c>
      <c r="K414" s="3">
        <f>C414*128000</f>
        <v>0</v>
      </c>
      <c r="L414" s="302"/>
      <c r="M414" s="299"/>
      <c r="N414" s="283">
        <f>F414*115000</f>
        <v>0</v>
      </c>
      <c r="O414" s="276"/>
      <c r="P414" s="482"/>
      <c r="Q414" s="5"/>
      <c r="R414" s="3">
        <f t="shared" si="116"/>
        <v>0</v>
      </c>
      <c r="S414" s="3">
        <f>J414*13300</f>
        <v>0</v>
      </c>
    </row>
    <row r="415" spans="1:19" s="1" customFormat="1">
      <c r="A415" s="354" t="s">
        <v>660</v>
      </c>
      <c r="B415" s="675"/>
      <c r="C415" s="237">
        <v>1</v>
      </c>
      <c r="D415" s="242"/>
      <c r="E415" s="234"/>
      <c r="F415" s="230"/>
      <c r="G415" s="345"/>
      <c r="H415" s="80"/>
      <c r="I415" s="114"/>
      <c r="J415" s="35">
        <f t="shared" si="113"/>
        <v>1</v>
      </c>
      <c r="K415" s="3">
        <f>C415*VLOOKUP(A415,[1]오일단가!$A:$S,13,0)</f>
        <v>88000</v>
      </c>
      <c r="L415" s="302"/>
      <c r="M415" s="299"/>
      <c r="N415" s="283">
        <f>F415*VLOOKUP(A415,[1]오일단가!$A:$S,14,0)</f>
        <v>0</v>
      </c>
      <c r="O415" s="276"/>
      <c r="P415" s="482"/>
      <c r="Q415" s="5"/>
      <c r="R415" s="3">
        <f t="shared" si="116"/>
        <v>88000</v>
      </c>
      <c r="S415" s="3">
        <f>J415*13900</f>
        <v>13900</v>
      </c>
    </row>
    <row r="416" spans="1:19" s="1" customFormat="1">
      <c r="A416" s="354" t="s">
        <v>532</v>
      </c>
      <c r="B416" s="675"/>
      <c r="C416" s="237"/>
      <c r="D416" s="234"/>
      <c r="E416" s="234"/>
      <c r="F416" s="230"/>
      <c r="G416" s="345"/>
      <c r="H416" s="80"/>
      <c r="I416" s="114"/>
      <c r="J416" s="35">
        <f t="shared" si="113"/>
        <v>0</v>
      </c>
      <c r="K416" s="3">
        <f>C416*VLOOKUP(A416,[1]오일단가!$A:$S,13,0)</f>
        <v>0</v>
      </c>
      <c r="L416" s="302"/>
      <c r="M416" s="299"/>
      <c r="N416" s="283">
        <f>F416*VLOOKUP(A416,[1]오일단가!$A:$S,14,0)</f>
        <v>0</v>
      </c>
      <c r="O416" s="276"/>
      <c r="P416" s="482"/>
      <c r="Q416" s="5"/>
      <c r="R416" s="3">
        <f t="shared" si="116"/>
        <v>0</v>
      </c>
      <c r="S416" s="3">
        <f>J416*16900</f>
        <v>0</v>
      </c>
    </row>
    <row r="417" spans="1:19" s="1" customFormat="1">
      <c r="A417" s="355" t="s">
        <v>661</v>
      </c>
      <c r="B417" s="675"/>
      <c r="C417" s="237"/>
      <c r="D417" s="242"/>
      <c r="E417" s="234"/>
      <c r="F417" s="230"/>
      <c r="G417" s="345"/>
      <c r="H417" s="80"/>
      <c r="I417" s="114"/>
      <c r="J417" s="35">
        <f t="shared" si="113"/>
        <v>0</v>
      </c>
      <c r="K417" s="3">
        <f>C417*146000</f>
        <v>0</v>
      </c>
      <c r="L417" s="302"/>
      <c r="M417" s="299"/>
      <c r="N417" s="283">
        <f>F417*131000</f>
        <v>0</v>
      </c>
      <c r="O417" s="276"/>
      <c r="P417" s="482"/>
      <c r="Q417" s="5"/>
      <c r="R417" s="3">
        <f t="shared" si="116"/>
        <v>0</v>
      </c>
      <c r="S417" s="3">
        <f>J417*38900</f>
        <v>0</v>
      </c>
    </row>
    <row r="418" spans="1:19" s="1" customFormat="1">
      <c r="A418" s="354" t="s">
        <v>680</v>
      </c>
      <c r="B418" s="675"/>
      <c r="C418" s="237"/>
      <c r="D418" s="242"/>
      <c r="E418" s="234"/>
      <c r="F418" s="230"/>
      <c r="G418" s="345"/>
      <c r="H418" s="80"/>
      <c r="I418" s="114"/>
      <c r="J418" s="35">
        <f t="shared" si="113"/>
        <v>0</v>
      </c>
      <c r="K418" s="3">
        <f>C418*VLOOKUP(A418,[1]오일단가!$A:$S,13,0)</f>
        <v>0</v>
      </c>
      <c r="L418" s="302"/>
      <c r="M418" s="299"/>
      <c r="N418" s="283">
        <f>F418*VLOOKUP(A418,[1]오일단가!$A:$S,14,0)</f>
        <v>0</v>
      </c>
      <c r="O418" s="276"/>
      <c r="P418" s="482"/>
      <c r="Q418" s="5"/>
      <c r="R418" s="3">
        <f t="shared" si="116"/>
        <v>0</v>
      </c>
      <c r="S418" s="3">
        <f>J418*14200</f>
        <v>0</v>
      </c>
    </row>
    <row r="419" spans="1:19" s="1" customFormat="1">
      <c r="A419" s="354" t="s">
        <v>662</v>
      </c>
      <c r="B419" s="675"/>
      <c r="C419" s="237"/>
      <c r="D419" s="234"/>
      <c r="E419" s="234"/>
      <c r="F419" s="230"/>
      <c r="G419" s="345"/>
      <c r="H419" s="80"/>
      <c r="I419" s="114"/>
      <c r="J419" s="35">
        <f t="shared" si="113"/>
        <v>0</v>
      </c>
      <c r="K419" s="3">
        <f>C419*VLOOKUP(A419,[1]오일단가!$A:$S,13,0)</f>
        <v>0</v>
      </c>
      <c r="L419" s="302"/>
      <c r="M419" s="299"/>
      <c r="N419" s="283">
        <f>F419*VLOOKUP(A419,[1]오일단가!$A:$S,14,0)</f>
        <v>0</v>
      </c>
      <c r="O419" s="276"/>
      <c r="P419" s="482"/>
      <c r="Q419" s="5"/>
      <c r="R419" s="3">
        <f t="shared" si="116"/>
        <v>0</v>
      </c>
      <c r="S419" s="3">
        <f>J419*276500</f>
        <v>0</v>
      </c>
    </row>
    <row r="420" spans="1:19" s="1" customFormat="1">
      <c r="A420" s="354" t="s">
        <v>687</v>
      </c>
      <c r="B420" s="675"/>
      <c r="C420" s="237"/>
      <c r="D420" s="234"/>
      <c r="E420" s="234"/>
      <c r="F420" s="230"/>
      <c r="G420" s="345"/>
      <c r="H420" s="80"/>
      <c r="I420" s="114"/>
      <c r="J420" s="35">
        <f t="shared" si="113"/>
        <v>0</v>
      </c>
      <c r="K420" s="3">
        <f>C420*184000</f>
        <v>0</v>
      </c>
      <c r="L420" s="302"/>
      <c r="M420" s="299"/>
      <c r="N420" s="283">
        <f>F420*166000</f>
        <v>0</v>
      </c>
      <c r="O420" s="276"/>
      <c r="P420" s="482"/>
      <c r="Q420" s="5"/>
      <c r="R420" s="3">
        <f t="shared" si="116"/>
        <v>0</v>
      </c>
      <c r="S420" s="3">
        <f>J420*21200</f>
        <v>0</v>
      </c>
    </row>
    <row r="421" spans="1:19" s="1" customFormat="1">
      <c r="A421" s="354" t="s">
        <v>663</v>
      </c>
      <c r="B421" s="675"/>
      <c r="C421" s="237"/>
      <c r="D421" s="234"/>
      <c r="E421" s="234"/>
      <c r="F421" s="230"/>
      <c r="G421" s="345"/>
      <c r="H421" s="80"/>
      <c r="I421" s="114"/>
      <c r="J421" s="35">
        <f t="shared" si="113"/>
        <v>0</v>
      </c>
      <c r="K421" s="3">
        <f>C421*VLOOKUP(A421,[1]오일단가!$A:$S,13,0)</f>
        <v>0</v>
      </c>
      <c r="L421" s="302"/>
      <c r="M421" s="299"/>
      <c r="N421" s="283">
        <f>F421*VLOOKUP(A421,[1]오일단가!$A:$S,14,0)</f>
        <v>0</v>
      </c>
      <c r="O421" s="276"/>
      <c r="P421" s="482"/>
      <c r="Q421" s="5"/>
      <c r="R421" s="3">
        <f t="shared" si="116"/>
        <v>0</v>
      </c>
      <c r="S421" s="3">
        <f>J421*12500</f>
        <v>0</v>
      </c>
    </row>
    <row r="422" spans="1:19" s="1" customFormat="1">
      <c r="A422" s="354" t="s">
        <v>664</v>
      </c>
      <c r="B422" s="675"/>
      <c r="C422" s="237"/>
      <c r="D422" s="234"/>
      <c r="E422" s="234"/>
      <c r="F422" s="230"/>
      <c r="G422" s="345"/>
      <c r="H422" s="80"/>
      <c r="I422" s="114"/>
      <c r="J422" s="35">
        <f t="shared" si="113"/>
        <v>0</v>
      </c>
      <c r="K422" s="3">
        <f>C422*VLOOKUP(A422,[1]오일단가!$A:$S,13,0)</f>
        <v>0</v>
      </c>
      <c r="L422" s="302"/>
      <c r="M422" s="299"/>
      <c r="N422" s="283">
        <f>F422*VLOOKUP(A422,[1]오일단가!$A:$S,14,0)</f>
        <v>0</v>
      </c>
      <c r="O422" s="276"/>
      <c r="P422" s="482"/>
      <c r="Q422" s="5"/>
      <c r="R422" s="3">
        <f t="shared" si="116"/>
        <v>0</v>
      </c>
      <c r="S422" s="3">
        <f>J422*6200</f>
        <v>0</v>
      </c>
    </row>
    <row r="423" spans="1:19" s="1" customFormat="1">
      <c r="A423" s="356" t="s">
        <v>491</v>
      </c>
      <c r="B423" s="675"/>
      <c r="C423" s="35"/>
      <c r="D423" s="234"/>
      <c r="E423" s="234"/>
      <c r="F423" s="191"/>
      <c r="G423" s="195"/>
      <c r="H423" s="80"/>
      <c r="I423" s="114"/>
      <c r="J423" s="35">
        <f t="shared" si="113"/>
        <v>0</v>
      </c>
      <c r="K423" s="3">
        <f>C423*VLOOKUP(A423,[1]오일단가!$A:$S,13,0)</f>
        <v>0</v>
      </c>
      <c r="L423" s="302"/>
      <c r="M423" s="299"/>
      <c r="N423" s="283">
        <f>F423*VLOOKUP(A423,[1]오일단가!$A:$S,14,0)</f>
        <v>0</v>
      </c>
      <c r="O423" s="276"/>
      <c r="P423" s="482"/>
      <c r="Q423" s="5"/>
      <c r="R423" s="3">
        <f t="shared" si="116"/>
        <v>0</v>
      </c>
      <c r="S423" s="3">
        <f>J423*46600</f>
        <v>0</v>
      </c>
    </row>
    <row r="424" spans="1:19" s="1" customFormat="1">
      <c r="A424" s="356" t="s">
        <v>542</v>
      </c>
      <c r="B424" s="675"/>
      <c r="C424" s="35"/>
      <c r="D424" s="234"/>
      <c r="E424" s="234"/>
      <c r="F424" s="191"/>
      <c r="G424" s="195"/>
      <c r="H424" s="80"/>
      <c r="I424" s="114"/>
      <c r="J424" s="35">
        <f t="shared" si="113"/>
        <v>0</v>
      </c>
      <c r="K424" s="3">
        <f>C424*VLOOKUP(A424,[1]오일단가!$A:$S,13,0)</f>
        <v>0</v>
      </c>
      <c r="L424" s="302"/>
      <c r="M424" s="299"/>
      <c r="N424" s="283">
        <f>F424*VLOOKUP(A424,[1]오일단가!$A:$S,14,0)</f>
        <v>0</v>
      </c>
      <c r="O424" s="276"/>
      <c r="P424" s="482"/>
      <c r="Q424" s="5"/>
      <c r="R424" s="3">
        <f t="shared" si="116"/>
        <v>0</v>
      </c>
      <c r="S424" s="3">
        <f>J424*31200</f>
        <v>0</v>
      </c>
    </row>
    <row r="425" spans="1:19" s="1" customFormat="1">
      <c r="A425" s="356" t="s">
        <v>533</v>
      </c>
      <c r="B425" s="675"/>
      <c r="C425" s="35"/>
      <c r="D425" s="234"/>
      <c r="E425" s="234"/>
      <c r="F425" s="191"/>
      <c r="G425" s="195"/>
      <c r="H425" s="80"/>
      <c r="I425" s="114"/>
      <c r="J425" s="35">
        <f t="shared" si="113"/>
        <v>0</v>
      </c>
      <c r="K425" s="3">
        <f>C425*VLOOKUP(A425,[1]오일단가!$A:$S,13,0)</f>
        <v>0</v>
      </c>
      <c r="L425" s="302"/>
      <c r="M425" s="299"/>
      <c r="N425" s="283">
        <f>F425*VLOOKUP(A425,[1]오일단가!$A:$S,14,0)</f>
        <v>0</v>
      </c>
      <c r="O425" s="276"/>
      <c r="P425" s="482"/>
      <c r="Q425" s="5"/>
      <c r="R425" s="3">
        <f t="shared" si="116"/>
        <v>0</v>
      </c>
      <c r="S425" s="3">
        <f>J425*75200</f>
        <v>0</v>
      </c>
    </row>
    <row r="426" spans="1:19" s="1" customFormat="1">
      <c r="A426" s="356" t="s">
        <v>682</v>
      </c>
      <c r="B426" s="675"/>
      <c r="C426" s="35"/>
      <c r="D426" s="234"/>
      <c r="E426" s="234"/>
      <c r="F426" s="191"/>
      <c r="G426" s="195"/>
      <c r="H426" s="80"/>
      <c r="I426" s="114"/>
      <c r="J426" s="35">
        <f t="shared" si="113"/>
        <v>0</v>
      </c>
      <c r="K426" s="3">
        <f>C426*VLOOKUP(A426,[1]오일단가!$A:$S,13,0)</f>
        <v>0</v>
      </c>
      <c r="L426" s="302"/>
      <c r="M426" s="299"/>
      <c r="N426" s="283">
        <f>F426*VLOOKUP(A426,[1]오일단가!$A:$S,14,0)</f>
        <v>0</v>
      </c>
      <c r="O426" s="276"/>
      <c r="P426" s="482"/>
      <c r="Q426" s="5"/>
      <c r="R426" s="3">
        <f t="shared" si="116"/>
        <v>0</v>
      </c>
      <c r="S426" s="3">
        <f>J426*12100</f>
        <v>0</v>
      </c>
    </row>
    <row r="427" spans="1:19" s="1" customFormat="1">
      <c r="A427" s="354" t="s">
        <v>665</v>
      </c>
      <c r="B427" s="675"/>
      <c r="C427" s="237"/>
      <c r="D427" s="242"/>
      <c r="E427" s="234"/>
      <c r="F427" s="230"/>
      <c r="G427" s="345"/>
      <c r="H427" s="80"/>
      <c r="I427" s="114"/>
      <c r="J427" s="35">
        <f t="shared" si="113"/>
        <v>0</v>
      </c>
      <c r="K427" s="3">
        <f>C427*VLOOKUP(A427,[1]오일단가!$A:$S,13,0)</f>
        <v>0</v>
      </c>
      <c r="L427" s="302"/>
      <c r="M427" s="299"/>
      <c r="N427" s="283">
        <f>F427*VLOOKUP(A427,[1]오일단가!$A:$S,14,0)</f>
        <v>0</v>
      </c>
      <c r="O427" s="276"/>
      <c r="P427" s="482"/>
      <c r="Q427" s="5"/>
      <c r="R427" s="3">
        <f t="shared" si="116"/>
        <v>0</v>
      </c>
      <c r="S427" s="3">
        <f>J427*158660</f>
        <v>0</v>
      </c>
    </row>
    <row r="428" spans="1:19" s="1" customFormat="1">
      <c r="A428" s="356" t="s">
        <v>666</v>
      </c>
      <c r="B428" s="675"/>
      <c r="C428" s="35"/>
      <c r="D428" s="234"/>
      <c r="E428" s="234"/>
      <c r="F428" s="191"/>
      <c r="G428" s="195"/>
      <c r="H428" s="80"/>
      <c r="I428" s="114"/>
      <c r="J428" s="35">
        <f t="shared" si="113"/>
        <v>0</v>
      </c>
      <c r="K428" s="3">
        <f>C428*VLOOKUP(A428,[1]오일단가!$A:$S,13,0)</f>
        <v>0</v>
      </c>
      <c r="L428" s="302"/>
      <c r="M428" s="299"/>
      <c r="N428" s="283">
        <f>F428*VLOOKUP(A428,[1]오일단가!$A:$S,14,0)</f>
        <v>0</v>
      </c>
      <c r="O428" s="276"/>
      <c r="P428" s="482"/>
      <c r="Q428" s="5"/>
      <c r="R428" s="3">
        <f t="shared" si="116"/>
        <v>0</v>
      </c>
      <c r="S428" s="3">
        <f>J428*14200</f>
        <v>0</v>
      </c>
    </row>
    <row r="429" spans="1:19" s="1" customFormat="1">
      <c r="A429" s="356" t="s">
        <v>534</v>
      </c>
      <c r="B429" s="675"/>
      <c r="C429" s="35"/>
      <c r="D429" s="234"/>
      <c r="E429" s="234"/>
      <c r="F429" s="191"/>
      <c r="G429" s="195"/>
      <c r="H429" s="80"/>
      <c r="I429" s="114"/>
      <c r="J429" s="35">
        <f t="shared" si="113"/>
        <v>0</v>
      </c>
      <c r="K429" s="3">
        <f>C429*VLOOKUP(A429,[1]오일단가!$A:$S,13,0)</f>
        <v>0</v>
      </c>
      <c r="L429" s="302"/>
      <c r="M429" s="299"/>
      <c r="N429" s="283">
        <f>F429*VLOOKUP(A429,[1]오일단가!$A:$S,14,0)</f>
        <v>0</v>
      </c>
      <c r="O429" s="276"/>
      <c r="P429" s="482"/>
      <c r="Q429" s="5"/>
      <c r="R429" s="3">
        <f t="shared" si="116"/>
        <v>0</v>
      </c>
      <c r="S429" s="3">
        <f>J429*11100</f>
        <v>0</v>
      </c>
    </row>
    <row r="430" spans="1:19" s="1" customFormat="1">
      <c r="A430" s="356" t="s">
        <v>688</v>
      </c>
      <c r="B430" s="675"/>
      <c r="C430" s="35"/>
      <c r="D430" s="234"/>
      <c r="E430" s="234"/>
      <c r="F430" s="191"/>
      <c r="G430" s="195"/>
      <c r="H430" s="80"/>
      <c r="I430" s="114"/>
      <c r="J430" s="35">
        <f t="shared" si="113"/>
        <v>0</v>
      </c>
      <c r="K430" s="3">
        <f>C430*184000</f>
        <v>0</v>
      </c>
      <c r="L430" s="302"/>
      <c r="M430" s="299"/>
      <c r="N430" s="283">
        <f>F430*166000</f>
        <v>0</v>
      </c>
      <c r="O430" s="276"/>
      <c r="P430" s="482"/>
      <c r="Q430" s="5"/>
      <c r="R430" s="3">
        <f t="shared" si="116"/>
        <v>0</v>
      </c>
      <c r="S430" s="3">
        <f>J430*14900</f>
        <v>0</v>
      </c>
    </row>
    <row r="431" spans="1:19" s="1" customFormat="1">
      <c r="A431" s="354" t="s">
        <v>667</v>
      </c>
      <c r="B431" s="675"/>
      <c r="C431" s="237"/>
      <c r="D431" s="234"/>
      <c r="E431" s="234"/>
      <c r="F431" s="230"/>
      <c r="G431" s="345"/>
      <c r="H431" s="80"/>
      <c r="I431" s="114"/>
      <c r="J431" s="35">
        <f t="shared" si="113"/>
        <v>0</v>
      </c>
      <c r="K431" s="3">
        <f>C431*VLOOKUP(A431,[1]오일단가!$A:$S,13,0)</f>
        <v>0</v>
      </c>
      <c r="L431" s="302"/>
      <c r="M431" s="299"/>
      <c r="N431" s="283">
        <f>F431*VLOOKUP(A431,[1]오일단가!$A:$S,14,0)</f>
        <v>0</v>
      </c>
      <c r="O431" s="276"/>
      <c r="P431" s="482"/>
      <c r="Q431" s="5"/>
      <c r="R431" s="3">
        <f t="shared" si="116"/>
        <v>0</v>
      </c>
      <c r="S431" s="3">
        <f>J431*6400</f>
        <v>0</v>
      </c>
    </row>
    <row r="432" spans="1:19" s="1" customFormat="1">
      <c r="A432" s="356" t="s">
        <v>668</v>
      </c>
      <c r="B432" s="675"/>
      <c r="C432" s="35"/>
      <c r="D432" s="234"/>
      <c r="E432" s="234"/>
      <c r="F432" s="191"/>
      <c r="G432" s="195"/>
      <c r="H432" s="80"/>
      <c r="I432" s="114"/>
      <c r="J432" s="35">
        <f t="shared" si="113"/>
        <v>0</v>
      </c>
      <c r="K432" s="3">
        <f>C432*VLOOKUP(A432,[1]오일단가!$A:$S,13,0)</f>
        <v>0</v>
      </c>
      <c r="L432" s="302"/>
      <c r="M432" s="299"/>
      <c r="N432" s="283">
        <f>F432*VLOOKUP(A432,[1]오일단가!$A:$S,14,0)</f>
        <v>0</v>
      </c>
      <c r="O432" s="276"/>
      <c r="P432" s="482"/>
      <c r="Q432" s="5"/>
      <c r="R432" s="3">
        <f t="shared" si="116"/>
        <v>0</v>
      </c>
      <c r="S432" s="3">
        <f>J432*99400</f>
        <v>0</v>
      </c>
    </row>
    <row r="433" spans="1:19" s="1" customFormat="1">
      <c r="A433" s="356" t="s">
        <v>681</v>
      </c>
      <c r="B433" s="675"/>
      <c r="C433" s="35"/>
      <c r="D433" s="234"/>
      <c r="E433" s="234"/>
      <c r="F433" s="191"/>
      <c r="G433" s="195"/>
      <c r="H433" s="80"/>
      <c r="I433" s="114"/>
      <c r="J433" s="35">
        <f t="shared" si="113"/>
        <v>0</v>
      </c>
      <c r="K433" s="3">
        <f>C433*VLOOKUP(A433,[1]오일단가!$A:$S,13,0)</f>
        <v>0</v>
      </c>
      <c r="L433" s="302"/>
      <c r="M433" s="299"/>
      <c r="N433" s="283">
        <f>F433*VLOOKUP(A433,[1]오일단가!$A:$S,14,0)</f>
        <v>0</v>
      </c>
      <c r="O433" s="276"/>
      <c r="P433" s="482"/>
      <c r="Q433" s="5"/>
      <c r="R433" s="3">
        <f t="shared" si="116"/>
        <v>0</v>
      </c>
      <c r="S433" s="3">
        <f>J433*11300</f>
        <v>0</v>
      </c>
    </row>
    <row r="434" spans="1:19" s="1" customFormat="1">
      <c r="A434" s="356" t="s">
        <v>669</v>
      </c>
      <c r="B434" s="675"/>
      <c r="C434" s="35"/>
      <c r="D434" s="234"/>
      <c r="E434" s="234"/>
      <c r="F434" s="191"/>
      <c r="G434" s="195"/>
      <c r="H434" s="80"/>
      <c r="I434" s="114"/>
      <c r="J434" s="35">
        <f t="shared" si="113"/>
        <v>0</v>
      </c>
      <c r="K434" s="3">
        <f>C434*VLOOKUP(A434,[1]오일단가!$A:$S,13,0)</f>
        <v>0</v>
      </c>
      <c r="L434" s="302"/>
      <c r="M434" s="299"/>
      <c r="N434" s="283">
        <f>F434*VLOOKUP(A434,[1]오일단가!$A:$S,14,0)</f>
        <v>0</v>
      </c>
      <c r="O434" s="276"/>
      <c r="P434" s="482"/>
      <c r="Q434" s="5"/>
      <c r="R434" s="3">
        <f t="shared" si="116"/>
        <v>0</v>
      </c>
      <c r="S434" s="3">
        <f>J434*67500</f>
        <v>0</v>
      </c>
    </row>
    <row r="435" spans="1:19" s="1" customFormat="1">
      <c r="A435" s="354" t="s">
        <v>670</v>
      </c>
      <c r="B435" s="675"/>
      <c r="C435" s="237"/>
      <c r="D435" s="234"/>
      <c r="E435" s="234"/>
      <c r="F435" s="230"/>
      <c r="G435" s="345"/>
      <c r="H435" s="80"/>
      <c r="I435" s="114"/>
      <c r="J435" s="35">
        <f t="shared" si="113"/>
        <v>0</v>
      </c>
      <c r="K435" s="3">
        <f>C435*VLOOKUP(A435,[1]오일단가!$A:$S,13,0)</f>
        <v>0</v>
      </c>
      <c r="L435" s="302"/>
      <c r="M435" s="299"/>
      <c r="N435" s="283">
        <f>F435*VLOOKUP(A435,[1]오일단가!$A:$S,14,0)</f>
        <v>0</v>
      </c>
      <c r="O435" s="276"/>
      <c r="P435" s="482"/>
      <c r="Q435" s="5"/>
      <c r="R435" s="3">
        <f t="shared" si="116"/>
        <v>0</v>
      </c>
      <c r="S435" s="3">
        <f>J435*31750</f>
        <v>0</v>
      </c>
    </row>
    <row r="436" spans="1:19" s="1" customFormat="1">
      <c r="A436" s="356" t="s">
        <v>671</v>
      </c>
      <c r="B436" s="675"/>
      <c r="C436" s="35"/>
      <c r="D436" s="234"/>
      <c r="E436" s="234"/>
      <c r="F436" s="191"/>
      <c r="G436" s="195"/>
      <c r="H436" s="80"/>
      <c r="I436" s="114"/>
      <c r="J436" s="35">
        <f t="shared" si="113"/>
        <v>0</v>
      </c>
      <c r="K436" s="3">
        <f>C436*VLOOKUP(A436,[1]오일단가!$A:$S,13,0)</f>
        <v>0</v>
      </c>
      <c r="L436" s="302"/>
      <c r="M436" s="299"/>
      <c r="N436" s="283">
        <f>F436*VLOOKUP(A436,[1]오일단가!$A:$S,14,0)</f>
        <v>0</v>
      </c>
      <c r="O436" s="276"/>
      <c r="P436" s="482"/>
      <c r="Q436" s="5"/>
      <c r="R436" s="3">
        <f t="shared" si="116"/>
        <v>0</v>
      </c>
      <c r="S436" s="3">
        <f>J436*16020</f>
        <v>0</v>
      </c>
    </row>
    <row r="437" spans="1:19" s="1" customFormat="1">
      <c r="A437" s="356" t="s">
        <v>535</v>
      </c>
      <c r="B437" s="675"/>
      <c r="C437" s="35"/>
      <c r="D437" s="234"/>
      <c r="E437" s="234"/>
      <c r="F437" s="191"/>
      <c r="G437" s="195"/>
      <c r="H437" s="80"/>
      <c r="I437" s="114"/>
      <c r="J437" s="35">
        <f t="shared" si="113"/>
        <v>0</v>
      </c>
      <c r="K437" s="3">
        <f>C437*VLOOKUP(A437,[1]오일단가!$A:$S,13,0)</f>
        <v>0</v>
      </c>
      <c r="L437" s="302"/>
      <c r="M437" s="299"/>
      <c r="N437" s="283">
        <f>F437*VLOOKUP(A437,[1]오일단가!$A:$S,14,0)</f>
        <v>0</v>
      </c>
      <c r="O437" s="276"/>
      <c r="P437" s="482"/>
      <c r="Q437" s="5"/>
      <c r="R437" s="3">
        <f t="shared" si="116"/>
        <v>0</v>
      </c>
      <c r="S437" s="3">
        <f>J437*13600</f>
        <v>0</v>
      </c>
    </row>
    <row r="438" spans="1:19" s="1" customFormat="1">
      <c r="A438" s="356" t="s">
        <v>677</v>
      </c>
      <c r="B438" s="675"/>
      <c r="C438" s="35"/>
      <c r="D438" s="234"/>
      <c r="E438" s="234"/>
      <c r="F438" s="191"/>
      <c r="G438" s="195"/>
      <c r="H438" s="80"/>
      <c r="I438" s="114"/>
      <c r="J438" s="35">
        <f t="shared" si="113"/>
        <v>0</v>
      </c>
      <c r="K438" s="3">
        <f>C438*VLOOKUP(A438,[1]오일단가!$A:$S,13,0)</f>
        <v>0</v>
      </c>
      <c r="L438" s="302"/>
      <c r="M438" s="299"/>
      <c r="N438" s="283">
        <f>F438*VLOOKUP(A438,[1]오일단가!$A:$S,14,0)</f>
        <v>0</v>
      </c>
      <c r="O438" s="276"/>
      <c r="P438" s="482"/>
      <c r="Q438" s="5"/>
      <c r="R438" s="3">
        <f t="shared" si="116"/>
        <v>0</v>
      </c>
      <c r="S438" s="3">
        <f>J438*13600</f>
        <v>0</v>
      </c>
    </row>
    <row r="439" spans="1:19" s="1" customFormat="1">
      <c r="A439" s="354" t="s">
        <v>484</v>
      </c>
      <c r="B439" s="675"/>
      <c r="C439" s="237"/>
      <c r="D439" s="234"/>
      <c r="E439" s="234"/>
      <c r="F439" s="230"/>
      <c r="G439" s="345"/>
      <c r="H439" s="80"/>
      <c r="I439" s="114"/>
      <c r="J439" s="35">
        <f t="shared" si="113"/>
        <v>0</v>
      </c>
      <c r="K439" s="3">
        <f>C439*VLOOKUP(A439,[1]오일단가!$A:$S,13,0)</f>
        <v>0</v>
      </c>
      <c r="L439" s="302"/>
      <c r="M439" s="299"/>
      <c r="N439" s="283">
        <f>F439*VLOOKUP(A439,[1]오일단가!$A:$S,14,0)</f>
        <v>0</v>
      </c>
      <c r="O439" s="276"/>
      <c r="P439" s="482"/>
      <c r="Q439" s="5"/>
      <c r="R439" s="3">
        <f t="shared" si="116"/>
        <v>0</v>
      </c>
      <c r="S439" s="3">
        <f>J439*31200</f>
        <v>0</v>
      </c>
    </row>
    <row r="440" spans="1:19" s="1" customFormat="1">
      <c r="A440" s="354" t="s">
        <v>689</v>
      </c>
      <c r="B440" s="675"/>
      <c r="C440" s="237"/>
      <c r="D440" s="234"/>
      <c r="E440" s="234"/>
      <c r="F440" s="230"/>
      <c r="G440" s="345"/>
      <c r="H440" s="80"/>
      <c r="I440" s="114"/>
      <c r="J440" s="35">
        <f t="shared" si="113"/>
        <v>0</v>
      </c>
      <c r="K440" s="3">
        <f>C440*880000</f>
        <v>0</v>
      </c>
      <c r="L440" s="302"/>
      <c r="M440" s="299"/>
      <c r="N440" s="283">
        <f>F440*792000</f>
        <v>0</v>
      </c>
      <c r="O440" s="276"/>
      <c r="P440" s="482"/>
      <c r="Q440" s="5"/>
      <c r="R440" s="3">
        <f t="shared" si="116"/>
        <v>0</v>
      </c>
      <c r="S440" s="3">
        <f>J440*48800</f>
        <v>0</v>
      </c>
    </row>
    <row r="441" spans="1:19" s="1" customFormat="1">
      <c r="A441" s="354" t="s">
        <v>698</v>
      </c>
      <c r="B441" s="675"/>
      <c r="C441" s="237"/>
      <c r="D441" s="234"/>
      <c r="E441" s="234"/>
      <c r="F441" s="230"/>
      <c r="G441" s="345"/>
      <c r="H441" s="80"/>
      <c r="I441" s="114"/>
      <c r="J441" s="35">
        <f t="shared" si="113"/>
        <v>0</v>
      </c>
      <c r="K441" s="3">
        <f>C441*1000000</f>
        <v>0</v>
      </c>
      <c r="L441" s="302"/>
      <c r="M441" s="299"/>
      <c r="N441" s="283">
        <f>F441*900000</f>
        <v>0</v>
      </c>
      <c r="O441" s="276"/>
      <c r="P441" s="482"/>
      <c r="Q441" s="5"/>
      <c r="R441" s="3">
        <f t="shared" si="116"/>
        <v>0</v>
      </c>
      <c r="S441" s="3">
        <f>J441*79700</f>
        <v>0</v>
      </c>
    </row>
    <row r="442" spans="1:19" s="1" customFormat="1">
      <c r="A442" s="356" t="s">
        <v>536</v>
      </c>
      <c r="B442" s="675"/>
      <c r="C442" s="35"/>
      <c r="D442" s="234"/>
      <c r="E442" s="234"/>
      <c r="F442" s="191"/>
      <c r="G442" s="195"/>
      <c r="H442" s="80"/>
      <c r="I442" s="114"/>
      <c r="J442" s="35">
        <f t="shared" si="113"/>
        <v>0</v>
      </c>
      <c r="K442" s="3">
        <f>C442*VLOOKUP(A442,[1]오일단가!$A:$S,13,0)</f>
        <v>0</v>
      </c>
      <c r="L442" s="302"/>
      <c r="M442" s="299"/>
      <c r="N442" s="283">
        <f>F442*VLOOKUP(A442,[1]오일단가!$A:$S,14,0)</f>
        <v>0</v>
      </c>
      <c r="O442" s="276"/>
      <c r="P442" s="482"/>
      <c r="Q442" s="5"/>
      <c r="R442" s="3">
        <f t="shared" si="116"/>
        <v>0</v>
      </c>
      <c r="S442" s="3">
        <f>J442*168900</f>
        <v>0</v>
      </c>
    </row>
    <row r="443" spans="1:19" s="1" customFormat="1">
      <c r="A443" s="356" t="s">
        <v>683</v>
      </c>
      <c r="B443" s="675"/>
      <c r="C443" s="35"/>
      <c r="D443" s="234"/>
      <c r="E443" s="234"/>
      <c r="F443" s="191"/>
      <c r="G443" s="195"/>
      <c r="H443" s="80"/>
      <c r="I443" s="114"/>
      <c r="J443" s="35">
        <f t="shared" si="113"/>
        <v>0</v>
      </c>
      <c r="K443" s="3">
        <f>C443*VLOOKUP(A443,[1]오일단가!$A:$S,13,0)</f>
        <v>0</v>
      </c>
      <c r="L443" s="302"/>
      <c r="M443" s="299"/>
      <c r="N443" s="283">
        <f>F443*VLOOKUP(A443,[1]오일단가!$A:$S,14,0)</f>
        <v>0</v>
      </c>
      <c r="O443" s="276"/>
      <c r="P443" s="482"/>
      <c r="Q443" s="5"/>
      <c r="R443" s="3">
        <f t="shared" si="116"/>
        <v>0</v>
      </c>
      <c r="S443" s="3">
        <f>J443*10600</f>
        <v>0</v>
      </c>
    </row>
    <row r="444" spans="1:19" s="1" customFormat="1">
      <c r="A444" s="354" t="s">
        <v>487</v>
      </c>
      <c r="B444" s="675"/>
      <c r="C444" s="237"/>
      <c r="D444" s="234"/>
      <c r="E444" s="234"/>
      <c r="F444" s="230"/>
      <c r="G444" s="345"/>
      <c r="H444" s="80"/>
      <c r="I444" s="114"/>
      <c r="J444" s="35">
        <f t="shared" si="113"/>
        <v>0</v>
      </c>
      <c r="K444" s="3">
        <f>C444*VLOOKUP(A444,[1]오일단가!$A:$S,13,0)</f>
        <v>0</v>
      </c>
      <c r="L444" s="302"/>
      <c r="M444" s="299"/>
      <c r="N444" s="283">
        <f>F444*VLOOKUP(A444,[1]오일단가!$A:$S,14,0)</f>
        <v>0</v>
      </c>
      <c r="O444" s="276"/>
      <c r="P444" s="482"/>
      <c r="Q444" s="5"/>
      <c r="R444" s="3">
        <f t="shared" si="116"/>
        <v>0</v>
      </c>
      <c r="S444" s="3">
        <f>J444*6780</f>
        <v>0</v>
      </c>
    </row>
    <row r="445" spans="1:19" s="1" customFormat="1">
      <c r="A445" s="354" t="s">
        <v>690</v>
      </c>
      <c r="B445" s="675"/>
      <c r="C445" s="237"/>
      <c r="D445" s="234"/>
      <c r="E445" s="234"/>
      <c r="F445" s="230"/>
      <c r="G445" s="345"/>
      <c r="H445" s="80"/>
      <c r="I445" s="114"/>
      <c r="J445" s="35">
        <f t="shared" si="113"/>
        <v>0</v>
      </c>
      <c r="K445" s="3">
        <f>C445*136000</f>
        <v>0</v>
      </c>
      <c r="L445" s="302"/>
      <c r="M445" s="299"/>
      <c r="N445" s="283">
        <f>F445*122000</f>
        <v>0</v>
      </c>
      <c r="O445" s="276"/>
      <c r="P445" s="482"/>
      <c r="Q445" s="5"/>
      <c r="R445" s="3">
        <f t="shared" si="116"/>
        <v>0</v>
      </c>
      <c r="S445" s="3">
        <f>J445*15700</f>
        <v>0</v>
      </c>
    </row>
    <row r="446" spans="1:19" s="1" customFormat="1">
      <c r="A446" s="354" t="s">
        <v>488</v>
      </c>
      <c r="B446" s="675"/>
      <c r="C446" s="237">
        <v>1</v>
      </c>
      <c r="D446" s="234"/>
      <c r="E446" s="234"/>
      <c r="F446" s="230"/>
      <c r="G446" s="345"/>
      <c r="H446" s="80"/>
      <c r="I446" s="114"/>
      <c r="J446" s="35">
        <f t="shared" si="113"/>
        <v>1</v>
      </c>
      <c r="K446" s="3">
        <f>C446*VLOOKUP(A446,[1]오일단가!$A:$S,13,0)</f>
        <v>80000</v>
      </c>
      <c r="L446" s="302"/>
      <c r="M446" s="299"/>
      <c r="N446" s="283">
        <f>F446*VLOOKUP(A446,[1]오일단가!$A:$S,14,0)</f>
        <v>0</v>
      </c>
      <c r="O446" s="276"/>
      <c r="P446" s="482"/>
      <c r="Q446" s="5"/>
      <c r="R446" s="3">
        <f t="shared" si="116"/>
        <v>80000</v>
      </c>
      <c r="S446" s="3">
        <f>J446*9459</f>
        <v>9459</v>
      </c>
    </row>
    <row r="447" spans="1:19" s="1" customFormat="1">
      <c r="A447" s="354" t="s">
        <v>678</v>
      </c>
      <c r="B447" s="675"/>
      <c r="C447" s="237"/>
      <c r="D447" s="234"/>
      <c r="E447" s="234"/>
      <c r="F447" s="191"/>
      <c r="G447" s="195"/>
      <c r="H447" s="80"/>
      <c r="I447" s="114"/>
      <c r="J447" s="35">
        <f t="shared" si="113"/>
        <v>0</v>
      </c>
      <c r="K447" s="3">
        <f>C447*VLOOKUP(A447,[1]오일단가!$A:$S,13,0)</f>
        <v>0</v>
      </c>
      <c r="L447" s="302"/>
      <c r="M447" s="299"/>
      <c r="N447" s="283">
        <f>F447*VLOOKUP(A447,[1]오일단가!$A:$S,14,0)</f>
        <v>0</v>
      </c>
      <c r="O447" s="276"/>
      <c r="P447" s="482"/>
      <c r="Q447" s="5"/>
      <c r="R447" s="3">
        <f t="shared" si="116"/>
        <v>0</v>
      </c>
      <c r="S447" s="3">
        <f>J447*13600</f>
        <v>0</v>
      </c>
    </row>
    <row r="448" spans="1:19" s="1" customFormat="1">
      <c r="A448" s="356" t="s">
        <v>489</v>
      </c>
      <c r="B448" s="675"/>
      <c r="C448" s="35"/>
      <c r="D448" s="33"/>
      <c r="E448" s="33"/>
      <c r="F448" s="191"/>
      <c r="G448" s="195"/>
      <c r="H448" s="80"/>
      <c r="I448" s="114"/>
      <c r="J448" s="35">
        <f t="shared" si="113"/>
        <v>0</v>
      </c>
      <c r="K448" s="3">
        <f>C448*VLOOKUP(A448,[1]오일단가!$A:$S,13,0)</f>
        <v>0</v>
      </c>
      <c r="L448" s="302"/>
      <c r="M448" s="299"/>
      <c r="N448" s="283">
        <f>F448*VLOOKUP(A448,[1]오일단가!$A:$S,14,0)</f>
        <v>0</v>
      </c>
      <c r="O448" s="276"/>
      <c r="P448" s="482"/>
      <c r="Q448" s="5"/>
      <c r="R448" s="3">
        <f t="shared" si="116"/>
        <v>0</v>
      </c>
      <c r="S448" s="3">
        <f>J448*45060</f>
        <v>0</v>
      </c>
    </row>
    <row r="449" spans="1:19" s="1" customFormat="1">
      <c r="A449" s="356" t="s">
        <v>672</v>
      </c>
      <c r="B449" s="675"/>
      <c r="C449" s="35"/>
      <c r="D449" s="234"/>
      <c r="E449" s="234"/>
      <c r="F449" s="191"/>
      <c r="G449" s="195"/>
      <c r="H449" s="80"/>
      <c r="I449" s="114"/>
      <c r="J449" s="35">
        <f t="shared" si="113"/>
        <v>0</v>
      </c>
      <c r="K449" s="3">
        <f>C449*VLOOKUP(A449,[1]오일단가!$A:$S,13,0)</f>
        <v>0</v>
      </c>
      <c r="L449" s="302"/>
      <c r="M449" s="299"/>
      <c r="N449" s="283">
        <f>F449*VLOOKUP(A449,[1]오일단가!$A:$S,14,0)</f>
        <v>0</v>
      </c>
      <c r="O449" s="276"/>
      <c r="P449" s="482"/>
      <c r="Q449" s="5"/>
      <c r="R449" s="3">
        <f t="shared" si="116"/>
        <v>0</v>
      </c>
      <c r="S449" s="3">
        <f>J449*44300</f>
        <v>0</v>
      </c>
    </row>
    <row r="450" spans="1:19" s="1" customFormat="1">
      <c r="A450" s="354" t="s">
        <v>673</v>
      </c>
      <c r="B450" s="675"/>
      <c r="C450" s="237"/>
      <c r="D450" s="234"/>
      <c r="E450" s="234"/>
      <c r="F450" s="230"/>
      <c r="G450" s="345"/>
      <c r="H450" s="80"/>
      <c r="I450" s="114"/>
      <c r="J450" s="35">
        <f t="shared" si="113"/>
        <v>0</v>
      </c>
      <c r="K450" s="3">
        <f>C450*VLOOKUP(A450,[1]오일단가!$A:$S,13,0)</f>
        <v>0</v>
      </c>
      <c r="L450" s="302"/>
      <c r="M450" s="299"/>
      <c r="N450" s="283">
        <f>F450*VLOOKUP(A450,[1]오일단가!$A:$S,14,0)</f>
        <v>0</v>
      </c>
      <c r="O450" s="276"/>
      <c r="P450" s="482"/>
      <c r="Q450" s="5"/>
      <c r="R450" s="3">
        <f t="shared" si="116"/>
        <v>0</v>
      </c>
      <c r="S450" s="3">
        <f>J450*56500</f>
        <v>0</v>
      </c>
    </row>
    <row r="451" spans="1:19" s="1" customFormat="1">
      <c r="A451" s="356" t="s">
        <v>537</v>
      </c>
      <c r="B451" s="675"/>
      <c r="C451" s="35"/>
      <c r="D451" s="234"/>
      <c r="E451" s="234"/>
      <c r="F451" s="191"/>
      <c r="G451" s="195"/>
      <c r="H451" s="80"/>
      <c r="I451" s="114"/>
      <c r="J451" s="35">
        <f t="shared" si="113"/>
        <v>0</v>
      </c>
      <c r="K451" s="3">
        <f>C451*VLOOKUP(A451,[1]오일단가!$A:$S,13,0)</f>
        <v>0</v>
      </c>
      <c r="L451" s="302"/>
      <c r="M451" s="299"/>
      <c r="N451" s="283">
        <f>F451*VLOOKUP(A451,[1]오일단가!$A:$S,14,0)</f>
        <v>0</v>
      </c>
      <c r="O451" s="276"/>
      <c r="P451" s="482"/>
      <c r="Q451" s="5"/>
      <c r="R451" s="3">
        <f t="shared" si="116"/>
        <v>0</v>
      </c>
      <c r="S451" s="3">
        <f>J451*31750</f>
        <v>0</v>
      </c>
    </row>
    <row r="452" spans="1:19" s="1" customFormat="1">
      <c r="A452" s="356" t="s">
        <v>538</v>
      </c>
      <c r="B452" s="675"/>
      <c r="C452" s="35"/>
      <c r="D452" s="234"/>
      <c r="E452" s="234"/>
      <c r="F452" s="191"/>
      <c r="G452" s="195"/>
      <c r="H452" s="80"/>
      <c r="I452" s="114"/>
      <c r="J452" s="35">
        <f t="shared" si="113"/>
        <v>0</v>
      </c>
      <c r="K452" s="3">
        <f>C452*VLOOKUP(A452,[1]오일단가!$A:$S,13,0)</f>
        <v>0</v>
      </c>
      <c r="L452" s="302"/>
      <c r="M452" s="299"/>
      <c r="N452" s="283">
        <f>F452*VLOOKUP(A452,[1]오일단가!$A:$S,14,0)</f>
        <v>0</v>
      </c>
      <c r="O452" s="276"/>
      <c r="P452" s="482"/>
      <c r="Q452" s="5"/>
      <c r="R452" s="3">
        <f t="shared" si="116"/>
        <v>0</v>
      </c>
      <c r="S452" s="3">
        <f>J452*43300</f>
        <v>0</v>
      </c>
    </row>
    <row r="453" spans="1:19" s="1" customFormat="1">
      <c r="A453" s="356" t="s">
        <v>699</v>
      </c>
      <c r="B453" s="675"/>
      <c r="C453" s="35"/>
      <c r="D453" s="234"/>
      <c r="E453" s="234"/>
      <c r="F453" s="191"/>
      <c r="G453" s="195"/>
      <c r="H453" s="80"/>
      <c r="I453" s="114"/>
      <c r="J453" s="35">
        <f t="shared" si="113"/>
        <v>0</v>
      </c>
      <c r="K453" s="3">
        <f>C453*184000</f>
        <v>0</v>
      </c>
      <c r="L453" s="302"/>
      <c r="M453" s="299"/>
      <c r="N453" s="283">
        <f>F453*166000</f>
        <v>0</v>
      </c>
      <c r="O453" s="276"/>
      <c r="P453" s="482"/>
      <c r="Q453" s="5"/>
      <c r="R453" s="3">
        <f t="shared" si="116"/>
        <v>0</v>
      </c>
      <c r="S453" s="3">
        <f>J453*21700</f>
        <v>0</v>
      </c>
    </row>
    <row r="454" spans="1:19" s="1" customFormat="1">
      <c r="A454" s="356" t="s">
        <v>700</v>
      </c>
      <c r="B454" s="675"/>
      <c r="C454" s="35"/>
      <c r="D454" s="234"/>
      <c r="E454" s="234"/>
      <c r="F454" s="191"/>
      <c r="G454" s="195"/>
      <c r="H454" s="80"/>
      <c r="I454" s="114"/>
      <c r="J454" s="35">
        <f t="shared" si="113"/>
        <v>0</v>
      </c>
      <c r="K454" s="3">
        <f>C454*228000</f>
        <v>0</v>
      </c>
      <c r="L454" s="302"/>
      <c r="M454" s="299"/>
      <c r="N454" s="283">
        <f>F454*205000</f>
        <v>0</v>
      </c>
      <c r="O454" s="276"/>
      <c r="P454" s="482"/>
      <c r="Q454" s="5"/>
      <c r="R454" s="3">
        <f t="shared" si="116"/>
        <v>0</v>
      </c>
      <c r="S454" s="3">
        <f>J454*42900</f>
        <v>0</v>
      </c>
    </row>
    <row r="455" spans="1:19" s="1" customFormat="1">
      <c r="A455" s="356" t="s">
        <v>715</v>
      </c>
      <c r="B455" s="675"/>
      <c r="C455" s="35"/>
      <c r="D455" s="234"/>
      <c r="E455" s="234"/>
      <c r="F455" s="191"/>
      <c r="G455" s="195"/>
      <c r="H455" s="80"/>
      <c r="I455" s="114"/>
      <c r="J455" s="35">
        <f t="shared" si="113"/>
        <v>0</v>
      </c>
      <c r="K455" s="3">
        <f>C455*184000</f>
        <v>0</v>
      </c>
      <c r="L455" s="302"/>
      <c r="M455" s="299"/>
      <c r="N455" s="283">
        <f>F455*166000</f>
        <v>0</v>
      </c>
      <c r="O455" s="276"/>
      <c r="P455" s="482"/>
      <c r="Q455" s="5"/>
      <c r="R455" s="3">
        <f t="shared" si="116"/>
        <v>0</v>
      </c>
      <c r="S455" s="3">
        <f>J455*21200</f>
        <v>0</v>
      </c>
    </row>
    <row r="456" spans="1:19" s="1" customFormat="1">
      <c r="A456" s="356" t="s">
        <v>615</v>
      </c>
      <c r="B456" s="675"/>
      <c r="C456" s="35"/>
      <c r="D456" s="234"/>
      <c r="E456" s="234"/>
      <c r="F456" s="191"/>
      <c r="G456" s="195"/>
      <c r="H456" s="80"/>
      <c r="I456" s="114"/>
      <c r="J456" s="35">
        <f t="shared" si="113"/>
        <v>0</v>
      </c>
      <c r="K456" s="3">
        <f>C456*VLOOKUP(A456,[1]오일단가!$A:$S,13,0)</f>
        <v>0</v>
      </c>
      <c r="L456" s="302"/>
      <c r="M456" s="299"/>
      <c r="N456" s="283">
        <f>F456*VLOOKUP(A456,[1]오일단가!$A:$S,14,0)</f>
        <v>0</v>
      </c>
      <c r="O456" s="276"/>
      <c r="P456" s="482"/>
      <c r="Q456" s="5"/>
      <c r="R456" s="3">
        <f t="shared" si="116"/>
        <v>0</v>
      </c>
      <c r="S456" s="3">
        <f>J456*45500</f>
        <v>0</v>
      </c>
    </row>
    <row r="457" spans="1:19" s="1" customFormat="1">
      <c r="A457" s="356" t="s">
        <v>684</v>
      </c>
      <c r="B457" s="675"/>
      <c r="C457" s="35"/>
      <c r="D457" s="234"/>
      <c r="E457" s="234"/>
      <c r="F457" s="191"/>
      <c r="G457" s="195"/>
      <c r="H457" s="80"/>
      <c r="I457" s="114"/>
      <c r="J457" s="35">
        <f t="shared" si="113"/>
        <v>0</v>
      </c>
      <c r="K457" s="3">
        <f>C457*VLOOKUP(A457,[1]오일단가!$A:$S,13,0)</f>
        <v>0</v>
      </c>
      <c r="L457" s="302"/>
      <c r="M457" s="299"/>
      <c r="N457" s="283">
        <f>F457*VLOOKUP(A457,[1]오일단가!$A:$S,14,0)</f>
        <v>0</v>
      </c>
      <c r="O457" s="276"/>
      <c r="P457" s="482"/>
      <c r="Q457" s="5"/>
      <c r="R457" s="3">
        <f t="shared" si="116"/>
        <v>0</v>
      </c>
      <c r="S457" s="3">
        <f>J457*15200</f>
        <v>0</v>
      </c>
    </row>
    <row r="458" spans="1:19" s="1" customFormat="1">
      <c r="A458" s="356" t="s">
        <v>691</v>
      </c>
      <c r="B458" s="675"/>
      <c r="C458" s="35"/>
      <c r="D458" s="234"/>
      <c r="E458" s="234"/>
      <c r="F458" s="191"/>
      <c r="G458" s="195"/>
      <c r="H458" s="80"/>
      <c r="I458" s="114"/>
      <c r="J458" s="35">
        <f t="shared" si="113"/>
        <v>0</v>
      </c>
      <c r="K458" s="3">
        <f>C458*184000</f>
        <v>0</v>
      </c>
      <c r="L458" s="302"/>
      <c r="M458" s="299"/>
      <c r="N458" s="283">
        <f>F458*166000</f>
        <v>0</v>
      </c>
      <c r="O458" s="276"/>
      <c r="P458" s="482"/>
      <c r="Q458" s="5"/>
      <c r="R458" s="3">
        <f t="shared" si="116"/>
        <v>0</v>
      </c>
      <c r="S458" s="3">
        <f>J458*22800</f>
        <v>0</v>
      </c>
    </row>
    <row r="459" spans="1:19" s="1" customFormat="1">
      <c r="A459" s="356" t="s">
        <v>692</v>
      </c>
      <c r="B459" s="675"/>
      <c r="C459" s="35"/>
      <c r="D459" s="234"/>
      <c r="E459" s="234"/>
      <c r="F459" s="191"/>
      <c r="G459" s="195"/>
      <c r="H459" s="80"/>
      <c r="I459" s="114"/>
      <c r="J459" s="35">
        <f t="shared" si="113"/>
        <v>0</v>
      </c>
      <c r="K459" s="3">
        <f>C459*128000</f>
        <v>0</v>
      </c>
      <c r="L459" s="302"/>
      <c r="M459" s="299"/>
      <c r="N459" s="283">
        <f>F459*115000</f>
        <v>0</v>
      </c>
      <c r="O459" s="276"/>
      <c r="P459" s="482"/>
      <c r="Q459" s="5"/>
      <c r="R459" s="3">
        <f t="shared" si="116"/>
        <v>0</v>
      </c>
      <c r="S459" s="3">
        <f>J459*10400</f>
        <v>0</v>
      </c>
    </row>
    <row r="460" spans="1:19" s="1" customFormat="1">
      <c r="A460" s="356" t="s">
        <v>490</v>
      </c>
      <c r="B460" s="675"/>
      <c r="C460" s="35"/>
      <c r="D460" s="234"/>
      <c r="E460" s="234"/>
      <c r="F460" s="191"/>
      <c r="G460" s="195"/>
      <c r="H460" s="80"/>
      <c r="I460" s="114"/>
      <c r="J460" s="35">
        <f t="shared" si="113"/>
        <v>0</v>
      </c>
      <c r="K460" s="3">
        <f>C460*VLOOKUP(A460,[1]오일단가!$A:$S,13,0)</f>
        <v>0</v>
      </c>
      <c r="L460" s="302"/>
      <c r="M460" s="299"/>
      <c r="N460" s="283">
        <f>F460*VLOOKUP(A460,[1]오일단가!$A:$S,14,0)</f>
        <v>0</v>
      </c>
      <c r="O460" s="276"/>
      <c r="P460" s="482"/>
      <c r="Q460" s="5"/>
      <c r="R460" s="3">
        <f t="shared" si="116"/>
        <v>0</v>
      </c>
      <c r="S460" s="3">
        <f>J460*36700</f>
        <v>0</v>
      </c>
    </row>
    <row r="461" spans="1:19" s="1" customFormat="1">
      <c r="A461" s="356" t="s">
        <v>616</v>
      </c>
      <c r="B461" s="675"/>
      <c r="C461" s="35"/>
      <c r="D461" s="234"/>
      <c r="E461" s="234"/>
      <c r="F461" s="191"/>
      <c r="G461" s="195"/>
      <c r="H461" s="80"/>
      <c r="I461" s="114"/>
      <c r="J461" s="35">
        <f t="shared" si="113"/>
        <v>0</v>
      </c>
      <c r="K461" s="3">
        <f>C461*VLOOKUP(A461,[1]오일단가!$A:$S,13,0)</f>
        <v>0</v>
      </c>
      <c r="L461" s="302"/>
      <c r="M461" s="299"/>
      <c r="N461" s="283">
        <f>F461*VLOOKUP(A461,[1]오일단가!$A:$S,14,0)</f>
        <v>0</v>
      </c>
      <c r="O461" s="276"/>
      <c r="P461" s="482"/>
      <c r="Q461" s="5"/>
      <c r="R461" s="3">
        <f t="shared" si="116"/>
        <v>0</v>
      </c>
      <c r="S461" s="3">
        <f>J461*19980</f>
        <v>0</v>
      </c>
    </row>
    <row r="462" spans="1:19" s="1" customFormat="1">
      <c r="A462" s="356" t="s">
        <v>539</v>
      </c>
      <c r="B462" s="675"/>
      <c r="C462" s="35"/>
      <c r="D462" s="234"/>
      <c r="E462" s="234"/>
      <c r="F462" s="191"/>
      <c r="G462" s="195"/>
      <c r="H462" s="80"/>
      <c r="I462" s="114"/>
      <c r="J462" s="35">
        <f t="shared" si="113"/>
        <v>0</v>
      </c>
      <c r="K462" s="3">
        <f>C462*VLOOKUP(A462,[1]오일단가!$A:$S,13,0)</f>
        <v>0</v>
      </c>
      <c r="L462" s="302"/>
      <c r="M462" s="299"/>
      <c r="N462" s="283">
        <f>F462*VLOOKUP(A462,[1]오일단가!$A:$S,14,0)</f>
        <v>0</v>
      </c>
      <c r="O462" s="276"/>
      <c r="P462" s="482"/>
      <c r="Q462" s="5"/>
      <c r="R462" s="3">
        <f t="shared" si="116"/>
        <v>0</v>
      </c>
      <c r="S462" s="3">
        <f>J462*16900</f>
        <v>0</v>
      </c>
    </row>
    <row r="463" spans="1:19" s="1" customFormat="1">
      <c r="A463" s="356" t="s">
        <v>694</v>
      </c>
      <c r="B463" s="675"/>
      <c r="C463" s="35"/>
      <c r="D463" s="234"/>
      <c r="E463" s="234"/>
      <c r="F463" s="191"/>
      <c r="G463" s="195"/>
      <c r="H463" s="80"/>
      <c r="I463" s="114"/>
      <c r="J463" s="35">
        <f t="shared" si="113"/>
        <v>0</v>
      </c>
      <c r="K463" s="3">
        <f>C463*128000</f>
        <v>0</v>
      </c>
      <c r="L463" s="302"/>
      <c r="M463" s="299"/>
      <c r="N463" s="283">
        <f>F463*115000</f>
        <v>0</v>
      </c>
      <c r="O463" s="276"/>
      <c r="P463" s="482"/>
      <c r="Q463" s="5"/>
      <c r="R463" s="3">
        <f t="shared" si="116"/>
        <v>0</v>
      </c>
      <c r="S463" s="3">
        <f>J463*11100</f>
        <v>0</v>
      </c>
    </row>
    <row r="464" spans="1:19" s="1" customFormat="1">
      <c r="A464" s="354" t="s">
        <v>485</v>
      </c>
      <c r="B464" s="675"/>
      <c r="C464" s="237"/>
      <c r="D464" s="234"/>
      <c r="E464" s="234"/>
      <c r="F464" s="230"/>
      <c r="G464" s="345"/>
      <c r="H464" s="80"/>
      <c r="I464" s="114"/>
      <c r="J464" s="35">
        <f t="shared" si="113"/>
        <v>0</v>
      </c>
      <c r="K464" s="3">
        <f>C464*VLOOKUP(A464,[1]오일단가!$A:$S,13,0)</f>
        <v>0</v>
      </c>
      <c r="L464" s="302"/>
      <c r="M464" s="299"/>
      <c r="N464" s="283">
        <f>F464*VLOOKUP(A464,[1]오일단가!$A:$S,14,0)</f>
        <v>0</v>
      </c>
      <c r="O464" s="276"/>
      <c r="P464" s="482"/>
      <c r="Q464" s="5"/>
      <c r="R464" s="3">
        <f t="shared" si="116"/>
        <v>0</v>
      </c>
      <c r="S464" s="3">
        <f>J464*10100</f>
        <v>0</v>
      </c>
    </row>
    <row r="465" spans="1:19" s="1" customFormat="1">
      <c r="A465" s="356" t="s">
        <v>540</v>
      </c>
      <c r="B465" s="675"/>
      <c r="C465" s="35"/>
      <c r="D465" s="234"/>
      <c r="E465" s="234"/>
      <c r="F465" s="191"/>
      <c r="G465" s="195"/>
      <c r="H465" s="80"/>
      <c r="I465" s="114"/>
      <c r="J465" s="35">
        <f t="shared" si="113"/>
        <v>0</v>
      </c>
      <c r="K465" s="3">
        <f>C465*VLOOKUP(A465,[1]오일단가!$A:$S,13,0)</f>
        <v>0</v>
      </c>
      <c r="L465" s="302"/>
      <c r="M465" s="299"/>
      <c r="N465" s="283">
        <f>F465*VLOOKUP(A465,[1]오일단가!$A:$S,14,0)</f>
        <v>0</v>
      </c>
      <c r="O465" s="276"/>
      <c r="P465" s="482"/>
      <c r="Q465" s="5"/>
      <c r="R465" s="3">
        <f t="shared" si="116"/>
        <v>0</v>
      </c>
      <c r="S465" s="3">
        <f>J465*26800</f>
        <v>0</v>
      </c>
    </row>
    <row r="466" spans="1:19" s="1" customFormat="1">
      <c r="A466" s="356" t="s">
        <v>679</v>
      </c>
      <c r="B466" s="675"/>
      <c r="C466" s="35"/>
      <c r="D466" s="234"/>
      <c r="E466" s="234"/>
      <c r="F466" s="191"/>
      <c r="G466" s="195"/>
      <c r="H466" s="80"/>
      <c r="I466" s="114"/>
      <c r="J466" s="35">
        <f t="shared" si="113"/>
        <v>0</v>
      </c>
      <c r="K466" s="3">
        <f>C466*VLOOKUP(A466,[1]오일단가!$A:$S,13,0)</f>
        <v>0</v>
      </c>
      <c r="L466" s="302"/>
      <c r="M466" s="299"/>
      <c r="N466" s="283">
        <f>F466*VLOOKUP(A466,[1]오일단가!$A:$S,14,0)</f>
        <v>0</v>
      </c>
      <c r="O466" s="276"/>
      <c r="P466" s="482"/>
      <c r="Q466" s="5"/>
      <c r="R466" s="3">
        <f t="shared" si="116"/>
        <v>0</v>
      </c>
      <c r="S466" s="3">
        <f>J466*13600</f>
        <v>0</v>
      </c>
    </row>
    <row r="467" spans="1:19" s="1" customFormat="1">
      <c r="A467" s="354" t="s">
        <v>486</v>
      </c>
      <c r="B467" s="675"/>
      <c r="C467" s="237"/>
      <c r="D467" s="234"/>
      <c r="E467" s="234"/>
      <c r="F467" s="230"/>
      <c r="G467" s="345"/>
      <c r="H467" s="80"/>
      <c r="I467" s="114"/>
      <c r="J467" s="35">
        <f t="shared" si="113"/>
        <v>0</v>
      </c>
      <c r="K467" s="3">
        <f>C467*VLOOKUP(A467,[1]오일단가!$A:$S,13,0)</f>
        <v>0</v>
      </c>
      <c r="L467" s="302"/>
      <c r="M467" s="299"/>
      <c r="N467" s="283">
        <f>F467*VLOOKUP(A467,[1]오일단가!$A:$S,14,0)</f>
        <v>0</v>
      </c>
      <c r="O467" s="276"/>
      <c r="P467" s="482"/>
      <c r="Q467" s="5"/>
      <c r="R467" s="3">
        <f t="shared" si="116"/>
        <v>0</v>
      </c>
      <c r="S467" s="3">
        <f>J467*7400</f>
        <v>0</v>
      </c>
    </row>
    <row r="468" spans="1:19" s="1" customFormat="1">
      <c r="A468" s="356" t="s">
        <v>541</v>
      </c>
      <c r="B468" s="675"/>
      <c r="C468" s="35"/>
      <c r="D468" s="234"/>
      <c r="E468" s="234"/>
      <c r="F468" s="191"/>
      <c r="G468" s="195"/>
      <c r="H468" s="80"/>
      <c r="I468" s="114"/>
      <c r="J468" s="35">
        <f t="shared" si="113"/>
        <v>0</v>
      </c>
      <c r="K468" s="3">
        <f>C468*VLOOKUP(A468,[1]오일단가!$A:$S,13,0)</f>
        <v>0</v>
      </c>
      <c r="L468" s="302"/>
      <c r="M468" s="299"/>
      <c r="N468" s="283">
        <f>F468*VLOOKUP(A468,[1]오일단가!$A:$S,14,0)</f>
        <v>0</v>
      </c>
      <c r="O468" s="276"/>
      <c r="P468" s="482"/>
      <c r="Q468" s="5"/>
      <c r="R468" s="3">
        <f t="shared" si="116"/>
        <v>0</v>
      </c>
      <c r="S468" s="3">
        <f>J468*30100</f>
        <v>0</v>
      </c>
    </row>
    <row r="469" spans="1:19" s="1" customFormat="1">
      <c r="A469" s="356" t="s">
        <v>543</v>
      </c>
      <c r="B469" s="675"/>
      <c r="C469" s="35"/>
      <c r="D469" s="234"/>
      <c r="E469" s="234"/>
      <c r="F469" s="191"/>
      <c r="G469" s="195"/>
      <c r="H469" s="80"/>
      <c r="I469" s="114"/>
      <c r="J469" s="35">
        <f t="shared" si="113"/>
        <v>0</v>
      </c>
      <c r="K469" s="3">
        <f>C469*VLOOKUP(A469,[1]오일단가!$A:$S,13,0)</f>
        <v>0</v>
      </c>
      <c r="L469" s="302"/>
      <c r="M469" s="299"/>
      <c r="N469" s="283">
        <f>F469*VLOOKUP(A469,[1]오일단가!$A:$S,14,0)</f>
        <v>0</v>
      </c>
      <c r="O469" s="276"/>
      <c r="P469" s="482"/>
      <c r="Q469" s="5"/>
      <c r="R469" s="3">
        <f t="shared" si="116"/>
        <v>0</v>
      </c>
      <c r="S469" s="3">
        <f>J469*66400</f>
        <v>0</v>
      </c>
    </row>
    <row r="470" spans="1:19" s="1" customFormat="1">
      <c r="A470" s="356" t="s">
        <v>617</v>
      </c>
      <c r="B470" s="675"/>
      <c r="C470" s="35"/>
      <c r="D470" s="234"/>
      <c r="E470" s="234"/>
      <c r="F470" s="191"/>
      <c r="G470" s="195"/>
      <c r="H470" s="80"/>
      <c r="I470" s="114"/>
      <c r="J470" s="35">
        <f t="shared" si="113"/>
        <v>0</v>
      </c>
      <c r="K470" s="3">
        <f>C470*VLOOKUP(A470,[1]오일단가!$A:$S,13,0)</f>
        <v>0</v>
      </c>
      <c r="L470" s="302"/>
      <c r="M470" s="299"/>
      <c r="N470" s="283">
        <f>F470*VLOOKUP(A470,[1]오일단가!$A:$S,14,0)</f>
        <v>0</v>
      </c>
      <c r="O470" s="276"/>
      <c r="P470" s="482"/>
      <c r="Q470" s="5"/>
      <c r="R470" s="3">
        <f t="shared" si="116"/>
        <v>0</v>
      </c>
      <c r="S470" s="3">
        <f>J470*26800</f>
        <v>0</v>
      </c>
    </row>
    <row r="471" spans="1:19" s="1" customFormat="1">
      <c r="A471" s="356" t="s">
        <v>674</v>
      </c>
      <c r="B471" s="675"/>
      <c r="C471" s="237"/>
      <c r="D471" s="234"/>
      <c r="E471" s="234"/>
      <c r="F471" s="230"/>
      <c r="G471" s="345"/>
      <c r="H471" s="80"/>
      <c r="I471" s="114"/>
      <c r="J471" s="35">
        <f t="shared" si="113"/>
        <v>0</v>
      </c>
      <c r="K471" s="3">
        <f>C471*VLOOKUP(A471,[1]오일단가!$A:$S,13,0)</f>
        <v>0</v>
      </c>
      <c r="L471" s="302"/>
      <c r="M471" s="299"/>
      <c r="N471" s="283">
        <f>F471*VLOOKUP(A471,[1]오일단가!$A:$S,14,0)</f>
        <v>0</v>
      </c>
      <c r="O471" s="276"/>
      <c r="P471" s="482"/>
      <c r="Q471" s="5"/>
      <c r="R471" s="3">
        <f t="shared" si="116"/>
        <v>0</v>
      </c>
      <c r="S471" s="3">
        <f>J471*41100</f>
        <v>0</v>
      </c>
    </row>
    <row r="472" spans="1:19" s="1" customFormat="1">
      <c r="A472" s="356" t="s">
        <v>695</v>
      </c>
      <c r="B472" s="675"/>
      <c r="C472" s="237"/>
      <c r="D472" s="234"/>
      <c r="E472" s="234"/>
      <c r="F472" s="230"/>
      <c r="G472" s="345"/>
      <c r="H472" s="80"/>
      <c r="I472" s="114"/>
      <c r="J472" s="35">
        <f t="shared" si="113"/>
        <v>0</v>
      </c>
      <c r="K472" s="3">
        <f>C472*1000000</f>
        <v>0</v>
      </c>
      <c r="L472" s="302"/>
      <c r="M472" s="299"/>
      <c r="N472" s="283">
        <f>F472*900000</f>
        <v>0</v>
      </c>
      <c r="O472" s="276"/>
      <c r="P472" s="482"/>
      <c r="Q472" s="5"/>
      <c r="R472" s="3">
        <f t="shared" si="116"/>
        <v>0</v>
      </c>
      <c r="S472" s="3">
        <f>J472*25900</f>
        <v>0</v>
      </c>
    </row>
    <row r="473" spans="1:19" s="1" customFormat="1">
      <c r="A473" s="356" t="s">
        <v>675</v>
      </c>
      <c r="B473" s="675"/>
      <c r="C473" s="35"/>
      <c r="D473" s="234"/>
      <c r="E473" s="234"/>
      <c r="F473" s="191"/>
      <c r="G473" s="195"/>
      <c r="H473" s="80"/>
      <c r="I473" s="114"/>
      <c r="J473" s="35">
        <f t="shared" si="113"/>
        <v>0</v>
      </c>
      <c r="K473" s="3">
        <f>C473*VLOOKUP(A473,[1]오일단가!$A:$S,13,0)</f>
        <v>0</v>
      </c>
      <c r="L473" s="302"/>
      <c r="M473" s="299"/>
      <c r="N473" s="283">
        <f>F473*VLOOKUP(A473,[1]오일단가!$A:$S,14,0)</f>
        <v>0</v>
      </c>
      <c r="O473" s="276"/>
      <c r="P473" s="482"/>
      <c r="Q473" s="5"/>
      <c r="R473" s="3">
        <f t="shared" si="116"/>
        <v>0</v>
      </c>
      <c r="S473" s="3">
        <f>J473*70800</f>
        <v>0</v>
      </c>
    </row>
    <row r="474" spans="1:19" s="1" customFormat="1">
      <c r="A474" s="356" t="s">
        <v>696</v>
      </c>
      <c r="B474" s="675"/>
      <c r="C474" s="35"/>
      <c r="D474" s="234"/>
      <c r="E474" s="234"/>
      <c r="F474" s="191"/>
      <c r="G474" s="195"/>
      <c r="H474" s="80"/>
      <c r="I474" s="114"/>
      <c r="J474" s="35">
        <f t="shared" si="113"/>
        <v>0</v>
      </c>
      <c r="K474" s="3">
        <f>C474*184000</f>
        <v>0</v>
      </c>
      <c r="L474" s="302"/>
      <c r="M474" s="299"/>
      <c r="N474" s="283">
        <f>F474*166000</f>
        <v>0</v>
      </c>
      <c r="O474" s="276"/>
      <c r="P474" s="482"/>
      <c r="Q474" s="5"/>
      <c r="R474" s="3">
        <f t="shared" si="116"/>
        <v>0</v>
      </c>
      <c r="S474" s="3">
        <f>J474*21700</f>
        <v>0</v>
      </c>
    </row>
    <row r="475" spans="1:19" s="1" customFormat="1">
      <c r="A475" s="356" t="s">
        <v>676</v>
      </c>
      <c r="B475" s="675"/>
      <c r="C475" s="35"/>
      <c r="D475" s="234"/>
      <c r="E475" s="234"/>
      <c r="F475" s="191"/>
      <c r="G475" s="195"/>
      <c r="H475" s="80"/>
      <c r="I475" s="114"/>
      <c r="J475" s="35">
        <f t="shared" si="113"/>
        <v>0</v>
      </c>
      <c r="K475" s="3">
        <f>C475*VLOOKUP(A475,[1]오일단가!$A:$S,13,0)</f>
        <v>0</v>
      </c>
      <c r="L475" s="302"/>
      <c r="M475" s="299"/>
      <c r="N475" s="283">
        <f>F475*VLOOKUP(A475,[1]오일단가!$A:$S,14,0)</f>
        <v>0</v>
      </c>
      <c r="O475" s="276"/>
      <c r="P475" s="482"/>
      <c r="Q475" s="5"/>
      <c r="R475" s="3">
        <f t="shared" si="116"/>
        <v>0</v>
      </c>
      <c r="S475" s="3">
        <f>J475*19100</f>
        <v>0</v>
      </c>
    </row>
    <row r="476" spans="1:19" s="1" customFormat="1">
      <c r="A476" s="356" t="s">
        <v>544</v>
      </c>
      <c r="B476" s="675"/>
      <c r="C476" s="35"/>
      <c r="D476" s="234"/>
      <c r="E476" s="234"/>
      <c r="F476" s="191"/>
      <c r="G476" s="195"/>
      <c r="H476" s="80"/>
      <c r="I476" s="114"/>
      <c r="J476" s="35">
        <f t="shared" si="113"/>
        <v>0</v>
      </c>
      <c r="K476" s="3">
        <f>C476*VLOOKUP(A476,[1]오일단가!$A:$S,13,0)</f>
        <v>0</v>
      </c>
      <c r="L476" s="302"/>
      <c r="M476" s="299"/>
      <c r="N476" s="283">
        <f>F476*VLOOKUP(A476,[1]오일단가!$A:$S,14,0)</f>
        <v>0</v>
      </c>
      <c r="O476" s="276"/>
      <c r="P476" s="482"/>
      <c r="Q476" s="5"/>
      <c r="R476" s="3">
        <f t="shared" si="116"/>
        <v>0</v>
      </c>
      <c r="S476" s="3">
        <f>J476*32200</f>
        <v>0</v>
      </c>
    </row>
    <row r="477" spans="1:19" s="1" customFormat="1">
      <c r="A477" s="356" t="s">
        <v>545</v>
      </c>
      <c r="B477" s="675"/>
      <c r="C477" s="35"/>
      <c r="D477" s="234"/>
      <c r="E477" s="234"/>
      <c r="F477" s="191"/>
      <c r="G477" s="195"/>
      <c r="H477" s="80"/>
      <c r="I477" s="114"/>
      <c r="J477" s="35">
        <f t="shared" si="113"/>
        <v>0</v>
      </c>
      <c r="K477" s="3">
        <f>C477*VLOOKUP(A477,[1]오일단가!$A:$S,13,0)</f>
        <v>0</v>
      </c>
      <c r="L477" s="302"/>
      <c r="M477" s="299"/>
      <c r="N477" s="283">
        <f>F477*VLOOKUP(A477,[1]오일단가!$A:$S,14,0)</f>
        <v>0</v>
      </c>
      <c r="O477" s="276"/>
      <c r="P477" s="482"/>
      <c r="Q477" s="5"/>
      <c r="R477" s="3">
        <f t="shared" si="116"/>
        <v>0</v>
      </c>
      <c r="S477" s="3">
        <f>J477*45600</f>
        <v>0</v>
      </c>
    </row>
    <row r="478" spans="1:19" s="1" customFormat="1">
      <c r="A478" s="356" t="s">
        <v>546</v>
      </c>
      <c r="B478" s="675"/>
      <c r="C478" s="35"/>
      <c r="D478" s="234"/>
      <c r="E478" s="234"/>
      <c r="F478" s="191"/>
      <c r="G478" s="195"/>
      <c r="H478" s="80"/>
      <c r="I478" s="114"/>
      <c r="J478" s="35">
        <f t="shared" si="113"/>
        <v>0</v>
      </c>
      <c r="K478" s="3">
        <f>C478*VLOOKUP(A478,[1]오일단가!$A:$S,13,0)</f>
        <v>0</v>
      </c>
      <c r="L478" s="302"/>
      <c r="M478" s="299"/>
      <c r="N478" s="283">
        <f>F478*VLOOKUP(A478,[1]오일단가!$A:$S,14,0)</f>
        <v>0</v>
      </c>
      <c r="O478" s="276"/>
      <c r="P478" s="482"/>
      <c r="Q478" s="5"/>
      <c r="R478" s="3">
        <f t="shared" si="116"/>
        <v>0</v>
      </c>
      <c r="S478" s="3">
        <f>J478*62600</f>
        <v>0</v>
      </c>
    </row>
    <row r="479" spans="1:19" s="1" customFormat="1">
      <c r="A479" s="356" t="s">
        <v>547</v>
      </c>
      <c r="B479" s="675"/>
      <c r="C479" s="35"/>
      <c r="D479" s="234"/>
      <c r="E479" s="234"/>
      <c r="F479" s="191"/>
      <c r="G479" s="195"/>
      <c r="H479" s="80"/>
      <c r="I479" s="114"/>
      <c r="J479" s="35">
        <f t="shared" si="113"/>
        <v>0</v>
      </c>
      <c r="K479" s="3">
        <f>C479*VLOOKUP(A479,[1]오일단가!$A:$S,13,0)</f>
        <v>0</v>
      </c>
      <c r="L479" s="302"/>
      <c r="M479" s="299"/>
      <c r="N479" s="283">
        <f>F479*VLOOKUP(A479,[1]오일단가!$A:$S,14,0)</f>
        <v>0</v>
      </c>
      <c r="O479" s="276"/>
      <c r="P479" s="482"/>
      <c r="Q479" s="5"/>
      <c r="R479" s="3">
        <f t="shared" si="116"/>
        <v>0</v>
      </c>
      <c r="S479" s="3">
        <f>J479*29300</f>
        <v>0</v>
      </c>
    </row>
    <row r="480" spans="1:19" s="1" customFormat="1">
      <c r="A480" s="356" t="s">
        <v>548</v>
      </c>
      <c r="B480" s="676"/>
      <c r="C480" s="35"/>
      <c r="D480" s="234"/>
      <c r="E480" s="234"/>
      <c r="F480" s="191"/>
      <c r="G480" s="195"/>
      <c r="H480" s="80"/>
      <c r="I480" s="114"/>
      <c r="J480" s="35">
        <f t="shared" si="113"/>
        <v>0</v>
      </c>
      <c r="K480" s="3">
        <f>C480*VLOOKUP(A480,[1]오일단가!$A:$S,13,0)</f>
        <v>0</v>
      </c>
      <c r="L480" s="302"/>
      <c r="M480" s="299"/>
      <c r="N480" s="283">
        <f>F480*VLOOKUP(A480,[1]오일단가!$A:$S,14,0)</f>
        <v>0</v>
      </c>
      <c r="O480" s="276"/>
      <c r="P480" s="482"/>
      <c r="Q480" s="5"/>
      <c r="R480" s="3">
        <f t="shared" si="116"/>
        <v>0</v>
      </c>
      <c r="S480" s="3">
        <f>J480*28700</f>
        <v>0</v>
      </c>
    </row>
    <row r="481" spans="1:19" s="1" customFormat="1">
      <c r="A481" s="356"/>
      <c r="B481" s="418"/>
      <c r="C481" s="35"/>
      <c r="D481" s="234"/>
      <c r="E481" s="234"/>
      <c r="F481" s="191"/>
      <c r="G481" s="195"/>
      <c r="H481" s="80"/>
      <c r="I481" s="114"/>
      <c r="J481" s="35"/>
      <c r="K481" s="3"/>
      <c r="L481" s="302"/>
      <c r="M481" s="299"/>
      <c r="N481" s="283"/>
      <c r="O481" s="276"/>
      <c r="P481" s="482"/>
      <c r="Q481" s="5"/>
      <c r="R481" s="3"/>
      <c r="S481" s="3"/>
    </row>
    <row r="482" spans="1:19" s="74" customFormat="1">
      <c r="A482" s="504" t="s">
        <v>576</v>
      </c>
      <c r="B482" s="506"/>
      <c r="C482" s="450">
        <f t="shared" ref="C482:Q482" si="117">SUM(C411:C481)</f>
        <v>2</v>
      </c>
      <c r="D482" s="450">
        <f t="shared" si="117"/>
        <v>0</v>
      </c>
      <c r="E482" s="450">
        <f t="shared" si="117"/>
        <v>0</v>
      </c>
      <c r="F482" s="450">
        <f t="shared" si="117"/>
        <v>0</v>
      </c>
      <c r="G482" s="450">
        <f t="shared" si="117"/>
        <v>0</v>
      </c>
      <c r="H482" s="450">
        <f t="shared" si="117"/>
        <v>0</v>
      </c>
      <c r="I482" s="450">
        <f t="shared" si="117"/>
        <v>0</v>
      </c>
      <c r="J482" s="450">
        <f t="shared" si="117"/>
        <v>2</v>
      </c>
      <c r="K482" s="457">
        <f t="shared" si="117"/>
        <v>168000</v>
      </c>
      <c r="L482" s="457">
        <f t="shared" si="117"/>
        <v>0</v>
      </c>
      <c r="M482" s="457">
        <f t="shared" si="117"/>
        <v>0</v>
      </c>
      <c r="N482" s="457">
        <f t="shared" si="117"/>
        <v>0</v>
      </c>
      <c r="O482" s="457">
        <f t="shared" si="117"/>
        <v>0</v>
      </c>
      <c r="P482" s="457">
        <f t="shared" si="117"/>
        <v>0</v>
      </c>
      <c r="Q482" s="457">
        <f t="shared" si="117"/>
        <v>0</v>
      </c>
      <c r="R482" s="457">
        <f>SUM(K482:Q482)</f>
        <v>168000</v>
      </c>
      <c r="S482" s="457">
        <f>SUM(S411:S481)</f>
        <v>23359</v>
      </c>
    </row>
    <row r="483" spans="1:19" s="1" customFormat="1">
      <c r="A483" s="356"/>
      <c r="B483" s="505"/>
      <c r="C483" s="35"/>
      <c r="D483" s="234"/>
      <c r="E483" s="234"/>
      <c r="F483" s="191"/>
      <c r="G483" s="195"/>
      <c r="H483" s="80"/>
      <c r="I483" s="114"/>
      <c r="J483" s="35"/>
      <c r="K483" s="364"/>
      <c r="L483" s="302"/>
      <c r="M483" s="299"/>
      <c r="N483" s="282"/>
      <c r="O483" s="276"/>
      <c r="P483" s="482"/>
      <c r="Q483" s="5"/>
      <c r="R483" s="3"/>
      <c r="S483" s="3"/>
    </row>
    <row r="484" spans="1:19" s="1" customFormat="1" ht="16.5" customHeight="1">
      <c r="A484" s="356" t="s">
        <v>549</v>
      </c>
      <c r="B484" s="674" t="s">
        <v>594</v>
      </c>
      <c r="C484" s="35"/>
      <c r="D484" s="234"/>
      <c r="E484" s="234"/>
      <c r="F484" s="191"/>
      <c r="G484" s="195"/>
      <c r="H484" s="80"/>
      <c r="I484" s="114"/>
      <c r="J484" s="35">
        <f t="shared" si="113"/>
        <v>0</v>
      </c>
      <c r="K484" s="364">
        <f>C484*156000</f>
        <v>0</v>
      </c>
      <c r="L484" s="302"/>
      <c r="M484" s="299">
        <f>E484*156000</f>
        <v>0</v>
      </c>
      <c r="N484" s="282">
        <f>F484*124800</f>
        <v>0</v>
      </c>
      <c r="O484" s="276"/>
      <c r="P484" s="482"/>
      <c r="Q484" s="5"/>
      <c r="R484" s="3">
        <f t="shared" si="111"/>
        <v>0</v>
      </c>
      <c r="S484" s="3">
        <f>J484*22320</f>
        <v>0</v>
      </c>
    </row>
    <row r="485" spans="1:19" s="275" customFormat="1">
      <c r="A485" s="356" t="s">
        <v>550</v>
      </c>
      <c r="B485" s="675"/>
      <c r="C485" s="539"/>
      <c r="D485" s="233"/>
      <c r="E485" s="233"/>
      <c r="F485" s="218"/>
      <c r="G485" s="413"/>
      <c r="H485" s="413"/>
      <c r="I485" s="413"/>
      <c r="J485" s="218">
        <f t="shared" si="113"/>
        <v>0</v>
      </c>
      <c r="K485" s="364">
        <f>C485*44000</f>
        <v>0</v>
      </c>
      <c r="L485" s="175"/>
      <c r="M485" s="299">
        <f>E485*44000</f>
        <v>0</v>
      </c>
      <c r="N485" s="282">
        <f>F485*35200</f>
        <v>0</v>
      </c>
      <c r="O485" s="175"/>
      <c r="P485" s="490"/>
      <c r="Q485" s="411"/>
      <c r="R485" s="3">
        <f t="shared" si="111"/>
        <v>0</v>
      </c>
      <c r="S485" s="3">
        <f>J485*10230</f>
        <v>0</v>
      </c>
    </row>
    <row r="486" spans="1:19" s="275" customFormat="1">
      <c r="A486" s="356" t="s">
        <v>551</v>
      </c>
      <c r="B486" s="675"/>
      <c r="C486" s="539"/>
      <c r="D486" s="233"/>
      <c r="E486" s="233"/>
      <c r="F486" s="218"/>
      <c r="G486" s="413"/>
      <c r="H486" s="413"/>
      <c r="I486" s="413"/>
      <c r="J486" s="218">
        <f t="shared" si="113"/>
        <v>0</v>
      </c>
      <c r="K486" s="364">
        <f>C486*44000</f>
        <v>0</v>
      </c>
      <c r="L486" s="175"/>
      <c r="M486" s="299">
        <f>E486*44000</f>
        <v>0</v>
      </c>
      <c r="N486" s="282">
        <f>F486*35200</f>
        <v>0</v>
      </c>
      <c r="O486" s="175"/>
      <c r="P486" s="490"/>
      <c r="Q486" s="411"/>
      <c r="R486" s="3">
        <f t="shared" si="111"/>
        <v>0</v>
      </c>
      <c r="S486" s="3">
        <f>J486*10780</f>
        <v>0</v>
      </c>
    </row>
    <row r="487" spans="1:19" s="275" customFormat="1">
      <c r="A487" s="356" t="s">
        <v>552</v>
      </c>
      <c r="B487" s="675"/>
      <c r="C487" s="218"/>
      <c r="D487" s="233"/>
      <c r="E487" s="234"/>
      <c r="F487" s="218"/>
      <c r="G487" s="413"/>
      <c r="H487" s="413"/>
      <c r="I487" s="413"/>
      <c r="J487" s="218">
        <f t="shared" si="113"/>
        <v>0</v>
      </c>
      <c r="K487" s="364">
        <f>C487*66000</f>
        <v>0</v>
      </c>
      <c r="L487" s="175"/>
      <c r="M487" s="299">
        <f>E487*66000</f>
        <v>0</v>
      </c>
      <c r="N487" s="282">
        <f>F487*52800</f>
        <v>0</v>
      </c>
      <c r="O487" s="175"/>
      <c r="P487" s="490"/>
      <c r="Q487" s="411"/>
      <c r="R487" s="3">
        <f t="shared" si="111"/>
        <v>0</v>
      </c>
      <c r="S487" s="3">
        <f>J487*14300</f>
        <v>0</v>
      </c>
    </row>
    <row r="488" spans="1:19" s="412" customFormat="1">
      <c r="A488" s="356" t="s">
        <v>553</v>
      </c>
      <c r="B488" s="676"/>
      <c r="C488" s="218"/>
      <c r="D488" s="233"/>
      <c r="E488" s="234"/>
      <c r="F488" s="191"/>
      <c r="G488" s="413"/>
      <c r="H488" s="413"/>
      <c r="I488" s="413"/>
      <c r="J488" s="218">
        <f t="shared" si="113"/>
        <v>0</v>
      </c>
      <c r="K488" s="364">
        <f>C488*36000</f>
        <v>0</v>
      </c>
      <c r="L488" s="175"/>
      <c r="M488" s="299">
        <f>E488*36000</f>
        <v>0</v>
      </c>
      <c r="N488" s="282">
        <f>F488*28800</f>
        <v>0</v>
      </c>
      <c r="O488" s="175"/>
      <c r="P488" s="490"/>
      <c r="Q488" s="411"/>
      <c r="R488" s="3">
        <f t="shared" si="111"/>
        <v>0</v>
      </c>
      <c r="S488" s="3">
        <f>J488*6600</f>
        <v>0</v>
      </c>
    </row>
    <row r="489" spans="1:19">
      <c r="A489" s="515" t="s">
        <v>579</v>
      </c>
      <c r="B489" s="516"/>
      <c r="C489" s="541">
        <f>SUM(C484:C488)</f>
        <v>0</v>
      </c>
      <c r="D489" s="541">
        <f t="shared" ref="D489:J489" si="118">SUM(D484:D488)</f>
        <v>0</v>
      </c>
      <c r="E489" s="541">
        <f t="shared" si="118"/>
        <v>0</v>
      </c>
      <c r="F489" s="541">
        <f t="shared" si="118"/>
        <v>0</v>
      </c>
      <c r="G489" s="541">
        <f t="shared" si="118"/>
        <v>0</v>
      </c>
      <c r="H489" s="541">
        <f t="shared" si="118"/>
        <v>0</v>
      </c>
      <c r="I489" s="541">
        <f t="shared" si="118"/>
        <v>0</v>
      </c>
      <c r="J489" s="541">
        <f t="shared" si="118"/>
        <v>0</v>
      </c>
      <c r="K489" s="507">
        <f>SUM(K483:K488)</f>
        <v>0</v>
      </c>
      <c r="L489" s="507">
        <f t="shared" ref="L489:Q489" si="119">SUM(L483:L488)</f>
        <v>0</v>
      </c>
      <c r="M489" s="507">
        <f t="shared" si="119"/>
        <v>0</v>
      </c>
      <c r="N489" s="507">
        <f t="shared" si="119"/>
        <v>0</v>
      </c>
      <c r="O489" s="507">
        <f t="shared" si="119"/>
        <v>0</v>
      </c>
      <c r="P489" s="507">
        <f t="shared" si="119"/>
        <v>0</v>
      </c>
      <c r="Q489" s="507">
        <f t="shared" si="119"/>
        <v>0</v>
      </c>
      <c r="R489" s="508">
        <f>SUM(K489:Q489)</f>
        <v>0</v>
      </c>
      <c r="S489" s="509">
        <f>SUM(S483:S488)</f>
        <v>0</v>
      </c>
    </row>
    <row r="490" spans="1:19">
      <c r="A490" s="517"/>
      <c r="D490" s="142"/>
      <c r="E490" s="143"/>
      <c r="F490" s="498"/>
      <c r="G490" s="12"/>
      <c r="H490" s="498"/>
      <c r="I490" s="677" t="s">
        <v>580</v>
      </c>
      <c r="J490" s="677"/>
      <c r="K490" s="518">
        <f>K489+K482+K409</f>
        <v>467000</v>
      </c>
      <c r="L490" s="510"/>
      <c r="M490" s="511"/>
      <c r="N490" s="511"/>
      <c r="O490" s="511"/>
      <c r="P490" s="512"/>
      <c r="Q490" s="513"/>
      <c r="R490" s="518">
        <f>R489+R482+R409</f>
        <v>467000</v>
      </c>
      <c r="S490" s="519">
        <f>S489+S482+S409</f>
        <v>47559</v>
      </c>
    </row>
    <row r="491" spans="1:19" s="244" customFormat="1">
      <c r="B491" s="245"/>
      <c r="C491" s="245"/>
      <c r="D491" s="514"/>
      <c r="E491" s="500"/>
      <c r="F491" s="501"/>
      <c r="G491" s="502"/>
      <c r="H491" s="491"/>
      <c r="I491" s="501"/>
      <c r="J491" s="501"/>
      <c r="K491" s="492"/>
      <c r="L491" s="492"/>
      <c r="M491" s="493"/>
      <c r="N491" s="493"/>
      <c r="O491" s="494"/>
      <c r="P491" s="495"/>
      <c r="Q491" s="496"/>
      <c r="R491" s="492"/>
      <c r="S491" s="497"/>
    </row>
    <row r="492" spans="1:19" s="1" customFormat="1" ht="17.25" thickBot="1">
      <c r="A492" t="s">
        <v>335</v>
      </c>
      <c r="C492" s="2"/>
      <c r="F492" s="163"/>
      <c r="J492" s="164"/>
      <c r="K492" s="165"/>
      <c r="L492" s="165"/>
      <c r="M492" s="165"/>
      <c r="N492" s="165"/>
      <c r="O492" s="284"/>
      <c r="P492" s="165"/>
      <c r="Q492" s="165"/>
      <c r="R492"/>
    </row>
    <row r="493" spans="1:19" s="1" customFormat="1">
      <c r="A493" t="s">
        <v>337</v>
      </c>
      <c r="C493" s="2"/>
      <c r="F493" s="163"/>
      <c r="J493" s="141"/>
      <c r="K493" s="521" t="s">
        <v>577</v>
      </c>
      <c r="L493" s="524" t="s">
        <v>373</v>
      </c>
      <c r="M493" s="526" t="s">
        <v>578</v>
      </c>
      <c r="N493" s="528" t="s">
        <v>581</v>
      </c>
      <c r="O493" s="166"/>
      <c r="P493" s="601" t="s">
        <v>372</v>
      </c>
      <c r="Q493" s="158"/>
      <c r="R493" s="159"/>
      <c r="S493"/>
    </row>
    <row r="494" spans="1:19" s="1" customFormat="1">
      <c r="A494"/>
      <c r="C494" s="2"/>
      <c r="F494" s="163"/>
      <c r="J494" s="141" t="s">
        <v>582</v>
      </c>
      <c r="K494" s="522">
        <f>R24+R44+R61+R85+R102+R120+R127+R133+R141+R159</f>
        <v>200812790</v>
      </c>
      <c r="L494" s="296">
        <f>R220+R230+R236+R244</f>
        <v>33899340</v>
      </c>
      <c r="M494" s="286">
        <f>R490</f>
        <v>467000</v>
      </c>
      <c r="N494" s="602">
        <f>R257+R328</f>
        <v>9615700</v>
      </c>
      <c r="O494" s="159"/>
      <c r="P494" s="603">
        <f>SUM(K494:O494)</f>
        <v>244794830</v>
      </c>
      <c r="Q494" s="158"/>
      <c r="R494" s="159"/>
      <c r="S494"/>
    </row>
    <row r="495" spans="1:19" s="1" customFormat="1" ht="17.25" thickBot="1">
      <c r="A495" t="s">
        <v>338</v>
      </c>
      <c r="C495" s="2"/>
      <c r="F495" s="163"/>
      <c r="J495" s="520" t="s">
        <v>506</v>
      </c>
      <c r="K495" s="523">
        <f>S24+S44+S61+S85+S102+S120+S127+S133+S141+S159</f>
        <v>96514545</v>
      </c>
      <c r="L495" s="525">
        <f>S220+S230+S236+S244</f>
        <v>7901535</v>
      </c>
      <c r="M495" s="527">
        <f>S490</f>
        <v>47559</v>
      </c>
      <c r="N495" s="604">
        <f>S257+S328</f>
        <v>3610218</v>
      </c>
      <c r="O495" s="605"/>
      <c r="P495" s="606">
        <f>SUM(K495:O495)</f>
        <v>108073857</v>
      </c>
      <c r="Q495" s="158"/>
      <c r="R495" s="158"/>
      <c r="S495"/>
    </row>
    <row r="496" spans="1:19" s="1" customFormat="1">
      <c r="A496" t="s">
        <v>505</v>
      </c>
      <c r="C496" s="2"/>
      <c r="F496" s="163"/>
      <c r="K496" s="3"/>
      <c r="L496" s="3"/>
      <c r="M496" s="4"/>
      <c r="N496" s="167"/>
      <c r="O496" s="573" t="s">
        <v>339</v>
      </c>
      <c r="P496" s="600" t="s">
        <v>340</v>
      </c>
      <c r="Q496" s="5"/>
      <c r="R496" s="4"/>
      <c r="S496"/>
    </row>
    <row r="497" spans="1:19" s="1" customFormat="1">
      <c r="A497"/>
      <c r="C497" s="2"/>
      <c r="F497" s="163"/>
      <c r="K497" s="3"/>
      <c r="L497" s="3"/>
      <c r="M497" s="4"/>
      <c r="N497" s="167" t="s">
        <v>341</v>
      </c>
      <c r="O497" s="529">
        <f>K494</f>
        <v>200812790</v>
      </c>
      <c r="P497" s="168">
        <f>K495</f>
        <v>96514545</v>
      </c>
      <c r="Q497" s="464"/>
      <c r="R497" s="42"/>
      <c r="S497"/>
    </row>
    <row r="498" spans="1:19" s="1" customFormat="1">
      <c r="A498" t="s">
        <v>369</v>
      </c>
      <c r="B498" s="144"/>
      <c r="C498" s="2"/>
      <c r="F498" s="163"/>
      <c r="H498" s="216"/>
      <c r="I498" s="216"/>
      <c r="J498" s="217"/>
      <c r="K498" s="3"/>
      <c r="L498" s="3"/>
      <c r="M498" s="4"/>
      <c r="N498" s="169" t="s">
        <v>342</v>
      </c>
      <c r="O498" s="170">
        <f>L494</f>
        <v>33899340</v>
      </c>
      <c r="P498" s="171">
        <f>L495</f>
        <v>7901535</v>
      </c>
      <c r="Q498" s="172"/>
      <c r="R498" s="172"/>
      <c r="S498"/>
    </row>
    <row r="499" spans="1:19" s="1" customFormat="1">
      <c r="A499" t="s">
        <v>343</v>
      </c>
      <c r="C499" s="2"/>
      <c r="F499" s="163"/>
      <c r="K499" s="3"/>
      <c r="L499" s="3"/>
      <c r="M499" s="4"/>
      <c r="N499" s="174" t="s">
        <v>336</v>
      </c>
      <c r="O499" s="175">
        <f>N494</f>
        <v>9615700</v>
      </c>
      <c r="P499" s="176">
        <f>N495</f>
        <v>3610218</v>
      </c>
      <c r="Q499" s="177"/>
      <c r="R499" s="177"/>
      <c r="S499"/>
    </row>
    <row r="500" spans="1:19" s="1" customFormat="1">
      <c r="A500" t="s">
        <v>344</v>
      </c>
      <c r="C500" s="2"/>
      <c r="F500" s="163"/>
      <c r="K500" s="3"/>
      <c r="L500" s="226"/>
      <c r="M500" s="4"/>
      <c r="N500" s="359" t="s">
        <v>578</v>
      </c>
      <c r="O500" s="283">
        <f>M494</f>
        <v>467000</v>
      </c>
      <c r="P500" s="360">
        <f>M495</f>
        <v>47559</v>
      </c>
      <c r="Q500" s="283"/>
      <c r="R500" s="180"/>
      <c r="S500"/>
    </row>
    <row r="501" spans="1:19" s="1" customFormat="1">
      <c r="A501" t="s">
        <v>354</v>
      </c>
      <c r="C501" s="2"/>
      <c r="F501" s="213"/>
      <c r="G501" s="212"/>
      <c r="K501" s="3"/>
      <c r="L501" s="226"/>
      <c r="M501" s="4"/>
      <c r="N501" s="178"/>
      <c r="O501" s="530"/>
      <c r="P501" s="179"/>
      <c r="Q501" s="180"/>
      <c r="R501" s="183"/>
      <c r="S501"/>
    </row>
    <row r="502" spans="1:19" s="1" customFormat="1">
      <c r="A502" t="s">
        <v>355</v>
      </c>
      <c r="C502" s="2"/>
      <c r="F502" s="213"/>
      <c r="K502" s="3"/>
      <c r="L502" s="3"/>
      <c r="M502" s="4"/>
      <c r="N502" s="182" t="s">
        <v>372</v>
      </c>
      <c r="O502" s="367">
        <f>SUM(O497:O501)</f>
        <v>244794830</v>
      </c>
      <c r="P502" s="368">
        <f>SUM(P497:P501)</f>
        <v>108073857</v>
      </c>
      <c r="Q502" s="464"/>
      <c r="R502" s="4"/>
      <c r="S502"/>
    </row>
    <row r="503" spans="1:19" s="1" customFormat="1">
      <c r="A503" t="s">
        <v>703</v>
      </c>
      <c r="B503" s="572">
        <v>8</v>
      </c>
      <c r="C503" s="2"/>
      <c r="K503" s="4"/>
      <c r="L503" s="175" t="s">
        <v>383</v>
      </c>
      <c r="M503" s="4" t="s">
        <v>384</v>
      </c>
      <c r="N503" s="264" t="s">
        <v>385</v>
      </c>
      <c r="O503" s="283" t="s">
        <v>578</v>
      </c>
      <c r="P503" s="599" t="s">
        <v>387</v>
      </c>
      <c r="Q503" s="28" t="s">
        <v>386</v>
      </c>
      <c r="R503" s="1" t="s">
        <v>391</v>
      </c>
      <c r="S503" s="599"/>
    </row>
    <row r="504" spans="1:19">
      <c r="A504" t="s">
        <v>704</v>
      </c>
      <c r="B504" s="1">
        <v>5</v>
      </c>
      <c r="E504" s="270"/>
      <c r="K504" s="4" t="s">
        <v>380</v>
      </c>
      <c r="L504" s="175">
        <v>8751700</v>
      </c>
      <c r="M504" s="4">
        <v>174458690</v>
      </c>
      <c r="N504" s="265">
        <v>28061490</v>
      </c>
      <c r="O504" s="283">
        <v>467000</v>
      </c>
      <c r="P504" s="269">
        <f>SUM(L504:O504)</f>
        <v>211738880</v>
      </c>
      <c r="Q504" s="3">
        <v>211693976</v>
      </c>
      <c r="R504" s="266"/>
      <c r="S504" s="269"/>
    </row>
    <row r="505" spans="1:19">
      <c r="A505" t="s">
        <v>388</v>
      </c>
      <c r="K505" s="4"/>
      <c r="L505" s="175">
        <v>3136594</v>
      </c>
      <c r="M505" s="4">
        <v>82065787</v>
      </c>
      <c r="N505" s="265">
        <v>6309778</v>
      </c>
      <c r="O505" s="283">
        <v>47559</v>
      </c>
      <c r="P505" s="269">
        <f>SUM(L505:O505)</f>
        <v>91559718</v>
      </c>
      <c r="Q505" s="3"/>
      <c r="R505" s="266"/>
      <c r="S505" s="269"/>
    </row>
    <row r="506" spans="1:19">
      <c r="K506" s="4" t="s">
        <v>381</v>
      </c>
      <c r="L506" s="175">
        <v>264000</v>
      </c>
      <c r="M506" s="4">
        <v>1227800</v>
      </c>
      <c r="N506" s="265">
        <v>3820300</v>
      </c>
      <c r="O506" s="283"/>
      <c r="P506" s="269">
        <f t="shared" ref="P506:P509" si="120">SUM(L506:O506)</f>
        <v>5312100</v>
      </c>
      <c r="Q506" s="3">
        <v>5312217</v>
      </c>
      <c r="R506" s="266"/>
      <c r="S506" s="269"/>
    </row>
    <row r="507" spans="1:19">
      <c r="K507" s="4"/>
      <c r="L507" s="175">
        <v>116600</v>
      </c>
      <c r="M507" s="4">
        <v>628581</v>
      </c>
      <c r="N507" s="265">
        <v>1141163</v>
      </c>
      <c r="O507" s="283"/>
      <c r="P507" s="269">
        <f t="shared" si="120"/>
        <v>1886344</v>
      </c>
      <c r="Q507" s="3"/>
      <c r="R507" s="266"/>
      <c r="S507" s="269"/>
    </row>
    <row r="508" spans="1:19">
      <c r="K508" s="4" t="s">
        <v>382</v>
      </c>
      <c r="L508" s="175">
        <f>N494-L504-L506</f>
        <v>600000</v>
      </c>
      <c r="M508" s="4">
        <f t="shared" ref="M508:O509" si="121">K494-M504-M506</f>
        <v>25126300</v>
      </c>
      <c r="N508" s="265">
        <f t="shared" si="121"/>
        <v>2017550</v>
      </c>
      <c r="O508" s="283">
        <f t="shared" si="121"/>
        <v>0</v>
      </c>
      <c r="P508" s="269">
        <f t="shared" si="120"/>
        <v>27743850</v>
      </c>
      <c r="Q508" s="3">
        <v>27743522</v>
      </c>
      <c r="R508" s="266"/>
      <c r="S508" s="269"/>
    </row>
    <row r="509" spans="1:19">
      <c r="K509" s="4"/>
      <c r="L509" s="175">
        <f>N495-L505-L507</f>
        <v>357024</v>
      </c>
      <c r="M509" s="4">
        <f t="shared" si="121"/>
        <v>13820177</v>
      </c>
      <c r="N509" s="265">
        <f t="shared" si="121"/>
        <v>450594</v>
      </c>
      <c r="O509" s="283">
        <f t="shared" si="121"/>
        <v>0</v>
      </c>
      <c r="P509" s="269">
        <f t="shared" si="120"/>
        <v>14627795</v>
      </c>
      <c r="Q509" s="3"/>
      <c r="R509" s="266"/>
      <c r="S509" s="269"/>
    </row>
    <row r="510" spans="1:19">
      <c r="K510" s="4"/>
      <c r="L510" s="175"/>
      <c r="N510" s="265"/>
      <c r="O510" s="283"/>
      <c r="P510" s="269"/>
      <c r="Q510" s="3"/>
      <c r="R510"/>
      <c r="S510" s="269"/>
    </row>
    <row r="511" spans="1:19">
      <c r="K511" s="4" t="s">
        <v>389</v>
      </c>
      <c r="L511" s="175">
        <f t="shared" ref="L511:M511" si="122">L504+L506+L508</f>
        <v>9615700</v>
      </c>
      <c r="M511" s="4">
        <f t="shared" si="122"/>
        <v>200812790</v>
      </c>
      <c r="N511" s="170">
        <f>N504+N506+N508</f>
        <v>33899340</v>
      </c>
      <c r="O511" s="283">
        <f>O504+O506+O508</f>
        <v>467000</v>
      </c>
      <c r="P511" s="269">
        <f>SUM(L511:O511)</f>
        <v>244794830</v>
      </c>
      <c r="Q511" s="253">
        <f>Q504+Q506+Q508</f>
        <v>244749715</v>
      </c>
      <c r="R511" s="253">
        <v>255934800</v>
      </c>
      <c r="S511" s="269"/>
    </row>
    <row r="512" spans="1:19" s="1" customFormat="1">
      <c r="A512"/>
      <c r="C512" s="2"/>
      <c r="K512" s="4" t="s">
        <v>390</v>
      </c>
      <c r="L512" s="175">
        <f>L505+L507+L509</f>
        <v>3610218</v>
      </c>
      <c r="M512" s="4">
        <f t="shared" ref="M512:O512" si="123">M505+M507+M509</f>
        <v>96514545</v>
      </c>
      <c r="N512" s="170">
        <f t="shared" si="123"/>
        <v>7901535</v>
      </c>
      <c r="O512" s="283">
        <f t="shared" si="123"/>
        <v>47559</v>
      </c>
      <c r="P512" s="269">
        <f>SUM(L512:O512)</f>
        <v>108073857</v>
      </c>
      <c r="Q512" s="253">
        <f>Q505+Q507+Q509</f>
        <v>0</v>
      </c>
      <c r="R512" s="267">
        <f>R505+R507+R509</f>
        <v>0</v>
      </c>
      <c r="S512" s="269"/>
    </row>
    <row r="514" spans="1:19">
      <c r="R514" s="24" t="s">
        <v>473</v>
      </c>
    </row>
    <row r="515" spans="1:19">
      <c r="R515" s="349" t="s">
        <v>612</v>
      </c>
      <c r="S515" s="4">
        <v>19915880</v>
      </c>
    </row>
    <row r="516" spans="1:19" ht="25.5" customHeight="1">
      <c r="R516" s="349" t="s">
        <v>469</v>
      </c>
      <c r="S516" s="4">
        <v>387900</v>
      </c>
    </row>
    <row r="517" spans="1:19">
      <c r="L517" s="177" t="s">
        <v>383</v>
      </c>
      <c r="M517" s="4" t="s">
        <v>384</v>
      </c>
      <c r="N517" s="172" t="s">
        <v>385</v>
      </c>
      <c r="O517" s="283" t="s">
        <v>392</v>
      </c>
      <c r="P517" s="5" t="s">
        <v>387</v>
      </c>
      <c r="R517" s="349" t="s">
        <v>472</v>
      </c>
    </row>
    <row r="518" spans="1:19">
      <c r="K518" s="3" t="s">
        <v>467</v>
      </c>
      <c r="L518" s="175">
        <v>7569500</v>
      </c>
      <c r="M518" s="4">
        <v>46789800</v>
      </c>
      <c r="N518" s="265">
        <v>22654160</v>
      </c>
      <c r="O518" s="283">
        <v>467000</v>
      </c>
      <c r="P518" s="3">
        <f>SUM(K518:O518)</f>
        <v>77480460</v>
      </c>
      <c r="Q518" s="3"/>
      <c r="R518" s="68" t="s">
        <v>509</v>
      </c>
    </row>
    <row r="519" spans="1:19">
      <c r="L519" s="175">
        <v>2748416</v>
      </c>
      <c r="M519" s="4">
        <v>18404894</v>
      </c>
      <c r="N519" s="265">
        <v>4974124</v>
      </c>
      <c r="O519" s="283">
        <v>47559</v>
      </c>
      <c r="P519" s="3">
        <f>SUM(K519:O519)</f>
        <v>26174993</v>
      </c>
      <c r="Q519" s="3"/>
      <c r="R519" s="68" t="s">
        <v>438</v>
      </c>
      <c r="S519" s="4">
        <f>Q512+S514+S515+S516+S517</f>
        <v>20303780</v>
      </c>
    </row>
    <row r="520" spans="1:19">
      <c r="K520" s="3" t="s">
        <v>468</v>
      </c>
      <c r="L520" s="175">
        <v>1182200</v>
      </c>
      <c r="M520" s="4">
        <v>127668890</v>
      </c>
      <c r="N520" s="170">
        <v>5407330</v>
      </c>
      <c r="O520" s="283"/>
      <c r="P520" s="4">
        <f>SUM(K520:O520)</f>
        <v>134258420</v>
      </c>
      <c r="Q520" s="4"/>
      <c r="R520" t="s">
        <v>466</v>
      </c>
      <c r="S520" s="4">
        <f>R511-P511-S519</f>
        <v>-9163810</v>
      </c>
    </row>
    <row r="521" spans="1:19">
      <c r="L521" s="175">
        <v>388178</v>
      </c>
      <c r="M521" s="4">
        <v>63660893</v>
      </c>
      <c r="N521" s="170">
        <v>1335654</v>
      </c>
      <c r="O521" s="283"/>
      <c r="P521" s="4">
        <f>SUM(K521:O521)</f>
        <v>65384725</v>
      </c>
      <c r="Q521" s="4"/>
      <c r="R521" s="537"/>
      <c r="S521" s="537"/>
    </row>
    <row r="522" spans="1:19">
      <c r="L522" s="4"/>
      <c r="N522" s="276"/>
      <c r="O522" s="4"/>
      <c r="Q522" s="4"/>
    </row>
    <row r="523" spans="1:19">
      <c r="L523" s="177">
        <f>L518+L520</f>
        <v>8751700</v>
      </c>
      <c r="M523" s="4">
        <f>M518+M520</f>
        <v>174458690</v>
      </c>
      <c r="N523" s="172">
        <f>N518+N520</f>
        <v>28061490</v>
      </c>
      <c r="O523" s="276">
        <f>O518+O520</f>
        <v>467000</v>
      </c>
      <c r="P523" s="4">
        <f>SUM(K523:O523)</f>
        <v>211738880</v>
      </c>
      <c r="Q523" s="4"/>
    </row>
    <row r="524" spans="1:19" s="4" customFormat="1">
      <c r="A524"/>
      <c r="B524" s="1"/>
      <c r="C524" s="2"/>
      <c r="D524" s="1"/>
      <c r="E524" s="1"/>
      <c r="F524" s="1"/>
      <c r="G524" s="1"/>
      <c r="H524" s="1"/>
      <c r="I524" s="1"/>
      <c r="J524" s="1"/>
      <c r="K524" s="3"/>
      <c r="L524" s="177">
        <f t="shared" ref="L524:O524" si="124">L519+L521</f>
        <v>3136594</v>
      </c>
      <c r="M524" s="4">
        <f t="shared" si="124"/>
        <v>82065787</v>
      </c>
      <c r="N524" s="172">
        <f t="shared" si="124"/>
        <v>6309778</v>
      </c>
      <c r="O524" s="276">
        <f t="shared" si="124"/>
        <v>47559</v>
      </c>
      <c r="P524" s="4">
        <f>SUM(K524:O524)</f>
        <v>91559718</v>
      </c>
    </row>
  </sheetData>
  <mergeCells count="37">
    <mergeCell ref="B484:B488"/>
    <mergeCell ref="I490:J490"/>
    <mergeCell ref="B411:B480"/>
    <mergeCell ref="B13:B21"/>
    <mergeCell ref="B25:B28"/>
    <mergeCell ref="H85:I85"/>
    <mergeCell ref="B177:B178"/>
    <mergeCell ref="B199:B200"/>
    <mergeCell ref="B201:B202"/>
    <mergeCell ref="B212:B213"/>
    <mergeCell ref="B214:B215"/>
    <mergeCell ref="B217:B219"/>
    <mergeCell ref="B338:B407"/>
    <mergeCell ref="B263:B264"/>
    <mergeCell ref="B277:B278"/>
    <mergeCell ref="B280:B282"/>
    <mergeCell ref="B294:B297"/>
    <mergeCell ref="B304:B305"/>
    <mergeCell ref="B307:B309"/>
    <mergeCell ref="B313:B314"/>
    <mergeCell ref="B316:B317"/>
    <mergeCell ref="L225:N225"/>
    <mergeCell ref="L232:M232"/>
    <mergeCell ref="B323:B324"/>
    <mergeCell ref="L6:M6"/>
    <mergeCell ref="L47:M47"/>
    <mergeCell ref="L67:M67"/>
    <mergeCell ref="L87:M87"/>
    <mergeCell ref="L149:M149"/>
    <mergeCell ref="L122:M122"/>
    <mergeCell ref="L136:M136"/>
    <mergeCell ref="L128:M128"/>
    <mergeCell ref="D222:D224"/>
    <mergeCell ref="L262:M262"/>
    <mergeCell ref="L248:M248"/>
    <mergeCell ref="L106:M106"/>
    <mergeCell ref="L170:M170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A8E6-95F7-4686-9202-7E41A041FC23}">
  <dimension ref="A1:S526"/>
  <sheetViews>
    <sheetView zoomScale="86" zoomScaleNormal="86" workbookViewId="0">
      <pane xSplit="2" ySplit="6" topLeftCell="C498" activePane="bottomRight" state="frozen"/>
      <selection pane="topRight" activeCell="C1" sqref="C1"/>
      <selection pane="bottomLeft" activeCell="A7" sqref="A7"/>
      <selection pane="bottomRight" activeCell="P20" sqref="P20"/>
    </sheetView>
  </sheetViews>
  <sheetFormatPr defaultRowHeight="16.5"/>
  <cols>
    <col min="1" max="1" width="17.125" customWidth="1"/>
    <col min="2" max="2" width="9" style="1" customWidth="1"/>
    <col min="3" max="3" width="9" style="2" customWidth="1"/>
    <col min="4" max="4" width="9.75" style="1" customWidth="1"/>
    <col min="5" max="5" width="12.375" style="1" customWidth="1"/>
    <col min="6" max="6" width="10.375" style="1" customWidth="1"/>
    <col min="7" max="7" width="10" style="1" customWidth="1"/>
    <col min="8" max="8" width="9.25" style="1" customWidth="1"/>
    <col min="9" max="9" width="9" style="1" customWidth="1"/>
    <col min="10" max="10" width="7.5" style="1" customWidth="1"/>
    <col min="11" max="12" width="14" style="3" customWidth="1"/>
    <col min="13" max="14" width="14" style="4" customWidth="1"/>
    <col min="15" max="15" width="14" style="276" customWidth="1"/>
    <col min="16" max="16" width="14" style="4" customWidth="1"/>
    <col min="17" max="17" width="15.25" style="5" customWidth="1"/>
    <col min="18" max="18" width="16.25" style="4" customWidth="1"/>
    <col min="19" max="19" width="16.125" style="4" customWidth="1"/>
    <col min="20" max="1003" width="8.375" customWidth="1"/>
  </cols>
  <sheetData>
    <row r="1" spans="1:19">
      <c r="F1" s="381" t="s">
        <v>620</v>
      </c>
      <c r="G1" s="546" t="s">
        <v>621</v>
      </c>
    </row>
    <row r="2" spans="1:19" ht="24">
      <c r="A2" s="6"/>
      <c r="F2" s="20" t="s">
        <v>13</v>
      </c>
      <c r="G2" s="7" t="s">
        <v>629</v>
      </c>
    </row>
    <row r="3" spans="1:19">
      <c r="A3" s="8"/>
      <c r="C3" s="1" t="s">
        <v>2</v>
      </c>
      <c r="D3" s="9" t="s">
        <v>3</v>
      </c>
      <c r="E3" s="10" t="s">
        <v>4</v>
      </c>
      <c r="F3" s="7" t="s">
        <v>0</v>
      </c>
      <c r="G3" s="7" t="s">
        <v>657</v>
      </c>
      <c r="H3" s="12" t="s">
        <v>464</v>
      </c>
      <c r="I3" s="7"/>
      <c r="J3" s="13" t="s">
        <v>6</v>
      </c>
    </row>
    <row r="4" spans="1:19" s="185" customFormat="1">
      <c r="B4" s="186"/>
      <c r="C4" s="187"/>
      <c r="D4" s="388" t="s">
        <v>7</v>
      </c>
      <c r="E4" s="15" t="s">
        <v>8</v>
      </c>
      <c r="F4" s="20" t="s">
        <v>420</v>
      </c>
      <c r="G4" s="378" t="s">
        <v>419</v>
      </c>
      <c r="H4" s="20" t="s">
        <v>597</v>
      </c>
      <c r="I4" s="7"/>
      <c r="J4" s="17"/>
      <c r="K4" s="188"/>
      <c r="L4" s="188"/>
      <c r="M4" s="189"/>
      <c r="N4" s="189"/>
      <c r="O4" s="277"/>
      <c r="P4" s="189"/>
      <c r="Q4" s="190"/>
      <c r="R4" s="189"/>
      <c r="S4" s="189"/>
    </row>
    <row r="5" spans="1:19" ht="24">
      <c r="C5" s="18"/>
      <c r="D5" s="389" t="s">
        <v>9</v>
      </c>
      <c r="E5" s="19" t="s">
        <v>454</v>
      </c>
      <c r="F5" s="20" t="s">
        <v>10</v>
      </c>
      <c r="G5" s="21" t="s">
        <v>11</v>
      </c>
      <c r="H5" s="575" t="s">
        <v>721</v>
      </c>
      <c r="I5" s="22"/>
      <c r="J5" s="23"/>
    </row>
    <row r="6" spans="1:19" ht="24">
      <c r="A6" s="24" t="s">
        <v>12</v>
      </c>
      <c r="C6" s="25"/>
      <c r="D6" s="19"/>
      <c r="E6" s="19" t="s">
        <v>706</v>
      </c>
      <c r="F6" s="184" t="s">
        <v>14</v>
      </c>
      <c r="G6" s="26" t="s">
        <v>15</v>
      </c>
      <c r="H6" s="194"/>
      <c r="I6" s="26"/>
      <c r="J6" s="27"/>
      <c r="K6" s="219" t="s">
        <v>2</v>
      </c>
      <c r="L6" s="664" t="s">
        <v>734</v>
      </c>
      <c r="M6" s="664"/>
      <c r="N6" s="348" t="s">
        <v>559</v>
      </c>
      <c r="O6" s="348" t="s">
        <v>557</v>
      </c>
      <c r="P6" s="348" t="s">
        <v>464</v>
      </c>
      <c r="Q6" s="348" t="s">
        <v>623</v>
      </c>
      <c r="R6" s="220" t="s">
        <v>18</v>
      </c>
      <c r="S6" s="220" t="s">
        <v>506</v>
      </c>
    </row>
    <row r="7" spans="1:19">
      <c r="A7" s="29" t="s">
        <v>20</v>
      </c>
      <c r="B7" s="381" t="s">
        <v>21</v>
      </c>
      <c r="C7" s="263">
        <v>41</v>
      </c>
      <c r="D7" s="235"/>
      <c r="E7" s="234">
        <v>72</v>
      </c>
      <c r="F7" s="230"/>
      <c r="G7" s="322"/>
      <c r="H7" s="236"/>
      <c r="I7" s="322"/>
      <c r="J7" s="35">
        <f>C7+D7+E7+F7+G7+I7+H7</f>
        <v>113</v>
      </c>
      <c r="K7" s="361">
        <f>C7*26300</f>
        <v>1078300</v>
      </c>
      <c r="L7" s="173">
        <f>D7*19200</f>
        <v>0</v>
      </c>
      <c r="M7" s="299">
        <f>E7*19200</f>
        <v>1382400</v>
      </c>
      <c r="N7" s="282"/>
      <c r="O7" s="282">
        <f>F7*21040</f>
        <v>0</v>
      </c>
      <c r="P7" s="282"/>
      <c r="Q7" s="279"/>
      <c r="R7" s="4">
        <f>SUM(K7:Q7)</f>
        <v>2460700</v>
      </c>
      <c r="S7" s="4">
        <f>(C7+D7+E7+F7+I7+H7+G7)*8655</f>
        <v>978015</v>
      </c>
    </row>
    <row r="8" spans="1:19">
      <c r="A8" s="29" t="s">
        <v>22</v>
      </c>
      <c r="B8" s="377" t="s">
        <v>23</v>
      </c>
      <c r="C8" s="310">
        <v>11</v>
      </c>
      <c r="D8" s="235"/>
      <c r="E8" s="234"/>
      <c r="F8" s="322"/>
      <c r="G8" s="322"/>
      <c r="H8" s="236"/>
      <c r="I8" s="322"/>
      <c r="J8" s="35">
        <f t="shared" ref="J8:J23" si="0">C8+D8+E8+F8+G8+I8+H8</f>
        <v>11</v>
      </c>
      <c r="K8" s="361">
        <f t="shared" ref="K8:K11" si="1">C8*26300</f>
        <v>289300</v>
      </c>
      <c r="L8" s="173">
        <f t="shared" ref="L8:M11" si="2">D8*19200</f>
        <v>0</v>
      </c>
      <c r="M8" s="299">
        <f t="shared" si="2"/>
        <v>0</v>
      </c>
      <c r="N8" s="282"/>
      <c r="O8" s="282">
        <f t="shared" ref="O8:O12" si="3">F8*20000</f>
        <v>0</v>
      </c>
      <c r="P8" s="282"/>
      <c r="Q8" s="279"/>
      <c r="R8" s="4">
        <f t="shared" ref="R8:R23" si="4">SUM(K8:Q8)</f>
        <v>289300</v>
      </c>
      <c r="S8" s="4">
        <f>(C8+D8+E8+F8+I8+H8+G8)*8926</f>
        <v>98186</v>
      </c>
    </row>
    <row r="9" spans="1:19">
      <c r="A9" s="29" t="s">
        <v>24</v>
      </c>
      <c r="B9" s="377" t="s">
        <v>25</v>
      </c>
      <c r="C9" s="310"/>
      <c r="D9" s="235"/>
      <c r="E9" s="234"/>
      <c r="F9" s="322"/>
      <c r="G9" s="322"/>
      <c r="H9" s="236"/>
      <c r="I9" s="322"/>
      <c r="J9" s="35">
        <f t="shared" si="0"/>
        <v>0</v>
      </c>
      <c r="K9" s="361">
        <f t="shared" si="1"/>
        <v>0</v>
      </c>
      <c r="L9" s="173">
        <f t="shared" si="2"/>
        <v>0</v>
      </c>
      <c r="M9" s="299">
        <f t="shared" si="2"/>
        <v>0</v>
      </c>
      <c r="N9" s="282"/>
      <c r="O9" s="282">
        <f t="shared" si="3"/>
        <v>0</v>
      </c>
      <c r="P9" s="282"/>
      <c r="Q9" s="279"/>
      <c r="R9" s="4">
        <f t="shared" si="4"/>
        <v>0</v>
      </c>
      <c r="S9" s="4">
        <f>(C9+D9+E9+F9+I9+H9+G9)*8926</f>
        <v>0</v>
      </c>
    </row>
    <row r="10" spans="1:19">
      <c r="A10" s="29" t="s">
        <v>26</v>
      </c>
      <c r="B10" s="377" t="s">
        <v>27</v>
      </c>
      <c r="C10" s="310">
        <v>7</v>
      </c>
      <c r="D10" s="235"/>
      <c r="E10" s="234"/>
      <c r="F10" s="322"/>
      <c r="G10" s="322"/>
      <c r="H10" s="236"/>
      <c r="I10" s="322"/>
      <c r="J10" s="35">
        <f t="shared" si="0"/>
        <v>7</v>
      </c>
      <c r="K10" s="361">
        <f t="shared" si="1"/>
        <v>184100</v>
      </c>
      <c r="L10" s="173">
        <f t="shared" si="2"/>
        <v>0</v>
      </c>
      <c r="M10" s="299">
        <f t="shared" si="2"/>
        <v>0</v>
      </c>
      <c r="N10" s="282"/>
      <c r="O10" s="282">
        <f t="shared" si="3"/>
        <v>0</v>
      </c>
      <c r="P10" s="282"/>
      <c r="Q10" s="279"/>
      <c r="R10" s="4">
        <f t="shared" si="4"/>
        <v>184100</v>
      </c>
      <c r="S10" s="4">
        <f>(C10+D10+E10+F10+I10+H10+G10)*8926</f>
        <v>62482</v>
      </c>
    </row>
    <row r="11" spans="1:19">
      <c r="A11" s="29" t="s">
        <v>28</v>
      </c>
      <c r="B11" s="377"/>
      <c r="C11" s="310"/>
      <c r="D11" s="235"/>
      <c r="E11" s="234"/>
      <c r="F11" s="215"/>
      <c r="G11" s="230"/>
      <c r="H11" s="236"/>
      <c r="I11" s="322"/>
      <c r="J11" s="35">
        <f t="shared" si="0"/>
        <v>0</v>
      </c>
      <c r="K11" s="361">
        <f t="shared" si="1"/>
        <v>0</v>
      </c>
      <c r="L11" s="173">
        <f t="shared" si="2"/>
        <v>0</v>
      </c>
      <c r="M11" s="299">
        <f t="shared" si="2"/>
        <v>0</v>
      </c>
      <c r="N11" s="282"/>
      <c r="O11" s="282">
        <f t="shared" si="3"/>
        <v>0</v>
      </c>
      <c r="P11" s="282"/>
      <c r="Q11" s="279"/>
      <c r="R11" s="4">
        <f t="shared" si="4"/>
        <v>0</v>
      </c>
      <c r="S11" s="4">
        <f>(C11+D11+E11+G11+F11+I11+H11)*7042</f>
        <v>0</v>
      </c>
    </row>
    <row r="12" spans="1:19">
      <c r="A12" s="29" t="s">
        <v>29</v>
      </c>
      <c r="B12" s="381" t="s">
        <v>30</v>
      </c>
      <c r="C12" s="263">
        <v>9</v>
      </c>
      <c r="D12" s="323"/>
      <c r="E12" s="324"/>
      <c r="F12" s="289"/>
      <c r="G12" s="289"/>
      <c r="H12" s="325"/>
      <c r="I12" s="289"/>
      <c r="J12" s="35">
        <f t="shared" si="0"/>
        <v>9</v>
      </c>
      <c r="K12" s="361">
        <f>C12*26300</f>
        <v>236700</v>
      </c>
      <c r="L12" s="173"/>
      <c r="M12" s="299"/>
      <c r="N12" s="282"/>
      <c r="O12" s="282">
        <f t="shared" si="3"/>
        <v>0</v>
      </c>
      <c r="P12" s="282"/>
      <c r="Q12" s="279"/>
      <c r="R12" s="4">
        <f t="shared" si="4"/>
        <v>236700</v>
      </c>
      <c r="S12" s="4">
        <f>(C12+D12+E12+F12+I12+H12+G12)*8926</f>
        <v>80334</v>
      </c>
    </row>
    <row r="13" spans="1:19" ht="16.5" customHeight="1">
      <c r="A13" s="29" t="s">
        <v>476</v>
      </c>
      <c r="B13" s="674" t="s">
        <v>758</v>
      </c>
      <c r="C13" s="263"/>
      <c r="D13" s="323"/>
      <c r="E13" s="324"/>
      <c r="F13" s="289"/>
      <c r="G13" s="289"/>
      <c r="H13" s="325"/>
      <c r="I13" s="289"/>
      <c r="J13" s="35">
        <f t="shared" si="0"/>
        <v>0</v>
      </c>
      <c r="K13" s="290">
        <f>C13*35500</f>
        <v>0</v>
      </c>
      <c r="L13" s="173"/>
      <c r="M13" s="299"/>
      <c r="N13" s="282"/>
      <c r="O13" s="282">
        <f>F13*27300</f>
        <v>0</v>
      </c>
      <c r="P13" s="282"/>
      <c r="Q13" s="279"/>
      <c r="R13" s="4">
        <f t="shared" si="4"/>
        <v>0</v>
      </c>
      <c r="S13" s="4">
        <f>(C13+D13+E13+F13+I13+H13+G13)*14876</f>
        <v>0</v>
      </c>
    </row>
    <row r="14" spans="1:19">
      <c r="A14" s="29" t="s">
        <v>477</v>
      </c>
      <c r="B14" s="675"/>
      <c r="C14" s="263">
        <v>1</v>
      </c>
      <c r="D14" s="323"/>
      <c r="E14" s="324">
        <v>1</v>
      </c>
      <c r="F14" s="326"/>
      <c r="G14" s="289"/>
      <c r="H14" s="325"/>
      <c r="I14" s="289"/>
      <c r="J14" s="35">
        <f t="shared" si="0"/>
        <v>2</v>
      </c>
      <c r="K14" s="290">
        <f>C14*35500</f>
        <v>35500</v>
      </c>
      <c r="L14" s="173"/>
      <c r="M14" s="299">
        <f>E14*33600</f>
        <v>33600</v>
      </c>
      <c r="N14" s="282"/>
      <c r="O14" s="282"/>
      <c r="P14" s="282">
        <f>H14*32000</f>
        <v>0</v>
      </c>
      <c r="Q14" s="279"/>
      <c r="R14" s="4">
        <f>SUM(K14:Q14)</f>
        <v>69100</v>
      </c>
      <c r="S14" s="4">
        <f>(C14+D14+E14+F14+I14+H14+G14)*14065</f>
        <v>28130</v>
      </c>
    </row>
    <row r="15" spans="1:19">
      <c r="A15" s="29" t="s">
        <v>478</v>
      </c>
      <c r="B15" s="675"/>
      <c r="C15" s="263">
        <v>4</v>
      </c>
      <c r="D15" s="323"/>
      <c r="E15" s="324">
        <v>1</v>
      </c>
      <c r="F15" s="326"/>
      <c r="G15" s="289"/>
      <c r="H15" s="325"/>
      <c r="I15" s="289"/>
      <c r="J15" s="35">
        <f t="shared" si="0"/>
        <v>5</v>
      </c>
      <c r="K15" s="290">
        <f>C15*35500</f>
        <v>142000</v>
      </c>
      <c r="L15" s="173"/>
      <c r="M15" s="299">
        <f>E15*33600</f>
        <v>33600</v>
      </c>
      <c r="N15" s="282"/>
      <c r="O15" s="282"/>
      <c r="P15" s="282">
        <f t="shared" ref="P15:P16" si="5">H15*32000</f>
        <v>0</v>
      </c>
      <c r="Q15" s="279"/>
      <c r="R15" s="4">
        <f t="shared" si="4"/>
        <v>175600</v>
      </c>
      <c r="S15" s="4">
        <f>(C15+D15+E15+F15+I15+H15+G15)*14876</f>
        <v>74380</v>
      </c>
    </row>
    <row r="16" spans="1:19">
      <c r="A16" s="29" t="s">
        <v>530</v>
      </c>
      <c r="B16" s="675"/>
      <c r="C16" s="263">
        <v>4</v>
      </c>
      <c r="D16" s="323"/>
      <c r="E16" s="324"/>
      <c r="F16" s="326"/>
      <c r="G16" s="289"/>
      <c r="H16" s="325"/>
      <c r="I16" s="289"/>
      <c r="J16" s="35">
        <f t="shared" si="0"/>
        <v>4</v>
      </c>
      <c r="K16" s="290">
        <f>C16*40000</f>
        <v>160000</v>
      </c>
      <c r="L16" s="173"/>
      <c r="M16" s="299">
        <f>E16*35500</f>
        <v>0</v>
      </c>
      <c r="N16" s="282"/>
      <c r="O16" s="282"/>
      <c r="P16" s="282">
        <f t="shared" si="5"/>
        <v>0</v>
      </c>
      <c r="Q16" s="279"/>
      <c r="R16" s="4">
        <f>SUM(K16:Q16)</f>
        <v>160000</v>
      </c>
      <c r="S16" s="4">
        <f>(C16+D16+E16+F16+I16+H16+G16)*15958</f>
        <v>63832</v>
      </c>
    </row>
    <row r="17" spans="1:19">
      <c r="A17" s="29" t="s">
        <v>707</v>
      </c>
      <c r="B17" s="675"/>
      <c r="C17" s="263">
        <v>27</v>
      </c>
      <c r="D17" s="323"/>
      <c r="E17" s="324"/>
      <c r="F17" s="326">
        <v>54</v>
      </c>
      <c r="G17" s="574"/>
      <c r="H17" s="325"/>
      <c r="I17" s="564"/>
      <c r="J17" s="35">
        <f t="shared" si="0"/>
        <v>81</v>
      </c>
      <c r="K17" s="290">
        <f>C17*30000</f>
        <v>810000</v>
      </c>
      <c r="L17" s="173"/>
      <c r="M17" s="299">
        <f>E17*20000</f>
        <v>0</v>
      </c>
      <c r="N17" s="282">
        <f>F17*20000</f>
        <v>1080000</v>
      </c>
      <c r="O17" s="282"/>
      <c r="P17" s="282"/>
      <c r="Q17" s="279"/>
      <c r="R17" s="4">
        <f t="shared" si="4"/>
        <v>1890000</v>
      </c>
      <c r="S17" s="4">
        <f>(C17+D17+E17+F17+I17+H17+G17)*13262</f>
        <v>1074222</v>
      </c>
    </row>
    <row r="18" spans="1:19">
      <c r="A18" s="29" t="s">
        <v>479</v>
      </c>
      <c r="B18" s="675"/>
      <c r="C18" s="263"/>
      <c r="D18" s="323"/>
      <c r="E18" s="324">
        <v>3</v>
      </c>
      <c r="F18" s="289"/>
      <c r="G18" s="289"/>
      <c r="H18" s="325"/>
      <c r="I18" s="289"/>
      <c r="J18" s="35">
        <f t="shared" si="0"/>
        <v>3</v>
      </c>
      <c r="K18" s="290">
        <f>C18*190000</f>
        <v>0</v>
      </c>
      <c r="L18" s="173"/>
      <c r="M18" s="299">
        <f>E18*154000</f>
        <v>462000</v>
      </c>
      <c r="N18" s="282"/>
      <c r="O18" s="282"/>
      <c r="P18" s="282"/>
      <c r="Q18" s="279"/>
      <c r="R18" s="4">
        <f t="shared" si="4"/>
        <v>462000</v>
      </c>
      <c r="S18" s="4">
        <f>(C18+D18+E18+F18+I18+H18+G18)*89709</f>
        <v>269127</v>
      </c>
    </row>
    <row r="19" spans="1:19">
      <c r="A19" s="29" t="s">
        <v>480</v>
      </c>
      <c r="B19" s="675"/>
      <c r="C19" s="263">
        <v>3</v>
      </c>
      <c r="D19" s="323"/>
      <c r="E19" s="324">
        <v>2</v>
      </c>
      <c r="F19" s="289"/>
      <c r="G19" s="289"/>
      <c r="H19" s="325"/>
      <c r="I19" s="289"/>
      <c r="J19" s="35">
        <f t="shared" si="0"/>
        <v>5</v>
      </c>
      <c r="K19" s="290">
        <f t="shared" ref="K19:K20" si="6">C19*190000</f>
        <v>570000</v>
      </c>
      <c r="L19" s="173"/>
      <c r="M19" s="299">
        <f t="shared" ref="M19:M20" si="7">E19*154000</f>
        <v>308000</v>
      </c>
      <c r="N19" s="282"/>
      <c r="O19" s="282"/>
      <c r="P19" s="282"/>
      <c r="Q19" s="279"/>
      <c r="R19" s="4">
        <f t="shared" si="4"/>
        <v>878000</v>
      </c>
      <c r="S19" s="4">
        <f>(C19+D19+E19+F19+I19+H19+G19)*85201</f>
        <v>426005</v>
      </c>
    </row>
    <row r="20" spans="1:19">
      <c r="A20" s="29" t="s">
        <v>481</v>
      </c>
      <c r="B20" s="675"/>
      <c r="C20" s="263">
        <v>3</v>
      </c>
      <c r="D20" s="323"/>
      <c r="E20" s="324">
        <v>1</v>
      </c>
      <c r="F20" s="289"/>
      <c r="G20" s="289"/>
      <c r="H20" s="325"/>
      <c r="I20" s="289"/>
      <c r="J20" s="35">
        <f t="shared" si="0"/>
        <v>4</v>
      </c>
      <c r="K20" s="290">
        <f t="shared" si="6"/>
        <v>570000</v>
      </c>
      <c r="L20" s="173"/>
      <c r="M20" s="299">
        <f t="shared" si="7"/>
        <v>154000</v>
      </c>
      <c r="N20" s="282"/>
      <c r="O20" s="282"/>
      <c r="P20" s="282"/>
      <c r="Q20" s="279"/>
      <c r="R20" s="4">
        <f t="shared" si="4"/>
        <v>724000</v>
      </c>
      <c r="S20" s="4">
        <f>(C20+D20+E20+F20+I20+H20+G20)*89709</f>
        <v>358836</v>
      </c>
    </row>
    <row r="21" spans="1:19">
      <c r="A21" s="29" t="s">
        <v>531</v>
      </c>
      <c r="B21" s="676"/>
      <c r="C21" s="263">
        <v>4</v>
      </c>
      <c r="D21" s="323"/>
      <c r="E21" s="324">
        <v>5</v>
      </c>
      <c r="F21" s="289"/>
      <c r="G21" s="289"/>
      <c r="H21" s="325"/>
      <c r="I21" s="289"/>
      <c r="J21" s="35">
        <f t="shared" si="0"/>
        <v>9</v>
      </c>
      <c r="K21" s="290">
        <f>C21*206000</f>
        <v>824000</v>
      </c>
      <c r="L21" s="173"/>
      <c r="M21" s="299">
        <f>E21*171000</f>
        <v>855000</v>
      </c>
      <c r="N21" s="282"/>
      <c r="O21" s="282"/>
      <c r="P21" s="282"/>
      <c r="Q21" s="279"/>
      <c r="R21" s="4">
        <f t="shared" si="4"/>
        <v>1679000</v>
      </c>
      <c r="S21" s="4">
        <f>(C21+D21+E21+F21+I21+H21+G21)*96471</f>
        <v>868239</v>
      </c>
    </row>
    <row r="22" spans="1:19">
      <c r="A22" s="29" t="s">
        <v>376</v>
      </c>
      <c r="B22" s="222"/>
      <c r="C22" s="31"/>
      <c r="D22" s="37"/>
      <c r="E22" s="38"/>
      <c r="F22" s="40"/>
      <c r="G22" s="39"/>
      <c r="H22" s="196"/>
      <c r="I22" s="39"/>
      <c r="J22" s="35">
        <f t="shared" si="0"/>
        <v>0</v>
      </c>
      <c r="K22" s="290">
        <f>C22*25000</f>
        <v>0</v>
      </c>
      <c r="L22" s="173"/>
      <c r="M22" s="299"/>
      <c r="N22" s="282"/>
      <c r="O22" s="282"/>
      <c r="P22" s="282"/>
      <c r="Q22" s="279"/>
      <c r="R22" s="4">
        <f t="shared" si="4"/>
        <v>0</v>
      </c>
      <c r="S22" s="4">
        <f>(C22+D22+E22+F22+I22+H22+G22)*6110</f>
        <v>0</v>
      </c>
    </row>
    <row r="23" spans="1:19">
      <c r="A23" s="223" t="s">
        <v>361</v>
      </c>
      <c r="B23" s="222"/>
      <c r="C23" s="31"/>
      <c r="D23" s="37"/>
      <c r="E23" s="38"/>
      <c r="F23" s="40"/>
      <c r="G23" s="39"/>
      <c r="H23" s="196"/>
      <c r="I23" s="39"/>
      <c r="J23" s="35">
        <f t="shared" si="0"/>
        <v>0</v>
      </c>
      <c r="K23" s="291">
        <f>C23*25000</f>
        <v>0</v>
      </c>
      <c r="L23" s="173"/>
      <c r="M23" s="299"/>
      <c r="N23" s="282"/>
      <c r="O23" s="282"/>
      <c r="P23" s="282"/>
      <c r="Q23" s="279"/>
      <c r="R23" s="4">
        <f t="shared" si="4"/>
        <v>0</v>
      </c>
      <c r="S23" s="4">
        <f>(C23+D23+E23+F23+I23+H23+G23)*7100</f>
        <v>0</v>
      </c>
    </row>
    <row r="24" spans="1:19" s="24" customFormat="1">
      <c r="A24" s="439" t="s">
        <v>31</v>
      </c>
      <c r="B24" s="440"/>
      <c r="C24" s="441">
        <f t="shared" ref="C24:S24" si="8">SUM(C7:C23)</f>
        <v>114</v>
      </c>
      <c r="D24" s="441">
        <f t="shared" si="8"/>
        <v>0</v>
      </c>
      <c r="E24" s="441">
        <f t="shared" si="8"/>
        <v>85</v>
      </c>
      <c r="F24" s="441">
        <f t="shared" si="8"/>
        <v>54</v>
      </c>
      <c r="G24" s="441">
        <f t="shared" si="8"/>
        <v>0</v>
      </c>
      <c r="H24" s="441">
        <f t="shared" si="8"/>
        <v>0</v>
      </c>
      <c r="I24" s="441">
        <f t="shared" si="8"/>
        <v>0</v>
      </c>
      <c r="J24" s="442">
        <f t="shared" si="8"/>
        <v>253</v>
      </c>
      <c r="K24" s="443">
        <f t="shared" si="8"/>
        <v>4899900</v>
      </c>
      <c r="L24" s="444">
        <f t="shared" si="8"/>
        <v>0</v>
      </c>
      <c r="M24" s="445">
        <f t="shared" si="8"/>
        <v>3228600</v>
      </c>
      <c r="N24" s="446">
        <f t="shared" si="8"/>
        <v>1080000</v>
      </c>
      <c r="O24" s="446">
        <f t="shared" si="8"/>
        <v>0</v>
      </c>
      <c r="P24" s="446">
        <f t="shared" si="8"/>
        <v>0</v>
      </c>
      <c r="Q24" s="446">
        <f t="shared" si="8"/>
        <v>0</v>
      </c>
      <c r="R24" s="447">
        <f t="shared" si="8"/>
        <v>9208500</v>
      </c>
      <c r="S24" s="448">
        <f t="shared" si="8"/>
        <v>4381788</v>
      </c>
    </row>
    <row r="25" spans="1:19" s="24" customFormat="1">
      <c r="A25" s="85" t="s">
        <v>625</v>
      </c>
      <c r="B25" s="678" t="s">
        <v>32</v>
      </c>
      <c r="C25" s="310">
        <v>3</v>
      </c>
      <c r="D25" s="326"/>
      <c r="E25" s="310"/>
      <c r="F25" s="327">
        <v>6</v>
      </c>
      <c r="G25" s="326">
        <v>1</v>
      </c>
      <c r="H25" s="325"/>
      <c r="I25" s="564"/>
      <c r="J25" s="35">
        <f>SUM(C25:I25)</f>
        <v>10</v>
      </c>
      <c r="K25" s="361">
        <f>C25*6200</f>
        <v>18600</v>
      </c>
      <c r="L25" s="305"/>
      <c r="M25" s="300"/>
      <c r="N25" s="282">
        <f>F25*5580</f>
        <v>33480</v>
      </c>
      <c r="O25" s="282">
        <f>G25*4340</f>
        <v>4340</v>
      </c>
      <c r="P25" s="210"/>
      <c r="Q25" s="5"/>
      <c r="R25" s="4">
        <f>SUM(K25:Q25)</f>
        <v>56420</v>
      </c>
      <c r="S25" s="42">
        <f>(C25+D25+E25+F25+I25+G25+H25)*3923</f>
        <v>39230</v>
      </c>
    </row>
    <row r="26" spans="1:19" s="24" customFormat="1">
      <c r="A26" s="85" t="s">
        <v>626</v>
      </c>
      <c r="B26" s="679"/>
      <c r="C26" s="310">
        <v>2</v>
      </c>
      <c r="D26" s="326"/>
      <c r="E26" s="310"/>
      <c r="F26" s="327">
        <v>6</v>
      </c>
      <c r="G26" s="326">
        <v>1</v>
      </c>
      <c r="H26" s="325"/>
      <c r="I26" s="564"/>
      <c r="J26" s="35">
        <f t="shared" ref="J26:J27" si="9">SUM(C26:I26)</f>
        <v>9</v>
      </c>
      <c r="K26" s="361">
        <f t="shared" ref="K26:K28" si="10">C26*6200</f>
        <v>12400</v>
      </c>
      <c r="L26" s="305"/>
      <c r="M26" s="300"/>
      <c r="N26" s="282">
        <f t="shared" ref="N26:N28" si="11">F26*5580</f>
        <v>33480</v>
      </c>
      <c r="O26" s="282">
        <f t="shared" ref="O26:O28" si="12">G26*4340</f>
        <v>4340</v>
      </c>
      <c r="P26" s="210"/>
      <c r="Q26" s="5"/>
      <c r="R26" s="4">
        <f t="shared" ref="R26:R28" si="13">SUM(K26:Q26)</f>
        <v>50220</v>
      </c>
      <c r="S26" s="42">
        <f>(C26+D26+E26+F26+I26+G26+H26)*3923</f>
        <v>35307</v>
      </c>
    </row>
    <row r="27" spans="1:19" s="24" customFormat="1">
      <c r="A27" s="85" t="s">
        <v>627</v>
      </c>
      <c r="B27" s="679"/>
      <c r="C27" s="310">
        <v>1</v>
      </c>
      <c r="D27" s="326"/>
      <c r="E27" s="310"/>
      <c r="F27" s="327">
        <v>4</v>
      </c>
      <c r="G27" s="326">
        <v>1</v>
      </c>
      <c r="H27" s="325"/>
      <c r="I27" s="564"/>
      <c r="J27" s="35">
        <f t="shared" si="9"/>
        <v>6</v>
      </c>
      <c r="K27" s="361">
        <f t="shared" si="10"/>
        <v>6200</v>
      </c>
      <c r="L27" s="305"/>
      <c r="M27" s="300"/>
      <c r="N27" s="282">
        <f t="shared" si="11"/>
        <v>22320</v>
      </c>
      <c r="O27" s="282">
        <f t="shared" si="12"/>
        <v>4340</v>
      </c>
      <c r="P27" s="210"/>
      <c r="Q27" s="5"/>
      <c r="R27" s="4">
        <f t="shared" si="13"/>
        <v>32860</v>
      </c>
      <c r="S27" s="42">
        <f>(C27+D27+E27+F27+I27+G27+H27)*3923</f>
        <v>23538</v>
      </c>
    </row>
    <row r="28" spans="1:19" s="24" customFormat="1">
      <c r="A28" s="85" t="s">
        <v>628</v>
      </c>
      <c r="B28" s="680"/>
      <c r="C28" s="310"/>
      <c r="D28" s="326"/>
      <c r="E28" s="310"/>
      <c r="F28" s="327">
        <v>6</v>
      </c>
      <c r="G28" s="326">
        <v>1</v>
      </c>
      <c r="H28" s="325"/>
      <c r="I28" s="564"/>
      <c r="J28" s="35">
        <f t="shared" ref="J28:J43" si="14">SUM(C28:I28)</f>
        <v>7</v>
      </c>
      <c r="K28" s="361">
        <f t="shared" si="10"/>
        <v>0</v>
      </c>
      <c r="L28" s="305"/>
      <c r="M28" s="300"/>
      <c r="N28" s="282">
        <f t="shared" si="11"/>
        <v>33480</v>
      </c>
      <c r="O28" s="282">
        <f t="shared" si="12"/>
        <v>4340</v>
      </c>
      <c r="P28" s="210"/>
      <c r="Q28" s="5"/>
      <c r="R28" s="4">
        <f t="shared" si="13"/>
        <v>37820</v>
      </c>
      <c r="S28" s="42">
        <f>(C28+D28+E28+F28+I28+G28+H28)*3923</f>
        <v>27461</v>
      </c>
    </row>
    <row r="29" spans="1:19">
      <c r="A29" s="29" t="s">
        <v>33</v>
      </c>
      <c r="B29" s="381" t="s">
        <v>34</v>
      </c>
      <c r="C29" s="258">
        <v>44</v>
      </c>
      <c r="D29" s="235"/>
      <c r="E29" s="234">
        <v>137</v>
      </c>
      <c r="F29" s="215">
        <v>692</v>
      </c>
      <c r="G29" s="215"/>
      <c r="H29" s="215"/>
      <c r="I29" s="238"/>
      <c r="J29" s="35">
        <f t="shared" si="14"/>
        <v>873</v>
      </c>
      <c r="K29" s="361">
        <f>C29*40000</f>
        <v>1760000</v>
      </c>
      <c r="L29" s="173">
        <f>D29*30800</f>
        <v>0</v>
      </c>
      <c r="M29" s="299">
        <f>E29*30800</f>
        <v>4219600</v>
      </c>
      <c r="N29" s="276">
        <f>F29*34000</f>
        <v>23528000</v>
      </c>
      <c r="O29" s="282"/>
      <c r="P29" s="285">
        <f>H29*34000</f>
        <v>0</v>
      </c>
      <c r="Q29" s="285"/>
      <c r="R29" s="4">
        <f t="shared" ref="R29:R41" si="15">SUM(K29:Q29)</f>
        <v>29507600</v>
      </c>
      <c r="S29" s="42">
        <f>(C29+D29+E29+F29+I29+G29+H29)*17852</f>
        <v>15584796</v>
      </c>
    </row>
    <row r="30" spans="1:19">
      <c r="A30" s="29" t="s">
        <v>35</v>
      </c>
      <c r="B30" s="382" t="s">
        <v>36</v>
      </c>
      <c r="C30" s="262">
        <v>36</v>
      </c>
      <c r="D30" s="235"/>
      <c r="E30" s="234">
        <v>170</v>
      </c>
      <c r="F30" s="230">
        <v>649</v>
      </c>
      <c r="G30" s="230"/>
      <c r="H30" s="230"/>
      <c r="I30" s="322"/>
      <c r="J30" s="35">
        <f t="shared" si="14"/>
        <v>855</v>
      </c>
      <c r="K30" s="361">
        <f>C30*37800</f>
        <v>1360800</v>
      </c>
      <c r="L30" s="173">
        <f>D30*27800</f>
        <v>0</v>
      </c>
      <c r="M30" s="299">
        <f t="shared" ref="M30:M41" si="16">E30*27800</f>
        <v>4726000</v>
      </c>
      <c r="N30" s="276">
        <f>F30*32130</f>
        <v>20852370</v>
      </c>
      <c r="O30" s="282"/>
      <c r="P30" s="285">
        <f>H30*32130</f>
        <v>0</v>
      </c>
      <c r="Q30" s="285"/>
      <c r="R30" s="4">
        <f t="shared" si="15"/>
        <v>26939170</v>
      </c>
      <c r="S30" s="42">
        <f>(C30+D30+E30+F30+I30+G30+H30)*15958</f>
        <v>13644090</v>
      </c>
    </row>
    <row r="31" spans="1:19">
      <c r="A31" s="29" t="s">
        <v>37</v>
      </c>
      <c r="B31" s="381" t="s">
        <v>38</v>
      </c>
      <c r="C31" s="263">
        <v>26</v>
      </c>
      <c r="D31" s="235"/>
      <c r="E31" s="234">
        <v>168</v>
      </c>
      <c r="F31" s="230">
        <v>468</v>
      </c>
      <c r="G31" s="230"/>
      <c r="H31" s="230"/>
      <c r="I31" s="330"/>
      <c r="J31" s="35">
        <f t="shared" si="14"/>
        <v>662</v>
      </c>
      <c r="K31" s="361">
        <f t="shared" ref="K31:K41" si="17">C31*37800</f>
        <v>982800</v>
      </c>
      <c r="L31" s="173">
        <f t="shared" ref="L31:L41" si="18">D31*27800</f>
        <v>0</v>
      </c>
      <c r="M31" s="299">
        <f t="shared" si="16"/>
        <v>4670400</v>
      </c>
      <c r="N31" s="276">
        <f t="shared" ref="N31:N41" si="19">F31*32130</f>
        <v>15036840</v>
      </c>
      <c r="O31" s="282"/>
      <c r="P31" s="285">
        <f t="shared" ref="P31:P41" si="20">H31*32130</f>
        <v>0</v>
      </c>
      <c r="Q31" s="285"/>
      <c r="R31" s="4">
        <f t="shared" si="15"/>
        <v>20690040</v>
      </c>
      <c r="S31" s="42">
        <f>(C31+D31+E31+F31+I31+G31+H31)*15958</f>
        <v>10564196</v>
      </c>
    </row>
    <row r="32" spans="1:19">
      <c r="A32" s="29" t="s">
        <v>39</v>
      </c>
      <c r="B32" s="377" t="s">
        <v>40</v>
      </c>
      <c r="C32" s="263">
        <v>19</v>
      </c>
      <c r="D32" s="235"/>
      <c r="E32" s="234">
        <v>40</v>
      </c>
      <c r="F32" s="215">
        <v>178</v>
      </c>
      <c r="G32" s="215"/>
      <c r="H32" s="215"/>
      <c r="I32" s="329"/>
      <c r="J32" s="35">
        <f t="shared" si="14"/>
        <v>237</v>
      </c>
      <c r="K32" s="361">
        <f t="shared" si="17"/>
        <v>718200</v>
      </c>
      <c r="L32" s="173">
        <f t="shared" si="18"/>
        <v>0</v>
      </c>
      <c r="M32" s="299">
        <f t="shared" si="16"/>
        <v>1112000</v>
      </c>
      <c r="N32" s="276">
        <f t="shared" si="19"/>
        <v>5719140</v>
      </c>
      <c r="O32" s="282"/>
      <c r="P32" s="285">
        <f t="shared" si="20"/>
        <v>0</v>
      </c>
      <c r="Q32" s="285"/>
      <c r="R32" s="4">
        <f t="shared" si="15"/>
        <v>7549340</v>
      </c>
      <c r="S32" s="42">
        <f>(C32+D32+E32+F32+I32+G32+H32)*15958</f>
        <v>3782046</v>
      </c>
    </row>
    <row r="33" spans="1:19">
      <c r="A33" s="43" t="s">
        <v>41</v>
      </c>
      <c r="B33" s="381" t="s">
        <v>701</v>
      </c>
      <c r="C33" s="263">
        <v>10</v>
      </c>
      <c r="D33" s="235"/>
      <c r="E33" s="234">
        <v>123</v>
      </c>
      <c r="F33" s="230">
        <v>278</v>
      </c>
      <c r="G33" s="230"/>
      <c r="H33" s="230"/>
      <c r="I33" s="322"/>
      <c r="J33" s="35">
        <f t="shared" si="14"/>
        <v>411</v>
      </c>
      <c r="K33" s="361">
        <f t="shared" si="17"/>
        <v>378000</v>
      </c>
      <c r="L33" s="173">
        <f t="shared" si="18"/>
        <v>0</v>
      </c>
      <c r="M33" s="299">
        <f t="shared" si="16"/>
        <v>3419400</v>
      </c>
      <c r="N33" s="276">
        <f t="shared" si="19"/>
        <v>8932140</v>
      </c>
      <c r="O33" s="282">
        <f>G33*30240</f>
        <v>0</v>
      </c>
      <c r="P33" s="285">
        <f t="shared" si="20"/>
        <v>0</v>
      </c>
      <c r="Q33" s="285"/>
      <c r="R33" s="4">
        <f t="shared" si="15"/>
        <v>12729540</v>
      </c>
      <c r="S33" s="42">
        <f t="shared" ref="S33:S38" si="21">(C33+D33+E33+F33+I33+G33+H33)*16680</f>
        <v>6855480</v>
      </c>
    </row>
    <row r="34" spans="1:19">
      <c r="A34" s="29" t="s">
        <v>42</v>
      </c>
      <c r="B34" s="381" t="s">
        <v>43</v>
      </c>
      <c r="C34" s="263">
        <v>23</v>
      </c>
      <c r="D34" s="235"/>
      <c r="E34" s="234">
        <v>63</v>
      </c>
      <c r="F34" s="230">
        <v>416</v>
      </c>
      <c r="G34" s="230"/>
      <c r="H34" s="230"/>
      <c r="I34" s="322"/>
      <c r="J34" s="35">
        <f t="shared" si="14"/>
        <v>502</v>
      </c>
      <c r="K34" s="361">
        <f t="shared" si="17"/>
        <v>869400</v>
      </c>
      <c r="L34" s="173">
        <f t="shared" si="18"/>
        <v>0</v>
      </c>
      <c r="M34" s="299">
        <f t="shared" si="16"/>
        <v>1751400</v>
      </c>
      <c r="N34" s="276">
        <f t="shared" si="19"/>
        <v>13366080</v>
      </c>
      <c r="O34" s="282"/>
      <c r="P34" s="285">
        <f t="shared" si="20"/>
        <v>0</v>
      </c>
      <c r="Q34" s="285"/>
      <c r="R34" s="4">
        <f t="shared" si="15"/>
        <v>15986880</v>
      </c>
      <c r="S34" s="42">
        <f t="shared" si="21"/>
        <v>8373360</v>
      </c>
    </row>
    <row r="35" spans="1:19">
      <c r="A35" s="29" t="s">
        <v>44</v>
      </c>
      <c r="B35" s="377" t="s">
        <v>45</v>
      </c>
      <c r="C35" s="263">
        <v>6</v>
      </c>
      <c r="D35" s="235"/>
      <c r="E35" s="234"/>
      <c r="F35" s="230">
        <v>2</v>
      </c>
      <c r="G35" s="230"/>
      <c r="H35" s="230"/>
      <c r="I35" s="322"/>
      <c r="J35" s="35">
        <f t="shared" si="14"/>
        <v>8</v>
      </c>
      <c r="K35" s="361">
        <f t="shared" si="17"/>
        <v>226800</v>
      </c>
      <c r="L35" s="173">
        <f t="shared" si="18"/>
        <v>0</v>
      </c>
      <c r="M35" s="299">
        <f t="shared" si="16"/>
        <v>0</v>
      </c>
      <c r="N35" s="276">
        <f t="shared" si="19"/>
        <v>64260</v>
      </c>
      <c r="O35" s="282"/>
      <c r="P35" s="285">
        <f t="shared" si="20"/>
        <v>0</v>
      </c>
      <c r="Q35" s="285"/>
      <c r="R35" s="4">
        <f t="shared" si="15"/>
        <v>291060</v>
      </c>
      <c r="S35" s="42">
        <f t="shared" si="21"/>
        <v>133440</v>
      </c>
    </row>
    <row r="36" spans="1:19">
      <c r="A36" s="29" t="s">
        <v>46</v>
      </c>
      <c r="B36" s="377" t="s">
        <v>47</v>
      </c>
      <c r="C36" s="263">
        <v>5</v>
      </c>
      <c r="D36" s="235"/>
      <c r="E36" s="234">
        <v>21</v>
      </c>
      <c r="F36" s="230">
        <v>72</v>
      </c>
      <c r="G36" s="230"/>
      <c r="H36" s="230"/>
      <c r="I36" s="322"/>
      <c r="J36" s="35">
        <f t="shared" si="14"/>
        <v>98</v>
      </c>
      <c r="K36" s="361">
        <f t="shared" si="17"/>
        <v>189000</v>
      </c>
      <c r="L36" s="173">
        <f t="shared" si="18"/>
        <v>0</v>
      </c>
      <c r="M36" s="299">
        <f t="shared" si="16"/>
        <v>583800</v>
      </c>
      <c r="N36" s="276">
        <f t="shared" si="19"/>
        <v>2313360</v>
      </c>
      <c r="O36" s="282"/>
      <c r="P36" s="285">
        <f t="shared" si="20"/>
        <v>0</v>
      </c>
      <c r="Q36" s="285"/>
      <c r="R36" s="4">
        <f t="shared" si="15"/>
        <v>3086160</v>
      </c>
      <c r="S36" s="42">
        <f t="shared" si="21"/>
        <v>1634640</v>
      </c>
    </row>
    <row r="37" spans="1:19">
      <c r="A37" s="29" t="s">
        <v>48</v>
      </c>
      <c r="B37" s="377" t="s">
        <v>727</v>
      </c>
      <c r="C37" s="310">
        <v>6</v>
      </c>
      <c r="D37" s="235"/>
      <c r="E37" s="234"/>
      <c r="F37" s="215">
        <v>3</v>
      </c>
      <c r="G37" s="215"/>
      <c r="H37" s="215"/>
      <c r="I37" s="329"/>
      <c r="J37" s="35">
        <f t="shared" si="14"/>
        <v>9</v>
      </c>
      <c r="K37" s="361">
        <f t="shared" si="17"/>
        <v>226800</v>
      </c>
      <c r="L37" s="173">
        <f t="shared" si="18"/>
        <v>0</v>
      </c>
      <c r="M37" s="299">
        <f t="shared" si="16"/>
        <v>0</v>
      </c>
      <c r="N37" s="276">
        <f t="shared" si="19"/>
        <v>96390</v>
      </c>
      <c r="O37" s="282"/>
      <c r="P37" s="285">
        <f t="shared" si="20"/>
        <v>0</v>
      </c>
      <c r="Q37" s="285"/>
      <c r="R37" s="4">
        <f t="shared" si="15"/>
        <v>323190</v>
      </c>
      <c r="S37" s="42">
        <f t="shared" si="21"/>
        <v>150120</v>
      </c>
    </row>
    <row r="38" spans="1:19">
      <c r="A38" s="29" t="s">
        <v>49</v>
      </c>
      <c r="B38" s="381" t="s">
        <v>50</v>
      </c>
      <c r="C38" s="310">
        <v>1</v>
      </c>
      <c r="D38" s="235"/>
      <c r="E38" s="234">
        <v>8</v>
      </c>
      <c r="F38" s="230">
        <v>35</v>
      </c>
      <c r="G38" s="230"/>
      <c r="H38" s="230"/>
      <c r="I38" s="322"/>
      <c r="J38" s="35">
        <f t="shared" si="14"/>
        <v>44</v>
      </c>
      <c r="K38" s="361">
        <f t="shared" si="17"/>
        <v>37800</v>
      </c>
      <c r="L38" s="173">
        <f t="shared" si="18"/>
        <v>0</v>
      </c>
      <c r="M38" s="299">
        <f t="shared" si="16"/>
        <v>222400</v>
      </c>
      <c r="N38" s="276">
        <f t="shared" si="19"/>
        <v>1124550</v>
      </c>
      <c r="O38" s="282"/>
      <c r="P38" s="285">
        <f t="shared" si="20"/>
        <v>0</v>
      </c>
      <c r="Q38" s="285"/>
      <c r="R38" s="4">
        <f t="shared" si="15"/>
        <v>1384750</v>
      </c>
      <c r="S38" s="42">
        <f t="shared" si="21"/>
        <v>733920</v>
      </c>
    </row>
    <row r="39" spans="1:19">
      <c r="A39" s="29" t="s">
        <v>51</v>
      </c>
      <c r="B39" s="377" t="s">
        <v>52</v>
      </c>
      <c r="C39" s="310"/>
      <c r="D39" s="235"/>
      <c r="E39" s="234"/>
      <c r="F39" s="215"/>
      <c r="G39" s="215"/>
      <c r="H39" s="215"/>
      <c r="I39" s="329"/>
      <c r="J39" s="35">
        <f t="shared" si="14"/>
        <v>0</v>
      </c>
      <c r="K39" s="361">
        <f t="shared" si="17"/>
        <v>0</v>
      </c>
      <c r="L39" s="173">
        <f t="shared" si="18"/>
        <v>0</v>
      </c>
      <c r="M39" s="299">
        <f t="shared" si="16"/>
        <v>0</v>
      </c>
      <c r="N39" s="276">
        <f t="shared" si="19"/>
        <v>0</v>
      </c>
      <c r="O39" s="282"/>
      <c r="P39" s="285">
        <f t="shared" si="20"/>
        <v>0</v>
      </c>
      <c r="Q39" s="285"/>
      <c r="R39" s="4">
        <f t="shared" si="15"/>
        <v>0</v>
      </c>
      <c r="S39" s="42">
        <f>(C39+D39+E39+F39+I39+G39+H39)*15688</f>
        <v>0</v>
      </c>
    </row>
    <row r="40" spans="1:19">
      <c r="A40" s="29" t="s">
        <v>53</v>
      </c>
      <c r="B40" s="377" t="s">
        <v>54</v>
      </c>
      <c r="C40" s="263">
        <v>4</v>
      </c>
      <c r="D40" s="235"/>
      <c r="E40" s="234">
        <v>12</v>
      </c>
      <c r="F40" s="230">
        <v>104</v>
      </c>
      <c r="G40" s="230"/>
      <c r="H40" s="230"/>
      <c r="I40" s="322"/>
      <c r="J40" s="35">
        <f t="shared" si="14"/>
        <v>120</v>
      </c>
      <c r="K40" s="361">
        <f t="shared" si="17"/>
        <v>151200</v>
      </c>
      <c r="L40" s="173">
        <f t="shared" si="18"/>
        <v>0</v>
      </c>
      <c r="M40" s="299">
        <f t="shared" si="16"/>
        <v>333600</v>
      </c>
      <c r="N40" s="276">
        <f t="shared" si="19"/>
        <v>3341520</v>
      </c>
      <c r="O40" s="282"/>
      <c r="P40" s="285">
        <f t="shared" si="20"/>
        <v>0</v>
      </c>
      <c r="Q40" s="285"/>
      <c r="R40" s="4">
        <f t="shared" si="15"/>
        <v>3826320</v>
      </c>
      <c r="S40" s="42">
        <f>(C40+D40+E40+F40+I40+G40+H40)*15688</f>
        <v>1882560</v>
      </c>
    </row>
    <row r="41" spans="1:19">
      <c r="A41" s="29" t="s">
        <v>55</v>
      </c>
      <c r="B41" s="377" t="s">
        <v>396</v>
      </c>
      <c r="C41" s="263">
        <v>5</v>
      </c>
      <c r="D41" s="235"/>
      <c r="E41" s="234">
        <v>5</v>
      </c>
      <c r="F41" s="215">
        <v>47</v>
      </c>
      <c r="G41" s="215"/>
      <c r="H41" s="215"/>
      <c r="I41" s="329"/>
      <c r="J41" s="35">
        <f t="shared" si="14"/>
        <v>57</v>
      </c>
      <c r="K41" s="361">
        <f t="shared" si="17"/>
        <v>189000</v>
      </c>
      <c r="L41" s="173">
        <f t="shared" si="18"/>
        <v>0</v>
      </c>
      <c r="M41" s="299">
        <f t="shared" si="16"/>
        <v>139000</v>
      </c>
      <c r="N41" s="276">
        <f t="shared" si="19"/>
        <v>1510110</v>
      </c>
      <c r="O41" s="282"/>
      <c r="P41" s="285">
        <f t="shared" si="20"/>
        <v>0</v>
      </c>
      <c r="Q41" s="285"/>
      <c r="R41" s="4">
        <f t="shared" si="15"/>
        <v>1838110</v>
      </c>
      <c r="S41" s="42">
        <f>(C41+D41+E41+F41+I41+G41+H41)*15688</f>
        <v>894216</v>
      </c>
    </row>
    <row r="42" spans="1:19">
      <c r="A42" s="29"/>
      <c r="B42" s="377"/>
      <c r="C42" s="263"/>
      <c r="D42" s="235"/>
      <c r="E42" s="234"/>
      <c r="F42" s="215"/>
      <c r="G42" s="215"/>
      <c r="H42" s="328"/>
      <c r="I42" s="329"/>
      <c r="J42" s="35">
        <f t="shared" si="14"/>
        <v>0</v>
      </c>
      <c r="K42" s="361"/>
      <c r="L42" s="173"/>
      <c r="M42" s="299"/>
      <c r="O42" s="282"/>
      <c r="P42" s="282"/>
      <c r="Q42" s="285"/>
      <c r="S42" s="42"/>
    </row>
    <row r="43" spans="1:19">
      <c r="A43" s="29"/>
      <c r="B43" s="30"/>
      <c r="C43" s="310"/>
      <c r="D43" s="32"/>
      <c r="E43" s="33"/>
      <c r="F43" s="191"/>
      <c r="G43" s="34"/>
      <c r="H43" s="197"/>
      <c r="I43" s="34"/>
      <c r="J43" s="35">
        <f t="shared" si="14"/>
        <v>0</v>
      </c>
      <c r="K43" s="290">
        <f>C43*36000</f>
        <v>0</v>
      </c>
      <c r="L43" s="173">
        <f>D43*28000</f>
        <v>0</v>
      </c>
      <c r="M43" s="299"/>
      <c r="P43" s="282"/>
      <c r="S43" s="42"/>
    </row>
    <row r="44" spans="1:19" s="24" customFormat="1">
      <c r="A44" s="439" t="s">
        <v>56</v>
      </c>
      <c r="B44" s="449"/>
      <c r="C44" s="450">
        <f t="shared" ref="C44:J44" si="22">SUM(C29:C43)</f>
        <v>185</v>
      </c>
      <c r="D44" s="451">
        <f t="shared" si="22"/>
        <v>0</v>
      </c>
      <c r="E44" s="452">
        <f t="shared" si="22"/>
        <v>747</v>
      </c>
      <c r="F44" s="453">
        <f t="shared" si="22"/>
        <v>2944</v>
      </c>
      <c r="G44" s="453">
        <f t="shared" si="22"/>
        <v>0</v>
      </c>
      <c r="H44" s="453">
        <f t="shared" si="22"/>
        <v>0</v>
      </c>
      <c r="I44" s="453">
        <f t="shared" si="22"/>
        <v>0</v>
      </c>
      <c r="J44" s="442">
        <f t="shared" si="22"/>
        <v>3876</v>
      </c>
      <c r="K44" s="443">
        <f>SUM(K25:K43)</f>
        <v>7127000</v>
      </c>
      <c r="L44" s="444">
        <f>SUM(L25:L43)</f>
        <v>0</v>
      </c>
      <c r="M44" s="445">
        <f t="shared" ref="M44:Q44" si="23">SUM(M25:M43)</f>
        <v>21177600</v>
      </c>
      <c r="N44" s="443">
        <f>SUM(N25:N43)</f>
        <v>96007520</v>
      </c>
      <c r="O44" s="446">
        <f>SUM(O25:O43)</f>
        <v>17360</v>
      </c>
      <c r="P44" s="446">
        <f t="shared" si="23"/>
        <v>0</v>
      </c>
      <c r="Q44" s="446">
        <f t="shared" si="23"/>
        <v>0</v>
      </c>
      <c r="R44" s="454">
        <f>SUM(R25:R43)</f>
        <v>124329480</v>
      </c>
      <c r="S44" s="448">
        <f>SUM(S25:S43)</f>
        <v>64358400</v>
      </c>
    </row>
    <row r="45" spans="1:19">
      <c r="C45" s="1" t="s">
        <v>2</v>
      </c>
      <c r="D45" s="9" t="s">
        <v>3</v>
      </c>
      <c r="E45" s="10" t="s">
        <v>4</v>
      </c>
      <c r="F45" s="12" t="s">
        <v>5</v>
      </c>
      <c r="G45" s="12"/>
      <c r="H45" s="12" t="s">
        <v>464</v>
      </c>
      <c r="I45" s="12"/>
      <c r="J45" s="13" t="s">
        <v>6</v>
      </c>
      <c r="K45" s="181"/>
      <c r="P45" s="210"/>
    </row>
    <row r="46" spans="1:19">
      <c r="C46" s="44"/>
      <c r="D46" s="406" t="s">
        <v>57</v>
      </c>
      <c r="E46" s="19" t="s">
        <v>58</v>
      </c>
      <c r="F46" s="20" t="s">
        <v>421</v>
      </c>
      <c r="G46" s="46">
        <v>0.15</v>
      </c>
      <c r="H46" s="20"/>
      <c r="I46" s="20"/>
      <c r="J46" s="17"/>
      <c r="P46" s="210"/>
    </row>
    <row r="47" spans="1:19" ht="24">
      <c r="A47" s="24" t="s">
        <v>59</v>
      </c>
      <c r="C47" s="47"/>
      <c r="D47" s="48"/>
      <c r="E47" s="49"/>
      <c r="F47" s="20" t="s">
        <v>14</v>
      </c>
      <c r="G47" s="26" t="s">
        <v>15</v>
      </c>
      <c r="H47" s="20" t="s">
        <v>598</v>
      </c>
      <c r="I47" s="415"/>
      <c r="J47" s="50"/>
      <c r="K47" s="219" t="s">
        <v>2</v>
      </c>
      <c r="L47" s="664" t="s">
        <v>734</v>
      </c>
      <c r="M47" s="664"/>
      <c r="N47" s="348" t="s">
        <v>465</v>
      </c>
      <c r="O47" s="348" t="s">
        <v>557</v>
      </c>
      <c r="P47" s="348" t="s">
        <v>464</v>
      </c>
      <c r="Q47" s="348"/>
      <c r="R47" s="220" t="s">
        <v>18</v>
      </c>
      <c r="S47" s="220" t="s">
        <v>506</v>
      </c>
    </row>
    <row r="48" spans="1:19">
      <c r="A48" s="51" t="s">
        <v>60</v>
      </c>
      <c r="B48" s="376" t="s">
        <v>61</v>
      </c>
      <c r="C48" s="233">
        <v>16</v>
      </c>
      <c r="D48" s="331"/>
      <c r="E48" s="332">
        <v>15</v>
      </c>
      <c r="F48" s="333">
        <v>163</v>
      </c>
      <c r="G48" s="322"/>
      <c r="H48" s="333"/>
      <c r="I48" s="334"/>
      <c r="J48" s="27">
        <f>SUM(C48:I48)</f>
        <v>194</v>
      </c>
      <c r="K48" s="361">
        <f>C48*35700</f>
        <v>571200</v>
      </c>
      <c r="L48" s="294">
        <f>D48*25400</f>
        <v>0</v>
      </c>
      <c r="M48" s="299">
        <f>E48*25400</f>
        <v>381000</v>
      </c>
      <c r="N48" s="276">
        <f>F48*29500</f>
        <v>4808500</v>
      </c>
      <c r="P48" s="282">
        <f>H48*29500</f>
        <v>0</v>
      </c>
      <c r="R48" s="4">
        <f>SUM(K48:Q48)</f>
        <v>5760700</v>
      </c>
      <c r="S48" s="4">
        <f>(C48+D48+E48+F48+I48+H48+G48)*14155</f>
        <v>2746070</v>
      </c>
    </row>
    <row r="49" spans="1:19">
      <c r="A49" s="51" t="s">
        <v>62</v>
      </c>
      <c r="B49" s="375" t="s">
        <v>63</v>
      </c>
      <c r="C49" s="233">
        <v>4</v>
      </c>
      <c r="D49" s="235"/>
      <c r="E49" s="234">
        <v>3</v>
      </c>
      <c r="F49" s="230">
        <v>25</v>
      </c>
      <c r="G49" s="334"/>
      <c r="H49" s="333"/>
      <c r="I49" s="334"/>
      <c r="J49" s="27">
        <f t="shared" ref="J49:J60" si="24">SUM(C49:I49)</f>
        <v>32</v>
      </c>
      <c r="K49" s="361">
        <f>C49*35700</f>
        <v>142800</v>
      </c>
      <c r="L49" s="294">
        <f t="shared" ref="L49:M59" si="25">D49*25400</f>
        <v>0</v>
      </c>
      <c r="M49" s="299">
        <f t="shared" si="25"/>
        <v>76200</v>
      </c>
      <c r="N49" s="276">
        <f t="shared" ref="N49:N59" si="26">F49*29500</f>
        <v>737500</v>
      </c>
      <c r="P49" s="282">
        <f t="shared" ref="P49:P59" si="27">H49*29500</f>
        <v>0</v>
      </c>
      <c r="R49" s="4">
        <f t="shared" ref="R49:R59" si="28">SUM(K49:Q49)</f>
        <v>956500</v>
      </c>
      <c r="S49" s="4">
        <f>(C49+D49+E49+F49+I49+H49+G49)*14155</f>
        <v>452960</v>
      </c>
    </row>
    <row r="50" spans="1:19">
      <c r="A50" s="51" t="s">
        <v>64</v>
      </c>
      <c r="B50" s="376" t="s">
        <v>65</v>
      </c>
      <c r="C50" s="237">
        <v>3</v>
      </c>
      <c r="D50" s="235"/>
      <c r="E50" s="234"/>
      <c r="F50" s="230">
        <v>14</v>
      </c>
      <c r="G50" s="334"/>
      <c r="H50" s="333"/>
      <c r="I50" s="334"/>
      <c r="J50" s="27">
        <f t="shared" si="24"/>
        <v>17</v>
      </c>
      <c r="K50" s="361">
        <f t="shared" ref="K50:K59" si="29">C50*34700</f>
        <v>104100</v>
      </c>
      <c r="L50" s="294">
        <f t="shared" si="25"/>
        <v>0</v>
      </c>
      <c r="M50" s="299">
        <f t="shared" si="25"/>
        <v>0</v>
      </c>
      <c r="N50" s="276">
        <f t="shared" si="26"/>
        <v>413000</v>
      </c>
      <c r="P50" s="282">
        <f t="shared" si="27"/>
        <v>0</v>
      </c>
      <c r="R50" s="4">
        <f t="shared" si="28"/>
        <v>517100</v>
      </c>
      <c r="S50" s="4">
        <f>(C50+D50+E50+F50+I50+H50+G50)*13975</f>
        <v>237575</v>
      </c>
    </row>
    <row r="51" spans="1:19">
      <c r="A51" s="51" t="s">
        <v>66</v>
      </c>
      <c r="B51" s="375" t="s">
        <v>67</v>
      </c>
      <c r="C51" s="233">
        <v>6</v>
      </c>
      <c r="D51" s="235"/>
      <c r="E51" s="234">
        <v>3</v>
      </c>
      <c r="F51" s="230">
        <v>62</v>
      </c>
      <c r="G51" s="334"/>
      <c r="H51" s="333"/>
      <c r="I51" s="334"/>
      <c r="J51" s="27">
        <f t="shared" si="24"/>
        <v>71</v>
      </c>
      <c r="K51" s="361">
        <f t="shared" si="29"/>
        <v>208200</v>
      </c>
      <c r="L51" s="294">
        <f t="shared" si="25"/>
        <v>0</v>
      </c>
      <c r="M51" s="299">
        <f t="shared" si="25"/>
        <v>76200</v>
      </c>
      <c r="N51" s="276">
        <f t="shared" si="26"/>
        <v>1829000</v>
      </c>
      <c r="P51" s="282">
        <f t="shared" si="27"/>
        <v>0</v>
      </c>
      <c r="R51" s="4">
        <f t="shared" si="28"/>
        <v>2113400</v>
      </c>
      <c r="S51" s="4">
        <f t="shared" ref="S51:S59" si="30">(C51+D51+E51+F51+I51+H51+G51)*13975</f>
        <v>992225</v>
      </c>
    </row>
    <row r="52" spans="1:19">
      <c r="A52" s="51" t="s">
        <v>68</v>
      </c>
      <c r="B52" s="376" t="s">
        <v>702</v>
      </c>
      <c r="C52" s="237">
        <v>1</v>
      </c>
      <c r="D52" s="235"/>
      <c r="E52" s="234"/>
      <c r="F52" s="230"/>
      <c r="G52" s="334"/>
      <c r="H52" s="333"/>
      <c r="I52" s="334"/>
      <c r="J52" s="27">
        <f t="shared" si="24"/>
        <v>1</v>
      </c>
      <c r="K52" s="361">
        <f t="shared" si="29"/>
        <v>34700</v>
      </c>
      <c r="L52" s="294">
        <f t="shared" si="25"/>
        <v>0</v>
      </c>
      <c r="M52" s="299">
        <f t="shared" si="25"/>
        <v>0</v>
      </c>
      <c r="N52" s="276">
        <f t="shared" si="26"/>
        <v>0</v>
      </c>
      <c r="P52" s="282">
        <f t="shared" si="27"/>
        <v>0</v>
      </c>
      <c r="R52" s="4">
        <f t="shared" si="28"/>
        <v>34700</v>
      </c>
      <c r="S52" s="4">
        <f t="shared" si="30"/>
        <v>13975</v>
      </c>
    </row>
    <row r="53" spans="1:19">
      <c r="A53" s="51" t="s">
        <v>69</v>
      </c>
      <c r="B53" s="376" t="s">
        <v>70</v>
      </c>
      <c r="C53" s="237">
        <v>15</v>
      </c>
      <c r="D53" s="235"/>
      <c r="E53" s="234"/>
      <c r="F53" s="230">
        <v>23</v>
      </c>
      <c r="G53" s="333"/>
      <c r="H53" s="333"/>
      <c r="I53" s="334"/>
      <c r="J53" s="27">
        <f t="shared" si="24"/>
        <v>38</v>
      </c>
      <c r="K53" s="361">
        <f t="shared" si="29"/>
        <v>520500</v>
      </c>
      <c r="L53" s="294">
        <f t="shared" si="25"/>
        <v>0</v>
      </c>
      <c r="M53" s="299">
        <f t="shared" si="25"/>
        <v>0</v>
      </c>
      <c r="N53" s="276">
        <f t="shared" si="26"/>
        <v>678500</v>
      </c>
      <c r="O53" s="282">
        <f>G53*27760</f>
        <v>0</v>
      </c>
      <c r="P53" s="282">
        <f t="shared" si="27"/>
        <v>0</v>
      </c>
      <c r="Q53" s="285"/>
      <c r="R53" s="4">
        <f t="shared" si="28"/>
        <v>1199000</v>
      </c>
      <c r="S53" s="4">
        <f t="shared" si="30"/>
        <v>531050</v>
      </c>
    </row>
    <row r="54" spans="1:19">
      <c r="A54" s="51" t="s">
        <v>71</v>
      </c>
      <c r="B54" s="375" t="s">
        <v>72</v>
      </c>
      <c r="C54" s="233">
        <v>7</v>
      </c>
      <c r="D54" s="235"/>
      <c r="E54" s="234"/>
      <c r="F54" s="230">
        <v>27</v>
      </c>
      <c r="G54" s="334"/>
      <c r="H54" s="333"/>
      <c r="I54" s="334"/>
      <c r="J54" s="27">
        <f t="shared" si="24"/>
        <v>34</v>
      </c>
      <c r="K54" s="361">
        <f t="shared" si="29"/>
        <v>242900</v>
      </c>
      <c r="L54" s="294">
        <f t="shared" si="25"/>
        <v>0</v>
      </c>
      <c r="M54" s="299">
        <f t="shared" si="25"/>
        <v>0</v>
      </c>
      <c r="N54" s="276">
        <f t="shared" si="26"/>
        <v>796500</v>
      </c>
      <c r="P54" s="282">
        <f t="shared" si="27"/>
        <v>0</v>
      </c>
      <c r="R54" s="4">
        <f t="shared" si="28"/>
        <v>1039400</v>
      </c>
      <c r="S54" s="4">
        <f t="shared" si="30"/>
        <v>475150</v>
      </c>
    </row>
    <row r="55" spans="1:19">
      <c r="A55" s="51" t="s">
        <v>73</v>
      </c>
      <c r="B55" s="376" t="s">
        <v>74</v>
      </c>
      <c r="C55" s="237"/>
      <c r="D55" s="235"/>
      <c r="E55" s="234"/>
      <c r="F55" s="230"/>
      <c r="G55" s="334"/>
      <c r="H55" s="333"/>
      <c r="I55" s="334"/>
      <c r="J55" s="27">
        <f t="shared" si="24"/>
        <v>0</v>
      </c>
      <c r="K55" s="361">
        <f t="shared" si="29"/>
        <v>0</v>
      </c>
      <c r="L55" s="294">
        <f t="shared" si="25"/>
        <v>0</v>
      </c>
      <c r="M55" s="299">
        <f t="shared" si="25"/>
        <v>0</v>
      </c>
      <c r="N55" s="276">
        <f t="shared" si="26"/>
        <v>0</v>
      </c>
      <c r="P55" s="282">
        <f t="shared" si="27"/>
        <v>0</v>
      </c>
      <c r="R55" s="4">
        <f t="shared" si="28"/>
        <v>0</v>
      </c>
      <c r="S55" s="4">
        <f t="shared" si="30"/>
        <v>0</v>
      </c>
    </row>
    <row r="56" spans="1:19">
      <c r="A56" s="51" t="s">
        <v>75</v>
      </c>
      <c r="B56" s="375" t="s">
        <v>76</v>
      </c>
      <c r="C56" s="233">
        <v>4</v>
      </c>
      <c r="D56" s="235"/>
      <c r="E56" s="234"/>
      <c r="F56" s="230">
        <v>28</v>
      </c>
      <c r="G56" s="334"/>
      <c r="H56" s="333"/>
      <c r="I56" s="334"/>
      <c r="J56" s="27">
        <f t="shared" si="24"/>
        <v>32</v>
      </c>
      <c r="K56" s="361">
        <f t="shared" si="29"/>
        <v>138800</v>
      </c>
      <c r="L56" s="294">
        <f t="shared" si="25"/>
        <v>0</v>
      </c>
      <c r="M56" s="299">
        <f t="shared" si="25"/>
        <v>0</v>
      </c>
      <c r="N56" s="276">
        <f t="shared" si="26"/>
        <v>826000</v>
      </c>
      <c r="P56" s="282">
        <f t="shared" si="27"/>
        <v>0</v>
      </c>
      <c r="R56" s="4">
        <f t="shared" si="28"/>
        <v>964800</v>
      </c>
      <c r="S56" s="4">
        <f>(C56+D56+E56+F56+I56+H56+G56)*13434</f>
        <v>429888</v>
      </c>
    </row>
    <row r="57" spans="1:19">
      <c r="A57" s="51" t="s">
        <v>77</v>
      </c>
      <c r="B57" s="375" t="s">
        <v>78</v>
      </c>
      <c r="C57" s="233">
        <v>19</v>
      </c>
      <c r="D57" s="235"/>
      <c r="E57" s="234">
        <v>15</v>
      </c>
      <c r="F57" s="230">
        <v>76</v>
      </c>
      <c r="G57" s="334"/>
      <c r="H57" s="333"/>
      <c r="I57" s="334"/>
      <c r="J57" s="27">
        <f t="shared" si="24"/>
        <v>110</v>
      </c>
      <c r="K57" s="361">
        <f t="shared" si="29"/>
        <v>659300</v>
      </c>
      <c r="L57" s="294">
        <f t="shared" si="25"/>
        <v>0</v>
      </c>
      <c r="M57" s="299">
        <f t="shared" si="25"/>
        <v>381000</v>
      </c>
      <c r="N57" s="276">
        <f t="shared" si="26"/>
        <v>2242000</v>
      </c>
      <c r="P57" s="282">
        <f t="shared" si="27"/>
        <v>0</v>
      </c>
      <c r="R57" s="4">
        <f t="shared" si="28"/>
        <v>3282300</v>
      </c>
      <c r="S57" s="4">
        <f>(C57+D57+E57+F57+I57+H57+G57)*13975</f>
        <v>1537250</v>
      </c>
    </row>
    <row r="58" spans="1:19">
      <c r="A58" s="51" t="s">
        <v>79</v>
      </c>
      <c r="B58" s="375" t="s">
        <v>367</v>
      </c>
      <c r="C58" s="237">
        <v>9</v>
      </c>
      <c r="D58" s="235"/>
      <c r="E58" s="234"/>
      <c r="F58" s="230">
        <v>26</v>
      </c>
      <c r="G58" s="334"/>
      <c r="H58" s="333"/>
      <c r="I58" s="334"/>
      <c r="J58" s="27">
        <f t="shared" si="24"/>
        <v>35</v>
      </c>
      <c r="K58" s="361">
        <f t="shared" si="29"/>
        <v>312300</v>
      </c>
      <c r="L58" s="294">
        <f t="shared" si="25"/>
        <v>0</v>
      </c>
      <c r="M58" s="299">
        <f t="shared" si="25"/>
        <v>0</v>
      </c>
      <c r="N58" s="276">
        <f t="shared" si="26"/>
        <v>767000</v>
      </c>
      <c r="P58" s="282">
        <f t="shared" si="27"/>
        <v>0</v>
      </c>
      <c r="R58" s="4">
        <f t="shared" si="28"/>
        <v>1079300</v>
      </c>
      <c r="S58" s="4">
        <f>(C58+D58+E58+F58+I58+H58+G58)*13434</f>
        <v>470190</v>
      </c>
    </row>
    <row r="59" spans="1:19">
      <c r="A59" s="51" t="s">
        <v>80</v>
      </c>
      <c r="B59" s="375" t="s">
        <v>81</v>
      </c>
      <c r="C59" s="233"/>
      <c r="D59" s="235"/>
      <c r="E59" s="234"/>
      <c r="F59" s="230"/>
      <c r="G59" s="334"/>
      <c r="H59" s="333"/>
      <c r="I59" s="334"/>
      <c r="J59" s="27">
        <f t="shared" si="24"/>
        <v>0</v>
      </c>
      <c r="K59" s="361">
        <f t="shared" si="29"/>
        <v>0</v>
      </c>
      <c r="L59" s="294">
        <f t="shared" si="25"/>
        <v>0</v>
      </c>
      <c r="M59" s="299">
        <f t="shared" si="25"/>
        <v>0</v>
      </c>
      <c r="N59" s="276">
        <f t="shared" si="26"/>
        <v>0</v>
      </c>
      <c r="P59" s="282">
        <f t="shared" si="27"/>
        <v>0</v>
      </c>
      <c r="R59" s="4">
        <f t="shared" si="28"/>
        <v>0</v>
      </c>
      <c r="S59" s="4">
        <f t="shared" si="30"/>
        <v>0</v>
      </c>
    </row>
    <row r="60" spans="1:19">
      <c r="A60" s="51"/>
      <c r="B60" s="29"/>
      <c r="C60" s="35"/>
      <c r="D60" s="32"/>
      <c r="E60" s="33"/>
      <c r="F60" s="191"/>
      <c r="G60" s="53"/>
      <c r="H60" s="52"/>
      <c r="I60" s="53"/>
      <c r="J60" s="27">
        <f t="shared" si="24"/>
        <v>0</v>
      </c>
      <c r="K60" s="291"/>
      <c r="L60" s="294"/>
      <c r="M60" s="299"/>
      <c r="N60" s="282"/>
      <c r="P60" s="210"/>
    </row>
    <row r="61" spans="1:19" s="24" customFormat="1">
      <c r="A61" s="455" t="s">
        <v>82</v>
      </c>
      <c r="B61" s="449"/>
      <c r="C61" s="450">
        <f>SUM(C48:C60)</f>
        <v>84</v>
      </c>
      <c r="D61" s="450">
        <f>SUM(D48:D60)</f>
        <v>0</v>
      </c>
      <c r="E61" s="450">
        <f>SUM(E48:E60)</f>
        <v>36</v>
      </c>
      <c r="F61" s="453">
        <f>SUM(F48:F60)</f>
        <v>444</v>
      </c>
      <c r="G61" s="453"/>
      <c r="H61" s="453">
        <f>SUM(H48:H60)</f>
        <v>0</v>
      </c>
      <c r="I61" s="453">
        <f t="shared" ref="I61:J61" si="31">SUM(I48:I60)</f>
        <v>0</v>
      </c>
      <c r="J61" s="442">
        <f t="shared" si="31"/>
        <v>564</v>
      </c>
      <c r="K61" s="443">
        <f>SUM(K48:K60)</f>
        <v>2934800</v>
      </c>
      <c r="L61" s="456">
        <f t="shared" ref="L61:Q61" si="32">SUM(L48:L60)</f>
        <v>0</v>
      </c>
      <c r="M61" s="445">
        <f t="shared" si="32"/>
        <v>914400</v>
      </c>
      <c r="N61" s="446">
        <f t="shared" si="32"/>
        <v>13098000</v>
      </c>
      <c r="O61" s="446">
        <f t="shared" si="32"/>
        <v>0</v>
      </c>
      <c r="P61" s="446">
        <f t="shared" si="32"/>
        <v>0</v>
      </c>
      <c r="Q61" s="446">
        <f t="shared" si="32"/>
        <v>0</v>
      </c>
      <c r="R61" s="447">
        <f>SUM(R48:R60)</f>
        <v>16947200</v>
      </c>
      <c r="S61" s="448">
        <f>SUM(S48:S60)</f>
        <v>7886333</v>
      </c>
    </row>
    <row r="62" spans="1:19">
      <c r="A62" s="54"/>
      <c r="C62" s="14" t="s">
        <v>2</v>
      </c>
      <c r="D62" s="55" t="s">
        <v>3</v>
      </c>
      <c r="E62" s="15" t="s">
        <v>4</v>
      </c>
      <c r="H62" s="416"/>
      <c r="J62" s="56"/>
      <c r="K62" s="181"/>
      <c r="P62" s="210"/>
    </row>
    <row r="63" spans="1:19">
      <c r="A63" s="54"/>
      <c r="C63" s="14"/>
      <c r="D63" s="388" t="s">
        <v>83</v>
      </c>
      <c r="E63" s="15" t="s">
        <v>84</v>
      </c>
      <c r="F63" s="57" t="s">
        <v>5</v>
      </c>
      <c r="G63" s="57"/>
      <c r="H63" s="200"/>
      <c r="I63" s="57"/>
      <c r="J63" s="58" t="s">
        <v>6</v>
      </c>
      <c r="P63" s="210"/>
    </row>
    <row r="64" spans="1:19">
      <c r="C64" s="18"/>
      <c r="D64" s="388" t="s">
        <v>85</v>
      </c>
      <c r="E64" s="15" t="s">
        <v>86</v>
      </c>
      <c r="F64" s="20"/>
      <c r="G64" s="45"/>
      <c r="H64" s="20"/>
      <c r="I64" s="20"/>
      <c r="J64" s="59"/>
      <c r="P64" s="210"/>
    </row>
    <row r="65" spans="1:19" ht="24">
      <c r="C65" s="18" t="s">
        <v>87</v>
      </c>
      <c r="D65" s="55" t="s">
        <v>88</v>
      </c>
      <c r="E65" s="15" t="s">
        <v>89</v>
      </c>
      <c r="F65" s="20" t="s">
        <v>14</v>
      </c>
      <c r="G65" s="26" t="s">
        <v>15</v>
      </c>
      <c r="H65" s="193"/>
      <c r="I65" s="22"/>
      <c r="J65" s="60"/>
      <c r="P65" s="210"/>
    </row>
    <row r="66" spans="1:19" ht="30" customHeight="1">
      <c r="C66" s="18"/>
      <c r="D66" s="55" t="s">
        <v>90</v>
      </c>
      <c r="E66" s="15" t="s">
        <v>91</v>
      </c>
      <c r="F66" s="61"/>
      <c r="G66" s="22"/>
      <c r="H66" s="193"/>
      <c r="I66" s="22"/>
      <c r="J66" s="60"/>
      <c r="P66" s="210"/>
    </row>
    <row r="67" spans="1:19">
      <c r="A67" s="24" t="s">
        <v>92</v>
      </c>
      <c r="C67" s="25"/>
      <c r="D67" s="55"/>
      <c r="E67" s="15"/>
      <c r="F67" s="62"/>
      <c r="G67" s="63"/>
      <c r="H67" s="201"/>
      <c r="I67" s="63" t="s">
        <v>412</v>
      </c>
      <c r="J67" s="27"/>
      <c r="K67" s="219" t="s">
        <v>2</v>
      </c>
      <c r="L67" s="664" t="s">
        <v>734</v>
      </c>
      <c r="M67" s="664"/>
      <c r="N67" s="348" t="s">
        <v>16</v>
      </c>
      <c r="O67" s="348" t="s">
        <v>557</v>
      </c>
      <c r="P67" s="348" t="s">
        <v>464</v>
      </c>
      <c r="Q67" s="220"/>
      <c r="R67" s="220" t="s">
        <v>18</v>
      </c>
      <c r="S67" s="220" t="s">
        <v>506</v>
      </c>
    </row>
    <row r="68" spans="1:19" s="3" customFormat="1">
      <c r="A68" s="115" t="s">
        <v>93</v>
      </c>
      <c r="B68" s="375" t="s">
        <v>94</v>
      </c>
      <c r="C68" s="233">
        <v>102</v>
      </c>
      <c r="D68" s="235"/>
      <c r="E68" s="234">
        <v>15</v>
      </c>
      <c r="F68" s="322"/>
      <c r="G68" s="322"/>
      <c r="H68" s="236"/>
      <c r="I68" s="322"/>
      <c r="J68" s="35">
        <f t="shared" ref="J68:J84" si="33">SUM(C68:I68)</f>
        <v>117</v>
      </c>
      <c r="K68" s="362">
        <f>C68*25200</f>
        <v>2570400</v>
      </c>
      <c r="L68" s="294">
        <f>D68*21000</f>
        <v>0</v>
      </c>
      <c r="M68" s="299">
        <f>E68*21000</f>
        <v>315000</v>
      </c>
      <c r="N68" s="282"/>
      <c r="O68" s="282"/>
      <c r="P68" s="282"/>
      <c r="Q68" s="5"/>
      <c r="R68" s="4">
        <f>SUM(K68:Q68)</f>
        <v>2885400</v>
      </c>
      <c r="S68" s="4">
        <f>(C68+D68+E68+F68+I68+G68+H68)*7032</f>
        <v>822744</v>
      </c>
    </row>
    <row r="69" spans="1:19" s="3" customFormat="1">
      <c r="A69" s="115" t="s">
        <v>95</v>
      </c>
      <c r="B69" s="375" t="s">
        <v>346</v>
      </c>
      <c r="C69" s="237"/>
      <c r="D69" s="235"/>
      <c r="E69" s="234">
        <v>13</v>
      </c>
      <c r="F69" s="322"/>
      <c r="G69" s="322"/>
      <c r="H69" s="236"/>
      <c r="I69" s="322"/>
      <c r="J69" s="35">
        <f t="shared" si="33"/>
        <v>13</v>
      </c>
      <c r="K69" s="362">
        <f>C69*47000</f>
        <v>0</v>
      </c>
      <c r="L69" s="294">
        <f>D69*39600</f>
        <v>0</v>
      </c>
      <c r="M69" s="299">
        <f>E69*39600</f>
        <v>514800</v>
      </c>
      <c r="N69" s="282"/>
      <c r="O69" s="282"/>
      <c r="P69" s="282"/>
      <c r="Q69" s="5"/>
      <c r="R69" s="4">
        <f t="shared" ref="R69:R84" si="34">SUM(K69:Q69)</f>
        <v>514800</v>
      </c>
      <c r="S69" s="4">
        <f>(C69+D69+E69+F69+I69+G69+H69)*11631</f>
        <v>151203</v>
      </c>
    </row>
    <row r="70" spans="1:19" s="3" customFormat="1">
      <c r="A70" s="115" t="s">
        <v>96</v>
      </c>
      <c r="B70" s="375" t="s">
        <v>97</v>
      </c>
      <c r="C70" s="233">
        <v>91</v>
      </c>
      <c r="D70" s="235"/>
      <c r="E70" s="234">
        <v>1</v>
      </c>
      <c r="F70" s="322"/>
      <c r="G70" s="322"/>
      <c r="H70" s="236"/>
      <c r="I70" s="322"/>
      <c r="J70" s="35">
        <f t="shared" si="33"/>
        <v>92</v>
      </c>
      <c r="K70" s="362">
        <f>C70*29400</f>
        <v>2675400</v>
      </c>
      <c r="L70" s="294">
        <f>D70*25000</f>
        <v>0</v>
      </c>
      <c r="M70" s="299">
        <f>E70*25000</f>
        <v>25000</v>
      </c>
      <c r="N70" s="282"/>
      <c r="O70" s="282"/>
      <c r="P70" s="282"/>
      <c r="Q70" s="5"/>
      <c r="R70" s="4">
        <f t="shared" si="34"/>
        <v>2700400</v>
      </c>
      <c r="S70" s="4">
        <f>(C70+D70+E70+F70+I70+G70+H70)*8565</f>
        <v>787980</v>
      </c>
    </row>
    <row r="71" spans="1:19" s="3" customFormat="1">
      <c r="A71" s="115" t="s">
        <v>98</v>
      </c>
      <c r="B71" s="375" t="s">
        <v>346</v>
      </c>
      <c r="C71" s="233"/>
      <c r="D71" s="235"/>
      <c r="E71" s="234">
        <v>9</v>
      </c>
      <c r="F71" s="322"/>
      <c r="G71" s="322"/>
      <c r="H71" s="236"/>
      <c r="I71" s="322"/>
      <c r="J71" s="35">
        <f t="shared" si="33"/>
        <v>9</v>
      </c>
      <c r="K71" s="362">
        <f>C71*47000</f>
        <v>0</v>
      </c>
      <c r="L71" s="294">
        <f>D71*39600</f>
        <v>0</v>
      </c>
      <c r="M71" s="299">
        <f>E71*39600</f>
        <v>356400</v>
      </c>
      <c r="N71" s="282"/>
      <c r="O71" s="282"/>
      <c r="P71" s="282"/>
      <c r="Q71" s="5"/>
      <c r="R71" s="4">
        <f t="shared" si="34"/>
        <v>356400</v>
      </c>
      <c r="S71" s="4">
        <f>(C71+D71+E71+F71+I71+G71+H71)*13073</f>
        <v>117657</v>
      </c>
    </row>
    <row r="72" spans="1:19" s="3" customFormat="1">
      <c r="A72" s="115" t="s">
        <v>99</v>
      </c>
      <c r="B72" s="375" t="s">
        <v>100</v>
      </c>
      <c r="C72" s="233">
        <v>54</v>
      </c>
      <c r="D72" s="235"/>
      <c r="E72" s="234">
        <v>2</v>
      </c>
      <c r="F72" s="322"/>
      <c r="G72" s="322"/>
      <c r="H72" s="236"/>
      <c r="I72" s="322"/>
      <c r="J72" s="35">
        <f t="shared" si="33"/>
        <v>56</v>
      </c>
      <c r="K72" s="362">
        <f>C72*25200</f>
        <v>1360800</v>
      </c>
      <c r="L72" s="294">
        <f>D72*21000</f>
        <v>0</v>
      </c>
      <c r="M72" s="299">
        <f>E72*21000</f>
        <v>42000</v>
      </c>
      <c r="N72" s="282"/>
      <c r="O72" s="282"/>
      <c r="P72" s="282"/>
      <c r="Q72" s="5"/>
      <c r="R72" s="4">
        <f t="shared" si="34"/>
        <v>1402800</v>
      </c>
      <c r="S72" s="4">
        <f>(C72+D72+E72+F72+I72+G72+H72)*7032</f>
        <v>393792</v>
      </c>
    </row>
    <row r="73" spans="1:19" s="3" customFormat="1">
      <c r="A73" s="115" t="s">
        <v>101</v>
      </c>
      <c r="B73" s="375" t="s">
        <v>102</v>
      </c>
      <c r="C73" s="233">
        <v>23</v>
      </c>
      <c r="D73" s="235"/>
      <c r="E73" s="234"/>
      <c r="F73" s="322"/>
      <c r="G73" s="322"/>
      <c r="H73" s="236"/>
      <c r="I73" s="322"/>
      <c r="J73" s="35">
        <f t="shared" si="33"/>
        <v>23</v>
      </c>
      <c r="K73" s="362">
        <f>C73*29400</f>
        <v>676200</v>
      </c>
      <c r="L73" s="294">
        <f>D73*25000</f>
        <v>0</v>
      </c>
      <c r="M73" s="299">
        <f>E73*25000</f>
        <v>0</v>
      </c>
      <c r="N73" s="282"/>
      <c r="O73" s="282"/>
      <c r="P73" s="282"/>
      <c r="Q73" s="5"/>
      <c r="R73" s="4">
        <f t="shared" si="34"/>
        <v>676200</v>
      </c>
      <c r="S73" s="4">
        <f>(C73+D73+E73+F73+I73+G73+H73)*8565</f>
        <v>196995</v>
      </c>
    </row>
    <row r="74" spans="1:19" s="3" customFormat="1">
      <c r="A74" s="115" t="s">
        <v>103</v>
      </c>
      <c r="B74" s="375" t="s">
        <v>346</v>
      </c>
      <c r="C74" s="237"/>
      <c r="D74" s="235"/>
      <c r="E74" s="234">
        <v>1</v>
      </c>
      <c r="F74" s="322"/>
      <c r="G74" s="322"/>
      <c r="H74" s="236"/>
      <c r="I74" s="322"/>
      <c r="J74" s="35">
        <f t="shared" si="33"/>
        <v>1</v>
      </c>
      <c r="K74" s="362">
        <f>C74*47000</f>
        <v>0</v>
      </c>
      <c r="L74" s="294">
        <f>D74*39600</f>
        <v>0</v>
      </c>
      <c r="M74" s="299">
        <f>E74*39600</f>
        <v>39600</v>
      </c>
      <c r="N74" s="282"/>
      <c r="O74" s="282"/>
      <c r="P74" s="282"/>
      <c r="Q74" s="5"/>
      <c r="R74" s="4">
        <f t="shared" si="34"/>
        <v>39600</v>
      </c>
      <c r="S74" s="4">
        <f>(C74+D74+E74+F74+I74+G74+H74)*13073</f>
        <v>13073</v>
      </c>
    </row>
    <row r="75" spans="1:19" s="3" customFormat="1">
      <c r="A75" s="115" t="s">
        <v>104</v>
      </c>
      <c r="B75" s="375" t="s">
        <v>105</v>
      </c>
      <c r="C75" s="237">
        <v>6</v>
      </c>
      <c r="D75" s="235"/>
      <c r="E75" s="234"/>
      <c r="F75" s="322"/>
      <c r="G75" s="322"/>
      <c r="H75" s="236"/>
      <c r="I75" s="322"/>
      <c r="J75" s="35">
        <f t="shared" si="33"/>
        <v>6</v>
      </c>
      <c r="K75" s="362">
        <f>C75*29400</f>
        <v>176400</v>
      </c>
      <c r="L75" s="294">
        <f>D75*25000</f>
        <v>0</v>
      </c>
      <c r="M75" s="299">
        <f>E75*25000</f>
        <v>0</v>
      </c>
      <c r="N75" s="282"/>
      <c r="O75" s="282"/>
      <c r="P75" s="282"/>
      <c r="Q75" s="5"/>
      <c r="R75" s="4">
        <f t="shared" si="34"/>
        <v>176400</v>
      </c>
      <c r="S75" s="4">
        <f>(C75+D75+E75+F75+I75+G75+H75)*8926</f>
        <v>53556</v>
      </c>
    </row>
    <row r="76" spans="1:19" s="3" customFormat="1">
      <c r="A76" s="115" t="s">
        <v>106</v>
      </c>
      <c r="B76" s="375" t="s">
        <v>107</v>
      </c>
      <c r="C76" s="233">
        <v>10</v>
      </c>
      <c r="D76" s="235"/>
      <c r="E76" s="234"/>
      <c r="F76" s="322"/>
      <c r="G76" s="322"/>
      <c r="H76" s="236"/>
      <c r="I76" s="322"/>
      <c r="J76" s="35">
        <f t="shared" si="33"/>
        <v>10</v>
      </c>
      <c r="K76" s="362">
        <f>C76*25200</f>
        <v>252000</v>
      </c>
      <c r="L76" s="294">
        <f>D76*21000</f>
        <v>0</v>
      </c>
      <c r="M76" s="299">
        <f>E76*21000</f>
        <v>0</v>
      </c>
      <c r="N76" s="282"/>
      <c r="O76" s="282"/>
      <c r="P76" s="282"/>
      <c r="Q76" s="5"/>
      <c r="R76" s="4">
        <f t="shared" si="34"/>
        <v>252000</v>
      </c>
      <c r="S76" s="4">
        <f>(C76+D76+E76+F76+I76+G76+H76)*7032</f>
        <v>70320</v>
      </c>
    </row>
    <row r="77" spans="1:19" s="3" customFormat="1">
      <c r="A77" s="115" t="s">
        <v>108</v>
      </c>
      <c r="B77" s="375" t="s">
        <v>761</v>
      </c>
      <c r="C77" s="233">
        <v>7</v>
      </c>
      <c r="D77" s="235"/>
      <c r="E77" s="234">
        <v>1</v>
      </c>
      <c r="F77" s="322"/>
      <c r="G77" s="322"/>
      <c r="H77" s="236"/>
      <c r="I77" s="322"/>
      <c r="J77" s="35">
        <f t="shared" si="33"/>
        <v>8</v>
      </c>
      <c r="K77" s="288">
        <f>C77*47000</f>
        <v>329000</v>
      </c>
      <c r="L77" s="294">
        <f>D77*39600</f>
        <v>0</v>
      </c>
      <c r="M77" s="299">
        <f>E77*39600</f>
        <v>39600</v>
      </c>
      <c r="N77" s="282"/>
      <c r="O77" s="282"/>
      <c r="P77" s="282"/>
      <c r="Q77" s="5"/>
      <c r="R77" s="4">
        <f t="shared" si="34"/>
        <v>368600</v>
      </c>
      <c r="S77" s="4">
        <f>(C77+D77+E77+F77+I77+G77+H77)*11631</f>
        <v>93048</v>
      </c>
    </row>
    <row r="78" spans="1:19" s="3" customFormat="1">
      <c r="A78" s="115" t="s">
        <v>109</v>
      </c>
      <c r="B78" s="375" t="s">
        <v>110</v>
      </c>
      <c r="C78" s="233">
        <v>15</v>
      </c>
      <c r="D78" s="235"/>
      <c r="E78" s="234">
        <v>22</v>
      </c>
      <c r="F78" s="322"/>
      <c r="G78" s="322"/>
      <c r="H78" s="236"/>
      <c r="I78" s="322"/>
      <c r="J78" s="35">
        <f t="shared" si="33"/>
        <v>37</v>
      </c>
      <c r="K78" s="362">
        <f>C78*29400</f>
        <v>441000</v>
      </c>
      <c r="L78" s="294">
        <f>D78*25000</f>
        <v>0</v>
      </c>
      <c r="M78" s="299">
        <f>E78*25000</f>
        <v>550000</v>
      </c>
      <c r="N78" s="282"/>
      <c r="O78" s="282"/>
      <c r="P78" s="282"/>
      <c r="Q78" s="5"/>
      <c r="R78" s="4">
        <f t="shared" si="34"/>
        <v>991000</v>
      </c>
      <c r="S78" s="4">
        <f>(C78+D78+E78+F78+I78+G78+H78)*8926</f>
        <v>330262</v>
      </c>
    </row>
    <row r="79" spans="1:19" s="3" customFormat="1">
      <c r="A79" s="115" t="s">
        <v>111</v>
      </c>
      <c r="B79" s="375" t="s">
        <v>110</v>
      </c>
      <c r="C79" s="233">
        <v>23</v>
      </c>
      <c r="D79" s="235"/>
      <c r="E79" s="234">
        <v>2</v>
      </c>
      <c r="F79" s="322"/>
      <c r="G79" s="322"/>
      <c r="H79" s="236"/>
      <c r="I79" s="322"/>
      <c r="J79" s="35">
        <f t="shared" si="33"/>
        <v>25</v>
      </c>
      <c r="K79" s="362">
        <f t="shared" ref="K79:K80" si="35">C79*29400</f>
        <v>676200</v>
      </c>
      <c r="L79" s="294">
        <f t="shared" ref="L79:M80" si="36">D79*25000</f>
        <v>0</v>
      </c>
      <c r="M79" s="299">
        <f t="shared" si="36"/>
        <v>50000</v>
      </c>
      <c r="N79" s="282"/>
      <c r="O79" s="282"/>
      <c r="P79" s="282"/>
      <c r="Q79" s="5"/>
      <c r="R79" s="4">
        <f t="shared" si="34"/>
        <v>726200</v>
      </c>
      <c r="S79" s="4">
        <f t="shared" ref="S79:S80" si="37">(C79+D79+E79+F79+I79+G79+H79)*8926</f>
        <v>223150</v>
      </c>
    </row>
    <row r="80" spans="1:19" s="3" customFormat="1">
      <c r="A80" s="65" t="s">
        <v>112</v>
      </c>
      <c r="B80" s="379" t="s">
        <v>110</v>
      </c>
      <c r="C80" s="311">
        <v>8</v>
      </c>
      <c r="D80" s="335"/>
      <c r="E80" s="336">
        <v>3</v>
      </c>
      <c r="F80" s="337"/>
      <c r="G80" s="337"/>
      <c r="H80" s="338"/>
      <c r="I80" s="337"/>
      <c r="J80" s="35">
        <f t="shared" si="33"/>
        <v>11</v>
      </c>
      <c r="K80" s="362">
        <f t="shared" si="35"/>
        <v>235200</v>
      </c>
      <c r="L80" s="294">
        <f t="shared" si="36"/>
        <v>0</v>
      </c>
      <c r="M80" s="299">
        <f t="shared" si="36"/>
        <v>75000</v>
      </c>
      <c r="N80" s="282"/>
      <c r="O80" s="282"/>
      <c r="P80" s="282"/>
      <c r="Q80" s="5"/>
      <c r="R80" s="4">
        <f t="shared" si="34"/>
        <v>310200</v>
      </c>
      <c r="S80" s="4">
        <f t="shared" si="37"/>
        <v>98186</v>
      </c>
    </row>
    <row r="81" spans="1:19" s="3" customFormat="1">
      <c r="A81" s="115" t="s">
        <v>113</v>
      </c>
      <c r="B81" s="375" t="s">
        <v>474</v>
      </c>
      <c r="C81" s="233">
        <v>9</v>
      </c>
      <c r="D81" s="235"/>
      <c r="E81" s="234"/>
      <c r="F81" s="215"/>
      <c r="G81" s="322"/>
      <c r="H81" s="236"/>
      <c r="I81" s="322"/>
      <c r="J81" s="35">
        <f t="shared" si="33"/>
        <v>9</v>
      </c>
      <c r="K81" s="362">
        <f>C81*47000</f>
        <v>423000</v>
      </c>
      <c r="L81" s="294">
        <f>D81*35200</f>
        <v>0</v>
      </c>
      <c r="M81" s="299">
        <f>E81*35200</f>
        <v>0</v>
      </c>
      <c r="N81" s="282"/>
      <c r="O81" s="282">
        <f>F81*37600</f>
        <v>0</v>
      </c>
      <c r="P81" s="282"/>
      <c r="Q81" s="5"/>
      <c r="R81" s="4">
        <f t="shared" si="34"/>
        <v>423000</v>
      </c>
      <c r="S81" s="4">
        <f>(C81+D81+E81+F81+I81+G81+H81)*18934</f>
        <v>170406</v>
      </c>
    </row>
    <row r="82" spans="1:19" s="3" customFormat="1">
      <c r="A82" s="115" t="s">
        <v>114</v>
      </c>
      <c r="B82" s="380" t="s">
        <v>753</v>
      </c>
      <c r="C82" s="233">
        <v>3</v>
      </c>
      <c r="D82" s="235"/>
      <c r="E82" s="234"/>
      <c r="F82" s="230"/>
      <c r="G82" s="322"/>
      <c r="H82" s="236"/>
      <c r="I82" s="230"/>
      <c r="J82" s="35">
        <f t="shared" si="33"/>
        <v>3</v>
      </c>
      <c r="K82" s="288">
        <f>C82*16800</f>
        <v>50400</v>
      </c>
      <c r="L82" s="294">
        <f>D82*12100</f>
        <v>0</v>
      </c>
      <c r="M82" s="299">
        <f>E82*12100</f>
        <v>0</v>
      </c>
      <c r="N82" s="282"/>
      <c r="O82" s="282">
        <f>F82*9000</f>
        <v>0</v>
      </c>
      <c r="P82" s="282"/>
      <c r="Q82" s="5"/>
      <c r="R82" s="4">
        <f t="shared" si="34"/>
        <v>50400</v>
      </c>
      <c r="S82" s="4">
        <f>(C82+D82+E82+F82+I82+G82+H82)*5319</f>
        <v>15957</v>
      </c>
    </row>
    <row r="83" spans="1:19">
      <c r="A83" s="115" t="s">
        <v>116</v>
      </c>
      <c r="B83" s="380" t="s">
        <v>115</v>
      </c>
      <c r="C83" s="237">
        <v>3</v>
      </c>
      <c r="D83" s="235"/>
      <c r="E83" s="234"/>
      <c r="F83" s="230"/>
      <c r="G83" s="322"/>
      <c r="H83" s="236"/>
      <c r="I83" s="230"/>
      <c r="J83" s="35">
        <f t="shared" si="33"/>
        <v>3</v>
      </c>
      <c r="K83" s="288">
        <f t="shared" ref="K83:K84" si="38">C83*16800</f>
        <v>50400</v>
      </c>
      <c r="L83" s="294">
        <f t="shared" ref="L83:M84" si="39">D83*12100</f>
        <v>0</v>
      </c>
      <c r="M83" s="299">
        <f t="shared" si="39"/>
        <v>0</v>
      </c>
      <c r="N83" s="282"/>
      <c r="O83" s="282">
        <f>F83*9000</f>
        <v>0</v>
      </c>
      <c r="P83" s="282"/>
      <c r="R83" s="4">
        <f t="shared" si="34"/>
        <v>50400</v>
      </c>
      <c r="S83" s="4">
        <f t="shared" ref="S83:S84" si="40">(C83+D83+E83+F83+I83+G83+H83)*5319</f>
        <v>15957</v>
      </c>
    </row>
    <row r="84" spans="1:19">
      <c r="A84" s="115" t="s">
        <v>117</v>
      </c>
      <c r="B84" s="380" t="s">
        <v>115</v>
      </c>
      <c r="C84" s="233">
        <v>4</v>
      </c>
      <c r="D84" s="235"/>
      <c r="E84" s="234"/>
      <c r="F84" s="230"/>
      <c r="G84" s="322"/>
      <c r="H84" s="236"/>
      <c r="I84" s="230"/>
      <c r="J84" s="35">
        <f t="shared" si="33"/>
        <v>4</v>
      </c>
      <c r="K84" s="288">
        <f t="shared" si="38"/>
        <v>67200</v>
      </c>
      <c r="L84" s="294">
        <f t="shared" si="39"/>
        <v>0</v>
      </c>
      <c r="M84" s="299">
        <f t="shared" si="39"/>
        <v>0</v>
      </c>
      <c r="N84" s="282"/>
      <c r="O84" s="282">
        <f>F84*9000</f>
        <v>0</v>
      </c>
      <c r="P84" s="282"/>
      <c r="R84" s="4">
        <f t="shared" si="34"/>
        <v>67200</v>
      </c>
      <c r="S84" s="4">
        <f t="shared" si="40"/>
        <v>21276</v>
      </c>
    </row>
    <row r="85" spans="1:19" s="24" customFormat="1">
      <c r="A85" s="68"/>
      <c r="B85" s="69"/>
      <c r="C85" s="70" t="s">
        <v>2</v>
      </c>
      <c r="D85" s="9" t="s">
        <v>3</v>
      </c>
      <c r="E85" s="10" t="s">
        <v>4</v>
      </c>
      <c r="F85" s="12" t="s">
        <v>5</v>
      </c>
      <c r="G85" s="12"/>
      <c r="H85" s="681" t="s">
        <v>118</v>
      </c>
      <c r="I85" s="681"/>
      <c r="J85" s="13" t="s">
        <v>6</v>
      </c>
      <c r="K85" s="443">
        <f t="shared" ref="K85:S85" si="41">SUM(K68:K84)</f>
        <v>9983600</v>
      </c>
      <c r="L85" s="456">
        <f t="shared" si="41"/>
        <v>0</v>
      </c>
      <c r="M85" s="445">
        <f t="shared" si="41"/>
        <v>2007400</v>
      </c>
      <c r="N85" s="446">
        <f t="shared" si="41"/>
        <v>0</v>
      </c>
      <c r="O85" s="446">
        <f t="shared" si="41"/>
        <v>0</v>
      </c>
      <c r="P85" s="446">
        <f t="shared" si="41"/>
        <v>0</v>
      </c>
      <c r="Q85" s="443">
        <f t="shared" si="41"/>
        <v>0</v>
      </c>
      <c r="R85" s="447">
        <f t="shared" si="41"/>
        <v>11991000</v>
      </c>
      <c r="S85" s="448">
        <f t="shared" si="41"/>
        <v>3575562</v>
      </c>
    </row>
    <row r="86" spans="1:19">
      <c r="C86" s="14"/>
      <c r="D86" s="388" t="s">
        <v>119</v>
      </c>
      <c r="E86" s="15" t="s">
        <v>120</v>
      </c>
      <c r="F86" s="45" t="s">
        <v>121</v>
      </c>
      <c r="G86" s="7" t="s">
        <v>400</v>
      </c>
      <c r="H86" s="20"/>
      <c r="I86" s="157"/>
      <c r="J86" s="17"/>
      <c r="L86" s="294"/>
      <c r="M86" s="299"/>
      <c r="P86" s="210"/>
    </row>
    <row r="87" spans="1:19">
      <c r="A87" s="24" t="s">
        <v>122</v>
      </c>
      <c r="C87" s="18"/>
      <c r="D87" s="389" t="s">
        <v>123</v>
      </c>
      <c r="E87" s="19" t="s">
        <v>124</v>
      </c>
      <c r="F87" s="71" t="s">
        <v>125</v>
      </c>
      <c r="G87" s="71" t="s">
        <v>401</v>
      </c>
      <c r="H87" s="203"/>
      <c r="I87" s="71"/>
      <c r="J87" s="72"/>
      <c r="K87" s="219" t="s">
        <v>2</v>
      </c>
      <c r="L87" s="664" t="s">
        <v>734</v>
      </c>
      <c r="M87" s="664"/>
      <c r="N87" s="348" t="s">
        <v>16</v>
      </c>
      <c r="O87" s="348" t="s">
        <v>557</v>
      </c>
      <c r="P87" s="348" t="s">
        <v>464</v>
      </c>
      <c r="Q87" s="420" t="s">
        <v>412</v>
      </c>
      <c r="R87" s="220" t="s">
        <v>18</v>
      </c>
      <c r="S87" s="221" t="s">
        <v>19</v>
      </c>
    </row>
    <row r="88" spans="1:19">
      <c r="A88" s="79" t="s">
        <v>126</v>
      </c>
      <c r="B88" s="375" t="s">
        <v>127</v>
      </c>
      <c r="C88" s="233">
        <v>71</v>
      </c>
      <c r="D88" s="538"/>
      <c r="E88" s="234">
        <v>3</v>
      </c>
      <c r="F88" s="230"/>
      <c r="G88" s="322"/>
      <c r="H88" s="230"/>
      <c r="I88" s="230"/>
      <c r="J88" s="35">
        <f>SUM(C88:I88)</f>
        <v>74</v>
      </c>
      <c r="K88" s="362">
        <f>C88*18900</f>
        <v>1341900</v>
      </c>
      <c r="L88" s="294">
        <f>D88*15400</f>
        <v>0</v>
      </c>
      <c r="M88" s="299">
        <f>E88*15400</f>
        <v>46200</v>
      </c>
      <c r="N88" s="282"/>
      <c r="O88" s="282"/>
      <c r="P88" s="286">
        <f>H88*18000</f>
        <v>0</v>
      </c>
      <c r="Q88" s="159"/>
      <c r="R88" s="4">
        <f>SUM(K88:Q88)</f>
        <v>1388100</v>
      </c>
      <c r="S88" s="4">
        <f>J88*7734</f>
        <v>572316</v>
      </c>
    </row>
    <row r="89" spans="1:19">
      <c r="A89" s="79" t="s">
        <v>128</v>
      </c>
      <c r="B89" s="375" t="s">
        <v>127</v>
      </c>
      <c r="C89" s="233">
        <v>82</v>
      </c>
      <c r="D89" s="235"/>
      <c r="E89" s="234">
        <v>16</v>
      </c>
      <c r="F89" s="230"/>
      <c r="G89" s="322"/>
      <c r="H89" s="230"/>
      <c r="I89" s="230"/>
      <c r="J89" s="35">
        <f t="shared" ref="J89:J99" si="42">SUM(C89:I89)</f>
        <v>98</v>
      </c>
      <c r="K89" s="362">
        <f t="shared" ref="K89:K93" si="43">C89*18900</f>
        <v>1549800</v>
      </c>
      <c r="L89" s="294">
        <f t="shared" ref="L89:M93" si="44">D89*15400</f>
        <v>0</v>
      </c>
      <c r="M89" s="299">
        <f t="shared" si="44"/>
        <v>246400</v>
      </c>
      <c r="N89" s="282"/>
      <c r="O89" s="282"/>
      <c r="P89" s="286">
        <f>H89*18000</f>
        <v>0</v>
      </c>
      <c r="Q89" s="159"/>
      <c r="R89" s="4">
        <f t="shared" ref="R89:R99" si="45">SUM(K89:Q89)</f>
        <v>1796200</v>
      </c>
      <c r="S89" s="4">
        <f t="shared" ref="S89:S93" si="46">J89*7734</f>
        <v>757932</v>
      </c>
    </row>
    <row r="90" spans="1:19">
      <c r="A90" s="79" t="s">
        <v>129</v>
      </c>
      <c r="B90" s="375" t="s">
        <v>127</v>
      </c>
      <c r="C90" s="233">
        <v>72</v>
      </c>
      <c r="D90" s="235"/>
      <c r="E90" s="234">
        <v>3</v>
      </c>
      <c r="F90" s="230"/>
      <c r="G90" s="322"/>
      <c r="H90" s="230"/>
      <c r="I90" s="230"/>
      <c r="J90" s="35">
        <f t="shared" si="42"/>
        <v>75</v>
      </c>
      <c r="K90" s="362">
        <f t="shared" si="43"/>
        <v>1360800</v>
      </c>
      <c r="L90" s="294">
        <f t="shared" si="44"/>
        <v>0</v>
      </c>
      <c r="M90" s="299">
        <f t="shared" si="44"/>
        <v>46200</v>
      </c>
      <c r="N90" s="282"/>
      <c r="O90" s="282"/>
      <c r="P90" s="286">
        <f t="shared" ref="P90:P93" si="47">H90*18000</f>
        <v>0</v>
      </c>
      <c r="Q90" s="159"/>
      <c r="R90" s="4">
        <f t="shared" si="45"/>
        <v>1407000</v>
      </c>
      <c r="S90" s="4">
        <f t="shared" si="46"/>
        <v>580050</v>
      </c>
    </row>
    <row r="91" spans="1:19">
      <c r="A91" s="79" t="s">
        <v>131</v>
      </c>
      <c r="B91" s="375" t="s">
        <v>127</v>
      </c>
      <c r="C91" s="233">
        <v>71</v>
      </c>
      <c r="D91" s="235"/>
      <c r="E91" s="234">
        <v>2</v>
      </c>
      <c r="F91" s="230"/>
      <c r="G91" s="322"/>
      <c r="H91" s="230"/>
      <c r="I91" s="230"/>
      <c r="J91" s="35">
        <f t="shared" si="42"/>
        <v>73</v>
      </c>
      <c r="K91" s="362">
        <f t="shared" si="43"/>
        <v>1341900</v>
      </c>
      <c r="L91" s="294">
        <f t="shared" si="44"/>
        <v>0</v>
      </c>
      <c r="M91" s="299">
        <f t="shared" si="44"/>
        <v>30800</v>
      </c>
      <c r="N91" s="282"/>
      <c r="O91" s="282"/>
      <c r="P91" s="286">
        <f t="shared" si="47"/>
        <v>0</v>
      </c>
      <c r="Q91" s="159"/>
      <c r="R91" s="4">
        <f t="shared" si="45"/>
        <v>1372700</v>
      </c>
      <c r="S91" s="4">
        <f t="shared" si="46"/>
        <v>564582</v>
      </c>
    </row>
    <row r="92" spans="1:19">
      <c r="A92" s="79" t="s">
        <v>130</v>
      </c>
      <c r="B92" s="375" t="s">
        <v>127</v>
      </c>
      <c r="C92" s="233">
        <v>46</v>
      </c>
      <c r="D92" s="235"/>
      <c r="E92" s="234">
        <v>6</v>
      </c>
      <c r="F92" s="230"/>
      <c r="G92" s="322"/>
      <c r="H92" s="230"/>
      <c r="I92" s="230"/>
      <c r="J92" s="35">
        <f t="shared" si="42"/>
        <v>52</v>
      </c>
      <c r="K92" s="362">
        <f t="shared" si="43"/>
        <v>869400</v>
      </c>
      <c r="L92" s="294">
        <f t="shared" si="44"/>
        <v>0</v>
      </c>
      <c r="M92" s="299">
        <f t="shared" si="44"/>
        <v>92400</v>
      </c>
      <c r="N92" s="282"/>
      <c r="O92" s="282"/>
      <c r="P92" s="286">
        <f t="shared" si="47"/>
        <v>0</v>
      </c>
      <c r="Q92" s="159"/>
      <c r="R92" s="4">
        <f t="shared" si="45"/>
        <v>961800</v>
      </c>
      <c r="S92" s="4">
        <f t="shared" si="46"/>
        <v>402168</v>
      </c>
    </row>
    <row r="93" spans="1:19">
      <c r="A93" s="79" t="s">
        <v>132</v>
      </c>
      <c r="B93" s="375" t="s">
        <v>127</v>
      </c>
      <c r="C93" s="233">
        <v>38</v>
      </c>
      <c r="D93" s="235"/>
      <c r="E93" s="234">
        <v>6</v>
      </c>
      <c r="F93" s="230"/>
      <c r="G93" s="322"/>
      <c r="H93" s="230"/>
      <c r="I93" s="230"/>
      <c r="J93" s="35">
        <f t="shared" si="42"/>
        <v>44</v>
      </c>
      <c r="K93" s="362">
        <f t="shared" si="43"/>
        <v>718200</v>
      </c>
      <c r="L93" s="294">
        <f t="shared" si="44"/>
        <v>0</v>
      </c>
      <c r="M93" s="299">
        <f t="shared" si="44"/>
        <v>92400</v>
      </c>
      <c r="N93" s="282"/>
      <c r="O93" s="282"/>
      <c r="P93" s="286">
        <f t="shared" si="47"/>
        <v>0</v>
      </c>
      <c r="Q93" s="159"/>
      <c r="R93" s="4">
        <f t="shared" si="45"/>
        <v>810600</v>
      </c>
      <c r="S93" s="4">
        <f t="shared" si="46"/>
        <v>340296</v>
      </c>
    </row>
    <row r="94" spans="1:19">
      <c r="A94" s="79" t="s">
        <v>133</v>
      </c>
      <c r="B94" s="375" t="s">
        <v>134</v>
      </c>
      <c r="C94" s="233">
        <v>43</v>
      </c>
      <c r="D94" s="235"/>
      <c r="E94" s="531">
        <v>19</v>
      </c>
      <c r="F94" s="230">
        <v>540</v>
      </c>
      <c r="G94" s="322"/>
      <c r="H94" s="236"/>
      <c r="I94" s="242"/>
      <c r="J94" s="35">
        <f t="shared" si="42"/>
        <v>602</v>
      </c>
      <c r="K94" s="362">
        <f>C94*8400</f>
        <v>361200</v>
      </c>
      <c r="L94" s="294">
        <f>D94*6600</f>
        <v>0</v>
      </c>
      <c r="M94" s="299">
        <f>E94*6600</f>
        <v>125400</v>
      </c>
      <c r="N94" s="282">
        <f>F94*6720</f>
        <v>3628800</v>
      </c>
      <c r="O94" s="282"/>
      <c r="P94" s="282"/>
      <c r="Q94" s="159"/>
      <c r="R94" s="4">
        <f>SUM(K94:Q94)</f>
        <v>4115400</v>
      </c>
      <c r="S94" s="4">
        <f>J94*2880</f>
        <v>1733760</v>
      </c>
    </row>
    <row r="95" spans="1:19">
      <c r="A95" s="79" t="s">
        <v>135</v>
      </c>
      <c r="B95" s="375" t="s">
        <v>134</v>
      </c>
      <c r="C95" s="233">
        <v>62</v>
      </c>
      <c r="D95" s="235"/>
      <c r="E95" s="234">
        <v>99</v>
      </c>
      <c r="F95" s="230">
        <v>360</v>
      </c>
      <c r="G95" s="322"/>
      <c r="H95" s="236"/>
      <c r="I95" s="330"/>
      <c r="J95" s="35">
        <f t="shared" si="42"/>
        <v>521</v>
      </c>
      <c r="K95" s="362">
        <f t="shared" ref="K95:K99" si="48">C95*8400</f>
        <v>520800</v>
      </c>
      <c r="L95" s="294">
        <f t="shared" ref="L95:M99" si="49">D95*6600</f>
        <v>0</v>
      </c>
      <c r="M95" s="299">
        <f t="shared" si="49"/>
        <v>653400</v>
      </c>
      <c r="N95" s="282">
        <f t="shared" ref="N95:N99" si="50">F95*6720</f>
        <v>2419200</v>
      </c>
      <c r="O95" s="282"/>
      <c r="P95" s="282"/>
      <c r="Q95" s="159"/>
      <c r="R95" s="4">
        <f>SUM(K95:Q95)</f>
        <v>3593400</v>
      </c>
      <c r="S95" s="4">
        <f t="shared" ref="S95:S99" si="51">J95*2880</f>
        <v>1500480</v>
      </c>
    </row>
    <row r="96" spans="1:19">
      <c r="A96" s="79" t="s">
        <v>136</v>
      </c>
      <c r="B96" s="375" t="s">
        <v>134</v>
      </c>
      <c r="C96" s="233">
        <v>99</v>
      </c>
      <c r="D96" s="235"/>
      <c r="E96" s="234">
        <v>29</v>
      </c>
      <c r="F96" s="230">
        <v>360</v>
      </c>
      <c r="G96" s="322"/>
      <c r="H96" s="236"/>
      <c r="I96" s="242"/>
      <c r="J96" s="35">
        <f t="shared" si="42"/>
        <v>488</v>
      </c>
      <c r="K96" s="362">
        <f t="shared" si="48"/>
        <v>831600</v>
      </c>
      <c r="L96" s="294">
        <f t="shared" si="49"/>
        <v>0</v>
      </c>
      <c r="M96" s="299">
        <f t="shared" si="49"/>
        <v>191400</v>
      </c>
      <c r="N96" s="282">
        <f t="shared" si="50"/>
        <v>2419200</v>
      </c>
      <c r="O96" s="282"/>
      <c r="P96" s="282"/>
      <c r="Q96" s="159"/>
      <c r="R96" s="4">
        <f t="shared" si="45"/>
        <v>3442200</v>
      </c>
      <c r="S96" s="4">
        <f t="shared" si="51"/>
        <v>1405440</v>
      </c>
    </row>
    <row r="97" spans="1:19">
      <c r="A97" s="79" t="s">
        <v>138</v>
      </c>
      <c r="B97" s="375" t="s">
        <v>134</v>
      </c>
      <c r="C97" s="233">
        <v>52</v>
      </c>
      <c r="D97" s="235"/>
      <c r="E97" s="234">
        <v>15</v>
      </c>
      <c r="F97" s="230">
        <v>540</v>
      </c>
      <c r="G97" s="322"/>
      <c r="H97" s="236"/>
      <c r="I97" s="242"/>
      <c r="J97" s="35">
        <f t="shared" si="42"/>
        <v>607</v>
      </c>
      <c r="K97" s="362">
        <f t="shared" si="48"/>
        <v>436800</v>
      </c>
      <c r="L97" s="294">
        <f t="shared" si="49"/>
        <v>0</v>
      </c>
      <c r="M97" s="299">
        <f t="shared" si="49"/>
        <v>99000</v>
      </c>
      <c r="N97" s="282">
        <f t="shared" si="50"/>
        <v>3628800</v>
      </c>
      <c r="O97" s="282"/>
      <c r="P97" s="282"/>
      <c r="Q97" s="159"/>
      <c r="R97" s="4">
        <f t="shared" si="45"/>
        <v>4164600</v>
      </c>
      <c r="S97" s="4">
        <f t="shared" si="51"/>
        <v>1748160</v>
      </c>
    </row>
    <row r="98" spans="1:19">
      <c r="A98" s="79" t="s">
        <v>137</v>
      </c>
      <c r="B98" s="375" t="s">
        <v>134</v>
      </c>
      <c r="C98" s="233">
        <v>56</v>
      </c>
      <c r="D98" s="235"/>
      <c r="E98" s="234">
        <v>19</v>
      </c>
      <c r="F98" s="230"/>
      <c r="G98" s="322"/>
      <c r="H98" s="236"/>
      <c r="I98" s="330"/>
      <c r="J98" s="35">
        <f t="shared" si="42"/>
        <v>75</v>
      </c>
      <c r="K98" s="362">
        <f t="shared" si="48"/>
        <v>470400</v>
      </c>
      <c r="L98" s="294">
        <f t="shared" si="49"/>
        <v>0</v>
      </c>
      <c r="M98" s="299">
        <f t="shared" si="49"/>
        <v>125400</v>
      </c>
      <c r="N98" s="282">
        <f t="shared" si="50"/>
        <v>0</v>
      </c>
      <c r="O98" s="282"/>
      <c r="P98" s="282"/>
      <c r="Q98" s="159"/>
      <c r="R98" s="4">
        <f t="shared" si="45"/>
        <v>595800</v>
      </c>
      <c r="S98" s="4">
        <f t="shared" si="51"/>
        <v>216000</v>
      </c>
    </row>
    <row r="99" spans="1:19">
      <c r="A99" s="423" t="s">
        <v>139</v>
      </c>
      <c r="B99" s="379" t="s">
        <v>134</v>
      </c>
      <c r="C99" s="311">
        <v>33</v>
      </c>
      <c r="D99" s="335"/>
      <c r="E99" s="336">
        <v>69</v>
      </c>
      <c r="F99" s="424"/>
      <c r="G99" s="337"/>
      <c r="H99" s="338"/>
      <c r="I99" s="425"/>
      <c r="J99" s="66">
        <f t="shared" si="42"/>
        <v>102</v>
      </c>
      <c r="K99" s="362">
        <f t="shared" si="48"/>
        <v>277200</v>
      </c>
      <c r="L99" s="294">
        <f t="shared" si="49"/>
        <v>0</v>
      </c>
      <c r="M99" s="299">
        <f t="shared" si="49"/>
        <v>455400</v>
      </c>
      <c r="N99" s="282">
        <f t="shared" si="50"/>
        <v>0</v>
      </c>
      <c r="O99" s="282"/>
      <c r="P99" s="282"/>
      <c r="Q99" s="159"/>
      <c r="R99" s="4">
        <f t="shared" si="45"/>
        <v>732600</v>
      </c>
      <c r="S99" s="4">
        <f t="shared" si="51"/>
        <v>293760</v>
      </c>
    </row>
    <row r="100" spans="1:19" s="24" customFormat="1">
      <c r="A100" s="81" t="s">
        <v>560</v>
      </c>
      <c r="B100" s="375"/>
      <c r="C100" s="233">
        <f>SUM(C88:C99)</f>
        <v>725</v>
      </c>
      <c r="D100" s="235">
        <f>SUM(D88:D99)</f>
        <v>0</v>
      </c>
      <c r="E100" s="234">
        <f>SUM(E88:E99)</f>
        <v>286</v>
      </c>
      <c r="F100" s="230">
        <f t="shared" ref="F100:I100" si="52">SUM(F88:F93)</f>
        <v>0</v>
      </c>
      <c r="G100" s="230">
        <f t="shared" si="52"/>
        <v>0</v>
      </c>
      <c r="H100" s="230">
        <f t="shared" si="52"/>
        <v>0</v>
      </c>
      <c r="I100" s="422">
        <f t="shared" si="52"/>
        <v>0</v>
      </c>
      <c r="J100" s="422">
        <f>SUM(J88:J93)</f>
        <v>416</v>
      </c>
      <c r="K100" s="426">
        <f>SUM(K88:K93)</f>
        <v>7182000</v>
      </c>
      <c r="L100" s="431">
        <f t="shared" ref="L100:Q100" si="53">SUM(L88:L93)</f>
        <v>0</v>
      </c>
      <c r="M100" s="433">
        <f t="shared" si="53"/>
        <v>554400</v>
      </c>
      <c r="N100" s="435">
        <f t="shared" si="53"/>
        <v>0</v>
      </c>
      <c r="O100" s="435">
        <f t="shared" si="53"/>
        <v>0</v>
      </c>
      <c r="P100" s="435">
        <f t="shared" si="53"/>
        <v>0</v>
      </c>
      <c r="Q100" s="437">
        <f t="shared" si="53"/>
        <v>0</v>
      </c>
      <c r="R100" s="427"/>
      <c r="S100" s="427"/>
    </row>
    <row r="101" spans="1:19">
      <c r="A101" s="81" t="s">
        <v>140</v>
      </c>
      <c r="B101" s="73"/>
      <c r="C101" s="35">
        <f>SUM(C94:C99)</f>
        <v>345</v>
      </c>
      <c r="D101" s="32">
        <f>SUM(D94:D99)</f>
        <v>0</v>
      </c>
      <c r="E101" s="33">
        <f>SUM(E94:E99)</f>
        <v>250</v>
      </c>
      <c r="F101" s="191">
        <f>SUM(F94:F99)</f>
        <v>1800</v>
      </c>
      <c r="G101" s="191"/>
      <c r="H101" s="191">
        <f>SUM(H94:H99)</f>
        <v>0</v>
      </c>
      <c r="I101" s="41">
        <f>SUM(I88:I93)</f>
        <v>0</v>
      </c>
      <c r="J101" s="438">
        <f>SUM(J94:J99)</f>
        <v>2395</v>
      </c>
      <c r="K101" s="428">
        <f>SUM(K94:K99)</f>
        <v>2898000</v>
      </c>
      <c r="L101" s="432">
        <f>SUM(L94:L99)</f>
        <v>0</v>
      </c>
      <c r="M101" s="434">
        <f t="shared" ref="M101:P101" si="54">SUM(M94:M99)</f>
        <v>1650000</v>
      </c>
      <c r="N101" s="436">
        <f t="shared" si="54"/>
        <v>12096000</v>
      </c>
      <c r="O101" s="436">
        <f t="shared" si="54"/>
        <v>0</v>
      </c>
      <c r="P101" s="436">
        <f t="shared" si="54"/>
        <v>0</v>
      </c>
      <c r="Q101" s="429"/>
      <c r="R101" s="430"/>
      <c r="S101" s="430"/>
    </row>
    <row r="102" spans="1:19" s="24" customFormat="1">
      <c r="B102" s="74"/>
      <c r="C102" s="74"/>
      <c r="D102" s="9"/>
      <c r="E102" s="10"/>
      <c r="F102" s="12"/>
      <c r="G102" s="12"/>
      <c r="H102" s="192"/>
      <c r="I102" s="12"/>
      <c r="J102" s="13" t="s">
        <v>6</v>
      </c>
      <c r="K102" s="443">
        <f t="shared" ref="K102:S102" si="55">SUM(K88:K99)</f>
        <v>10080000</v>
      </c>
      <c r="L102" s="456">
        <f t="shared" si="55"/>
        <v>0</v>
      </c>
      <c r="M102" s="445">
        <f t="shared" si="55"/>
        <v>2204400</v>
      </c>
      <c r="N102" s="446">
        <f t="shared" si="55"/>
        <v>12096000</v>
      </c>
      <c r="O102" s="446">
        <f t="shared" si="55"/>
        <v>0</v>
      </c>
      <c r="P102" s="446">
        <f t="shared" si="55"/>
        <v>0</v>
      </c>
      <c r="Q102" s="446">
        <f t="shared" si="55"/>
        <v>0</v>
      </c>
      <c r="R102" s="447">
        <f t="shared" si="55"/>
        <v>24380400</v>
      </c>
      <c r="S102" s="448">
        <f t="shared" si="55"/>
        <v>10114944</v>
      </c>
    </row>
    <row r="103" spans="1:19" s="24" customFormat="1">
      <c r="B103" s="74"/>
      <c r="C103" s="74" t="s">
        <v>2</v>
      </c>
      <c r="D103" s="9" t="s">
        <v>3</v>
      </c>
      <c r="E103" s="10" t="s">
        <v>4</v>
      </c>
      <c r="F103" s="12" t="s">
        <v>5</v>
      </c>
      <c r="G103" s="12"/>
      <c r="H103" s="192"/>
      <c r="I103" s="12"/>
      <c r="J103" s="13"/>
      <c r="K103" s="458"/>
      <c r="L103" s="459"/>
      <c r="M103" s="460"/>
      <c r="N103" s="461"/>
      <c r="O103" s="461"/>
      <c r="P103" s="461"/>
      <c r="Q103" s="461"/>
      <c r="R103" s="462"/>
      <c r="S103" s="462"/>
    </row>
    <row r="104" spans="1:19">
      <c r="C104" s="14"/>
      <c r="D104" s="388" t="s">
        <v>142</v>
      </c>
      <c r="E104" s="15" t="s">
        <v>143</v>
      </c>
      <c r="F104" s="75"/>
      <c r="G104" s="75"/>
      <c r="H104" s="204"/>
      <c r="I104" s="76"/>
      <c r="J104" s="76"/>
      <c r="K104" s="181"/>
      <c r="P104" s="210"/>
    </row>
    <row r="105" spans="1:19">
      <c r="C105" s="314"/>
      <c r="D105" s="388" t="s">
        <v>144</v>
      </c>
      <c r="E105" s="15" t="s">
        <v>145</v>
      </c>
      <c r="F105" s="75"/>
      <c r="G105" s="75"/>
      <c r="H105" s="205"/>
      <c r="I105" s="78"/>
      <c r="J105" s="78"/>
      <c r="P105" s="210"/>
    </row>
    <row r="106" spans="1:19">
      <c r="A106" s="24" t="s">
        <v>146</v>
      </c>
      <c r="C106" s="25"/>
      <c r="D106" s="389" t="s">
        <v>85</v>
      </c>
      <c r="E106" s="19" t="s">
        <v>86</v>
      </c>
      <c r="F106" s="75"/>
      <c r="G106" s="77"/>
      <c r="H106" s="205"/>
      <c r="I106" s="78"/>
      <c r="J106" s="78"/>
      <c r="K106" s="219" t="s">
        <v>2</v>
      </c>
      <c r="L106" s="664" t="s">
        <v>734</v>
      </c>
      <c r="M106" s="664"/>
      <c r="N106" s="348" t="s">
        <v>16</v>
      </c>
      <c r="O106" s="348" t="s">
        <v>557</v>
      </c>
      <c r="P106" s="348" t="s">
        <v>464</v>
      </c>
      <c r="Q106" s="220"/>
      <c r="R106" s="220" t="s">
        <v>18</v>
      </c>
      <c r="S106" s="221" t="s">
        <v>19</v>
      </c>
    </row>
    <row r="107" spans="1:19">
      <c r="A107" s="79" t="s">
        <v>147</v>
      </c>
      <c r="B107" s="375" t="s">
        <v>148</v>
      </c>
      <c r="C107" s="240"/>
      <c r="D107" s="235"/>
      <c r="E107" s="256"/>
      <c r="F107" s="230"/>
      <c r="G107" s="241"/>
      <c r="H107" s="236"/>
      <c r="I107" s="35"/>
      <c r="J107" s="35">
        <f t="shared" ref="J107:J118" si="56">SUM(C107:I107)</f>
        <v>0</v>
      </c>
      <c r="K107" s="254">
        <f t="shared" ref="K107:M112" si="57">C107*12000</f>
        <v>0</v>
      </c>
      <c r="L107" s="294">
        <f t="shared" si="57"/>
        <v>0</v>
      </c>
      <c r="M107" s="299">
        <f>E107*12000</f>
        <v>0</v>
      </c>
      <c r="N107" s="282"/>
      <c r="O107" s="282"/>
      <c r="P107" s="282"/>
      <c r="Q107" s="285"/>
      <c r="R107" s="4">
        <f>SUM(K107:Q107)</f>
        <v>0</v>
      </c>
      <c r="S107" s="4">
        <f>J107*5967</f>
        <v>0</v>
      </c>
    </row>
    <row r="108" spans="1:19">
      <c r="A108" s="228" t="s">
        <v>149</v>
      </c>
      <c r="B108" s="357" t="s">
        <v>148</v>
      </c>
      <c r="C108" s="240"/>
      <c r="D108" s="235"/>
      <c r="E108" s="256"/>
      <c r="F108" s="230"/>
      <c r="G108" s="231"/>
      <c r="H108" s="236"/>
      <c r="I108" s="41"/>
      <c r="J108" s="35">
        <f t="shared" si="56"/>
        <v>0</v>
      </c>
      <c r="K108" s="254">
        <f t="shared" si="57"/>
        <v>0</v>
      </c>
      <c r="L108" s="294">
        <f t="shared" si="57"/>
        <v>0</v>
      </c>
      <c r="M108" s="299">
        <f t="shared" si="57"/>
        <v>0</v>
      </c>
      <c r="N108" s="282"/>
      <c r="O108" s="282"/>
      <c r="P108" s="282"/>
      <c r="Q108" s="285"/>
      <c r="R108" s="4">
        <f t="shared" ref="R108:R118" si="58">SUM(K108:Q108)</f>
        <v>0</v>
      </c>
      <c r="S108" s="4">
        <f t="shared" ref="S108:S112" si="59">J108*5967</f>
        <v>0</v>
      </c>
    </row>
    <row r="109" spans="1:19">
      <c r="A109" s="79" t="s">
        <v>150</v>
      </c>
      <c r="B109" s="375" t="s">
        <v>148</v>
      </c>
      <c r="C109" s="239"/>
      <c r="D109" s="235"/>
      <c r="E109" s="256"/>
      <c r="F109" s="230"/>
      <c r="G109" s="231"/>
      <c r="H109" s="236"/>
      <c r="I109" s="35"/>
      <c r="J109" s="35">
        <f t="shared" si="56"/>
        <v>0</v>
      </c>
      <c r="K109" s="254">
        <f t="shared" si="57"/>
        <v>0</v>
      </c>
      <c r="L109" s="294">
        <f t="shared" si="57"/>
        <v>0</v>
      </c>
      <c r="M109" s="299">
        <f t="shared" si="57"/>
        <v>0</v>
      </c>
      <c r="N109" s="282"/>
      <c r="O109" s="282"/>
      <c r="P109" s="282"/>
      <c r="Q109" s="285"/>
      <c r="R109" s="4">
        <f t="shared" si="58"/>
        <v>0</v>
      </c>
      <c r="S109" s="4">
        <f t="shared" si="59"/>
        <v>0</v>
      </c>
    </row>
    <row r="110" spans="1:19">
      <c r="A110" s="79" t="s">
        <v>152</v>
      </c>
      <c r="B110" s="375" t="s">
        <v>148</v>
      </c>
      <c r="C110" s="240">
        <v>17</v>
      </c>
      <c r="D110" s="235"/>
      <c r="E110" s="256"/>
      <c r="F110" s="230"/>
      <c r="G110" s="231"/>
      <c r="H110" s="236"/>
      <c r="I110" s="35"/>
      <c r="J110" s="35">
        <f t="shared" si="56"/>
        <v>17</v>
      </c>
      <c r="K110" s="254">
        <f>C110*12000</f>
        <v>204000</v>
      </c>
      <c r="L110" s="294">
        <f>D110*12000</f>
        <v>0</v>
      </c>
      <c r="M110" s="299">
        <f t="shared" si="57"/>
        <v>0</v>
      </c>
      <c r="N110" s="282"/>
      <c r="O110" s="282"/>
      <c r="P110" s="282"/>
      <c r="Q110" s="285"/>
      <c r="R110" s="4">
        <f t="shared" si="58"/>
        <v>204000</v>
      </c>
      <c r="S110" s="4">
        <f t="shared" si="59"/>
        <v>101439</v>
      </c>
    </row>
    <row r="111" spans="1:19">
      <c r="A111" s="79" t="s">
        <v>151</v>
      </c>
      <c r="B111" s="375" t="s">
        <v>148</v>
      </c>
      <c r="C111" s="240">
        <v>17</v>
      </c>
      <c r="D111" s="235"/>
      <c r="E111" s="256"/>
      <c r="F111" s="230"/>
      <c r="G111" s="231"/>
      <c r="H111" s="236"/>
      <c r="I111" s="35"/>
      <c r="J111" s="35">
        <f t="shared" si="56"/>
        <v>17</v>
      </c>
      <c r="K111" s="254">
        <f t="shared" ref="K111:L112" si="60">C111*12000</f>
        <v>204000</v>
      </c>
      <c r="L111" s="294">
        <f t="shared" si="60"/>
        <v>0</v>
      </c>
      <c r="M111" s="299">
        <f t="shared" si="57"/>
        <v>0</v>
      </c>
      <c r="N111" s="282"/>
      <c r="O111" s="282"/>
      <c r="P111" s="282"/>
      <c r="Q111" s="285"/>
      <c r="R111" s="4">
        <f t="shared" si="58"/>
        <v>204000</v>
      </c>
      <c r="S111" s="4">
        <f t="shared" si="59"/>
        <v>101439</v>
      </c>
    </row>
    <row r="112" spans="1:19">
      <c r="A112" s="79" t="s">
        <v>153</v>
      </c>
      <c r="B112" s="375" t="s">
        <v>148</v>
      </c>
      <c r="C112" s="240">
        <v>11</v>
      </c>
      <c r="D112" s="235"/>
      <c r="E112" s="256"/>
      <c r="F112" s="230"/>
      <c r="G112" s="231"/>
      <c r="H112" s="236"/>
      <c r="I112" s="35"/>
      <c r="J112" s="35">
        <f t="shared" si="56"/>
        <v>11</v>
      </c>
      <c r="K112" s="254">
        <f t="shared" si="60"/>
        <v>132000</v>
      </c>
      <c r="L112" s="294">
        <f t="shared" si="60"/>
        <v>0</v>
      </c>
      <c r="M112" s="299">
        <f t="shared" si="57"/>
        <v>0</v>
      </c>
      <c r="N112" s="282"/>
      <c r="O112" s="282"/>
      <c r="P112" s="282"/>
      <c r="Q112" s="285"/>
      <c r="R112" s="4">
        <f t="shared" si="58"/>
        <v>132000</v>
      </c>
      <c r="S112" s="4">
        <f t="shared" si="59"/>
        <v>65637</v>
      </c>
    </row>
    <row r="113" spans="1:19">
      <c r="A113" s="79" t="s">
        <v>154</v>
      </c>
      <c r="B113" s="375" t="s">
        <v>155</v>
      </c>
      <c r="C113" s="35">
        <v>2</v>
      </c>
      <c r="D113" s="235"/>
      <c r="E113" s="256"/>
      <c r="F113" s="322"/>
      <c r="G113" s="231"/>
      <c r="H113" s="236"/>
      <c r="I113" s="35"/>
      <c r="J113" s="35">
        <f t="shared" si="56"/>
        <v>2</v>
      </c>
      <c r="K113" s="362">
        <f>C113*47000</f>
        <v>94000</v>
      </c>
      <c r="L113" s="294">
        <f>D113*35200</f>
        <v>0</v>
      </c>
      <c r="M113" s="299">
        <f>E113*35200</f>
        <v>0</v>
      </c>
      <c r="N113" s="282"/>
      <c r="O113" s="282"/>
      <c r="P113" s="282"/>
      <c r="Q113" s="285"/>
      <c r="R113" s="4">
        <f t="shared" si="58"/>
        <v>94000</v>
      </c>
      <c r="S113" s="4">
        <f>J113*15480</f>
        <v>30960</v>
      </c>
    </row>
    <row r="114" spans="1:19">
      <c r="A114" s="79" t="s">
        <v>156</v>
      </c>
      <c r="B114" s="375" t="s">
        <v>155</v>
      </c>
      <c r="C114" s="240"/>
      <c r="D114" s="235"/>
      <c r="E114" s="256"/>
      <c r="F114" s="230"/>
      <c r="G114" s="231"/>
      <c r="H114" s="236"/>
      <c r="I114" s="35"/>
      <c r="J114" s="35">
        <f t="shared" si="56"/>
        <v>0</v>
      </c>
      <c r="K114" s="362">
        <f t="shared" ref="K114:K118" si="61">C114*47000</f>
        <v>0</v>
      </c>
      <c r="L114" s="294">
        <f t="shared" ref="L114:M118" si="62">D114*35200</f>
        <v>0</v>
      </c>
      <c r="M114" s="299">
        <f t="shared" si="62"/>
        <v>0</v>
      </c>
      <c r="N114" s="282">
        <f>F114*22500</f>
        <v>0</v>
      </c>
      <c r="O114" s="282"/>
      <c r="P114" s="282"/>
      <c r="Q114" s="285"/>
      <c r="R114" s="4">
        <f t="shared" si="58"/>
        <v>0</v>
      </c>
      <c r="S114" s="4">
        <f t="shared" ref="S114:S118" si="63">J114*15480</f>
        <v>0</v>
      </c>
    </row>
    <row r="115" spans="1:19">
      <c r="A115" s="79" t="s">
        <v>157</v>
      </c>
      <c r="B115" s="375" t="s">
        <v>155</v>
      </c>
      <c r="C115" s="240"/>
      <c r="D115" s="235"/>
      <c r="E115" s="256"/>
      <c r="F115" s="230"/>
      <c r="G115" s="231"/>
      <c r="H115" s="236"/>
      <c r="I115" s="35"/>
      <c r="J115" s="35">
        <f t="shared" si="56"/>
        <v>0</v>
      </c>
      <c r="K115" s="362">
        <f t="shared" si="61"/>
        <v>0</v>
      </c>
      <c r="L115" s="294">
        <f t="shared" si="62"/>
        <v>0</v>
      </c>
      <c r="M115" s="299">
        <f t="shared" si="62"/>
        <v>0</v>
      </c>
      <c r="N115" s="282">
        <f>F115*22500</f>
        <v>0</v>
      </c>
      <c r="O115" s="282"/>
      <c r="P115" s="282"/>
      <c r="Q115" s="285"/>
      <c r="R115" s="4">
        <f t="shared" si="58"/>
        <v>0</v>
      </c>
      <c r="S115" s="4">
        <f t="shared" si="63"/>
        <v>0</v>
      </c>
    </row>
    <row r="116" spans="1:19">
      <c r="A116" s="79" t="s">
        <v>159</v>
      </c>
      <c r="B116" s="375" t="s">
        <v>155</v>
      </c>
      <c r="C116" s="240"/>
      <c r="D116" s="235"/>
      <c r="E116" s="256"/>
      <c r="F116" s="230"/>
      <c r="G116" s="231"/>
      <c r="H116" s="236"/>
      <c r="I116" s="35"/>
      <c r="J116" s="35">
        <f t="shared" si="56"/>
        <v>0</v>
      </c>
      <c r="K116" s="362">
        <f t="shared" si="61"/>
        <v>0</v>
      </c>
      <c r="L116" s="294">
        <f t="shared" si="62"/>
        <v>0</v>
      </c>
      <c r="M116" s="299">
        <f t="shared" si="62"/>
        <v>0</v>
      </c>
      <c r="N116" s="282">
        <f>F116*22500</f>
        <v>0</v>
      </c>
      <c r="O116" s="282"/>
      <c r="P116" s="282"/>
      <c r="Q116" s="285"/>
      <c r="R116" s="4">
        <f t="shared" si="58"/>
        <v>0</v>
      </c>
      <c r="S116" s="4">
        <f t="shared" si="63"/>
        <v>0</v>
      </c>
    </row>
    <row r="117" spans="1:19">
      <c r="A117" s="79" t="s">
        <v>158</v>
      </c>
      <c r="B117" s="375" t="s">
        <v>155</v>
      </c>
      <c r="C117" s="240"/>
      <c r="D117" s="235"/>
      <c r="E117" s="256"/>
      <c r="F117" s="230"/>
      <c r="G117" s="231"/>
      <c r="H117" s="236"/>
      <c r="I117" s="35"/>
      <c r="J117" s="35">
        <f t="shared" si="56"/>
        <v>0</v>
      </c>
      <c r="K117" s="362">
        <f t="shared" si="61"/>
        <v>0</v>
      </c>
      <c r="L117" s="294">
        <f t="shared" si="62"/>
        <v>0</v>
      </c>
      <c r="M117" s="299">
        <f t="shared" si="62"/>
        <v>0</v>
      </c>
      <c r="N117" s="282">
        <f>F117*22500</f>
        <v>0</v>
      </c>
      <c r="O117" s="282"/>
      <c r="P117" s="282"/>
      <c r="Q117" s="285"/>
      <c r="R117" s="4">
        <f t="shared" si="58"/>
        <v>0</v>
      </c>
      <c r="S117" s="4">
        <f t="shared" si="63"/>
        <v>0</v>
      </c>
    </row>
    <row r="118" spans="1:19">
      <c r="A118" s="79" t="s">
        <v>160</v>
      </c>
      <c r="B118" s="375" t="s">
        <v>155</v>
      </c>
      <c r="C118" s="237"/>
      <c r="D118" s="235"/>
      <c r="E118" s="234"/>
      <c r="F118" s="230"/>
      <c r="G118" s="230"/>
      <c r="H118" s="197"/>
      <c r="I118" s="35"/>
      <c r="J118" s="35">
        <f t="shared" si="56"/>
        <v>0</v>
      </c>
      <c r="K118" s="362">
        <f t="shared" si="61"/>
        <v>0</v>
      </c>
      <c r="L118" s="294">
        <f t="shared" si="62"/>
        <v>0</v>
      </c>
      <c r="M118" s="299">
        <f t="shared" si="62"/>
        <v>0</v>
      </c>
      <c r="N118" s="282">
        <f>F118*31500</f>
        <v>0</v>
      </c>
      <c r="O118" s="282"/>
      <c r="P118" s="282"/>
      <c r="Q118" s="285"/>
      <c r="R118" s="4">
        <f t="shared" si="58"/>
        <v>0</v>
      </c>
      <c r="S118" s="4">
        <f t="shared" si="63"/>
        <v>0</v>
      </c>
    </row>
    <row r="119" spans="1:19">
      <c r="A119" s="81"/>
      <c r="B119" s="29"/>
      <c r="C119" s="35"/>
      <c r="D119" s="32"/>
      <c r="E119" s="33"/>
      <c r="F119" s="191"/>
      <c r="G119" s="191"/>
      <c r="H119" s="191"/>
      <c r="I119" s="191"/>
      <c r="J119" s="35"/>
      <c r="L119" s="294"/>
      <c r="M119" s="299"/>
      <c r="N119" s="282"/>
      <c r="O119" s="282"/>
      <c r="P119" s="282"/>
      <c r="Q119" s="285"/>
    </row>
    <row r="120" spans="1:19" s="24" customFormat="1">
      <c r="B120" s="13"/>
      <c r="C120" s="74"/>
      <c r="D120" s="82"/>
      <c r="E120" s="83"/>
      <c r="F120" s="84"/>
      <c r="G120" s="84"/>
      <c r="H120" s="206"/>
      <c r="I120" s="84"/>
      <c r="J120" s="85" t="s">
        <v>6</v>
      </c>
      <c r="K120" s="443">
        <f t="shared" ref="K120:S120" si="64">SUM(K107:K119)</f>
        <v>634000</v>
      </c>
      <c r="L120" s="456">
        <f t="shared" si="64"/>
        <v>0</v>
      </c>
      <c r="M120" s="445">
        <f t="shared" si="64"/>
        <v>0</v>
      </c>
      <c r="N120" s="446">
        <f t="shared" si="64"/>
        <v>0</v>
      </c>
      <c r="O120" s="446">
        <f t="shared" si="64"/>
        <v>0</v>
      </c>
      <c r="P120" s="446">
        <f t="shared" si="64"/>
        <v>0</v>
      </c>
      <c r="Q120" s="465">
        <f t="shared" si="64"/>
        <v>0</v>
      </c>
      <c r="R120" s="447">
        <f t="shared" si="64"/>
        <v>634000</v>
      </c>
      <c r="S120" s="448">
        <f t="shared" si="64"/>
        <v>299475</v>
      </c>
    </row>
    <row r="121" spans="1:19" s="24" customFormat="1">
      <c r="B121" s="13"/>
      <c r="C121" s="74" t="s">
        <v>2</v>
      </c>
      <c r="D121" s="82" t="s">
        <v>3</v>
      </c>
      <c r="E121" s="83" t="s">
        <v>4</v>
      </c>
      <c r="F121" s="84" t="s">
        <v>5</v>
      </c>
      <c r="G121" s="84"/>
      <c r="H121" s="206"/>
      <c r="I121" s="84"/>
      <c r="J121" s="85"/>
      <c r="K121" s="253"/>
      <c r="L121" s="421"/>
      <c r="M121" s="463"/>
      <c r="N121" s="284"/>
      <c r="O121" s="284"/>
      <c r="P121" s="284"/>
      <c r="Q121" s="305"/>
      <c r="R121" s="464"/>
      <c r="S121" s="464"/>
    </row>
    <row r="122" spans="1:19">
      <c r="A122" s="24" t="s">
        <v>161</v>
      </c>
      <c r="B122" s="86"/>
      <c r="D122" s="55" t="s">
        <v>162</v>
      </c>
      <c r="E122" s="15" t="s">
        <v>163</v>
      </c>
      <c r="F122" s="45"/>
      <c r="G122" s="45"/>
      <c r="H122" s="199"/>
      <c r="I122" s="35"/>
      <c r="J122" s="35"/>
      <c r="K122" s="580" t="s">
        <v>2</v>
      </c>
      <c r="L122" s="664" t="s">
        <v>734</v>
      </c>
      <c r="M122" s="664"/>
      <c r="N122" s="581" t="s">
        <v>16</v>
      </c>
      <c r="O122" s="581" t="s">
        <v>557</v>
      </c>
      <c r="P122" s="581" t="s">
        <v>464</v>
      </c>
      <c r="Q122" s="582"/>
      <c r="R122" s="582" t="s">
        <v>18</v>
      </c>
      <c r="S122" s="583" t="s">
        <v>19</v>
      </c>
    </row>
    <row r="123" spans="1:19">
      <c r="A123" s="29" t="s">
        <v>164</v>
      </c>
      <c r="B123" s="375" t="s">
        <v>165</v>
      </c>
      <c r="C123" s="237">
        <v>1</v>
      </c>
      <c r="D123" s="235"/>
      <c r="E123" s="234"/>
      <c r="F123" s="230"/>
      <c r="G123" s="230"/>
      <c r="H123" s="197"/>
      <c r="I123" s="35"/>
      <c r="J123" s="35">
        <f>SUM(C123:I123)</f>
        <v>1</v>
      </c>
      <c r="K123" s="288">
        <f>C123*100800</f>
        <v>100800</v>
      </c>
      <c r="L123" s="294">
        <f>D123*86900</f>
        <v>0</v>
      </c>
      <c r="M123" s="299">
        <f>E123*86900</f>
        <v>0</v>
      </c>
      <c r="N123" s="282"/>
      <c r="O123" s="282"/>
      <c r="P123" s="282"/>
      <c r="R123" s="4">
        <f>SUM(K123:Q123)</f>
        <v>100800</v>
      </c>
      <c r="S123" s="4">
        <f>J123*36064</f>
        <v>36064</v>
      </c>
    </row>
    <row r="124" spans="1:19">
      <c r="A124" s="29" t="s">
        <v>166</v>
      </c>
      <c r="B124" s="375" t="s">
        <v>165</v>
      </c>
      <c r="C124" s="237">
        <v>1</v>
      </c>
      <c r="D124" s="235"/>
      <c r="E124" s="234"/>
      <c r="F124" s="230"/>
      <c r="G124" s="230"/>
      <c r="H124" s="197"/>
      <c r="I124" s="35"/>
      <c r="J124" s="35">
        <f>SUM(C124:I124)</f>
        <v>1</v>
      </c>
      <c r="K124" s="288">
        <f t="shared" ref="K124:K126" si="65">C124*100800</f>
        <v>100800</v>
      </c>
      <c r="L124" s="294">
        <f t="shared" ref="L124:M126" si="66">D124*86900</f>
        <v>0</v>
      </c>
      <c r="M124" s="299">
        <f t="shared" si="66"/>
        <v>0</v>
      </c>
      <c r="N124" s="282"/>
      <c r="O124" s="282"/>
      <c r="P124" s="282"/>
      <c r="R124" s="4">
        <f t="shared" ref="R124:R126" si="67">SUM(K124:Q124)</f>
        <v>100800</v>
      </c>
      <c r="S124" s="4">
        <f t="shared" ref="S124:S126" si="68">J124*36064</f>
        <v>36064</v>
      </c>
    </row>
    <row r="125" spans="1:19">
      <c r="A125" s="29" t="s">
        <v>167</v>
      </c>
      <c r="B125" s="375" t="s">
        <v>165</v>
      </c>
      <c r="C125" s="233">
        <v>2</v>
      </c>
      <c r="D125" s="235"/>
      <c r="E125" s="234"/>
      <c r="F125" s="230"/>
      <c r="G125" s="230"/>
      <c r="H125" s="197"/>
      <c r="I125" s="35"/>
      <c r="J125" s="35">
        <f>SUM(C125:I125)</f>
        <v>2</v>
      </c>
      <c r="K125" s="288">
        <f t="shared" si="65"/>
        <v>201600</v>
      </c>
      <c r="L125" s="294">
        <f t="shared" si="66"/>
        <v>0</v>
      </c>
      <c r="M125" s="299">
        <f t="shared" si="66"/>
        <v>0</v>
      </c>
      <c r="N125" s="282"/>
      <c r="O125" s="282"/>
      <c r="P125" s="282"/>
      <c r="R125" s="4">
        <f t="shared" si="67"/>
        <v>201600</v>
      </c>
      <c r="S125" s="4">
        <f t="shared" si="68"/>
        <v>72128</v>
      </c>
    </row>
    <row r="126" spans="1:19">
      <c r="A126" s="29" t="s">
        <v>168</v>
      </c>
      <c r="B126" s="375" t="s">
        <v>165</v>
      </c>
      <c r="C126" s="237"/>
      <c r="D126" s="235"/>
      <c r="E126" s="234"/>
      <c r="F126" s="230"/>
      <c r="G126" s="230"/>
      <c r="H126" s="197"/>
      <c r="I126" s="35"/>
      <c r="J126" s="35">
        <f>SUM(C126:I126)</f>
        <v>0</v>
      </c>
      <c r="K126" s="288">
        <f t="shared" si="65"/>
        <v>0</v>
      </c>
      <c r="L126" s="294">
        <f t="shared" si="66"/>
        <v>0</v>
      </c>
      <c r="M126" s="299">
        <f t="shared" si="66"/>
        <v>0</v>
      </c>
      <c r="N126" s="282"/>
      <c r="O126" s="282"/>
      <c r="P126" s="282"/>
      <c r="R126" s="4">
        <f t="shared" si="67"/>
        <v>0</v>
      </c>
      <c r="S126" s="4">
        <f t="shared" si="68"/>
        <v>0</v>
      </c>
    </row>
    <row r="127" spans="1:19" s="24" customFormat="1">
      <c r="B127" s="74"/>
      <c r="C127" s="74"/>
      <c r="D127" s="82" t="s">
        <v>3</v>
      </c>
      <c r="E127" s="83" t="s">
        <v>4</v>
      </c>
      <c r="F127" s="84" t="s">
        <v>5</v>
      </c>
      <c r="G127" s="84"/>
      <c r="H127" s="206"/>
      <c r="I127" s="84"/>
      <c r="J127" s="74" t="s">
        <v>6</v>
      </c>
      <c r="K127" s="443">
        <f>SUM(K123:K126)</f>
        <v>403200</v>
      </c>
      <c r="L127" s="456">
        <f t="shared" ref="L127:Q127" si="69">SUM(L123:L126)</f>
        <v>0</v>
      </c>
      <c r="M127" s="445">
        <f t="shared" si="69"/>
        <v>0</v>
      </c>
      <c r="N127" s="446">
        <f t="shared" si="69"/>
        <v>0</v>
      </c>
      <c r="O127" s="446">
        <f t="shared" si="69"/>
        <v>0</v>
      </c>
      <c r="P127" s="446">
        <f t="shared" si="69"/>
        <v>0</v>
      </c>
      <c r="Q127" s="443">
        <f t="shared" si="69"/>
        <v>0</v>
      </c>
      <c r="R127" s="447">
        <f>SUM(R123:R126)</f>
        <v>403200</v>
      </c>
      <c r="S127" s="448">
        <f>SUM(S123:S126)</f>
        <v>144256</v>
      </c>
    </row>
    <row r="128" spans="1:19">
      <c r="A128" s="24" t="s">
        <v>169</v>
      </c>
      <c r="B128" s="2" t="s">
        <v>2</v>
      </c>
      <c r="C128" s="87"/>
      <c r="D128" s="88" t="s">
        <v>170</v>
      </c>
      <c r="E128" s="89" t="s">
        <v>171</v>
      </c>
      <c r="F128" s="90" t="s">
        <v>370</v>
      </c>
      <c r="G128" s="73"/>
      <c r="H128" s="195"/>
      <c r="I128" s="73"/>
      <c r="J128" s="74"/>
      <c r="K128" s="219" t="s">
        <v>2</v>
      </c>
      <c r="L128" s="664" t="s">
        <v>734</v>
      </c>
      <c r="M128" s="664"/>
      <c r="N128" s="348" t="s">
        <v>16</v>
      </c>
      <c r="O128" s="348" t="s">
        <v>557</v>
      </c>
      <c r="P128" s="348" t="s">
        <v>464</v>
      </c>
      <c r="Q128" s="220"/>
      <c r="R128" s="220" t="s">
        <v>18</v>
      </c>
      <c r="S128" s="221" t="s">
        <v>19</v>
      </c>
    </row>
    <row r="129" spans="1:19">
      <c r="A129" s="129" t="s">
        <v>172</v>
      </c>
      <c r="B129" s="87"/>
      <c r="C129" s="35"/>
      <c r="D129" s="32"/>
      <c r="E129" s="33"/>
      <c r="F129" s="230"/>
      <c r="G129" s="241"/>
      <c r="H129" s="195"/>
      <c r="I129" s="73"/>
      <c r="J129" s="35">
        <f>SUM(C129:I129)</f>
        <v>0</v>
      </c>
      <c r="L129" s="173"/>
      <c r="M129" s="299"/>
      <c r="N129" s="282">
        <f>F129*39000</f>
        <v>0</v>
      </c>
      <c r="P129" s="210"/>
      <c r="R129" s="4">
        <f>SUM(K129:Q129)</f>
        <v>0</v>
      </c>
      <c r="S129" s="4">
        <f>J129*22255</f>
        <v>0</v>
      </c>
    </row>
    <row r="130" spans="1:19">
      <c r="A130" s="129" t="s">
        <v>173</v>
      </c>
      <c r="B130" s="87"/>
      <c r="C130" s="35"/>
      <c r="D130" s="32"/>
      <c r="E130" s="33"/>
      <c r="F130" s="230"/>
      <c r="G130" s="241"/>
      <c r="H130" s="195"/>
      <c r="I130" s="73"/>
      <c r="J130" s="35">
        <f>SUM(C130:I130)</f>
        <v>0</v>
      </c>
      <c r="L130" s="173"/>
      <c r="M130" s="299"/>
      <c r="N130" s="282">
        <f>F130*39000</f>
        <v>0</v>
      </c>
      <c r="P130" s="210"/>
      <c r="R130" s="4">
        <f t="shared" ref="R130:R132" si="70">SUM(K130:Q130)</f>
        <v>0</v>
      </c>
      <c r="S130" s="4">
        <f>J130*32062</f>
        <v>0</v>
      </c>
    </row>
    <row r="131" spans="1:19">
      <c r="A131" s="129" t="s">
        <v>174</v>
      </c>
      <c r="B131" s="87"/>
      <c r="C131" s="35"/>
      <c r="D131" s="32"/>
      <c r="E131" s="33"/>
      <c r="F131" s="230"/>
      <c r="G131" s="241"/>
      <c r="H131" s="195"/>
      <c r="I131" s="73"/>
      <c r="J131" s="35">
        <f>SUM(C131:I131)</f>
        <v>0</v>
      </c>
      <c r="L131" s="173"/>
      <c r="M131" s="299"/>
      <c r="N131" s="282">
        <f>F131*39000</f>
        <v>0</v>
      </c>
      <c r="P131" s="210"/>
      <c r="R131" s="4">
        <f t="shared" si="70"/>
        <v>0</v>
      </c>
      <c r="S131" s="4">
        <f>J131*29799</f>
        <v>0</v>
      </c>
    </row>
    <row r="132" spans="1:19">
      <c r="A132" s="129" t="s">
        <v>175</v>
      </c>
      <c r="B132" s="87"/>
      <c r="C132" s="35"/>
      <c r="D132" s="32"/>
      <c r="E132" s="33"/>
      <c r="F132" s="230"/>
      <c r="G132" s="241"/>
      <c r="H132" s="195"/>
      <c r="I132" s="73"/>
      <c r="J132" s="35">
        <f>SUM(C132:I132)</f>
        <v>0</v>
      </c>
      <c r="L132" s="173"/>
      <c r="M132" s="299"/>
      <c r="N132" s="282">
        <f>F132*39000</f>
        <v>0</v>
      </c>
      <c r="P132" s="210"/>
      <c r="R132" s="4">
        <f t="shared" si="70"/>
        <v>0</v>
      </c>
      <c r="S132" s="4">
        <f>J132*32062</f>
        <v>0</v>
      </c>
    </row>
    <row r="133" spans="1:19" s="24" customFormat="1">
      <c r="B133" s="74"/>
      <c r="C133" s="74"/>
      <c r="D133" s="9"/>
      <c r="E133" s="10"/>
      <c r="F133" s="12"/>
      <c r="G133" s="12"/>
      <c r="H133" s="192"/>
      <c r="I133" s="84"/>
      <c r="J133" s="13" t="s">
        <v>6</v>
      </c>
      <c r="K133" s="443">
        <f t="shared" ref="K133:S133" si="71">SUM(K129:K132)</f>
        <v>0</v>
      </c>
      <c r="L133" s="444">
        <f t="shared" si="71"/>
        <v>0</v>
      </c>
      <c r="M133" s="445">
        <f t="shared" si="71"/>
        <v>0</v>
      </c>
      <c r="N133" s="446">
        <f t="shared" si="71"/>
        <v>0</v>
      </c>
      <c r="O133" s="446">
        <f t="shared" si="71"/>
        <v>0</v>
      </c>
      <c r="P133" s="443">
        <f t="shared" si="71"/>
        <v>0</v>
      </c>
      <c r="Q133" s="443">
        <f t="shared" si="71"/>
        <v>0</v>
      </c>
      <c r="R133" s="447">
        <f t="shared" si="71"/>
        <v>0</v>
      </c>
      <c r="S133" s="448">
        <f t="shared" si="71"/>
        <v>0</v>
      </c>
    </row>
    <row r="134" spans="1:19" s="24" customFormat="1">
      <c r="B134" s="74"/>
      <c r="C134" s="74" t="s">
        <v>2</v>
      </c>
      <c r="D134" s="9" t="s">
        <v>3</v>
      </c>
      <c r="E134" s="10" t="s">
        <v>4</v>
      </c>
      <c r="F134" s="12" t="s">
        <v>5</v>
      </c>
      <c r="G134" s="12"/>
      <c r="H134" s="192"/>
      <c r="I134" s="92"/>
      <c r="J134" s="13"/>
      <c r="K134" s="253"/>
      <c r="L134" s="466"/>
      <c r="M134" s="463"/>
      <c r="N134" s="284"/>
      <c r="O134" s="284"/>
      <c r="P134" s="253"/>
      <c r="Q134" s="253"/>
      <c r="R134" s="464"/>
      <c r="S134" s="464"/>
    </row>
    <row r="135" spans="1:19">
      <c r="C135" s="1"/>
      <c r="D135" s="55" t="s">
        <v>176</v>
      </c>
      <c r="E135" s="15" t="s">
        <v>437</v>
      </c>
      <c r="F135" s="84"/>
      <c r="G135" s="12"/>
      <c r="H135" s="192"/>
      <c r="I135" s="92"/>
      <c r="J135" s="13"/>
      <c r="L135" s="173"/>
      <c r="M135" s="299"/>
      <c r="P135" s="210"/>
    </row>
    <row r="136" spans="1:19">
      <c r="A136" s="24" t="s">
        <v>177</v>
      </c>
      <c r="B136" s="93"/>
      <c r="C136" s="94"/>
      <c r="D136" s="55" t="s">
        <v>178</v>
      </c>
      <c r="E136" s="15" t="s">
        <v>179</v>
      </c>
      <c r="F136" s="45"/>
      <c r="G136" s="22"/>
      <c r="H136" s="193"/>
      <c r="I136" s="66"/>
      <c r="J136" s="66"/>
      <c r="K136" s="219" t="s">
        <v>2</v>
      </c>
      <c r="L136" s="664" t="s">
        <v>734</v>
      </c>
      <c r="M136" s="664"/>
      <c r="N136" s="348" t="s">
        <v>16</v>
      </c>
      <c r="O136" s="348" t="s">
        <v>557</v>
      </c>
      <c r="P136" s="348" t="s">
        <v>464</v>
      </c>
      <c r="Q136" s="419"/>
      <c r="R136" s="220" t="s">
        <v>18</v>
      </c>
      <c r="S136" s="221" t="s">
        <v>19</v>
      </c>
    </row>
    <row r="137" spans="1:19">
      <c r="A137" s="24"/>
      <c r="B137" s="365"/>
      <c r="C137" s="94"/>
      <c r="D137" s="55"/>
      <c r="E137" s="15" t="s">
        <v>504</v>
      </c>
      <c r="F137" s="45"/>
      <c r="G137" s="22"/>
      <c r="H137" s="193"/>
      <c r="I137" s="66"/>
      <c r="J137" s="66"/>
      <c r="K137" s="28"/>
      <c r="L137" s="296"/>
      <c r="M137" s="301"/>
      <c r="N137" s="286"/>
      <c r="O137" s="286"/>
      <c r="P137" s="286"/>
      <c r="Q137" s="279"/>
      <c r="R137" s="5"/>
    </row>
    <row r="138" spans="1:19">
      <c r="A138" s="95" t="s">
        <v>180</v>
      </c>
      <c r="B138" s="67" t="s">
        <v>110</v>
      </c>
      <c r="C138" s="312">
        <v>2</v>
      </c>
      <c r="D138" s="235"/>
      <c r="E138" s="234">
        <v>4</v>
      </c>
      <c r="F138" s="34"/>
      <c r="G138" s="34"/>
      <c r="H138" s="195"/>
      <c r="I138" s="41"/>
      <c r="J138" s="35">
        <f>SUM(C138:I138)</f>
        <v>6</v>
      </c>
      <c r="K138" s="254">
        <f>C138*134000</f>
        <v>268000</v>
      </c>
      <c r="L138" s="173">
        <f>D138*106700</f>
        <v>0</v>
      </c>
      <c r="M138" s="299">
        <f>E138*106700</f>
        <v>426800</v>
      </c>
      <c r="N138" s="282"/>
      <c r="O138" s="282"/>
      <c r="P138" s="282"/>
      <c r="Q138" s="279"/>
      <c r="R138" s="4">
        <f>SUM(K138:Q138)</f>
        <v>694800</v>
      </c>
      <c r="S138" s="4">
        <f>J138*59055</f>
        <v>354330</v>
      </c>
    </row>
    <row r="139" spans="1:19">
      <c r="A139" s="95" t="s">
        <v>181</v>
      </c>
      <c r="B139" s="67" t="s">
        <v>115</v>
      </c>
      <c r="C139" s="312"/>
      <c r="D139" s="235"/>
      <c r="E139" s="234"/>
      <c r="F139" s="34"/>
      <c r="G139" s="34"/>
      <c r="H139" s="195"/>
      <c r="I139" s="41"/>
      <c r="J139" s="35">
        <f>SUM(C139:I139)</f>
        <v>0</v>
      </c>
      <c r="K139" s="254">
        <f>C139*134000</f>
        <v>0</v>
      </c>
      <c r="L139" s="173">
        <f>D139*106700</f>
        <v>0</v>
      </c>
      <c r="M139" s="299">
        <f>E139*106700</f>
        <v>0</v>
      </c>
      <c r="N139" s="282"/>
      <c r="O139" s="282"/>
      <c r="P139" s="282"/>
      <c r="Q139" s="279"/>
      <c r="R139" s="4">
        <f t="shared" ref="R139:R140" si="72">SUM(K139:Q139)</f>
        <v>0</v>
      </c>
      <c r="S139" s="4">
        <f>J139*40000</f>
        <v>0</v>
      </c>
    </row>
    <row r="140" spans="1:19">
      <c r="A140" s="555" t="s">
        <v>493</v>
      </c>
      <c r="B140" s="556" t="s">
        <v>494</v>
      </c>
      <c r="C140" s="559"/>
      <c r="D140" s="235"/>
      <c r="E140" s="234"/>
      <c r="F140" s="191">
        <v>1</v>
      </c>
      <c r="G140" s="34"/>
      <c r="H140" s="195"/>
      <c r="I140" s="41"/>
      <c r="J140" s="35">
        <f>SUM(C140:I140)</f>
        <v>1</v>
      </c>
      <c r="K140" s="268">
        <f>C140*89600</f>
        <v>0</v>
      </c>
      <c r="L140" s="173">
        <f>D140*89600</f>
        <v>0</v>
      </c>
      <c r="M140" s="299">
        <f>E140*89600</f>
        <v>0</v>
      </c>
      <c r="N140" s="282">
        <f>F140*89600</f>
        <v>89600</v>
      </c>
      <c r="O140" s="282"/>
      <c r="P140" s="282"/>
      <c r="Q140" s="279"/>
      <c r="R140" s="4">
        <f t="shared" si="72"/>
        <v>89600</v>
      </c>
      <c r="S140" s="4">
        <f>J140*55173</f>
        <v>55173</v>
      </c>
    </row>
    <row r="141" spans="1:19">
      <c r="A141" s="96"/>
      <c r="D141" s="97"/>
      <c r="E141" s="98"/>
      <c r="F141" s="99"/>
      <c r="G141" s="100"/>
      <c r="H141" s="198"/>
      <c r="I141" s="72"/>
      <c r="J141" s="72" t="s">
        <v>6</v>
      </c>
      <c r="K141" s="443">
        <f>SUM(K137:K140)</f>
        <v>268000</v>
      </c>
      <c r="L141" s="444">
        <f t="shared" ref="L141:S141" si="73">SUM(L137:L140)</f>
        <v>0</v>
      </c>
      <c r="M141" s="445">
        <f t="shared" si="73"/>
        <v>426800</v>
      </c>
      <c r="N141" s="446">
        <f t="shared" si="73"/>
        <v>89600</v>
      </c>
      <c r="O141" s="446">
        <f t="shared" si="73"/>
        <v>0</v>
      </c>
      <c r="P141" s="446">
        <f t="shared" si="73"/>
        <v>0</v>
      </c>
      <c r="Q141" s="446">
        <f t="shared" si="73"/>
        <v>0</v>
      </c>
      <c r="R141" s="447">
        <f t="shared" si="73"/>
        <v>784400</v>
      </c>
      <c r="S141" s="448">
        <f t="shared" si="73"/>
        <v>409503</v>
      </c>
    </row>
    <row r="142" spans="1:19" s="24" customFormat="1">
      <c r="B142" s="74"/>
      <c r="C142" s="31"/>
      <c r="D142" s="588" t="s">
        <v>3</v>
      </c>
      <c r="E142" s="589" t="s">
        <v>4</v>
      </c>
      <c r="F142" s="579" t="s">
        <v>5</v>
      </c>
      <c r="G142" s="579"/>
      <c r="H142" s="590"/>
      <c r="I142" s="84" t="s">
        <v>368</v>
      </c>
      <c r="J142" s="85"/>
      <c r="K142" s="253"/>
      <c r="L142" s="466"/>
      <c r="M142" s="463"/>
      <c r="N142" s="284"/>
      <c r="O142" s="284"/>
      <c r="P142" s="284"/>
      <c r="Q142" s="284"/>
      <c r="R142" s="464"/>
      <c r="S142" s="464"/>
    </row>
    <row r="143" spans="1:19">
      <c r="A143" s="24"/>
      <c r="C143" s="584"/>
      <c r="D143" s="584" t="s">
        <v>359</v>
      </c>
      <c r="E143" s="585" t="s">
        <v>184</v>
      </c>
      <c r="F143" s="586"/>
      <c r="G143" s="108"/>
      <c r="H143" s="587"/>
      <c r="I143" s="108"/>
      <c r="J143" s="107"/>
      <c r="L143" s="173"/>
      <c r="P143" s="210"/>
    </row>
    <row r="144" spans="1:19">
      <c r="A144" s="24"/>
      <c r="C144" s="104" t="s">
        <v>345</v>
      </c>
      <c r="D144" s="394" t="s">
        <v>182</v>
      </c>
      <c r="E144" s="15" t="s">
        <v>183</v>
      </c>
      <c r="F144" s="20" t="s">
        <v>515</v>
      </c>
      <c r="G144" s="84" t="s">
        <v>374</v>
      </c>
      <c r="H144" s="195"/>
      <c r="I144" s="73"/>
      <c r="J144" s="102"/>
      <c r="L144" s="173"/>
      <c r="P144" s="210"/>
    </row>
    <row r="145" spans="1:19">
      <c r="A145" s="24"/>
      <c r="C145" s="104" t="s">
        <v>187</v>
      </c>
      <c r="D145" s="394" t="s">
        <v>188</v>
      </c>
      <c r="E145" s="15" t="s">
        <v>189</v>
      </c>
      <c r="F145" s="45" t="s">
        <v>185</v>
      </c>
      <c r="G145" s="101" t="s">
        <v>561</v>
      </c>
      <c r="H145" s="207"/>
      <c r="I145" s="84"/>
      <c r="J145" s="102"/>
      <c r="L145" s="173"/>
      <c r="P145" s="210"/>
    </row>
    <row r="146" spans="1:19" ht="24">
      <c r="A146" s="24" t="s">
        <v>186</v>
      </c>
      <c r="C146" s="104" t="s">
        <v>190</v>
      </c>
      <c r="D146" s="394" t="s">
        <v>191</v>
      </c>
      <c r="E146" s="15" t="s">
        <v>192</v>
      </c>
      <c r="F146" s="20" t="s">
        <v>14</v>
      </c>
      <c r="G146" s="26" t="s">
        <v>15</v>
      </c>
      <c r="H146" s="195"/>
      <c r="I146" s="20"/>
      <c r="J146" s="102"/>
      <c r="L146" s="173"/>
      <c r="P146" s="210"/>
    </row>
    <row r="147" spans="1:19">
      <c r="A147" s="24"/>
      <c r="C147" s="104" t="s">
        <v>193</v>
      </c>
      <c r="D147" s="394" t="s">
        <v>194</v>
      </c>
      <c r="E147" s="15" t="s">
        <v>195</v>
      </c>
      <c r="F147" s="20"/>
      <c r="G147" s="292"/>
      <c r="H147" s="195"/>
      <c r="I147" s="109"/>
      <c r="J147" s="124"/>
      <c r="L147" s="173"/>
      <c r="P147" s="210"/>
    </row>
    <row r="148" spans="1:19">
      <c r="A148" s="24"/>
      <c r="B148" s="104"/>
      <c r="C148" s="104" t="s">
        <v>196</v>
      </c>
      <c r="D148" s="55" t="s">
        <v>142</v>
      </c>
      <c r="E148" s="15" t="s">
        <v>143</v>
      </c>
      <c r="F148" s="20"/>
      <c r="G148" s="147"/>
      <c r="H148" s="195"/>
      <c r="I148" s="20"/>
      <c r="J148" s="124"/>
      <c r="L148" s="173"/>
      <c r="P148" s="210"/>
    </row>
    <row r="149" spans="1:19">
      <c r="A149" s="24"/>
      <c r="B149" s="1" t="s">
        <v>2</v>
      </c>
      <c r="C149" s="552"/>
      <c r="D149" s="553"/>
      <c r="E149" s="553"/>
      <c r="F149" s="106"/>
      <c r="G149" s="107"/>
      <c r="H149" s="202"/>
      <c r="I149" s="107"/>
      <c r="J149" s="108"/>
      <c r="K149" s="591" t="s">
        <v>2</v>
      </c>
      <c r="L149" s="664" t="s">
        <v>734</v>
      </c>
      <c r="M149" s="664"/>
      <c r="N149" s="348" t="s">
        <v>16</v>
      </c>
      <c r="O149" s="348" t="s">
        <v>557</v>
      </c>
      <c r="P149" s="348" t="s">
        <v>464</v>
      </c>
      <c r="Q149" s="348" t="s">
        <v>17</v>
      </c>
      <c r="R149" s="220" t="s">
        <v>18</v>
      </c>
      <c r="S149" s="221" t="s">
        <v>19</v>
      </c>
    </row>
    <row r="150" spans="1:19">
      <c r="A150" s="79" t="s">
        <v>197</v>
      </c>
      <c r="B150" s="375" t="s">
        <v>716</v>
      </c>
      <c r="C150" s="233">
        <v>408</v>
      </c>
      <c r="D150" s="366"/>
      <c r="E150" s="339">
        <v>72</v>
      </c>
      <c r="F150" s="230"/>
      <c r="G150" s="231"/>
      <c r="H150" s="236"/>
      <c r="I150" s="242"/>
      <c r="J150" s="35">
        <f t="shared" ref="J150:J158" si="74">SUM(C150:I150)</f>
        <v>480</v>
      </c>
      <c r="K150" s="254">
        <f>C150*10400</f>
        <v>4243200</v>
      </c>
      <c r="L150" s="173">
        <f>D150*9000</f>
        <v>0</v>
      </c>
      <c r="M150" s="299">
        <f>E150*9000</f>
        <v>648000</v>
      </c>
      <c r="N150" s="282"/>
      <c r="O150" s="282"/>
      <c r="P150" s="282"/>
      <c r="Q150" s="286"/>
      <c r="R150" s="4">
        <f>SUM(K150:Q150)</f>
        <v>4891200</v>
      </c>
      <c r="S150" s="4">
        <f>J150*5400</f>
        <v>2592000</v>
      </c>
    </row>
    <row r="151" spans="1:19">
      <c r="A151" s="79" t="s">
        <v>198</v>
      </c>
      <c r="B151" s="375" t="s">
        <v>199</v>
      </c>
      <c r="C151" s="233">
        <v>187</v>
      </c>
      <c r="D151" s="235"/>
      <c r="E151" s="234">
        <v>144</v>
      </c>
      <c r="F151" s="230"/>
      <c r="G151" s="242"/>
      <c r="H151" s="236"/>
      <c r="I151" s="230"/>
      <c r="J151" s="35">
        <f t="shared" si="74"/>
        <v>331</v>
      </c>
      <c r="K151" s="254">
        <f>C151*14700</f>
        <v>2748900</v>
      </c>
      <c r="L151" s="173">
        <f>D151*12900</f>
        <v>0</v>
      </c>
      <c r="M151" s="299">
        <f>E151*12900</f>
        <v>1857600</v>
      </c>
      <c r="N151" s="282"/>
      <c r="O151" s="282">
        <f>F151*11760</f>
        <v>0</v>
      </c>
      <c r="P151" s="282"/>
      <c r="Q151" s="286"/>
      <c r="R151" s="4">
        <f t="shared" ref="R151:R158" si="75">SUM(K151:Q151)</f>
        <v>4606500</v>
      </c>
      <c r="S151" s="4">
        <f>J151*7140</f>
        <v>2363340</v>
      </c>
    </row>
    <row r="152" spans="1:19">
      <c r="A152" s="79" t="s">
        <v>200</v>
      </c>
      <c r="B152" s="373"/>
      <c r="C152" s="261"/>
      <c r="D152" s="340"/>
      <c r="E152" s="341"/>
      <c r="F152" s="230"/>
      <c r="G152" s="231"/>
      <c r="H152" s="236"/>
      <c r="I152" s="230"/>
      <c r="J152" s="35">
        <f t="shared" si="74"/>
        <v>0</v>
      </c>
      <c r="K152" s="181">
        <f>C152*4500</f>
        <v>0</v>
      </c>
      <c r="L152" s="173">
        <f>D152*4500</f>
        <v>0</v>
      </c>
      <c r="M152" s="299">
        <f>E152*4500</f>
        <v>0</v>
      </c>
      <c r="N152" s="282">
        <f>F152*4200</f>
        <v>0</v>
      </c>
      <c r="O152" s="282"/>
      <c r="P152" s="282"/>
      <c r="Q152" s="286"/>
      <c r="R152" s="4">
        <f t="shared" si="75"/>
        <v>0</v>
      </c>
      <c r="S152" s="4">
        <f>J152*1984</f>
        <v>0</v>
      </c>
    </row>
    <row r="153" spans="1:19">
      <c r="A153" s="79" t="s">
        <v>201</v>
      </c>
      <c r="B153" s="375" t="s">
        <v>202</v>
      </c>
      <c r="C153" s="233">
        <v>3</v>
      </c>
      <c r="D153" s="235"/>
      <c r="E153" s="234">
        <v>10</v>
      </c>
      <c r="F153" s="230"/>
      <c r="G153" s="231"/>
      <c r="H153" s="236"/>
      <c r="I153" s="230"/>
      <c r="J153" s="35">
        <f t="shared" si="74"/>
        <v>13</v>
      </c>
      <c r="K153" s="254">
        <f>C153*14700</f>
        <v>44100</v>
      </c>
      <c r="L153" s="173">
        <f>D153*11000</f>
        <v>0</v>
      </c>
      <c r="M153" s="299">
        <f>E153*11000</f>
        <v>110000</v>
      </c>
      <c r="N153" s="282"/>
      <c r="O153" s="282"/>
      <c r="P153" s="282"/>
      <c r="Q153" s="286"/>
      <c r="R153" s="4">
        <f t="shared" si="75"/>
        <v>154100</v>
      </c>
      <c r="S153" s="4">
        <f>J153*4658</f>
        <v>60554</v>
      </c>
    </row>
    <row r="154" spans="1:19">
      <c r="A154" s="79" t="s">
        <v>203</v>
      </c>
      <c r="B154" s="375" t="s">
        <v>512</v>
      </c>
      <c r="C154" s="233">
        <v>51</v>
      </c>
      <c r="D154" s="235"/>
      <c r="E154" s="234">
        <v>60</v>
      </c>
      <c r="F154" s="230"/>
      <c r="G154" s="231"/>
      <c r="H154" s="236"/>
      <c r="I154" s="230"/>
      <c r="J154" s="35">
        <f t="shared" si="74"/>
        <v>111</v>
      </c>
      <c r="K154" s="254">
        <f>C154*26400</f>
        <v>1346400</v>
      </c>
      <c r="L154" s="173">
        <f>D154*18500</f>
        <v>0</v>
      </c>
      <c r="M154" s="299">
        <f>E154*18500</f>
        <v>1110000</v>
      </c>
      <c r="N154" s="282"/>
      <c r="O154" s="282"/>
      <c r="P154" s="282"/>
      <c r="Q154" s="286"/>
      <c r="R154" s="4">
        <f t="shared" si="75"/>
        <v>2456400</v>
      </c>
      <c r="S154" s="4">
        <f>J154*6653</f>
        <v>738483</v>
      </c>
    </row>
    <row r="155" spans="1:19">
      <c r="A155" s="79" t="s">
        <v>204</v>
      </c>
      <c r="B155" s="375" t="s">
        <v>409</v>
      </c>
      <c r="C155" s="233">
        <v>22</v>
      </c>
      <c r="D155" s="235"/>
      <c r="E155" s="234"/>
      <c r="F155" s="230"/>
      <c r="G155" s="231"/>
      <c r="H155" s="236"/>
      <c r="I155" s="230"/>
      <c r="J155" s="35">
        <f t="shared" si="74"/>
        <v>22</v>
      </c>
      <c r="K155" s="254">
        <f>C155*23100</f>
        <v>508200</v>
      </c>
      <c r="L155" s="173">
        <f>D155*17000</f>
        <v>0</v>
      </c>
      <c r="M155" s="299">
        <f>E155*17000</f>
        <v>0</v>
      </c>
      <c r="N155" s="282"/>
      <c r="O155" s="282"/>
      <c r="P155" s="282"/>
      <c r="Q155" s="286"/>
      <c r="R155" s="4">
        <f t="shared" si="75"/>
        <v>508200</v>
      </c>
      <c r="S155" s="4">
        <f>J155*8415</f>
        <v>185130</v>
      </c>
    </row>
    <row r="156" spans="1:19">
      <c r="A156" s="109" t="s">
        <v>205</v>
      </c>
      <c r="B156" s="45" t="s">
        <v>206</v>
      </c>
      <c r="C156" s="215"/>
      <c r="D156" s="235"/>
      <c r="E156" s="234">
        <v>18</v>
      </c>
      <c r="F156" s="230">
        <v>63</v>
      </c>
      <c r="G156" s="231"/>
      <c r="H156" s="236"/>
      <c r="I156" s="230"/>
      <c r="J156" s="35">
        <f t="shared" si="74"/>
        <v>81</v>
      </c>
      <c r="K156" s="284">
        <f>C156*21000</f>
        <v>0</v>
      </c>
      <c r="L156" s="173">
        <f>D156*15200</f>
        <v>0</v>
      </c>
      <c r="M156" s="299">
        <f>E156*15200</f>
        <v>273600</v>
      </c>
      <c r="N156" s="282">
        <f>F156*19640</f>
        <v>1237320</v>
      </c>
      <c r="O156" s="282"/>
      <c r="P156" s="282"/>
      <c r="Q156" s="286"/>
      <c r="R156" s="4">
        <f t="shared" si="75"/>
        <v>1510920</v>
      </c>
      <c r="S156" s="4">
        <f>J156*8415</f>
        <v>681615</v>
      </c>
    </row>
    <row r="157" spans="1:19">
      <c r="A157" s="115" t="s">
        <v>207</v>
      </c>
      <c r="B157" s="375" t="s">
        <v>208</v>
      </c>
      <c r="C157" s="237">
        <v>7</v>
      </c>
      <c r="D157" s="235"/>
      <c r="E157" s="234"/>
      <c r="F157" s="230"/>
      <c r="G157" s="231"/>
      <c r="H157" s="236"/>
      <c r="I157" s="230"/>
      <c r="J157" s="35">
        <f t="shared" si="74"/>
        <v>7</v>
      </c>
      <c r="K157" s="254">
        <f>C157*14700</f>
        <v>102900</v>
      </c>
      <c r="L157" s="173">
        <f>D157*11000</f>
        <v>0</v>
      </c>
      <c r="M157" s="299">
        <f>E157*11000</f>
        <v>0</v>
      </c>
      <c r="N157" s="282"/>
      <c r="O157" s="282"/>
      <c r="P157" s="282"/>
      <c r="Q157" s="286"/>
      <c r="R157" s="4">
        <f t="shared" si="75"/>
        <v>102900</v>
      </c>
      <c r="S157" s="4">
        <f>J157*5590</f>
        <v>39130</v>
      </c>
    </row>
    <row r="158" spans="1:19">
      <c r="A158" s="115" t="s">
        <v>209</v>
      </c>
      <c r="B158" s="375" t="s">
        <v>210</v>
      </c>
      <c r="C158" s="237">
        <v>1</v>
      </c>
      <c r="D158" s="235"/>
      <c r="E158" s="234"/>
      <c r="F158" s="230"/>
      <c r="G158" s="231"/>
      <c r="H158" s="236"/>
      <c r="I158" s="230"/>
      <c r="J158" s="35">
        <f t="shared" si="74"/>
        <v>1</v>
      </c>
      <c r="K158" s="254">
        <f>C158*17500</f>
        <v>17500</v>
      </c>
      <c r="L158" s="173">
        <f>D158*17500</f>
        <v>0</v>
      </c>
      <c r="M158" s="299">
        <f>E158*17500</f>
        <v>0</v>
      </c>
      <c r="N158" s="282"/>
      <c r="O158" s="282"/>
      <c r="P158" s="282"/>
      <c r="Q158" s="286"/>
      <c r="R158" s="4">
        <f t="shared" si="75"/>
        <v>17500</v>
      </c>
      <c r="S158" s="4">
        <f>J158*7123</f>
        <v>7123</v>
      </c>
    </row>
    <row r="159" spans="1:19" s="24" customFormat="1">
      <c r="A159" s="468" t="s">
        <v>633</v>
      </c>
      <c r="B159" s="88" t="s">
        <v>431</v>
      </c>
      <c r="C159" s="560" t="s">
        <v>570</v>
      </c>
      <c r="D159" s="313" t="s">
        <v>418</v>
      </c>
      <c r="E159" s="89" t="s">
        <v>212</v>
      </c>
      <c r="F159" s="357"/>
      <c r="G159" s="357"/>
      <c r="H159" s="358"/>
      <c r="I159" s="92" t="s">
        <v>141</v>
      </c>
      <c r="J159" s="58" t="s">
        <v>6</v>
      </c>
      <c r="K159" s="443">
        <f t="shared" ref="K159:S159" si="76">SUM(K150:K158)</f>
        <v>9011200</v>
      </c>
      <c r="L159" s="444">
        <f t="shared" si="76"/>
        <v>0</v>
      </c>
      <c r="M159" s="445">
        <f t="shared" si="76"/>
        <v>3999200</v>
      </c>
      <c r="N159" s="443">
        <f t="shared" si="76"/>
        <v>1237320</v>
      </c>
      <c r="O159" s="446">
        <f t="shared" si="76"/>
        <v>0</v>
      </c>
      <c r="P159" s="446">
        <f t="shared" si="76"/>
        <v>0</v>
      </c>
      <c r="Q159" s="446">
        <f t="shared" si="76"/>
        <v>0</v>
      </c>
      <c r="R159" s="447">
        <f t="shared" si="76"/>
        <v>14247720</v>
      </c>
      <c r="S159" s="448">
        <f t="shared" si="76"/>
        <v>6667375</v>
      </c>
    </row>
    <row r="160" spans="1:19">
      <c r="A160" s="469" t="s">
        <v>562</v>
      </c>
      <c r="B160" s="55" t="s">
        <v>214</v>
      </c>
      <c r="C160" s="388" t="s">
        <v>635</v>
      </c>
      <c r="D160" s="88" t="s">
        <v>219</v>
      </c>
      <c r="E160" s="390"/>
      <c r="F160" s="20" t="s">
        <v>10</v>
      </c>
      <c r="G160" s="392" t="s">
        <v>11</v>
      </c>
      <c r="H160" s="20"/>
      <c r="I160" s="558"/>
      <c r="J160" s="353"/>
      <c r="K160" s="391"/>
      <c r="P160" s="210"/>
    </row>
    <row r="161" spans="1:19">
      <c r="A161" s="469" t="s">
        <v>413</v>
      </c>
      <c r="B161" s="88" t="s">
        <v>417</v>
      </c>
      <c r="C161" s="560" t="s">
        <v>636</v>
      </c>
      <c r="D161" s="88" t="s">
        <v>402</v>
      </c>
      <c r="E161" s="391" t="s">
        <v>407</v>
      </c>
      <c r="F161" s="20"/>
      <c r="G161" s="392"/>
      <c r="H161" s="20"/>
      <c r="I161" s="543"/>
      <c r="J161" s="395"/>
      <c r="K161" s="391"/>
      <c r="P161" s="210"/>
    </row>
    <row r="162" spans="1:19">
      <c r="A162" s="468" t="s">
        <v>719</v>
      </c>
      <c r="B162" s="88" t="s">
        <v>718</v>
      </c>
      <c r="C162" s="468" t="s">
        <v>572</v>
      </c>
      <c r="D162" s="55" t="s">
        <v>213</v>
      </c>
      <c r="E162" s="391" t="s">
        <v>516</v>
      </c>
      <c r="F162" s="20"/>
      <c r="G162" s="392"/>
      <c r="H162" s="20"/>
      <c r="I162" s="558"/>
      <c r="J162" s="107"/>
      <c r="K162" s="391"/>
      <c r="L162" s="142"/>
      <c r="P162" s="210"/>
    </row>
    <row r="163" spans="1:19">
      <c r="A163" s="469" t="s">
        <v>563</v>
      </c>
      <c r="B163" s="88" t="s">
        <v>365</v>
      </c>
      <c r="C163" s="560" t="s">
        <v>406</v>
      </c>
      <c r="D163" s="88" t="s">
        <v>405</v>
      </c>
      <c r="E163" s="391" t="s">
        <v>517</v>
      </c>
      <c r="F163" s="20"/>
      <c r="G163" s="533"/>
      <c r="H163" s="20"/>
      <c r="I163" s="157"/>
      <c r="J163" s="473"/>
      <c r="K163" s="391"/>
      <c r="L163" s="313"/>
      <c r="P163" s="210"/>
    </row>
    <row r="164" spans="1:19">
      <c r="A164" s="469" t="s">
        <v>564</v>
      </c>
      <c r="B164" s="88" t="s">
        <v>411</v>
      </c>
      <c r="C164" s="560" t="s">
        <v>498</v>
      </c>
      <c r="D164" s="88" t="s">
        <v>216</v>
      </c>
      <c r="E164" s="391" t="s">
        <v>518</v>
      </c>
      <c r="F164" s="20"/>
      <c r="G164" s="542"/>
      <c r="H164" s="20"/>
      <c r="I164" s="20"/>
      <c r="J164" s="112"/>
      <c r="K164" s="470"/>
      <c r="L164" s="313"/>
      <c r="P164" s="210"/>
    </row>
    <row r="165" spans="1:19" ht="24">
      <c r="A165" s="469" t="s">
        <v>427</v>
      </c>
      <c r="B165" s="88" t="s">
        <v>434</v>
      </c>
      <c r="C165" s="88" t="s">
        <v>569</v>
      </c>
      <c r="D165" s="88" t="s">
        <v>215</v>
      </c>
      <c r="E165" s="391" t="s">
        <v>642</v>
      </c>
      <c r="F165" s="20"/>
      <c r="G165" s="565"/>
      <c r="H165" s="20"/>
      <c r="I165" s="45" t="s">
        <v>0</v>
      </c>
      <c r="J165" s="473" t="s">
        <v>624</v>
      </c>
      <c r="K165" s="470"/>
      <c r="L165" s="142"/>
      <c r="P165" s="210"/>
    </row>
    <row r="166" spans="1:19" ht="24">
      <c r="A166" s="469" t="s">
        <v>565</v>
      </c>
      <c r="B166" s="88" t="s">
        <v>455</v>
      </c>
      <c r="C166" s="88" t="s">
        <v>422</v>
      </c>
      <c r="D166" s="88" t="s">
        <v>433</v>
      </c>
      <c r="E166" s="391" t="s">
        <v>643</v>
      </c>
      <c r="F166" s="20" t="s">
        <v>723</v>
      </c>
      <c r="G166" s="576" t="s">
        <v>724</v>
      </c>
      <c r="H166" s="575"/>
      <c r="I166" s="577"/>
      <c r="J166" s="45"/>
      <c r="K166" s="471"/>
      <c r="P166" s="210"/>
    </row>
    <row r="167" spans="1:19" ht="24">
      <c r="A167" s="469" t="s">
        <v>463</v>
      </c>
      <c r="B167" s="88" t="s">
        <v>462</v>
      </c>
      <c r="C167" s="562" t="s">
        <v>423</v>
      </c>
      <c r="D167" s="88" t="s">
        <v>432</v>
      </c>
      <c r="E167" s="391" t="s">
        <v>641</v>
      </c>
      <c r="F167" s="20" t="s">
        <v>595</v>
      </c>
      <c r="G167" s="578" t="s">
        <v>722</v>
      </c>
      <c r="H167" s="20"/>
      <c r="I167" s="308"/>
      <c r="J167" s="124" t="s">
        <v>368</v>
      </c>
      <c r="K167" s="22"/>
      <c r="P167" s="210"/>
    </row>
    <row r="168" spans="1:19">
      <c r="A168" s="469" t="s">
        <v>634</v>
      </c>
      <c r="B168" s="88" t="s">
        <v>218</v>
      </c>
      <c r="C168" s="563" t="s">
        <v>567</v>
      </c>
      <c r="D168" s="88" t="s">
        <v>502</v>
      </c>
      <c r="E168" s="391" t="s">
        <v>759</v>
      </c>
      <c r="F168" s="20" t="s">
        <v>475</v>
      </c>
      <c r="G168" s="471" t="s">
        <v>646</v>
      </c>
      <c r="H168" s="90" t="s">
        <v>242</v>
      </c>
      <c r="I168" s="467" t="s">
        <v>574</v>
      </c>
      <c r="J168" s="124"/>
      <c r="K168" s="22"/>
      <c r="P168" s="210"/>
    </row>
    <row r="169" spans="1:19">
      <c r="A169" s="469" t="s">
        <v>571</v>
      </c>
      <c r="B169" s="88" t="s">
        <v>566</v>
      </c>
      <c r="C169" s="88" t="s">
        <v>568</v>
      </c>
      <c r="D169" s="88" t="s">
        <v>220</v>
      </c>
      <c r="E169" s="391" t="s">
        <v>760</v>
      </c>
      <c r="F169" s="90"/>
      <c r="G169" s="557"/>
      <c r="H169" s="22"/>
      <c r="I169" s="308"/>
      <c r="J169" s="124"/>
      <c r="K169" s="472"/>
      <c r="P169" s="210"/>
    </row>
    <row r="170" spans="1:19">
      <c r="A170" s="468" t="s">
        <v>459</v>
      </c>
      <c r="B170" s="88" t="s">
        <v>461</v>
      </c>
      <c r="C170" s="561"/>
      <c r="D170" s="88"/>
      <c r="E170" s="313"/>
      <c r="F170" s="20"/>
      <c r="G170" s="393"/>
      <c r="H170" s="193"/>
      <c r="I170" s="535" t="s">
        <v>408</v>
      </c>
      <c r="J170" s="52" t="s">
        <v>368</v>
      </c>
      <c r="K170" s="474" t="s">
        <v>380</v>
      </c>
      <c r="L170" s="664" t="s">
        <v>734</v>
      </c>
      <c r="M170" s="664"/>
      <c r="N170" s="348" t="s">
        <v>465</v>
      </c>
      <c r="O170" s="549" t="s">
        <v>630</v>
      </c>
      <c r="P170" s="348" t="s">
        <v>464</v>
      </c>
      <c r="Q170" s="549" t="s">
        <v>631</v>
      </c>
      <c r="R170" s="220" t="s">
        <v>18</v>
      </c>
      <c r="S170" s="221" t="s">
        <v>19</v>
      </c>
    </row>
    <row r="171" spans="1:19">
      <c r="A171" s="24" t="s">
        <v>217</v>
      </c>
      <c r="B171" s="357"/>
      <c r="C171" s="233"/>
      <c r="D171" s="235"/>
      <c r="E171" s="241"/>
      <c r="F171" s="342"/>
      <c r="G171" s="241"/>
      <c r="H171" s="343"/>
      <c r="I171" s="232"/>
      <c r="J171" s="35"/>
      <c r="K171" s="28"/>
      <c r="L171" s="295"/>
      <c r="M171" s="299"/>
      <c r="N171" s="286"/>
      <c r="O171" s="286"/>
      <c r="P171" s="286"/>
      <c r="Q171" s="279"/>
      <c r="R171" s="5"/>
    </row>
    <row r="172" spans="1:19">
      <c r="A172" s="79" t="s">
        <v>424</v>
      </c>
      <c r="B172" s="375" t="s">
        <v>425</v>
      </c>
      <c r="C172" s="233">
        <v>1</v>
      </c>
      <c r="D172" s="235"/>
      <c r="E172" s="234"/>
      <c r="F172" s="342"/>
      <c r="G172" s="241"/>
      <c r="H172" s="343"/>
      <c r="I172" s="232"/>
      <c r="J172" s="35">
        <f>SUM(C172:I172)</f>
        <v>1</v>
      </c>
      <c r="K172" s="363">
        <f>C172*12800</f>
        <v>12800</v>
      </c>
      <c r="L172" s="295">
        <f>D172*9600</f>
        <v>0</v>
      </c>
      <c r="M172" s="299">
        <f>E172*9600</f>
        <v>0</v>
      </c>
      <c r="N172" s="286"/>
      <c r="O172" s="286"/>
      <c r="P172" s="286"/>
      <c r="Q172" s="279"/>
      <c r="R172" s="5">
        <f>SUM(K172:Q172)</f>
        <v>12800</v>
      </c>
      <c r="S172" s="4">
        <f>J172*3857</f>
        <v>3857</v>
      </c>
    </row>
    <row r="173" spans="1:19">
      <c r="A173" s="79" t="s">
        <v>714</v>
      </c>
      <c r="B173" s="375" t="s">
        <v>717</v>
      </c>
      <c r="C173" s="233">
        <v>2</v>
      </c>
      <c r="D173" s="235"/>
      <c r="E173" s="234"/>
      <c r="F173" s="342"/>
      <c r="G173" s="241"/>
      <c r="H173" s="343"/>
      <c r="I173" s="232"/>
      <c r="J173" s="35">
        <f>SUM(C173:I173)</f>
        <v>2</v>
      </c>
      <c r="K173" s="363">
        <f>C173*36000</f>
        <v>72000</v>
      </c>
      <c r="L173" s="295">
        <f>D173*33000</f>
        <v>0</v>
      </c>
      <c r="M173" s="299">
        <f>E173*33000</f>
        <v>0</v>
      </c>
      <c r="N173" s="286"/>
      <c r="O173" s="286"/>
      <c r="P173" s="286"/>
      <c r="Q173" s="279"/>
      <c r="R173" s="5">
        <f>SUM(K173:Q173)</f>
        <v>72000</v>
      </c>
      <c r="S173" s="4">
        <f>J173*8619</f>
        <v>17238</v>
      </c>
    </row>
    <row r="174" spans="1:19">
      <c r="A174" s="115" t="s">
        <v>221</v>
      </c>
      <c r="B174" s="375" t="s">
        <v>222</v>
      </c>
      <c r="C174" s="233">
        <v>107</v>
      </c>
      <c r="D174" s="235">
        <v>39</v>
      </c>
      <c r="E174" s="234"/>
      <c r="F174" s="215"/>
      <c r="G174" s="230"/>
      <c r="H174" s="230"/>
      <c r="I174" s="230"/>
      <c r="J174" s="35">
        <f t="shared" ref="J174:J221" si="77">SUM(C174:I174)</f>
        <v>146</v>
      </c>
      <c r="K174" s="254">
        <f>C174*28800</f>
        <v>3081600</v>
      </c>
      <c r="L174" s="294">
        <f>D174*26400</f>
        <v>1029600</v>
      </c>
      <c r="M174" s="299">
        <f>E174*26400</f>
        <v>0</v>
      </c>
      <c r="N174" s="282"/>
      <c r="O174" s="282"/>
      <c r="P174" s="282">
        <f>F174*28800</f>
        <v>0</v>
      </c>
      <c r="Q174" s="279"/>
      <c r="R174" s="5">
        <f t="shared" ref="R174:R221" si="78">SUM(K174:Q174)</f>
        <v>4111200</v>
      </c>
      <c r="S174" s="4">
        <f>J174*6704</f>
        <v>978784</v>
      </c>
    </row>
    <row r="175" spans="1:19">
      <c r="A175" s="115" t="s">
        <v>413</v>
      </c>
      <c r="B175" s="375" t="s">
        <v>414</v>
      </c>
      <c r="C175" s="233">
        <v>93</v>
      </c>
      <c r="D175" s="235">
        <v>35</v>
      </c>
      <c r="E175" s="234"/>
      <c r="F175" s="238"/>
      <c r="G175" s="242"/>
      <c r="H175" s="230"/>
      <c r="I175" s="242"/>
      <c r="J175" s="35">
        <f t="shared" si="77"/>
        <v>128</v>
      </c>
      <c r="K175" s="254">
        <f>C175*16000</f>
        <v>1488000</v>
      </c>
      <c r="L175" s="294">
        <f>D175*11200</f>
        <v>392000</v>
      </c>
      <c r="M175" s="299">
        <f>E175*11200</f>
        <v>0</v>
      </c>
      <c r="N175" s="282"/>
      <c r="O175" s="286"/>
      <c r="P175" s="282"/>
      <c r="Q175" s="279"/>
      <c r="R175" s="5">
        <f t="shared" si="78"/>
        <v>1880000</v>
      </c>
      <c r="S175" s="4">
        <f>J175*3489</f>
        <v>446592</v>
      </c>
    </row>
    <row r="176" spans="1:19">
      <c r="A176" s="227" t="s">
        <v>223</v>
      </c>
      <c r="B176" s="376" t="s">
        <v>224</v>
      </c>
      <c r="C176" s="233">
        <v>9</v>
      </c>
      <c r="D176" s="235">
        <v>6</v>
      </c>
      <c r="E176" s="234"/>
      <c r="F176" s="215"/>
      <c r="G176" s="231"/>
      <c r="H176" s="236"/>
      <c r="I176" s="230"/>
      <c r="J176" s="35">
        <f t="shared" si="77"/>
        <v>15</v>
      </c>
      <c r="K176" s="254">
        <f>C176*16800</f>
        <v>151200</v>
      </c>
      <c r="L176" s="294">
        <f>D176*12800</f>
        <v>76800</v>
      </c>
      <c r="M176" s="299">
        <f>E176*12800</f>
        <v>0</v>
      </c>
      <c r="N176" s="282"/>
      <c r="O176" s="282"/>
      <c r="P176" s="282"/>
      <c r="Q176" s="279"/>
      <c r="R176" s="5">
        <f t="shared" si="78"/>
        <v>228000</v>
      </c>
      <c r="S176" s="4">
        <f>J176*3075</f>
        <v>46125</v>
      </c>
    </row>
    <row r="177" spans="1:19">
      <c r="A177" s="227" t="s">
        <v>410</v>
      </c>
      <c r="B177" s="682" t="s">
        <v>430</v>
      </c>
      <c r="C177" s="233">
        <v>15</v>
      </c>
      <c r="D177" s="235">
        <v>1</v>
      </c>
      <c r="E177" s="234"/>
      <c r="F177" s="215"/>
      <c r="G177" s="231"/>
      <c r="H177" s="236"/>
      <c r="I177" s="242"/>
      <c r="J177" s="35">
        <f t="shared" si="77"/>
        <v>16</v>
      </c>
      <c r="K177" s="254">
        <f>C177*36800</f>
        <v>552000</v>
      </c>
      <c r="L177" s="294">
        <f>D177*27200</f>
        <v>27200</v>
      </c>
      <c r="M177" s="299">
        <f>E177*27200</f>
        <v>0</v>
      </c>
      <c r="N177" s="282"/>
      <c r="O177" s="282"/>
      <c r="P177" s="282"/>
      <c r="Q177" s="279"/>
      <c r="R177" s="5">
        <f t="shared" si="78"/>
        <v>579200</v>
      </c>
      <c r="S177" s="4">
        <f>J177*6040</f>
        <v>96640</v>
      </c>
    </row>
    <row r="178" spans="1:19">
      <c r="A178" s="227" t="s">
        <v>426</v>
      </c>
      <c r="B178" s="683"/>
      <c r="C178" s="233">
        <v>3</v>
      </c>
      <c r="D178" s="235"/>
      <c r="E178" s="234"/>
      <c r="F178" s="215"/>
      <c r="G178" s="231"/>
      <c r="H178" s="236"/>
      <c r="I178" s="242"/>
      <c r="J178" s="35">
        <f t="shared" si="77"/>
        <v>3</v>
      </c>
      <c r="K178" s="254">
        <f>C178*16000</f>
        <v>48000</v>
      </c>
      <c r="L178" s="294">
        <f>D178*12800</f>
        <v>0</v>
      </c>
      <c r="M178" s="299">
        <f>E178*12800</f>
        <v>0</v>
      </c>
      <c r="N178" s="282"/>
      <c r="O178" s="282"/>
      <c r="P178" s="282"/>
      <c r="Q178" s="279"/>
      <c r="R178" s="5">
        <f t="shared" si="78"/>
        <v>48000</v>
      </c>
      <c r="S178" s="4">
        <f>J178*4212</f>
        <v>12636</v>
      </c>
    </row>
    <row r="179" spans="1:19">
      <c r="A179" s="227" t="s">
        <v>427</v>
      </c>
      <c r="B179" s="376" t="s">
        <v>429</v>
      </c>
      <c r="C179" s="233">
        <v>1</v>
      </c>
      <c r="D179" s="235"/>
      <c r="E179" s="234"/>
      <c r="F179" s="215"/>
      <c r="G179" s="231"/>
      <c r="H179" s="236"/>
      <c r="I179" s="230"/>
      <c r="J179" s="35">
        <f t="shared" si="77"/>
        <v>1</v>
      </c>
      <c r="K179" s="254">
        <f>C179*28000</f>
        <v>28000</v>
      </c>
      <c r="L179" s="294">
        <f>D179*19600</f>
        <v>0</v>
      </c>
      <c r="M179" s="299">
        <f>E179*19600</f>
        <v>0</v>
      </c>
      <c r="N179" s="282"/>
      <c r="O179" s="282"/>
      <c r="P179" s="282"/>
      <c r="Q179" s="279"/>
      <c r="R179" s="5">
        <f t="shared" si="78"/>
        <v>28000</v>
      </c>
      <c r="S179" s="4">
        <f>J179*6097</f>
        <v>6097</v>
      </c>
    </row>
    <row r="180" spans="1:19">
      <c r="A180" s="227" t="s">
        <v>439</v>
      </c>
      <c r="B180" s="376" t="s">
        <v>440</v>
      </c>
      <c r="C180" s="233">
        <v>1</v>
      </c>
      <c r="D180" s="235">
        <v>4</v>
      </c>
      <c r="E180" s="234"/>
      <c r="F180" s="215"/>
      <c r="G180" s="231"/>
      <c r="H180" s="236"/>
      <c r="I180" s="230"/>
      <c r="J180" s="35">
        <f t="shared" si="77"/>
        <v>5</v>
      </c>
      <c r="K180" s="254">
        <f>C180*31000</f>
        <v>31000</v>
      </c>
      <c r="L180" s="294">
        <f>D180*19800</f>
        <v>79200</v>
      </c>
      <c r="M180" s="299">
        <f>E180*19800</f>
        <v>0</v>
      </c>
      <c r="N180" s="282"/>
      <c r="O180" s="282"/>
      <c r="P180" s="282"/>
      <c r="Q180" s="279"/>
      <c r="R180" s="5">
        <f t="shared" si="78"/>
        <v>110200</v>
      </c>
      <c r="S180" s="4">
        <f>J180*6612</f>
        <v>33060</v>
      </c>
    </row>
    <row r="181" spans="1:19" s="567" customFormat="1">
      <c r="A181" s="346" t="s">
        <v>441</v>
      </c>
      <c r="B181" s="376" t="s">
        <v>227</v>
      </c>
      <c r="C181" s="233">
        <v>3</v>
      </c>
      <c r="D181" s="235">
        <v>1</v>
      </c>
      <c r="E181" s="330"/>
      <c r="F181" s="242"/>
      <c r="G181" s="330"/>
      <c r="H181" s="242"/>
      <c r="I181" s="242"/>
      <c r="J181" s="218">
        <f t="shared" si="77"/>
        <v>4</v>
      </c>
      <c r="K181" s="364">
        <f>C181*27200</f>
        <v>81600</v>
      </c>
      <c r="L181" s="294">
        <f>D181*20000</f>
        <v>20000</v>
      </c>
      <c r="M181" s="299">
        <f>E181*20000</f>
        <v>0</v>
      </c>
      <c r="N181" s="282"/>
      <c r="O181" s="282"/>
      <c r="P181" s="282"/>
      <c r="Q181" s="279"/>
      <c r="R181" s="573">
        <f t="shared" si="78"/>
        <v>101600</v>
      </c>
      <c r="S181" s="529">
        <f>J181*4582</f>
        <v>18328</v>
      </c>
    </row>
    <row r="182" spans="1:19">
      <c r="A182" s="115" t="s">
        <v>225</v>
      </c>
      <c r="B182" s="547" t="s">
        <v>226</v>
      </c>
      <c r="C182" s="233">
        <v>5</v>
      </c>
      <c r="D182" s="235">
        <v>2</v>
      </c>
      <c r="E182" s="259"/>
      <c r="F182" s="230"/>
      <c r="G182" s="231"/>
      <c r="H182" s="230"/>
      <c r="I182" s="230"/>
      <c r="J182" s="35">
        <f t="shared" si="77"/>
        <v>7</v>
      </c>
      <c r="K182" s="254">
        <f>C182*16000</f>
        <v>80000</v>
      </c>
      <c r="L182" s="294">
        <f>D182*12000</f>
        <v>24000</v>
      </c>
      <c r="M182" s="299">
        <f>E182*19200</f>
        <v>0</v>
      </c>
      <c r="N182" s="282"/>
      <c r="O182" s="282"/>
      <c r="P182" s="282"/>
      <c r="Q182" s="279"/>
      <c r="R182" s="5">
        <f t="shared" si="78"/>
        <v>104000</v>
      </c>
      <c r="S182" s="4">
        <f>J182*3501</f>
        <v>24507</v>
      </c>
    </row>
    <row r="183" spans="1:19">
      <c r="A183" s="115" t="s">
        <v>470</v>
      </c>
      <c r="B183" s="547" t="s">
        <v>471</v>
      </c>
      <c r="C183" s="233">
        <v>25</v>
      </c>
      <c r="D183" s="255"/>
      <c r="E183" s="232"/>
      <c r="F183" s="230"/>
      <c r="G183" s="231"/>
      <c r="H183" s="230"/>
      <c r="I183" s="230"/>
      <c r="J183" s="35">
        <f t="shared" si="77"/>
        <v>25</v>
      </c>
      <c r="K183" s="254">
        <f>C183*19000</f>
        <v>475000</v>
      </c>
      <c r="L183" s="294">
        <f>D183*13000</f>
        <v>0</v>
      </c>
      <c r="M183" s="299">
        <f>E183*13000</f>
        <v>0</v>
      </c>
      <c r="N183" s="282"/>
      <c r="O183" s="282"/>
      <c r="P183" s="282"/>
      <c r="Q183" s="279"/>
      <c r="R183" s="5">
        <f t="shared" si="78"/>
        <v>475000</v>
      </c>
      <c r="S183" s="4">
        <f>J183*3677</f>
        <v>91925</v>
      </c>
    </row>
    <row r="184" spans="1:19">
      <c r="A184" s="346" t="s">
        <v>459</v>
      </c>
      <c r="B184" s="376" t="s">
        <v>460</v>
      </c>
      <c r="C184" s="239">
        <v>8</v>
      </c>
      <c r="D184" s="235"/>
      <c r="E184" s="234"/>
      <c r="F184" s="230"/>
      <c r="G184" s="322"/>
      <c r="H184" s="230"/>
      <c r="I184" s="242"/>
      <c r="J184" s="35">
        <f t="shared" si="77"/>
        <v>8</v>
      </c>
      <c r="K184" s="254">
        <f>C184*16000</f>
        <v>128000</v>
      </c>
      <c r="L184" s="294">
        <f>D184*12000</f>
        <v>0</v>
      </c>
      <c r="M184" s="299">
        <f>E184*12000</f>
        <v>0</v>
      </c>
      <c r="N184" s="282"/>
      <c r="O184" s="282"/>
      <c r="P184" s="282"/>
      <c r="Q184" s="279"/>
      <c r="R184" s="5">
        <f t="shared" si="78"/>
        <v>128000</v>
      </c>
      <c r="S184" s="4">
        <f>J184*4716</f>
        <v>37728</v>
      </c>
    </row>
    <row r="185" spans="1:19" s="307" customFormat="1">
      <c r="A185" s="306" t="s">
        <v>416</v>
      </c>
      <c r="B185" s="375" t="s">
        <v>415</v>
      </c>
      <c r="C185" s="344">
        <v>7</v>
      </c>
      <c r="D185" s="235"/>
      <c r="E185" s="234"/>
      <c r="F185" s="230"/>
      <c r="G185" s="322"/>
      <c r="H185" s="230"/>
      <c r="I185" s="257"/>
      <c r="J185" s="35">
        <f t="shared" si="77"/>
        <v>7</v>
      </c>
      <c r="K185" s="254">
        <f>C185*26880</f>
        <v>188160</v>
      </c>
      <c r="L185" s="294">
        <f>D185*26400</f>
        <v>0</v>
      </c>
      <c r="M185" s="299">
        <f>E185*26400</f>
        <v>0</v>
      </c>
      <c r="N185" s="282"/>
      <c r="O185" s="282"/>
      <c r="P185" s="282">
        <f>H185*26880</f>
        <v>0</v>
      </c>
      <c r="Q185" s="279"/>
      <c r="R185" s="5">
        <f t="shared" si="78"/>
        <v>188160</v>
      </c>
      <c r="S185" s="4">
        <f>J185*8712</f>
        <v>60984</v>
      </c>
    </row>
    <row r="186" spans="1:19">
      <c r="A186" s="115" t="s">
        <v>228</v>
      </c>
      <c r="B186" s="375" t="s">
        <v>229</v>
      </c>
      <c r="C186" s="239">
        <v>8</v>
      </c>
      <c r="D186" s="235"/>
      <c r="E186" s="232"/>
      <c r="F186" s="230"/>
      <c r="G186" s="322"/>
      <c r="H186" s="230"/>
      <c r="I186" s="242"/>
      <c r="J186" s="35">
        <f t="shared" si="77"/>
        <v>8</v>
      </c>
      <c r="K186" s="254">
        <f>C186*30400</f>
        <v>243200</v>
      </c>
      <c r="L186" s="294">
        <f>D186*25600</f>
        <v>0</v>
      </c>
      <c r="M186" s="299">
        <f>E186*25600</f>
        <v>0</v>
      </c>
      <c r="N186" s="282"/>
      <c r="O186" s="282"/>
      <c r="P186" s="282"/>
      <c r="Q186" s="279"/>
      <c r="R186" s="5">
        <f t="shared" si="78"/>
        <v>243200</v>
      </c>
      <c r="S186" s="4">
        <f>J186*5760</f>
        <v>46080</v>
      </c>
    </row>
    <row r="187" spans="1:19">
      <c r="A187" s="115" t="s">
        <v>397</v>
      </c>
      <c r="B187" s="375" t="s">
        <v>398</v>
      </c>
      <c r="C187" s="239">
        <v>12</v>
      </c>
      <c r="D187" s="235">
        <v>7</v>
      </c>
      <c r="E187" s="232"/>
      <c r="F187" s="230"/>
      <c r="G187" s="322"/>
      <c r="H187" s="230"/>
      <c r="I187" s="242"/>
      <c r="J187" s="35">
        <f t="shared" si="77"/>
        <v>19</v>
      </c>
      <c r="K187" s="254">
        <f>C187*17600</f>
        <v>211200</v>
      </c>
      <c r="L187" s="294">
        <f>D187*14400</f>
        <v>100800</v>
      </c>
      <c r="M187" s="302">
        <f>E187*14400</f>
        <v>0</v>
      </c>
      <c r="N187" s="284"/>
      <c r="O187" s="282"/>
      <c r="P187" s="282"/>
      <c r="Q187" s="279"/>
      <c r="R187" s="5">
        <f t="shared" si="78"/>
        <v>312000</v>
      </c>
      <c r="S187" s="4">
        <f>J187*3867</f>
        <v>73473</v>
      </c>
    </row>
    <row r="188" spans="1:19">
      <c r="A188" s="115" t="s">
        <v>435</v>
      </c>
      <c r="B188" s="375" t="s">
        <v>230</v>
      </c>
      <c r="C188" s="233">
        <v>2</v>
      </c>
      <c r="D188" s="235"/>
      <c r="E188" s="232"/>
      <c r="F188" s="230"/>
      <c r="G188" s="322"/>
      <c r="H188" s="230"/>
      <c r="I188" s="230"/>
      <c r="J188" s="35">
        <f t="shared" si="77"/>
        <v>2</v>
      </c>
      <c r="K188" s="254">
        <f>C188*64800</f>
        <v>129600</v>
      </c>
      <c r="L188" s="294">
        <f>D188*51840</f>
        <v>0</v>
      </c>
      <c r="M188" s="299">
        <f>E188*51840</f>
        <v>0</v>
      </c>
      <c r="N188" s="282">
        <f>F188*45360</f>
        <v>0</v>
      </c>
      <c r="O188" s="282"/>
      <c r="P188" s="282">
        <f>H188*45360</f>
        <v>0</v>
      </c>
      <c r="Q188" s="279"/>
      <c r="R188" s="5">
        <f t="shared" si="78"/>
        <v>129600</v>
      </c>
      <c r="S188" s="4">
        <f>J188*20308</f>
        <v>40616</v>
      </c>
    </row>
    <row r="189" spans="1:19">
      <c r="A189" s="227" t="s">
        <v>403</v>
      </c>
      <c r="B189" s="375" t="s">
        <v>404</v>
      </c>
      <c r="C189" s="233">
        <v>358</v>
      </c>
      <c r="D189" s="235">
        <v>40</v>
      </c>
      <c r="E189" s="234">
        <v>120</v>
      </c>
      <c r="F189" s="230"/>
      <c r="G189" s="230"/>
      <c r="H189" s="230"/>
      <c r="I189" s="230"/>
      <c r="J189" s="35">
        <f t="shared" si="77"/>
        <v>518</v>
      </c>
      <c r="K189" s="254">
        <f>C189*11000</f>
        <v>3938000</v>
      </c>
      <c r="L189" s="294">
        <f>D189*9900</f>
        <v>396000</v>
      </c>
      <c r="M189" s="299">
        <f>E189*8800</f>
        <v>1056000</v>
      </c>
      <c r="N189" s="282"/>
      <c r="O189" s="282">
        <f>F189*11000</f>
        <v>0</v>
      </c>
      <c r="P189" s="282">
        <f>H189*11000</f>
        <v>0</v>
      </c>
      <c r="Q189" s="279"/>
      <c r="R189" s="5">
        <f t="shared" si="78"/>
        <v>5390000</v>
      </c>
      <c r="S189" s="4">
        <f>J189*2006</f>
        <v>1039108</v>
      </c>
    </row>
    <row r="190" spans="1:19">
      <c r="A190" s="115" t="s">
        <v>498</v>
      </c>
      <c r="B190" s="375" t="s">
        <v>231</v>
      </c>
      <c r="C190" s="233">
        <v>6</v>
      </c>
      <c r="D190" s="235">
        <v>2</v>
      </c>
      <c r="E190" s="232"/>
      <c r="F190" s="215"/>
      <c r="G190" s="242"/>
      <c r="H190" s="230"/>
      <c r="I190" s="238"/>
      <c r="J190" s="35">
        <f t="shared" si="77"/>
        <v>8</v>
      </c>
      <c r="K190" s="254">
        <f>C190*16000</f>
        <v>96000</v>
      </c>
      <c r="L190" s="294">
        <f>D190*12000</f>
        <v>24000</v>
      </c>
      <c r="M190" s="299">
        <f>E190*12000</f>
        <v>0</v>
      </c>
      <c r="N190" s="282"/>
      <c r="O190" s="282">
        <f>F190*13200</f>
        <v>0</v>
      </c>
      <c r="P190" s="282"/>
      <c r="Q190" s="279"/>
      <c r="R190" s="5">
        <f t="shared" si="78"/>
        <v>120000</v>
      </c>
      <c r="S190" s="4">
        <f>J190*2144</f>
        <v>17152</v>
      </c>
    </row>
    <row r="191" spans="1:19">
      <c r="A191" s="224" t="s">
        <v>232</v>
      </c>
      <c r="B191" s="90" t="s">
        <v>233</v>
      </c>
      <c r="C191" s="230"/>
      <c r="D191" s="235">
        <v>200</v>
      </c>
      <c r="E191" s="259"/>
      <c r="F191" s="230">
        <v>150</v>
      </c>
      <c r="G191" s="230"/>
      <c r="H191" s="230"/>
      <c r="I191" s="238"/>
      <c r="J191" s="35">
        <f t="shared" si="77"/>
        <v>350</v>
      </c>
      <c r="K191" s="284">
        <f>C191*1800</f>
        <v>0</v>
      </c>
      <c r="L191" s="294">
        <f>D191*1600</f>
        <v>320000</v>
      </c>
      <c r="M191" s="299">
        <f>E191*1600</f>
        <v>0</v>
      </c>
      <c r="N191" s="282"/>
      <c r="O191" s="282">
        <f>F191*1800</f>
        <v>270000</v>
      </c>
      <c r="P191" s="282"/>
      <c r="Q191" s="279"/>
      <c r="R191" s="5">
        <f t="shared" si="78"/>
        <v>590000</v>
      </c>
      <c r="S191" s="4">
        <f>J191*818</f>
        <v>286300</v>
      </c>
    </row>
    <row r="192" spans="1:19">
      <c r="A192" s="115" t="s">
        <v>234</v>
      </c>
      <c r="B192" s="375" t="s">
        <v>233</v>
      </c>
      <c r="C192" s="233">
        <v>125</v>
      </c>
      <c r="D192" s="235"/>
      <c r="E192" s="259"/>
      <c r="F192" s="230"/>
      <c r="G192" s="230"/>
      <c r="H192" s="230"/>
      <c r="I192" s="215"/>
      <c r="J192" s="35">
        <f t="shared" si="77"/>
        <v>125</v>
      </c>
      <c r="K192" s="254">
        <f>C192*2000</f>
        <v>250000</v>
      </c>
      <c r="L192" s="294">
        <f>D192*1600</f>
        <v>0</v>
      </c>
      <c r="M192" s="299">
        <f>E192*1600</f>
        <v>0</v>
      </c>
      <c r="N192" s="282"/>
      <c r="O192" s="282">
        <f>F192*1600</f>
        <v>0</v>
      </c>
      <c r="P192" s="282"/>
      <c r="Q192" s="279"/>
      <c r="R192" s="5">
        <f t="shared" si="78"/>
        <v>250000</v>
      </c>
      <c r="S192" s="4">
        <f>J192*863</f>
        <v>107875</v>
      </c>
    </row>
    <row r="193" spans="1:19">
      <c r="A193" s="115" t="s">
        <v>422</v>
      </c>
      <c r="B193" s="375" t="s">
        <v>645</v>
      </c>
      <c r="C193" s="233">
        <v>30</v>
      </c>
      <c r="D193" s="235"/>
      <c r="E193" s="234"/>
      <c r="F193" s="230"/>
      <c r="G193" s="230"/>
      <c r="H193" s="230"/>
      <c r="I193" s="238"/>
      <c r="J193" s="35">
        <f t="shared" si="77"/>
        <v>30</v>
      </c>
      <c r="K193" s="254">
        <f>C193*19200</f>
        <v>576000</v>
      </c>
      <c r="L193" s="294">
        <f>D193*21000</f>
        <v>0</v>
      </c>
      <c r="M193" s="299">
        <f>E193*11000</f>
        <v>0</v>
      </c>
      <c r="N193" s="282"/>
      <c r="O193" s="282">
        <f>G193*19200</f>
        <v>0</v>
      </c>
      <c r="P193" s="282"/>
      <c r="Q193" s="279"/>
      <c r="R193" s="5">
        <f t="shared" si="78"/>
        <v>576000</v>
      </c>
      <c r="S193" s="4">
        <f>J193*4062</f>
        <v>121860</v>
      </c>
    </row>
    <row r="194" spans="1:19">
      <c r="A194" s="115" t="s">
        <v>423</v>
      </c>
      <c r="B194" s="375" t="s">
        <v>428</v>
      </c>
      <c r="C194" s="233"/>
      <c r="D194" s="235"/>
      <c r="E194" s="234"/>
      <c r="F194" s="230"/>
      <c r="G194" s="230"/>
      <c r="H194" s="230"/>
      <c r="I194" s="215"/>
      <c r="J194" s="35">
        <f t="shared" si="77"/>
        <v>0</v>
      </c>
      <c r="K194" s="254">
        <f>C194*24000</f>
        <v>0</v>
      </c>
      <c r="L194" s="294">
        <f>D194*21000</f>
        <v>0</v>
      </c>
      <c r="M194" s="299">
        <f>E194*21000</f>
        <v>0</v>
      </c>
      <c r="N194" s="282"/>
      <c r="O194" s="282">
        <f>G194*19200</f>
        <v>0</v>
      </c>
      <c r="P194" s="282"/>
      <c r="Q194" s="279"/>
      <c r="R194" s="5">
        <f t="shared" si="78"/>
        <v>0</v>
      </c>
      <c r="S194" s="4">
        <f>J194*7146</f>
        <v>0</v>
      </c>
    </row>
    <row r="195" spans="1:19">
      <c r="A195" s="115" t="s">
        <v>638</v>
      </c>
      <c r="B195" s="375" t="s">
        <v>640</v>
      </c>
      <c r="C195" s="233">
        <v>2</v>
      </c>
      <c r="D195" s="235"/>
      <c r="E195" s="234"/>
      <c r="F195" s="230"/>
      <c r="G195" s="230"/>
      <c r="H195" s="230"/>
      <c r="I195" s="215"/>
      <c r="J195" s="35">
        <f t="shared" si="77"/>
        <v>2</v>
      </c>
      <c r="K195" s="254">
        <f>C195*19200</f>
        <v>38400</v>
      </c>
      <c r="L195" s="294"/>
      <c r="M195" s="299">
        <f>E195*11000</f>
        <v>0</v>
      </c>
      <c r="N195" s="282"/>
      <c r="O195" s="282"/>
      <c r="P195" s="282"/>
      <c r="Q195" s="279"/>
      <c r="R195" s="5">
        <f t="shared" si="78"/>
        <v>38400</v>
      </c>
      <c r="S195" s="4">
        <f>J195*4314</f>
        <v>8628</v>
      </c>
    </row>
    <row r="196" spans="1:19">
      <c r="A196" s="115" t="s">
        <v>639</v>
      </c>
      <c r="B196" s="375" t="s">
        <v>644</v>
      </c>
      <c r="C196" s="233"/>
      <c r="D196" s="235"/>
      <c r="E196" s="234"/>
      <c r="F196" s="230"/>
      <c r="G196" s="230"/>
      <c r="H196" s="230"/>
      <c r="I196" s="238"/>
      <c r="J196" s="35">
        <f t="shared" si="77"/>
        <v>0</v>
      </c>
      <c r="K196" s="254">
        <f>C196*9000</f>
        <v>0</v>
      </c>
      <c r="L196" s="294"/>
      <c r="M196" s="299">
        <f>E196*6600</f>
        <v>0</v>
      </c>
      <c r="N196" s="282"/>
      <c r="O196" s="282"/>
      <c r="P196" s="282"/>
      <c r="Q196" s="279"/>
      <c r="R196" s="5">
        <f t="shared" si="78"/>
        <v>0</v>
      </c>
      <c r="S196" s="4">
        <f>J196*3131</f>
        <v>0</v>
      </c>
    </row>
    <row r="197" spans="1:19">
      <c r="A197" s="115" t="s">
        <v>648</v>
      </c>
      <c r="B197" s="375" t="s">
        <v>647</v>
      </c>
      <c r="C197" s="233"/>
      <c r="D197" s="235"/>
      <c r="E197" s="234"/>
      <c r="F197" s="230"/>
      <c r="G197" s="230"/>
      <c r="H197" s="230"/>
      <c r="I197" s="238"/>
      <c r="J197" s="35">
        <f t="shared" si="77"/>
        <v>0</v>
      </c>
      <c r="K197" s="254">
        <f>C197*5500</f>
        <v>0</v>
      </c>
      <c r="L197" s="254">
        <f>D197*5500</f>
        <v>0</v>
      </c>
      <c r="M197" s="299">
        <f>E197*5500</f>
        <v>0</v>
      </c>
      <c r="N197" s="282"/>
      <c r="O197" s="282"/>
      <c r="P197" s="282"/>
      <c r="Q197" s="279"/>
      <c r="R197" s="5">
        <f t="shared" si="78"/>
        <v>0</v>
      </c>
      <c r="S197" s="4">
        <f>J197*2426</f>
        <v>0</v>
      </c>
    </row>
    <row r="198" spans="1:19">
      <c r="A198" s="115" t="s">
        <v>649</v>
      </c>
      <c r="B198" s="375" t="s">
        <v>650</v>
      </c>
      <c r="C198" s="233"/>
      <c r="D198" s="235"/>
      <c r="E198" s="234"/>
      <c r="F198" s="230"/>
      <c r="G198" s="230"/>
      <c r="H198" s="230"/>
      <c r="I198" s="238"/>
      <c r="J198" s="35">
        <f t="shared" si="77"/>
        <v>0</v>
      </c>
      <c r="K198" s="254">
        <f>C198*14500</f>
        <v>0</v>
      </c>
      <c r="L198" s="254">
        <f>D198*14500</f>
        <v>0</v>
      </c>
      <c r="M198" s="299">
        <f>E198*12100</f>
        <v>0</v>
      </c>
      <c r="N198" s="282"/>
      <c r="O198" s="282"/>
      <c r="P198" s="282"/>
      <c r="Q198" s="279"/>
      <c r="R198" s="5">
        <f>SUM(K198:Q198)</f>
        <v>0</v>
      </c>
      <c r="S198" s="4">
        <f>J198*5557</f>
        <v>0</v>
      </c>
    </row>
    <row r="199" spans="1:19" s="3" customFormat="1">
      <c r="A199" s="115" t="s">
        <v>499</v>
      </c>
      <c r="B199" s="678" t="s">
        <v>501</v>
      </c>
      <c r="C199" s="233">
        <v>3</v>
      </c>
      <c r="D199" s="235"/>
      <c r="E199" s="234"/>
      <c r="F199" s="230"/>
      <c r="G199" s="230"/>
      <c r="H199" s="230"/>
      <c r="I199" s="238"/>
      <c r="J199" s="35">
        <f t="shared" si="77"/>
        <v>3</v>
      </c>
      <c r="K199" s="254">
        <f>C199*12000</f>
        <v>36000</v>
      </c>
      <c r="L199" s="294">
        <f>D199*9900</f>
        <v>0</v>
      </c>
      <c r="M199" s="299">
        <f>E199*9900</f>
        <v>0</v>
      </c>
      <c r="N199" s="282"/>
      <c r="O199" s="282">
        <f>F199*7200</f>
        <v>0</v>
      </c>
      <c r="P199" s="282"/>
      <c r="Q199" s="279"/>
      <c r="R199" s="5">
        <f t="shared" si="78"/>
        <v>36000</v>
      </c>
      <c r="S199" s="4">
        <f>J199*2633</f>
        <v>7899</v>
      </c>
    </row>
    <row r="200" spans="1:19" s="3" customFormat="1">
      <c r="A200" s="227" t="s">
        <v>500</v>
      </c>
      <c r="B200" s="680"/>
      <c r="C200" s="233">
        <v>1</v>
      </c>
      <c r="D200" s="235"/>
      <c r="E200" s="234"/>
      <c r="F200" s="230"/>
      <c r="G200" s="322"/>
      <c r="H200" s="230"/>
      <c r="I200" s="238"/>
      <c r="J200" s="35">
        <f t="shared" si="77"/>
        <v>1</v>
      </c>
      <c r="K200" s="3">
        <f>C200*14000</f>
        <v>14000</v>
      </c>
      <c r="L200" s="294">
        <f>D200*11600</f>
        <v>0</v>
      </c>
      <c r="M200" s="299">
        <f>E200*11600</f>
        <v>0</v>
      </c>
      <c r="N200" s="282"/>
      <c r="O200" s="282">
        <f>F200*8400</f>
        <v>0</v>
      </c>
      <c r="P200" s="282"/>
      <c r="Q200" s="279"/>
      <c r="R200" s="5">
        <f t="shared" si="78"/>
        <v>14000</v>
      </c>
      <c r="S200" s="4">
        <f>J200*3569</f>
        <v>3569</v>
      </c>
    </row>
    <row r="201" spans="1:19" s="3" customFormat="1">
      <c r="A201" s="227" t="s">
        <v>754</v>
      </c>
      <c r="B201" s="375" t="s">
        <v>756</v>
      </c>
      <c r="C201" s="233">
        <v>1</v>
      </c>
      <c r="D201" s="235"/>
      <c r="E201" s="234">
        <v>4</v>
      </c>
      <c r="F201" s="230"/>
      <c r="G201" s="322"/>
      <c r="H201" s="230"/>
      <c r="I201" s="238"/>
      <c r="J201" s="35">
        <f t="shared" si="77"/>
        <v>5</v>
      </c>
      <c r="K201" s="3">
        <f>C201*28000</f>
        <v>28000</v>
      </c>
      <c r="L201" s="294"/>
      <c r="M201" s="299">
        <f>E201*22400</f>
        <v>89600</v>
      </c>
      <c r="N201" s="282"/>
      <c r="O201" s="282"/>
      <c r="P201" s="282"/>
      <c r="Q201" s="279"/>
      <c r="R201" s="5">
        <f t="shared" si="78"/>
        <v>117600</v>
      </c>
      <c r="S201" s="4">
        <f>J201*4618</f>
        <v>23090</v>
      </c>
    </row>
    <row r="202" spans="1:19" s="3" customFormat="1">
      <c r="A202" s="227" t="s">
        <v>755</v>
      </c>
      <c r="B202" s="375" t="s">
        <v>757</v>
      </c>
      <c r="C202" s="233"/>
      <c r="D202" s="235"/>
      <c r="E202" s="234">
        <v>10</v>
      </c>
      <c r="F202" s="230"/>
      <c r="G202" s="322"/>
      <c r="H202" s="230"/>
      <c r="I202" s="238"/>
      <c r="J202" s="35">
        <f t="shared" si="77"/>
        <v>10</v>
      </c>
      <c r="K202" s="3">
        <f>C202*27000</f>
        <v>0</v>
      </c>
      <c r="L202" s="294"/>
      <c r="M202" s="299">
        <f>E202*21600</f>
        <v>216000</v>
      </c>
      <c r="N202" s="282"/>
      <c r="O202" s="282"/>
      <c r="P202" s="282"/>
      <c r="Q202" s="279"/>
      <c r="R202" s="5">
        <f t="shared" si="78"/>
        <v>216000</v>
      </c>
      <c r="S202" s="4">
        <f>J202*4063</f>
        <v>40630</v>
      </c>
    </row>
    <row r="203" spans="1:19" s="3" customFormat="1">
      <c r="A203" s="115" t="s">
        <v>235</v>
      </c>
      <c r="B203" s="678" t="s">
        <v>236</v>
      </c>
      <c r="C203" s="233">
        <v>26</v>
      </c>
      <c r="D203" s="235"/>
      <c r="E203" s="259"/>
      <c r="F203" s="215"/>
      <c r="G203" s="230"/>
      <c r="H203" s="230"/>
      <c r="I203" s="230">
        <v>4</v>
      </c>
      <c r="J203" s="35">
        <f t="shared" si="77"/>
        <v>30</v>
      </c>
      <c r="K203" s="254">
        <f>C203*6600</f>
        <v>171600</v>
      </c>
      <c r="L203" s="294"/>
      <c r="M203" s="299">
        <f>E203*5500</f>
        <v>0</v>
      </c>
      <c r="N203" s="282"/>
      <c r="O203" s="282">
        <f>F203*5300</f>
        <v>0</v>
      </c>
      <c r="P203" s="282"/>
      <c r="Q203" s="286">
        <f>I203*4620</f>
        <v>18480</v>
      </c>
      <c r="R203" s="5">
        <f t="shared" si="78"/>
        <v>190080</v>
      </c>
      <c r="S203" s="4">
        <f>J203*2573</f>
        <v>77190</v>
      </c>
    </row>
    <row r="204" spans="1:19" s="3" customFormat="1">
      <c r="A204" s="115" t="s">
        <v>237</v>
      </c>
      <c r="B204" s="680"/>
      <c r="C204" s="233">
        <v>18</v>
      </c>
      <c r="D204" s="235"/>
      <c r="E204" s="259"/>
      <c r="F204" s="215"/>
      <c r="G204" s="230"/>
      <c r="H204" s="230"/>
      <c r="I204" s="230">
        <v>4</v>
      </c>
      <c r="J204" s="35">
        <f t="shared" si="77"/>
        <v>22</v>
      </c>
      <c r="K204" s="254">
        <f>C204*6600</f>
        <v>118800</v>
      </c>
      <c r="L204" s="294"/>
      <c r="M204" s="299">
        <f>E204*5500</f>
        <v>0</v>
      </c>
      <c r="N204" s="282"/>
      <c r="O204" s="282">
        <f>F204*5300</f>
        <v>0</v>
      </c>
      <c r="P204" s="282"/>
      <c r="Q204" s="286">
        <f>I204*4620</f>
        <v>18480</v>
      </c>
      <c r="R204" s="5">
        <f t="shared" si="78"/>
        <v>137280</v>
      </c>
      <c r="S204" s="4">
        <f>J204*3222</f>
        <v>70884</v>
      </c>
    </row>
    <row r="205" spans="1:19" s="3" customFormat="1">
      <c r="A205" s="115" t="s">
        <v>238</v>
      </c>
      <c r="B205" s="373"/>
      <c r="C205" s="237"/>
      <c r="D205" s="235"/>
      <c r="E205" s="234"/>
      <c r="F205" s="230"/>
      <c r="G205" s="322"/>
      <c r="H205" s="230"/>
      <c r="I205" s="351"/>
      <c r="J205" s="35">
        <f t="shared" si="77"/>
        <v>0</v>
      </c>
      <c r="L205" s="294"/>
      <c r="M205" s="299">
        <f>E205*180000</f>
        <v>0</v>
      </c>
      <c r="N205" s="282"/>
      <c r="O205" s="282"/>
      <c r="P205" s="282"/>
      <c r="Q205" s="279"/>
      <c r="R205" s="5">
        <f t="shared" si="78"/>
        <v>0</v>
      </c>
      <c r="S205" s="4">
        <f>J205*63000</f>
        <v>0</v>
      </c>
    </row>
    <row r="206" spans="1:19" s="3" customFormat="1">
      <c r="A206" s="115" t="s">
        <v>239</v>
      </c>
      <c r="B206" s="373"/>
      <c r="C206" s="35"/>
      <c r="D206" s="32"/>
      <c r="E206" s="234"/>
      <c r="F206" s="34"/>
      <c r="G206" s="34"/>
      <c r="H206" s="191"/>
      <c r="I206" s="80"/>
      <c r="J206" s="35">
        <f t="shared" si="77"/>
        <v>0</v>
      </c>
      <c r="L206" s="294"/>
      <c r="M206" s="299">
        <f>E206*180000</f>
        <v>0</v>
      </c>
      <c r="N206" s="282"/>
      <c r="O206" s="282"/>
      <c r="P206" s="282"/>
      <c r="Q206" s="279"/>
      <c r="R206" s="5">
        <f t="shared" si="78"/>
        <v>0</v>
      </c>
      <c r="S206" s="4">
        <f>J206*90000</f>
        <v>0</v>
      </c>
    </row>
    <row r="207" spans="1:19" s="3" customFormat="1">
      <c r="A207" s="115" t="s">
        <v>523</v>
      </c>
      <c r="B207" s="375" t="s">
        <v>554</v>
      </c>
      <c r="C207" s="237">
        <v>75</v>
      </c>
      <c r="D207" s="235"/>
      <c r="E207" s="234">
        <v>38</v>
      </c>
      <c r="F207" s="242"/>
      <c r="G207" s="230"/>
      <c r="H207" s="230"/>
      <c r="I207" s="238"/>
      <c r="J207" s="35">
        <f>SUM(C207:I207)</f>
        <v>113</v>
      </c>
      <c r="K207" s="3">
        <f>C207*16500</f>
        <v>1237500</v>
      </c>
      <c r="L207" s="294"/>
      <c r="M207" s="299">
        <f>E207*12500</f>
        <v>475000</v>
      </c>
      <c r="N207" s="282"/>
      <c r="O207" s="282"/>
      <c r="P207" s="282"/>
      <c r="Q207" s="286"/>
      <c r="R207" s="5">
        <f>SUM(K207:Q207)</f>
        <v>1712500</v>
      </c>
      <c r="S207" s="4">
        <f>J207*3069</f>
        <v>346797</v>
      </c>
    </row>
    <row r="208" spans="1:19" s="3" customFormat="1">
      <c r="A208" s="115" t="s">
        <v>522</v>
      </c>
      <c r="B208" s="375" t="s">
        <v>555</v>
      </c>
      <c r="C208" s="237">
        <v>56</v>
      </c>
      <c r="D208" s="235"/>
      <c r="E208" s="234">
        <v>4</v>
      </c>
      <c r="F208" s="230"/>
      <c r="G208" s="322"/>
      <c r="H208" s="230"/>
      <c r="I208" s="238"/>
      <c r="J208" s="35">
        <f t="shared" ref="J208:J218" si="79">SUM(C208:I208)</f>
        <v>60</v>
      </c>
      <c r="K208" s="3">
        <f>C208*18000</f>
        <v>1008000</v>
      </c>
      <c r="L208" s="294"/>
      <c r="M208" s="299">
        <f>E208*13200</f>
        <v>52800</v>
      </c>
      <c r="N208" s="282">
        <f>F208*18000</f>
        <v>0</v>
      </c>
      <c r="O208" s="282"/>
      <c r="P208" s="282"/>
      <c r="Q208" s="279"/>
      <c r="R208" s="5">
        <f t="shared" si="78"/>
        <v>1060800</v>
      </c>
      <c r="S208" s="4">
        <f>J208*3147</f>
        <v>188820</v>
      </c>
    </row>
    <row r="209" spans="1:19" s="3" customFormat="1">
      <c r="A209" s="115" t="s">
        <v>524</v>
      </c>
      <c r="B209" s="375" t="s">
        <v>556</v>
      </c>
      <c r="C209" s="237">
        <v>6</v>
      </c>
      <c r="D209" s="235"/>
      <c r="E209" s="234"/>
      <c r="F209" s="230"/>
      <c r="G209" s="230"/>
      <c r="H209" s="230"/>
      <c r="I209" s="238"/>
      <c r="J209" s="35">
        <f t="shared" si="79"/>
        <v>6</v>
      </c>
      <c r="K209" s="3">
        <f>C209*12000</f>
        <v>72000</v>
      </c>
      <c r="L209" s="294"/>
      <c r="M209" s="299">
        <f>E209*9600</f>
        <v>0</v>
      </c>
      <c r="N209" s="282">
        <f>F209*12000</f>
        <v>0</v>
      </c>
      <c r="O209" s="282">
        <f>G209*9600</f>
        <v>0</v>
      </c>
      <c r="P209" s="282"/>
      <c r="Q209" s="279"/>
      <c r="R209" s="5">
        <f t="shared" si="78"/>
        <v>72000</v>
      </c>
      <c r="S209" s="4">
        <f>J209*2740</f>
        <v>16440</v>
      </c>
    </row>
    <row r="210" spans="1:19" s="3" customFormat="1">
      <c r="A210" s="115" t="s">
        <v>583</v>
      </c>
      <c r="B210" s="375" t="s">
        <v>586</v>
      </c>
      <c r="C210" s="237"/>
      <c r="D210" s="235"/>
      <c r="E210" s="234"/>
      <c r="F210" s="230"/>
      <c r="G210" s="322"/>
      <c r="H210" s="230"/>
      <c r="I210" s="238"/>
      <c r="J210" s="35">
        <f t="shared" si="79"/>
        <v>0</v>
      </c>
      <c r="K210" s="3">
        <f>C210*28000</f>
        <v>0</v>
      </c>
      <c r="L210" s="294"/>
      <c r="M210" s="299"/>
      <c r="N210" s="282">
        <f>F210*19600</f>
        <v>0</v>
      </c>
      <c r="O210" s="282"/>
      <c r="P210" s="282">
        <f>H210*22400</f>
        <v>0</v>
      </c>
      <c r="Q210" s="279"/>
      <c r="R210" s="5">
        <f>SUM(K210:Q210)</f>
        <v>0</v>
      </c>
      <c r="S210" s="4">
        <f>J210*6493</f>
        <v>0</v>
      </c>
    </row>
    <row r="211" spans="1:19" s="3" customFormat="1">
      <c r="A211" s="115" t="s">
        <v>584</v>
      </c>
      <c r="B211" s="375" t="s">
        <v>587</v>
      </c>
      <c r="C211" s="35"/>
      <c r="D211" s="235"/>
      <c r="E211" s="234"/>
      <c r="F211" s="230"/>
      <c r="G211" s="322"/>
      <c r="H211" s="230"/>
      <c r="I211" s="238"/>
      <c r="J211" s="35">
        <f t="shared" si="79"/>
        <v>0</v>
      </c>
      <c r="K211" s="3">
        <f>C211*28000</f>
        <v>0</v>
      </c>
      <c r="L211" s="294"/>
      <c r="M211" s="299"/>
      <c r="N211" s="282">
        <f>F211*19600</f>
        <v>0</v>
      </c>
      <c r="O211" s="282"/>
      <c r="P211" s="282">
        <f>H211*22400</f>
        <v>0</v>
      </c>
      <c r="Q211" s="279"/>
      <c r="R211" s="5">
        <f>SUM(K211:Q211)</f>
        <v>0</v>
      </c>
      <c r="S211" s="4">
        <f>J211*6900</f>
        <v>0</v>
      </c>
    </row>
    <row r="212" spans="1:19" s="3" customFormat="1">
      <c r="A212" s="115" t="s">
        <v>585</v>
      </c>
      <c r="B212" s="375" t="s">
        <v>588</v>
      </c>
      <c r="C212" s="237"/>
      <c r="D212" s="235"/>
      <c r="E212" s="234"/>
      <c r="F212" s="230"/>
      <c r="G212" s="322"/>
      <c r="H212" s="230"/>
      <c r="I212" s="238"/>
      <c r="J212" s="35">
        <f t="shared" si="79"/>
        <v>0</v>
      </c>
      <c r="K212" s="3">
        <f>C212*22000</f>
        <v>0</v>
      </c>
      <c r="L212" s="294"/>
      <c r="M212" s="299"/>
      <c r="N212" s="282">
        <f>F212*17100</f>
        <v>0</v>
      </c>
      <c r="O212" s="282"/>
      <c r="P212" s="282"/>
      <c r="Q212" s="279"/>
      <c r="R212" s="5">
        <f t="shared" si="78"/>
        <v>0</v>
      </c>
      <c r="S212" s="4">
        <f>J212*2573</f>
        <v>0</v>
      </c>
    </row>
    <row r="213" spans="1:19" s="3" customFormat="1" ht="24">
      <c r="A213" s="115" t="s">
        <v>589</v>
      </c>
      <c r="B213" s="532" t="s">
        <v>622</v>
      </c>
      <c r="C213" s="237"/>
      <c r="D213" s="235"/>
      <c r="E213" s="234"/>
      <c r="F213" s="230"/>
      <c r="G213" s="322"/>
      <c r="H213" s="230"/>
      <c r="I213" s="351"/>
      <c r="J213" s="35">
        <f t="shared" si="79"/>
        <v>0</v>
      </c>
      <c r="K213" s="3">
        <f>C213*22000</f>
        <v>0</v>
      </c>
      <c r="L213" s="294"/>
      <c r="M213" s="299"/>
      <c r="N213" s="282"/>
      <c r="O213" s="282"/>
      <c r="P213" s="282"/>
      <c r="Q213" s="279"/>
      <c r="R213" s="5">
        <f>SUM(K213:Q213)</f>
        <v>0</v>
      </c>
      <c r="S213" s="4">
        <f>J213*4950</f>
        <v>0</v>
      </c>
    </row>
    <row r="214" spans="1:19" s="3" customFormat="1" ht="16.5" customHeight="1">
      <c r="A214" s="115" t="s">
        <v>519</v>
      </c>
      <c r="B214" s="684" t="s">
        <v>590</v>
      </c>
      <c r="C214" s="237"/>
      <c r="D214" s="235"/>
      <c r="E214" s="234"/>
      <c r="F214" s="230"/>
      <c r="G214" s="322"/>
      <c r="H214" s="230"/>
      <c r="I214" s="238"/>
      <c r="J214" s="35">
        <f t="shared" si="79"/>
        <v>0</v>
      </c>
      <c r="K214" s="3">
        <f>C214*12000</f>
        <v>0</v>
      </c>
      <c r="L214" s="294"/>
      <c r="M214" s="299">
        <f>E214*12000</f>
        <v>0</v>
      </c>
      <c r="N214" s="282">
        <f>F214*9600</f>
        <v>0</v>
      </c>
      <c r="O214" s="282"/>
      <c r="P214" s="282">
        <f>H214*12000</f>
        <v>0</v>
      </c>
      <c r="Q214" s="279"/>
      <c r="R214" s="5">
        <f t="shared" si="78"/>
        <v>0</v>
      </c>
      <c r="S214" s="4">
        <f>J214*2645</f>
        <v>0</v>
      </c>
    </row>
    <row r="215" spans="1:19" s="3" customFormat="1">
      <c r="A215" s="115" t="s">
        <v>529</v>
      </c>
      <c r="B215" s="685"/>
      <c r="C215" s="237"/>
      <c r="D215" s="235"/>
      <c r="E215" s="234"/>
      <c r="F215" s="230"/>
      <c r="G215" s="322"/>
      <c r="H215" s="230"/>
      <c r="I215" s="238"/>
      <c r="J215" s="35">
        <f t="shared" si="79"/>
        <v>0</v>
      </c>
      <c r="K215" s="3">
        <f>C215*48000</f>
        <v>0</v>
      </c>
      <c r="L215" s="294"/>
      <c r="M215" s="299">
        <f>E215*48000</f>
        <v>0</v>
      </c>
      <c r="N215" s="282">
        <f>F215*38400</f>
        <v>0</v>
      </c>
      <c r="O215" s="282"/>
      <c r="P215" s="282"/>
      <c r="Q215" s="279"/>
      <c r="R215" s="5">
        <f t="shared" si="78"/>
        <v>0</v>
      </c>
      <c r="S215" s="4">
        <f>J215*5981</f>
        <v>0</v>
      </c>
    </row>
    <row r="216" spans="1:19" ht="16.5" customHeight="1">
      <c r="A216" s="115" t="s">
        <v>520</v>
      </c>
      <c r="B216" s="684" t="s">
        <v>591</v>
      </c>
      <c r="C216" s="257">
        <v>7</v>
      </c>
      <c r="D216" s="235"/>
      <c r="E216" s="234"/>
      <c r="F216" s="230"/>
      <c r="G216" s="322"/>
      <c r="H216" s="230"/>
      <c r="I216" s="351"/>
      <c r="J216" s="35">
        <f t="shared" si="79"/>
        <v>7</v>
      </c>
      <c r="K216" s="3">
        <f>C216*12000</f>
        <v>84000</v>
      </c>
      <c r="L216" s="294"/>
      <c r="M216" s="299">
        <f>E216*12000</f>
        <v>0</v>
      </c>
      <c r="N216" s="282">
        <f>F216*9600</f>
        <v>0</v>
      </c>
      <c r="O216" s="282"/>
      <c r="P216" s="282">
        <f>H216*12000</f>
        <v>0</v>
      </c>
      <c r="Q216" s="279"/>
      <c r="R216" s="5">
        <f t="shared" si="78"/>
        <v>84000</v>
      </c>
      <c r="S216" s="4">
        <f>J216*2718</f>
        <v>19026</v>
      </c>
    </row>
    <row r="217" spans="1:19">
      <c r="A217" s="115" t="s">
        <v>528</v>
      </c>
      <c r="B217" s="685"/>
      <c r="C217" s="237">
        <v>1</v>
      </c>
      <c r="D217" s="235"/>
      <c r="E217" s="234"/>
      <c r="F217" s="230"/>
      <c r="G217" s="322"/>
      <c r="H217" s="230"/>
      <c r="I217" s="351"/>
      <c r="J217" s="35">
        <f t="shared" si="79"/>
        <v>1</v>
      </c>
      <c r="K217" s="3">
        <f>C217*48000</f>
        <v>48000</v>
      </c>
      <c r="L217" s="294"/>
      <c r="M217" s="299">
        <f>E217*48000</f>
        <v>0</v>
      </c>
      <c r="N217" s="282">
        <f>F217*38400</f>
        <v>0</v>
      </c>
      <c r="O217" s="282"/>
      <c r="P217" s="282"/>
      <c r="Q217" s="279"/>
      <c r="R217" s="5">
        <f t="shared" si="78"/>
        <v>48000</v>
      </c>
      <c r="S217" s="4">
        <f>J217*6197</f>
        <v>6197</v>
      </c>
    </row>
    <row r="218" spans="1:19" ht="24">
      <c r="A218" s="115" t="s">
        <v>521</v>
      </c>
      <c r="B218" s="532" t="s">
        <v>592</v>
      </c>
      <c r="C218" s="237"/>
      <c r="D218" s="235"/>
      <c r="E218" s="234"/>
      <c r="F218" s="230"/>
      <c r="G218" s="322"/>
      <c r="H218" s="230"/>
      <c r="I218" s="238"/>
      <c r="J218" s="35">
        <f t="shared" si="79"/>
        <v>0</v>
      </c>
      <c r="K218" s="3">
        <f>C218*18000</f>
        <v>0</v>
      </c>
      <c r="L218" s="294"/>
      <c r="M218" s="299"/>
      <c r="N218" s="282">
        <f>F218*14400</f>
        <v>0</v>
      </c>
      <c r="O218" s="282"/>
      <c r="P218" s="282"/>
      <c r="Q218" s="279"/>
      <c r="R218" s="5">
        <f t="shared" si="78"/>
        <v>0</v>
      </c>
      <c r="S218" s="4">
        <f>J218*3129</f>
        <v>0</v>
      </c>
    </row>
    <row r="219" spans="1:19" ht="16.5" customHeight="1">
      <c r="A219" s="115" t="s">
        <v>525</v>
      </c>
      <c r="B219" s="684" t="s">
        <v>593</v>
      </c>
      <c r="C219" s="257">
        <v>35</v>
      </c>
      <c r="D219" s="235"/>
      <c r="E219" s="234"/>
      <c r="F219" s="230">
        <v>1</v>
      </c>
      <c r="G219" s="322"/>
      <c r="H219" s="230"/>
      <c r="I219" s="238"/>
      <c r="J219" s="35">
        <f t="shared" si="77"/>
        <v>36</v>
      </c>
      <c r="K219" s="3">
        <f>C219*18000</f>
        <v>630000</v>
      </c>
      <c r="L219" s="294"/>
      <c r="M219" s="299">
        <f>E219*18000</f>
        <v>0</v>
      </c>
      <c r="N219" s="282">
        <f>F219*14400</f>
        <v>14400</v>
      </c>
      <c r="O219" s="282"/>
      <c r="P219" s="282">
        <f>H219*18000</f>
        <v>0</v>
      </c>
      <c r="Q219" s="279"/>
      <c r="R219" s="5">
        <f t="shared" si="78"/>
        <v>644400</v>
      </c>
      <c r="S219" s="4">
        <f>J219*2748</f>
        <v>98928</v>
      </c>
    </row>
    <row r="220" spans="1:19">
      <c r="A220" s="115" t="s">
        <v>526</v>
      </c>
      <c r="B220" s="686"/>
      <c r="C220" s="257">
        <v>6</v>
      </c>
      <c r="D220" s="235"/>
      <c r="E220" s="234"/>
      <c r="F220" s="230"/>
      <c r="G220" s="322"/>
      <c r="H220" s="230"/>
      <c r="I220" s="351"/>
      <c r="J220" s="35">
        <f t="shared" si="77"/>
        <v>6</v>
      </c>
      <c r="K220" s="3">
        <f>C220*36000</f>
        <v>216000</v>
      </c>
      <c r="L220" s="294"/>
      <c r="M220" s="299">
        <f>E220*36000</f>
        <v>0</v>
      </c>
      <c r="N220" s="282">
        <f>F220*28800</f>
        <v>0</v>
      </c>
      <c r="O220" s="282"/>
      <c r="P220" s="282">
        <f>H220*36000</f>
        <v>0</v>
      </c>
      <c r="Q220" s="279"/>
      <c r="R220" s="5">
        <f t="shared" si="78"/>
        <v>216000</v>
      </c>
      <c r="S220" s="4">
        <f>J220*4960</f>
        <v>29760</v>
      </c>
    </row>
    <row r="221" spans="1:19">
      <c r="A221" s="115" t="s">
        <v>527</v>
      </c>
      <c r="B221" s="685"/>
      <c r="C221" s="539">
        <v>3</v>
      </c>
      <c r="D221" s="32"/>
      <c r="E221" s="234"/>
      <c r="F221" s="191">
        <v>1</v>
      </c>
      <c r="G221" s="34"/>
      <c r="H221" s="191"/>
      <c r="I221" s="80"/>
      <c r="J221" s="35">
        <f t="shared" si="77"/>
        <v>4</v>
      </c>
      <c r="K221" s="3">
        <f>C221*90000</f>
        <v>270000</v>
      </c>
      <c r="L221" s="294"/>
      <c r="M221" s="299">
        <f>E221*90000</f>
        <v>0</v>
      </c>
      <c r="N221" s="282">
        <f>F221*72000</f>
        <v>72000</v>
      </c>
      <c r="O221" s="282"/>
      <c r="P221" s="282"/>
      <c r="Q221" s="279"/>
      <c r="R221" s="5">
        <f t="shared" si="78"/>
        <v>342000</v>
      </c>
      <c r="S221" s="4">
        <f>J221*14800</f>
        <v>59200</v>
      </c>
    </row>
    <row r="222" spans="1:19" s="24" customFormat="1">
      <c r="B222" s="74"/>
      <c r="C222" s="74"/>
      <c r="D222" s="116"/>
      <c r="E222" s="10"/>
      <c r="F222" s="10"/>
      <c r="G222" s="11"/>
      <c r="H222" s="192"/>
      <c r="I222" s="12" t="s">
        <v>5</v>
      </c>
      <c r="J222" s="117" t="s">
        <v>6</v>
      </c>
      <c r="K222" s="118">
        <f t="shared" ref="K222:S222" si="80">SUM(K171:K221)</f>
        <v>15833660</v>
      </c>
      <c r="L222" s="297">
        <f t="shared" si="80"/>
        <v>2489600</v>
      </c>
      <c r="M222" s="303">
        <f t="shared" si="80"/>
        <v>1889400</v>
      </c>
      <c r="N222" s="280">
        <f t="shared" si="80"/>
        <v>86400</v>
      </c>
      <c r="O222" s="280">
        <f t="shared" si="80"/>
        <v>270000</v>
      </c>
      <c r="P222" s="280">
        <f t="shared" si="80"/>
        <v>0</v>
      </c>
      <c r="Q222" s="118">
        <f t="shared" si="80"/>
        <v>36960</v>
      </c>
      <c r="R222" s="119">
        <f t="shared" si="80"/>
        <v>20606020</v>
      </c>
      <c r="S222" s="119">
        <f t="shared" si="80"/>
        <v>4604023</v>
      </c>
    </row>
    <row r="223" spans="1:19" s="244" customFormat="1">
      <c r="B223" s="245"/>
      <c r="C223" s="245"/>
      <c r="D223" s="116" t="s">
        <v>573</v>
      </c>
      <c r="E223" s="475"/>
      <c r="F223" s="475"/>
      <c r="G223" s="476"/>
      <c r="H223" s="477"/>
      <c r="I223" s="478"/>
      <c r="J223" s="479"/>
      <c r="K223" s="248"/>
      <c r="L223" s="318"/>
      <c r="M223" s="480"/>
      <c r="N223" s="319"/>
      <c r="O223" s="319"/>
      <c r="P223" s="319"/>
      <c r="Q223" s="248"/>
      <c r="R223" s="249"/>
      <c r="S223" s="249"/>
    </row>
    <row r="224" spans="1:19" ht="24">
      <c r="A224" s="120" t="s">
        <v>240</v>
      </c>
      <c r="C224" s="121" t="s">
        <v>737</v>
      </c>
      <c r="D224" s="668"/>
      <c r="E224" s="313"/>
      <c r="F224" s="10" t="s">
        <v>456</v>
      </c>
      <c r="G224" s="15" t="s">
        <v>241</v>
      </c>
      <c r="H224" s="16"/>
      <c r="I224" s="125"/>
      <c r="J224" s="107"/>
      <c r="K224" s="181"/>
      <c r="P224" s="210"/>
    </row>
    <row r="225" spans="1:19" ht="17.25" customHeight="1">
      <c r="A225" s="120"/>
      <c r="C225" s="592" t="s">
        <v>736</v>
      </c>
      <c r="D225" s="669"/>
      <c r="E225" s="398"/>
      <c r="F225" s="397"/>
      <c r="G225" s="20"/>
      <c r="H225" s="544"/>
      <c r="I225" s="534"/>
      <c r="J225" s="20"/>
      <c r="K225" s="414"/>
      <c r="P225" s="210"/>
    </row>
    <row r="226" spans="1:19" ht="21.75" customHeight="1">
      <c r="A226" s="120"/>
      <c r="C226" s="592" t="s">
        <v>739</v>
      </c>
      <c r="D226" s="669"/>
      <c r="E226" s="398"/>
      <c r="F226" s="396" t="s">
        <v>243</v>
      </c>
      <c r="G226" s="566"/>
      <c r="H226" s="20" t="s">
        <v>637</v>
      </c>
      <c r="I226" s="534" t="s">
        <v>726</v>
      </c>
      <c r="J226" s="320"/>
      <c r="K226" s="321"/>
      <c r="P226" s="210"/>
    </row>
    <row r="227" spans="1:19" ht="24">
      <c r="B227" s="2" t="s">
        <v>2</v>
      </c>
      <c r="C227" s="563" t="s">
        <v>735</v>
      </c>
      <c r="D227" s="398"/>
      <c r="E227" s="595" t="s">
        <v>503</v>
      </c>
      <c r="F227" s="208"/>
      <c r="G227" s="399" t="s">
        <v>720</v>
      </c>
      <c r="H227" s="20" t="s">
        <v>599</v>
      </c>
      <c r="I227" s="575" t="s">
        <v>725</v>
      </c>
      <c r="J227" s="124"/>
      <c r="K227" s="219" t="s">
        <v>2</v>
      </c>
      <c r="L227" s="664" t="s">
        <v>743</v>
      </c>
      <c r="M227" s="664"/>
      <c r="N227" s="664"/>
      <c r="O227" s="316"/>
      <c r="P227" s="481"/>
      <c r="Q227" s="278" t="s">
        <v>731</v>
      </c>
      <c r="R227" s="220" t="s">
        <v>18</v>
      </c>
      <c r="S227" s="221" t="s">
        <v>19</v>
      </c>
    </row>
    <row r="228" spans="1:19">
      <c r="A228" s="29" t="s">
        <v>245</v>
      </c>
      <c r="B228" s="374" t="s">
        <v>246</v>
      </c>
      <c r="C228" s="233">
        <v>93</v>
      </c>
      <c r="D228" s="235"/>
      <c r="E228" s="234"/>
      <c r="F228" s="234">
        <v>32</v>
      </c>
      <c r="G228" s="235"/>
      <c r="H228" s="230"/>
      <c r="I228" s="352"/>
      <c r="J228" s="35">
        <f>SUM(C228:I228)</f>
        <v>125</v>
      </c>
      <c r="K228" s="254">
        <f>C228*12000</f>
        <v>1116000</v>
      </c>
      <c r="L228" s="294">
        <f>D228*9900</f>
        <v>0</v>
      </c>
      <c r="M228" s="302">
        <f>F228*9900</f>
        <v>316800</v>
      </c>
      <c r="N228" s="299"/>
      <c r="O228" s="287"/>
      <c r="P228" s="482"/>
      <c r="Q228" s="279">
        <f>H228*12000</f>
        <v>0</v>
      </c>
      <c r="R228" s="4">
        <f>SUM(K228:Q228)</f>
        <v>1432800</v>
      </c>
      <c r="S228" s="4">
        <f>J228*4006</f>
        <v>500750</v>
      </c>
    </row>
    <row r="229" spans="1:19">
      <c r="A229" s="29" t="s">
        <v>247</v>
      </c>
      <c r="B229" s="374" t="s">
        <v>248</v>
      </c>
      <c r="C229" s="233">
        <v>113</v>
      </c>
      <c r="D229" s="235"/>
      <c r="E229" s="234"/>
      <c r="F229" s="234">
        <v>33</v>
      </c>
      <c r="G229" s="229"/>
      <c r="H229" s="230"/>
      <c r="I229" s="36"/>
      <c r="J229" s="35">
        <f>SUM(C229:I229)</f>
        <v>146</v>
      </c>
      <c r="K229" s="254">
        <f>C229*22000</f>
        <v>2486000</v>
      </c>
      <c r="L229" s="294">
        <f>D229*18000</f>
        <v>0</v>
      </c>
      <c r="M229" s="302">
        <f>F229*18000</f>
        <v>594000</v>
      </c>
      <c r="N229" s="299"/>
      <c r="O229" s="287"/>
      <c r="P229" s="482"/>
      <c r="Q229" s="279">
        <f>H229*22000</f>
        <v>0</v>
      </c>
      <c r="R229" s="4">
        <f t="shared" ref="R229:R231" si="81">SUM(K229:Q229)</f>
        <v>3080000</v>
      </c>
      <c r="S229" s="4">
        <f>J229*3489</f>
        <v>509394</v>
      </c>
    </row>
    <row r="230" spans="1:19">
      <c r="A230" s="29" t="s">
        <v>249</v>
      </c>
      <c r="B230" s="374" t="s">
        <v>250</v>
      </c>
      <c r="C230" s="239">
        <v>24</v>
      </c>
      <c r="D230" s="255"/>
      <c r="E230" s="234"/>
      <c r="F230" s="234">
        <v>33</v>
      </c>
      <c r="G230" s="229"/>
      <c r="H230" s="230"/>
      <c r="I230" s="352"/>
      <c r="J230" s="35">
        <f>SUM(C230:I230)</f>
        <v>57</v>
      </c>
      <c r="K230" s="254">
        <f>C230*16500</f>
        <v>396000</v>
      </c>
      <c r="L230" s="294">
        <f>D230*13200</f>
        <v>0</v>
      </c>
      <c r="M230" s="302">
        <f>F230*13200</f>
        <v>435600</v>
      </c>
      <c r="N230" s="299"/>
      <c r="O230" s="287"/>
      <c r="P230" s="482"/>
      <c r="Q230" s="279">
        <f>H230*13200</f>
        <v>0</v>
      </c>
      <c r="R230" s="4">
        <f t="shared" si="81"/>
        <v>831600</v>
      </c>
      <c r="S230" s="4">
        <f>J230*2598</f>
        <v>148086</v>
      </c>
    </row>
    <row r="231" spans="1:19">
      <c r="A231" s="29" t="s">
        <v>495</v>
      </c>
      <c r="B231" s="374" t="s">
        <v>497</v>
      </c>
      <c r="C231" s="239">
        <v>25</v>
      </c>
      <c r="D231" s="255"/>
      <c r="E231" s="234">
        <v>30</v>
      </c>
      <c r="F231" s="234"/>
      <c r="G231" s="229"/>
      <c r="H231" s="230"/>
      <c r="I231" s="352"/>
      <c r="J231" s="35">
        <f>SUM(C231:I231)</f>
        <v>55</v>
      </c>
      <c r="K231" s="254">
        <f>C231*16000</f>
        <v>400000</v>
      </c>
      <c r="L231" s="294">
        <f>D231*13100</f>
        <v>0</v>
      </c>
      <c r="M231" s="302">
        <f>E231*13100</f>
        <v>393000</v>
      </c>
      <c r="N231" s="299"/>
      <c r="O231" s="287"/>
      <c r="P231" s="482"/>
      <c r="Q231" s="279">
        <f>G231*16000</f>
        <v>0</v>
      </c>
      <c r="R231" s="4">
        <f t="shared" si="81"/>
        <v>793000</v>
      </c>
      <c r="S231" s="4">
        <f>J231*4740</f>
        <v>260700</v>
      </c>
    </row>
    <row r="232" spans="1:19" s="24" customFormat="1" ht="40.5">
      <c r="B232" s="2" t="s">
        <v>2</v>
      </c>
      <c r="C232" s="74"/>
      <c r="D232" s="113" t="s">
        <v>211</v>
      </c>
      <c r="E232" s="347" t="s">
        <v>244</v>
      </c>
      <c r="F232" s="123"/>
      <c r="G232" s="123"/>
      <c r="H232" s="20"/>
      <c r="I232" s="125" t="s">
        <v>395</v>
      </c>
      <c r="J232" s="58" t="s">
        <v>6</v>
      </c>
      <c r="K232" s="118">
        <f t="shared" ref="K232:S232" si="82">SUM(K228:K231)</f>
        <v>4398000</v>
      </c>
      <c r="L232" s="297">
        <f t="shared" si="82"/>
        <v>0</v>
      </c>
      <c r="M232" s="118">
        <f t="shared" si="82"/>
        <v>1739400</v>
      </c>
      <c r="N232" s="303">
        <f t="shared" si="82"/>
        <v>0</v>
      </c>
      <c r="O232" s="280">
        <f t="shared" si="82"/>
        <v>0</v>
      </c>
      <c r="P232" s="280">
        <f t="shared" si="82"/>
        <v>0</v>
      </c>
      <c r="Q232" s="118">
        <f t="shared" si="82"/>
        <v>0</v>
      </c>
      <c r="R232" s="119">
        <f t="shared" si="82"/>
        <v>6137400</v>
      </c>
      <c r="S232" s="119">
        <f t="shared" si="82"/>
        <v>1418930</v>
      </c>
    </row>
    <row r="233" spans="1:19" s="24" customFormat="1">
      <c r="B233" s="2"/>
      <c r="C233" s="74"/>
      <c r="D233" s="401" t="s">
        <v>357</v>
      </c>
      <c r="E233" s="123"/>
      <c r="F233" s="123"/>
      <c r="G233" s="123"/>
      <c r="H233" s="20"/>
      <c r="I233" s="317"/>
      <c r="J233" s="117"/>
      <c r="K233" s="248"/>
      <c r="L233" s="318"/>
      <c r="M233" s="248"/>
      <c r="N233" s="248"/>
      <c r="O233" s="319"/>
      <c r="P233" s="248"/>
      <c r="Q233" s="248"/>
      <c r="R233" s="249"/>
      <c r="S233" s="249"/>
    </row>
    <row r="234" spans="1:19">
      <c r="A234" s="74" t="s">
        <v>364</v>
      </c>
      <c r="B234" s="126"/>
      <c r="C234" s="100"/>
      <c r="D234" s="390" t="s">
        <v>251</v>
      </c>
      <c r="E234" s="113"/>
      <c r="F234" s="127"/>
      <c r="G234" s="209"/>
      <c r="H234" s="20" t="s">
        <v>17</v>
      </c>
      <c r="I234" s="20"/>
      <c r="J234" s="108"/>
      <c r="K234" s="28" t="s">
        <v>2</v>
      </c>
      <c r="L234" s="665" t="s">
        <v>744</v>
      </c>
      <c r="M234" s="665"/>
      <c r="N234" s="286" t="s">
        <v>465</v>
      </c>
      <c r="O234" s="286" t="s">
        <v>557</v>
      </c>
      <c r="P234" s="484" t="s">
        <v>464</v>
      </c>
      <c r="Q234" s="286"/>
      <c r="R234" s="5" t="s">
        <v>18</v>
      </c>
      <c r="S234" s="4" t="s">
        <v>19</v>
      </c>
    </row>
    <row r="235" spans="1:19">
      <c r="A235" s="128" t="s">
        <v>253</v>
      </c>
      <c r="B235" s="377" t="s">
        <v>254</v>
      </c>
      <c r="C235" s="237"/>
      <c r="D235" s="32"/>
      <c r="E235" s="33"/>
      <c r="F235" s="191"/>
      <c r="G235" s="197"/>
      <c r="H235" s="36"/>
      <c r="I235" s="191"/>
      <c r="J235" s="35">
        <f>SUM(C235:I235)</f>
        <v>0</v>
      </c>
      <c r="K235" s="3">
        <f>C235*7000</f>
        <v>0</v>
      </c>
      <c r="L235" s="294"/>
      <c r="M235" s="299">
        <f>E235*0</f>
        <v>0</v>
      </c>
      <c r="N235" s="282"/>
      <c r="O235" s="282">
        <f>H235*1680</f>
        <v>0</v>
      </c>
      <c r="P235" s="485"/>
      <c r="Q235" s="286"/>
      <c r="R235" s="4">
        <f>SUM(K235:Q235)</f>
        <v>0</v>
      </c>
      <c r="S235" s="4">
        <f>J235*1957</f>
        <v>0</v>
      </c>
    </row>
    <row r="236" spans="1:19">
      <c r="A236" s="129" t="s">
        <v>255</v>
      </c>
      <c r="B236" s="378" t="s">
        <v>254</v>
      </c>
      <c r="C236" s="215"/>
      <c r="D236" s="32"/>
      <c r="E236" s="33"/>
      <c r="F236" s="191"/>
      <c r="G236" s="197"/>
      <c r="H236" s="36"/>
      <c r="I236" s="191"/>
      <c r="J236" s="35">
        <f>SUM(C236:I236)</f>
        <v>0</v>
      </c>
      <c r="K236" s="284">
        <f>C236*7800</f>
        <v>0</v>
      </c>
      <c r="L236" s="294"/>
      <c r="M236" s="299">
        <f>E236*0</f>
        <v>0</v>
      </c>
      <c r="N236" s="282"/>
      <c r="O236" s="282">
        <f>H236*1680</f>
        <v>0</v>
      </c>
      <c r="P236" s="485"/>
      <c r="Q236" s="286"/>
      <c r="R236" s="4">
        <f t="shared" ref="R236:R237" si="83">SUM(K236:Q236)</f>
        <v>0</v>
      </c>
      <c r="S236" s="4">
        <f>J236*10200</f>
        <v>0</v>
      </c>
    </row>
    <row r="237" spans="1:19">
      <c r="A237" s="128" t="s">
        <v>256</v>
      </c>
      <c r="B237" s="374" t="s">
        <v>252</v>
      </c>
      <c r="C237" s="237">
        <v>420</v>
      </c>
      <c r="D237" s="235"/>
      <c r="E237" s="33"/>
      <c r="F237" s="191"/>
      <c r="G237" s="197"/>
      <c r="H237" s="191"/>
      <c r="I237" s="36"/>
      <c r="J237" s="35">
        <f>SUM(C237:I237)</f>
        <v>420</v>
      </c>
      <c r="K237" s="254">
        <f>C237*600</f>
        <v>252000</v>
      </c>
      <c r="L237" s="294">
        <f>D237*600</f>
        <v>0</v>
      </c>
      <c r="M237" s="299">
        <f>E237*600</f>
        <v>0</v>
      </c>
      <c r="N237" s="282"/>
      <c r="O237" s="282">
        <f>H237*1680</f>
        <v>0</v>
      </c>
      <c r="P237" s="485"/>
      <c r="Q237" s="286"/>
      <c r="R237" s="4">
        <f t="shared" si="83"/>
        <v>252000</v>
      </c>
      <c r="S237" s="4">
        <f>J237*480</f>
        <v>201600</v>
      </c>
    </row>
    <row r="238" spans="1:19" s="24" customFormat="1" ht="27">
      <c r="B238" s="74"/>
      <c r="C238" s="74"/>
      <c r="D238" s="55" t="s">
        <v>573</v>
      </c>
      <c r="E238" s="125" t="s">
        <v>458</v>
      </c>
      <c r="F238" s="130" t="s">
        <v>741</v>
      </c>
      <c r="G238" s="10" t="s">
        <v>456</v>
      </c>
      <c r="H238" s="130"/>
      <c r="I238" s="131" t="s">
        <v>257</v>
      </c>
      <c r="J238" s="58" t="s">
        <v>6</v>
      </c>
      <c r="K238" s="118">
        <f t="shared" ref="K238:S238" si="84">SUM(K235:K237)</f>
        <v>252000</v>
      </c>
      <c r="L238" s="297">
        <f t="shared" si="84"/>
        <v>0</v>
      </c>
      <c r="M238" s="304">
        <f t="shared" si="84"/>
        <v>0</v>
      </c>
      <c r="N238" s="280">
        <f t="shared" si="84"/>
        <v>0</v>
      </c>
      <c r="O238" s="280">
        <f t="shared" si="84"/>
        <v>0</v>
      </c>
      <c r="P238" s="280">
        <f t="shared" si="84"/>
        <v>0</v>
      </c>
      <c r="Q238" s="280">
        <f t="shared" si="84"/>
        <v>0</v>
      </c>
      <c r="R238" s="119">
        <f t="shared" si="84"/>
        <v>252000</v>
      </c>
      <c r="S238" s="119">
        <f t="shared" si="84"/>
        <v>201600</v>
      </c>
    </row>
    <row r="239" spans="1:19">
      <c r="C239" s="592" t="s">
        <v>738</v>
      </c>
      <c r="D239" s="404" t="s">
        <v>457</v>
      </c>
      <c r="E239" s="400" t="s">
        <v>375</v>
      </c>
      <c r="F239" s="399" t="s">
        <v>244</v>
      </c>
      <c r="G239" s="396" t="s">
        <v>243</v>
      </c>
      <c r="H239" s="103"/>
      <c r="I239" s="103" t="s">
        <v>360</v>
      </c>
      <c r="J239" s="107"/>
      <c r="P239" s="210"/>
    </row>
    <row r="240" spans="1:19">
      <c r="D240" s="404"/>
      <c r="E240" s="402" t="s">
        <v>242</v>
      </c>
      <c r="F240" s="402"/>
      <c r="G240" s="405"/>
      <c r="H240" s="399"/>
      <c r="I240" s="400"/>
      <c r="J240" s="124"/>
      <c r="P240" s="210"/>
    </row>
    <row r="241" spans="1:19">
      <c r="D241" s="88"/>
      <c r="E241" s="403" t="s">
        <v>185</v>
      </c>
      <c r="F241" s="400"/>
      <c r="G241" s="209"/>
      <c r="H241" s="132"/>
      <c r="I241" s="132"/>
      <c r="J241" s="124" t="s">
        <v>368</v>
      </c>
      <c r="P241" s="210"/>
    </row>
    <row r="242" spans="1:19">
      <c r="A242" s="74"/>
      <c r="D242" s="133"/>
      <c r="E242" s="402" t="s">
        <v>511</v>
      </c>
      <c r="F242" s="402" t="s">
        <v>508</v>
      </c>
      <c r="G242" s="209"/>
      <c r="H242" s="122"/>
      <c r="I242" s="536" t="s">
        <v>412</v>
      </c>
      <c r="J242" s="102"/>
      <c r="P242" s="210"/>
    </row>
    <row r="243" spans="1:19">
      <c r="C243" s="2" t="s">
        <v>2</v>
      </c>
      <c r="D243" s="134"/>
      <c r="E243" s="108"/>
      <c r="F243" s="350"/>
      <c r="G243" s="206"/>
      <c r="H243" s="109"/>
      <c r="I243" s="64"/>
      <c r="J243" s="108"/>
      <c r="K243" s="28" t="s">
        <v>2</v>
      </c>
      <c r="L243" s="597" t="s">
        <v>742</v>
      </c>
      <c r="M243" s="285" t="s">
        <v>482</v>
      </c>
      <c r="N243" s="596" t="s">
        <v>740</v>
      </c>
      <c r="O243" s="315"/>
      <c r="P243" s="293" t="s">
        <v>257</v>
      </c>
      <c r="Q243" s="293"/>
      <c r="R243" s="28" t="s">
        <v>18</v>
      </c>
      <c r="S243" s="4" t="s">
        <v>19</v>
      </c>
    </row>
    <row r="244" spans="1:19">
      <c r="A244" s="79" t="s">
        <v>258</v>
      </c>
      <c r="B244" s="374" t="s">
        <v>259</v>
      </c>
      <c r="C244" s="233">
        <v>110</v>
      </c>
      <c r="D244" s="235"/>
      <c r="E244" s="215">
        <v>1050</v>
      </c>
      <c r="F244" s="234">
        <v>200</v>
      </c>
      <c r="G244" s="234">
        <v>20</v>
      </c>
      <c r="H244" s="234"/>
      <c r="I244" s="234"/>
      <c r="J244" s="35">
        <f>SUM(C244:I244)+I243</f>
        <v>1380</v>
      </c>
      <c r="K244" s="254">
        <f>C244*1750</f>
        <v>192500</v>
      </c>
      <c r="L244" s="294">
        <f>D244*1750</f>
        <v>0</v>
      </c>
      <c r="M244" s="283">
        <f>E244*1400</f>
        <v>1470000</v>
      </c>
      <c r="N244" s="299">
        <f>F244*1400</f>
        <v>280000</v>
      </c>
      <c r="O244" s="315">
        <f>G244*1750</f>
        <v>35000</v>
      </c>
      <c r="P244" s="299">
        <f>H244*1200</f>
        <v>0</v>
      </c>
      <c r="Q244" s="299"/>
      <c r="R244" s="3">
        <f>SUM(K244:Q244)</f>
        <v>1977500</v>
      </c>
      <c r="S244" s="3">
        <f>J244*289</f>
        <v>398820</v>
      </c>
    </row>
    <row r="245" spans="1:19">
      <c r="A245" s="128" t="s">
        <v>260</v>
      </c>
      <c r="B245" s="374" t="s">
        <v>492</v>
      </c>
      <c r="C245" s="237">
        <v>120</v>
      </c>
      <c r="D245" s="235"/>
      <c r="E245" s="215">
        <v>1950</v>
      </c>
      <c r="F245" s="234">
        <v>100</v>
      </c>
      <c r="G245" s="234">
        <v>20</v>
      </c>
      <c r="H245" s="234"/>
      <c r="I245" s="242"/>
      <c r="J245" s="35">
        <f>SUM(C245:I245)</f>
        <v>2190</v>
      </c>
      <c r="K245" s="254">
        <f>C245*1750</f>
        <v>210000</v>
      </c>
      <c r="L245" s="294">
        <f>D245*1750</f>
        <v>0</v>
      </c>
      <c r="M245" s="283">
        <f>E245*1400</f>
        <v>2730000</v>
      </c>
      <c r="N245" s="299">
        <f>F245*1400</f>
        <v>140000</v>
      </c>
      <c r="O245" s="315">
        <f>G245*1750</f>
        <v>35000</v>
      </c>
      <c r="P245" s="299">
        <f>H245*1200</f>
        <v>0</v>
      </c>
      <c r="Q245" s="299"/>
      <c r="R245" s="3">
        <f t="shared" ref="R245" si="85">SUM(I245:Q245)</f>
        <v>3117190</v>
      </c>
      <c r="S245" s="3">
        <f>J245*305</f>
        <v>667950</v>
      </c>
    </row>
    <row r="246" spans="1:19" s="24" customFormat="1">
      <c r="B246" s="74"/>
      <c r="C246" s="486"/>
      <c r="D246" s="486"/>
      <c r="E246" s="273"/>
      <c r="F246" s="272"/>
      <c r="G246" s="272"/>
      <c r="H246" s="272"/>
      <c r="I246" s="84" t="s">
        <v>141</v>
      </c>
      <c r="J246" s="58" t="s">
        <v>6</v>
      </c>
      <c r="K246" s="118">
        <f t="shared" ref="K246:S246" si="86">SUM(K244:K245)</f>
        <v>402500</v>
      </c>
      <c r="L246" s="297">
        <f t="shared" si="86"/>
        <v>0</v>
      </c>
      <c r="M246" s="118">
        <f t="shared" si="86"/>
        <v>4200000</v>
      </c>
      <c r="N246" s="118">
        <f t="shared" si="86"/>
        <v>420000</v>
      </c>
      <c r="O246" s="303">
        <f t="shared" si="86"/>
        <v>70000</v>
      </c>
      <c r="P246" s="118">
        <f t="shared" si="86"/>
        <v>0</v>
      </c>
      <c r="Q246" s="118">
        <f t="shared" si="86"/>
        <v>0</v>
      </c>
      <c r="R246" s="135">
        <f t="shared" si="86"/>
        <v>5094690</v>
      </c>
      <c r="S246" s="136">
        <f t="shared" si="86"/>
        <v>1066770</v>
      </c>
    </row>
    <row r="247" spans="1:19" s="24" customFormat="1">
      <c r="B247" s="74"/>
      <c r="C247" s="74"/>
      <c r="D247" s="142"/>
      <c r="E247" s="143"/>
      <c r="F247" s="22"/>
      <c r="G247" s="26"/>
      <c r="H247" s="144"/>
      <c r="I247" s="22"/>
      <c r="J247" s="22"/>
      <c r="K247" s="492"/>
      <c r="L247" s="492"/>
      <c r="M247" s="493"/>
      <c r="N247" s="493"/>
      <c r="O247" s="494"/>
      <c r="P247" s="495"/>
      <c r="Q247" s="496"/>
      <c r="R247" s="492"/>
      <c r="S247" s="497"/>
    </row>
    <row r="248" spans="1:19" s="24" customFormat="1">
      <c r="B248" s="74"/>
      <c r="C248" s="74"/>
      <c r="D248" s="607" t="s">
        <v>262</v>
      </c>
      <c r="E248" s="143" t="s">
        <v>4</v>
      </c>
      <c r="F248" s="498" t="s">
        <v>263</v>
      </c>
      <c r="G248" s="12" t="s">
        <v>264</v>
      </c>
      <c r="H248" s="144"/>
      <c r="I248" s="498"/>
      <c r="J248" s="499" t="s">
        <v>465</v>
      </c>
      <c r="K248" s="492"/>
      <c r="L248" s="492"/>
      <c r="M248" s="493"/>
      <c r="N248" s="493"/>
      <c r="O248" s="494"/>
      <c r="P248" s="495"/>
      <c r="Q248" s="496"/>
      <c r="R248" s="492"/>
      <c r="S248" s="497"/>
    </row>
    <row r="249" spans="1:19" s="244" customFormat="1" ht="24">
      <c r="B249" s="245"/>
      <c r="C249" s="245"/>
      <c r="D249" s="406" t="s">
        <v>265</v>
      </c>
      <c r="E249" s="19" t="s">
        <v>266</v>
      </c>
      <c r="F249" s="20" t="s">
        <v>14</v>
      </c>
      <c r="G249" s="26" t="s">
        <v>15</v>
      </c>
      <c r="H249" s="491"/>
      <c r="I249" s="20" t="s">
        <v>0</v>
      </c>
      <c r="J249" s="77" t="s">
        <v>1</v>
      </c>
      <c r="K249" s="492"/>
      <c r="L249" s="492"/>
      <c r="M249" s="493"/>
      <c r="N249" s="493"/>
      <c r="O249" s="494"/>
      <c r="P249" s="495"/>
      <c r="Q249" s="496"/>
      <c r="R249" s="492"/>
      <c r="S249" s="497"/>
    </row>
    <row r="250" spans="1:19">
      <c r="A250" s="24" t="s">
        <v>267</v>
      </c>
      <c r="C250" s="2" t="s">
        <v>2</v>
      </c>
      <c r="D250" s="406" t="s">
        <v>268</v>
      </c>
      <c r="E250" s="91"/>
      <c r="F250" s="20" t="s">
        <v>10</v>
      </c>
      <c r="G250" s="110" t="s">
        <v>11</v>
      </c>
      <c r="I250" s="102"/>
      <c r="J250" s="140"/>
      <c r="K250" s="219" t="s">
        <v>2</v>
      </c>
      <c r="L250" s="664" t="s">
        <v>733</v>
      </c>
      <c r="M250" s="664"/>
      <c r="N250" s="419"/>
      <c r="O250" s="419" t="s">
        <v>748</v>
      </c>
      <c r="P250" s="594"/>
      <c r="Q250" s="278" t="s">
        <v>557</v>
      </c>
      <c r="R250" s="220" t="s">
        <v>18</v>
      </c>
      <c r="S250" s="593" t="s">
        <v>19</v>
      </c>
    </row>
    <row r="251" spans="1:19">
      <c r="A251" s="79" t="s">
        <v>270</v>
      </c>
      <c r="B251" s="548" t="s">
        <v>269</v>
      </c>
      <c r="C251" s="233">
        <v>14</v>
      </c>
      <c r="D251" s="235"/>
      <c r="E251" s="234">
        <v>1</v>
      </c>
      <c r="F251" s="215"/>
      <c r="G251" s="236"/>
      <c r="H251" s="231"/>
      <c r="I251" s="230"/>
      <c r="J251" s="35">
        <f t="shared" ref="J251:J257" si="87">SUM(C251:I251)</f>
        <v>15</v>
      </c>
      <c r="K251" s="254">
        <f>C251*204000</f>
        <v>2856000</v>
      </c>
      <c r="L251" s="294">
        <f>D251*176000</f>
        <v>0</v>
      </c>
      <c r="M251" s="299">
        <f>E251*176000</f>
        <v>176000</v>
      </c>
      <c r="N251" s="276"/>
      <c r="O251" s="276">
        <f>F251*163200</f>
        <v>0</v>
      </c>
      <c r="P251" s="210"/>
      <c r="Q251" s="279"/>
      <c r="R251" s="4">
        <f t="shared" ref="R251:R257" si="88">SUM(K251:Q251)</f>
        <v>3032000</v>
      </c>
      <c r="S251" s="4">
        <f>J251*55000</f>
        <v>825000</v>
      </c>
    </row>
    <row r="252" spans="1:19">
      <c r="A252" s="79" t="s">
        <v>271</v>
      </c>
      <c r="B252" s="548" t="s">
        <v>269</v>
      </c>
      <c r="C252" s="233">
        <v>8</v>
      </c>
      <c r="D252" s="235"/>
      <c r="E252" s="234"/>
      <c r="F252" s="215"/>
      <c r="G252" s="229"/>
      <c r="H252" s="231"/>
      <c r="I252" s="215">
        <v>4</v>
      </c>
      <c r="J252" s="35">
        <f t="shared" si="87"/>
        <v>12</v>
      </c>
      <c r="K252" s="254">
        <f>C252*46200</f>
        <v>369600</v>
      </c>
      <c r="L252" s="294">
        <f>D252*44000</f>
        <v>0</v>
      </c>
      <c r="M252" s="299">
        <f>E252*44000</f>
        <v>0</v>
      </c>
      <c r="N252" s="276"/>
      <c r="O252" s="276">
        <f>F252*36520</f>
        <v>0</v>
      </c>
      <c r="P252" s="210"/>
      <c r="Q252" s="279">
        <f>I252*30800</f>
        <v>123200</v>
      </c>
      <c r="R252" s="4">
        <f t="shared" si="88"/>
        <v>492800</v>
      </c>
      <c r="S252" s="4">
        <f>J252*13500</f>
        <v>162000</v>
      </c>
    </row>
    <row r="253" spans="1:19">
      <c r="A253" s="79" t="s">
        <v>272</v>
      </c>
      <c r="B253" s="377" t="s">
        <v>273</v>
      </c>
      <c r="C253" s="233">
        <v>13</v>
      </c>
      <c r="D253" s="235"/>
      <c r="E253" s="234">
        <v>5</v>
      </c>
      <c r="F253" s="229"/>
      <c r="G253" s="236"/>
      <c r="H253" s="231"/>
      <c r="I253" s="231"/>
      <c r="J253" s="35">
        <f t="shared" si="87"/>
        <v>18</v>
      </c>
      <c r="K253" s="254">
        <f>C253*21000</f>
        <v>273000</v>
      </c>
      <c r="L253" s="294">
        <f>D253*15400</f>
        <v>0</v>
      </c>
      <c r="M253" s="299">
        <f>E253*15400</f>
        <v>77000</v>
      </c>
      <c r="N253" s="276"/>
      <c r="P253" s="210"/>
      <c r="Q253" s="279"/>
      <c r="R253" s="4">
        <f t="shared" si="88"/>
        <v>350000</v>
      </c>
      <c r="S253" s="4">
        <f>J253*4500</f>
        <v>81000</v>
      </c>
    </row>
    <row r="254" spans="1:19">
      <c r="A254" s="128" t="s">
        <v>274</v>
      </c>
      <c r="B254" s="377" t="s">
        <v>273</v>
      </c>
      <c r="C254" s="233">
        <v>12</v>
      </c>
      <c r="D254" s="235"/>
      <c r="E254" s="234">
        <v>6</v>
      </c>
      <c r="F254" s="230"/>
      <c r="G254" s="236"/>
      <c r="H254" s="231"/>
      <c r="I254" s="231"/>
      <c r="J254" s="35">
        <f t="shared" si="87"/>
        <v>18</v>
      </c>
      <c r="K254" s="254">
        <f>C254*21000</f>
        <v>252000</v>
      </c>
      <c r="L254" s="294">
        <f>D254*15400</f>
        <v>0</v>
      </c>
      <c r="M254" s="299">
        <f>E254*15400</f>
        <v>92400</v>
      </c>
      <c r="N254" s="276"/>
      <c r="P254" s="210"/>
      <c r="Q254" s="279"/>
      <c r="R254" s="4">
        <f t="shared" si="88"/>
        <v>344400</v>
      </c>
      <c r="S254" s="4">
        <f>J254*4700</f>
        <v>84600</v>
      </c>
    </row>
    <row r="255" spans="1:19">
      <c r="A255" s="128" t="s">
        <v>275</v>
      </c>
      <c r="B255" s="377" t="s">
        <v>273</v>
      </c>
      <c r="C255" s="233">
        <v>1</v>
      </c>
      <c r="D255" s="235"/>
      <c r="E255" s="234"/>
      <c r="F255" s="230"/>
      <c r="G255" s="236"/>
      <c r="H255" s="231"/>
      <c r="I255" s="230"/>
      <c r="J255" s="35">
        <f t="shared" si="87"/>
        <v>1</v>
      </c>
      <c r="K255" s="254">
        <f>C255*10400</f>
        <v>10400</v>
      </c>
      <c r="L255" s="294">
        <f>D255*10400</f>
        <v>0</v>
      </c>
      <c r="M255" s="299">
        <f>E255*10400</f>
        <v>0</v>
      </c>
      <c r="N255" s="276"/>
      <c r="P255" s="210"/>
      <c r="Q255" s="279"/>
      <c r="R255" s="4">
        <f t="shared" si="88"/>
        <v>10400</v>
      </c>
      <c r="S255" s="4">
        <f>J255*2700</f>
        <v>2700</v>
      </c>
    </row>
    <row r="256" spans="1:19">
      <c r="A256" s="79" t="s">
        <v>276</v>
      </c>
      <c r="B256" s="377" t="s">
        <v>277</v>
      </c>
      <c r="C256" s="237"/>
      <c r="D256" s="235"/>
      <c r="E256" s="234"/>
      <c r="F256" s="230"/>
      <c r="G256" s="236"/>
      <c r="H256" s="231"/>
      <c r="I256" s="231"/>
      <c r="J256" s="35">
        <f t="shared" si="87"/>
        <v>0</v>
      </c>
      <c r="K256" s="3">
        <f>C256*150000</f>
        <v>0</v>
      </c>
      <c r="L256" s="294">
        <f>D256*120000</f>
        <v>0</v>
      </c>
      <c r="M256" s="299">
        <f>E256*120000</f>
        <v>0</v>
      </c>
      <c r="N256" s="276"/>
      <c r="P256" s="210"/>
      <c r="Q256" s="279"/>
      <c r="R256" s="4">
        <f t="shared" si="88"/>
        <v>0</v>
      </c>
      <c r="S256" s="4">
        <f>J256*79000</f>
        <v>0</v>
      </c>
    </row>
    <row r="257" spans="1:19">
      <c r="A257" s="109" t="s">
        <v>278</v>
      </c>
      <c r="B257" s="378" t="s">
        <v>254</v>
      </c>
      <c r="C257" s="230"/>
      <c r="D257" s="32"/>
      <c r="E257" s="33"/>
      <c r="F257" s="191"/>
      <c r="G257" s="197"/>
      <c r="H257" s="80"/>
      <c r="I257" s="80"/>
      <c r="J257" s="35">
        <f t="shared" si="87"/>
        <v>0</v>
      </c>
      <c r="K257" s="268">
        <f>C257*12000</f>
        <v>0</v>
      </c>
      <c r="L257" s="294"/>
      <c r="M257" s="299"/>
      <c r="N257" s="276"/>
      <c r="P257" s="210"/>
      <c r="Q257" s="279">
        <f>F257*12000</f>
        <v>0</v>
      </c>
      <c r="R257" s="4">
        <f t="shared" si="88"/>
        <v>0</v>
      </c>
      <c r="S257" s="4">
        <f>J257*8230</f>
        <v>0</v>
      </c>
    </row>
    <row r="258" spans="1:19" s="244" customFormat="1">
      <c r="B258" s="245"/>
      <c r="C258" s="486"/>
      <c r="D258" s="475"/>
      <c r="E258" s="487"/>
      <c r="F258" s="488"/>
      <c r="G258" s="488"/>
      <c r="H258" s="488"/>
      <c r="I258" s="246"/>
      <c r="J258" s="247"/>
      <c r="K258" s="248"/>
      <c r="L258" s="318"/>
      <c r="M258" s="248"/>
      <c r="N258" s="248"/>
      <c r="O258" s="480"/>
      <c r="P258" s="248"/>
      <c r="Q258" s="248"/>
      <c r="R258" s="248"/>
      <c r="S258" s="252"/>
    </row>
    <row r="259" spans="1:19" s="24" customFormat="1">
      <c r="B259" s="74"/>
      <c r="C259" s="74"/>
      <c r="D259" s="9" t="s">
        <v>3</v>
      </c>
      <c r="E259" s="10"/>
      <c r="F259" s="12"/>
      <c r="G259" s="12"/>
      <c r="H259" s="12"/>
      <c r="I259" s="12"/>
      <c r="J259" s="117" t="s">
        <v>6</v>
      </c>
      <c r="K259" s="145">
        <f>SUM(K251:K258)</f>
        <v>3761000</v>
      </c>
      <c r="L259" s="145">
        <f t="shared" ref="L259:R259" si="89">SUM(L251:L258)</f>
        <v>0</v>
      </c>
      <c r="M259" s="145">
        <f t="shared" si="89"/>
        <v>345400</v>
      </c>
      <c r="N259" s="145">
        <f t="shared" si="89"/>
        <v>0</v>
      </c>
      <c r="O259" s="145">
        <f t="shared" si="89"/>
        <v>0</v>
      </c>
      <c r="P259" s="145">
        <f t="shared" si="89"/>
        <v>0</v>
      </c>
      <c r="Q259" s="145">
        <f t="shared" si="89"/>
        <v>123200</v>
      </c>
      <c r="R259" s="145">
        <f t="shared" si="89"/>
        <v>4229600</v>
      </c>
      <c r="S259" s="145">
        <f>SUM(S251:S258)</f>
        <v>1155300</v>
      </c>
    </row>
    <row r="260" spans="1:19">
      <c r="C260" s="104" t="s">
        <v>347</v>
      </c>
      <c r="D260" s="55" t="s">
        <v>279</v>
      </c>
      <c r="E260" s="10" t="s">
        <v>4</v>
      </c>
      <c r="F260" s="12" t="s">
        <v>5</v>
      </c>
      <c r="G260" s="12"/>
      <c r="H260" s="12"/>
      <c r="I260" s="12" t="s">
        <v>261</v>
      </c>
      <c r="J260" s="110"/>
      <c r="P260" s="210"/>
    </row>
    <row r="261" spans="1:19">
      <c r="A261" s="74" t="s">
        <v>281</v>
      </c>
      <c r="C261" s="104" t="s">
        <v>282</v>
      </c>
      <c r="D261" s="55" t="s">
        <v>283</v>
      </c>
      <c r="E261" s="15" t="s">
        <v>280</v>
      </c>
      <c r="F261" s="20"/>
      <c r="G261" s="110"/>
      <c r="H261" s="137"/>
      <c r="I261" s="20" t="s">
        <v>10</v>
      </c>
      <c r="J261" s="110" t="s">
        <v>11</v>
      </c>
      <c r="P261" s="210"/>
    </row>
    <row r="262" spans="1:19" ht="24">
      <c r="C262" s="106" t="s">
        <v>282</v>
      </c>
      <c r="D262" s="105" t="s">
        <v>286</v>
      </c>
      <c r="E262" s="15" t="s">
        <v>284</v>
      </c>
      <c r="F262" s="19" t="s">
        <v>729</v>
      </c>
      <c r="G262" s="146"/>
      <c r="H262" s="146"/>
      <c r="I262" s="20" t="s">
        <v>14</v>
      </c>
      <c r="J262" s="26" t="s">
        <v>15</v>
      </c>
      <c r="P262" s="210"/>
    </row>
    <row r="263" spans="1:19">
      <c r="C263" s="106" t="s">
        <v>285</v>
      </c>
      <c r="D263" s="545"/>
      <c r="E263" s="19" t="s">
        <v>287</v>
      </c>
      <c r="F263" s="569"/>
      <c r="G263" s="146"/>
      <c r="H263" s="146"/>
      <c r="I263" s="20"/>
      <c r="J263" s="309"/>
      <c r="P263" s="210"/>
    </row>
    <row r="264" spans="1:19">
      <c r="A264" s="148"/>
      <c r="B264" s="2" t="s">
        <v>2</v>
      </c>
      <c r="C264" s="104" t="s">
        <v>350</v>
      </c>
      <c r="D264" s="105" t="s">
        <v>268</v>
      </c>
      <c r="E264" s="19" t="s">
        <v>728</v>
      </c>
      <c r="F264" s="20"/>
      <c r="G264" s="26"/>
      <c r="H264" s="146"/>
      <c r="I264" s="124" t="s">
        <v>408</v>
      </c>
      <c r="J264" s="140"/>
      <c r="K264" s="219" t="s">
        <v>2</v>
      </c>
      <c r="L264" s="664" t="s">
        <v>733</v>
      </c>
      <c r="M264" s="664"/>
      <c r="N264" s="348" t="s">
        <v>559</v>
      </c>
      <c r="O264" s="348" t="s">
        <v>557</v>
      </c>
      <c r="P264" s="348" t="s">
        <v>464</v>
      </c>
      <c r="Q264" s="220"/>
      <c r="R264" s="220" t="s">
        <v>18</v>
      </c>
      <c r="S264" s="593" t="s">
        <v>19</v>
      </c>
    </row>
    <row r="265" spans="1:19" s="3" customFormat="1">
      <c r="A265" s="115" t="s">
        <v>288</v>
      </c>
      <c r="B265" s="684" t="s">
        <v>289</v>
      </c>
      <c r="C265" s="237">
        <v>8</v>
      </c>
      <c r="D265" s="235"/>
      <c r="E265" s="234">
        <v>8</v>
      </c>
      <c r="F265" s="230"/>
      <c r="G265" s="236"/>
      <c r="H265" s="231"/>
      <c r="I265" s="230"/>
      <c r="J265" s="35">
        <f t="shared" ref="J265:J293" si="90">SUM(C265:I265)</f>
        <v>16</v>
      </c>
      <c r="K265" s="254">
        <f>C265*25000</f>
        <v>200000</v>
      </c>
      <c r="L265" s="294">
        <f>D265*22000</f>
        <v>0</v>
      </c>
      <c r="M265" s="299">
        <f>E265*22000</f>
        <v>176000</v>
      </c>
      <c r="N265" s="282">
        <f>F265*10000</f>
        <v>0</v>
      </c>
      <c r="O265" s="282"/>
      <c r="P265" s="282"/>
      <c r="Q265" s="5"/>
      <c r="R265" s="4">
        <f>SUM(K265:Q265)</f>
        <v>376000</v>
      </c>
      <c r="S265" s="4">
        <f>J265*15400</f>
        <v>246400</v>
      </c>
    </row>
    <row r="266" spans="1:19" s="3" customFormat="1">
      <c r="A266" s="115" t="s">
        <v>290</v>
      </c>
      <c r="B266" s="685"/>
      <c r="C266" s="233">
        <v>35</v>
      </c>
      <c r="D266" s="235"/>
      <c r="E266" s="234"/>
      <c r="F266" s="230"/>
      <c r="G266" s="236"/>
      <c r="H266" s="231"/>
      <c r="I266" s="242"/>
      <c r="J266" s="35">
        <f t="shared" si="90"/>
        <v>35</v>
      </c>
      <c r="K266" s="254">
        <f>C266*12000</f>
        <v>420000</v>
      </c>
      <c r="L266" s="294">
        <f>D266*12000</f>
        <v>0</v>
      </c>
      <c r="M266" s="299">
        <f>E266*12000</f>
        <v>0</v>
      </c>
      <c r="N266" s="282"/>
      <c r="O266" s="282"/>
      <c r="P266" s="282"/>
      <c r="Q266" s="5"/>
      <c r="R266" s="4">
        <f t="shared" ref="R266:R303" si="91">SUM(K266:Q266)</f>
        <v>420000</v>
      </c>
      <c r="S266" s="4">
        <f>J266*7150</f>
        <v>250250</v>
      </c>
    </row>
    <row r="267" spans="1:19" s="3" customFormat="1">
      <c r="A267" s="115" t="s">
        <v>291</v>
      </c>
      <c r="B267" s="369" t="s">
        <v>510</v>
      </c>
      <c r="C267" s="233">
        <v>21</v>
      </c>
      <c r="D267" s="235"/>
      <c r="E267" s="234">
        <v>5</v>
      </c>
      <c r="F267" s="229"/>
      <c r="G267" s="236"/>
      <c r="H267" s="231"/>
      <c r="I267" s="230"/>
      <c r="J267" s="35">
        <f t="shared" si="90"/>
        <v>26</v>
      </c>
      <c r="K267" s="254">
        <f>C267*22000</f>
        <v>462000</v>
      </c>
      <c r="L267" s="294">
        <f>D267*22000</f>
        <v>0</v>
      </c>
      <c r="M267" s="299">
        <f>E267*15000</f>
        <v>75000</v>
      </c>
      <c r="N267" s="282"/>
      <c r="O267" s="282"/>
      <c r="P267" s="282"/>
      <c r="Q267" s="5"/>
      <c r="R267" s="4">
        <f t="shared" si="91"/>
        <v>537000</v>
      </c>
      <c r="S267" s="4">
        <f>J267*10835</f>
        <v>281710</v>
      </c>
    </row>
    <row r="268" spans="1:19" s="3" customFormat="1">
      <c r="A268" s="115" t="s">
        <v>292</v>
      </c>
      <c r="B268" s="370" t="s">
        <v>293</v>
      </c>
      <c r="C268" s="233">
        <v>25</v>
      </c>
      <c r="D268" s="235"/>
      <c r="E268" s="234">
        <v>4</v>
      </c>
      <c r="F268" s="230"/>
      <c r="G268" s="236"/>
      <c r="H268" s="231"/>
      <c r="I268" s="242"/>
      <c r="J268" s="35">
        <f t="shared" si="90"/>
        <v>29</v>
      </c>
      <c r="K268" s="254">
        <f>C268*22000</f>
        <v>550000</v>
      </c>
      <c r="L268" s="294">
        <f>D268*22000</f>
        <v>0</v>
      </c>
      <c r="M268" s="299">
        <f>E268*22000</f>
        <v>88000</v>
      </c>
      <c r="N268" s="282"/>
      <c r="O268" s="282"/>
      <c r="P268" s="282"/>
      <c r="Q268" s="5"/>
      <c r="R268" s="4">
        <f t="shared" si="91"/>
        <v>638000</v>
      </c>
      <c r="S268" s="4">
        <f>J268*9361</f>
        <v>271469</v>
      </c>
    </row>
    <row r="269" spans="1:19" s="3" customFormat="1">
      <c r="A269" s="115" t="s">
        <v>294</v>
      </c>
      <c r="B269" s="370" t="s">
        <v>295</v>
      </c>
      <c r="C269" s="257">
        <v>6</v>
      </c>
      <c r="D269" s="235"/>
      <c r="E269" s="234">
        <v>5</v>
      </c>
      <c r="F269" s="230"/>
      <c r="G269" s="236"/>
      <c r="H269" s="231"/>
      <c r="I269" s="215"/>
      <c r="J269" s="35">
        <f t="shared" si="90"/>
        <v>11</v>
      </c>
      <c r="K269" s="254">
        <f>C269*18000</f>
        <v>108000</v>
      </c>
      <c r="L269" s="294">
        <f>D269*15000</f>
        <v>0</v>
      </c>
      <c r="M269" s="299">
        <f>E269*15000</f>
        <v>75000</v>
      </c>
      <c r="N269" s="282"/>
      <c r="O269" s="282">
        <f>I269*14400</f>
        <v>0</v>
      </c>
      <c r="P269" s="282"/>
      <c r="Q269" s="286"/>
      <c r="R269" s="4">
        <f t="shared" si="91"/>
        <v>183000</v>
      </c>
      <c r="S269" s="4">
        <f>J269*4238</f>
        <v>46618</v>
      </c>
    </row>
    <row r="270" spans="1:19" s="3" customFormat="1">
      <c r="A270" s="115" t="s">
        <v>296</v>
      </c>
      <c r="B270" s="370" t="s">
        <v>297</v>
      </c>
      <c r="C270" s="237">
        <v>3</v>
      </c>
      <c r="D270" s="235"/>
      <c r="E270" s="234"/>
      <c r="F270" s="230"/>
      <c r="G270" s="236"/>
      <c r="H270" s="231"/>
      <c r="I270" s="215"/>
      <c r="J270" s="35">
        <f t="shared" si="90"/>
        <v>3</v>
      </c>
      <c r="K270" s="254">
        <f>C270*15000</f>
        <v>45000</v>
      </c>
      <c r="L270" s="294">
        <f>D270*11600</f>
        <v>0</v>
      </c>
      <c r="M270" s="299">
        <f>E270*11000</f>
        <v>0</v>
      </c>
      <c r="N270" s="282"/>
      <c r="O270" s="282"/>
      <c r="P270" s="282"/>
      <c r="Q270" s="5"/>
      <c r="R270" s="4">
        <f t="shared" si="91"/>
        <v>45000</v>
      </c>
      <c r="S270" s="4">
        <f>J270*3719</f>
        <v>11157</v>
      </c>
    </row>
    <row r="271" spans="1:19" s="3" customFormat="1">
      <c r="A271" s="115" t="s">
        <v>348</v>
      </c>
      <c r="B271" s="383" t="s">
        <v>349</v>
      </c>
      <c r="C271" s="237">
        <v>5</v>
      </c>
      <c r="D271" s="235"/>
      <c r="E271" s="234"/>
      <c r="F271" s="230"/>
      <c r="G271" s="236"/>
      <c r="H271" s="231"/>
      <c r="I271" s="215"/>
      <c r="J271" s="35">
        <f t="shared" si="90"/>
        <v>5</v>
      </c>
      <c r="K271" s="254">
        <f>C271*33000</f>
        <v>165000</v>
      </c>
      <c r="L271" s="294">
        <f>D271*33000</f>
        <v>0</v>
      </c>
      <c r="M271" s="302">
        <f>E271*33000</f>
        <v>0</v>
      </c>
      <c r="N271" s="284"/>
      <c r="O271" s="284"/>
      <c r="P271" s="284"/>
      <c r="Q271" s="5"/>
      <c r="R271" s="4">
        <f t="shared" si="91"/>
        <v>165000</v>
      </c>
      <c r="S271" s="4">
        <f>J271*16500</f>
        <v>82500</v>
      </c>
    </row>
    <row r="272" spans="1:19" s="3" customFormat="1">
      <c r="A272" s="211" t="s">
        <v>362</v>
      </c>
      <c r="B272" s="383" t="s">
        <v>366</v>
      </c>
      <c r="C272" s="237"/>
      <c r="D272" s="235"/>
      <c r="E272" s="234"/>
      <c r="F272" s="230"/>
      <c r="G272" s="236"/>
      <c r="H272" s="231"/>
      <c r="I272" s="215"/>
      <c r="J272" s="35">
        <f t="shared" si="90"/>
        <v>0</v>
      </c>
      <c r="K272" s="3">
        <f>C272*77000</f>
        <v>0</v>
      </c>
      <c r="L272" s="294">
        <f>D272*77000</f>
        <v>0</v>
      </c>
      <c r="M272" s="302">
        <f>E272*77000</f>
        <v>0</v>
      </c>
      <c r="N272" s="284"/>
      <c r="O272" s="284"/>
      <c r="P272" s="284"/>
      <c r="Q272" s="286"/>
      <c r="R272" s="4">
        <f t="shared" si="91"/>
        <v>0</v>
      </c>
      <c r="S272" s="4">
        <f>J272*38500</f>
        <v>0</v>
      </c>
    </row>
    <row r="273" spans="1:19" s="3" customFormat="1" ht="21.75" customHeight="1">
      <c r="A273" s="149" t="s">
        <v>300</v>
      </c>
      <c r="B273" s="383" t="s">
        <v>351</v>
      </c>
      <c r="C273" s="233">
        <v>145</v>
      </c>
      <c r="D273" s="235"/>
      <c r="E273" s="234"/>
      <c r="F273" s="230"/>
      <c r="G273" s="236"/>
      <c r="H273" s="231"/>
      <c r="I273" s="214"/>
      <c r="J273" s="35">
        <f t="shared" si="90"/>
        <v>145</v>
      </c>
      <c r="K273" s="364">
        <f>C273*2500</f>
        <v>362500</v>
      </c>
      <c r="L273" s="294"/>
      <c r="M273" s="299"/>
      <c r="N273" s="282"/>
      <c r="O273" s="282"/>
      <c r="P273" s="282"/>
      <c r="Q273" s="286"/>
      <c r="R273" s="4">
        <f t="shared" si="91"/>
        <v>362500</v>
      </c>
      <c r="S273" s="4">
        <f>J273*1070</f>
        <v>155150</v>
      </c>
    </row>
    <row r="274" spans="1:19" s="3" customFormat="1">
      <c r="A274" s="150" t="s">
        <v>301</v>
      </c>
      <c r="B274" s="371" t="s">
        <v>371</v>
      </c>
      <c r="C274" s="215">
        <v>300</v>
      </c>
      <c r="D274" s="235"/>
      <c r="E274" s="234"/>
      <c r="F274" s="230"/>
      <c r="G274" s="236"/>
      <c r="H274" s="231"/>
      <c r="I274" s="215"/>
      <c r="J274" s="35">
        <f t="shared" si="90"/>
        <v>300</v>
      </c>
      <c r="K274" s="284">
        <f>C274*1700</f>
        <v>510000</v>
      </c>
      <c r="L274" s="294">
        <f>D274*1700</f>
        <v>0</v>
      </c>
      <c r="M274" s="299">
        <f>E274*1700</f>
        <v>0</v>
      </c>
      <c r="N274" s="282"/>
      <c r="O274" s="282">
        <f>I274*2000</f>
        <v>0</v>
      </c>
      <c r="P274" s="282"/>
      <c r="Q274" s="286"/>
      <c r="R274" s="4">
        <f t="shared" si="91"/>
        <v>510000</v>
      </c>
      <c r="S274" s="4">
        <f>J274*1070</f>
        <v>321000</v>
      </c>
    </row>
    <row r="275" spans="1:19" s="3" customFormat="1">
      <c r="A275" s="151" t="s">
        <v>303</v>
      </c>
      <c r="B275" s="383" t="s">
        <v>304</v>
      </c>
      <c r="C275" s="239">
        <v>47</v>
      </c>
      <c r="D275" s="235"/>
      <c r="E275" s="234"/>
      <c r="F275" s="230"/>
      <c r="G275" s="236"/>
      <c r="H275" s="231"/>
      <c r="I275" s="215"/>
      <c r="J275" s="35">
        <f t="shared" si="90"/>
        <v>47</v>
      </c>
      <c r="K275" s="364">
        <f>C275*2500</f>
        <v>117500</v>
      </c>
      <c r="L275" s="294"/>
      <c r="M275" s="299">
        <f t="shared" ref="M275" si="92">E275*1500</f>
        <v>0</v>
      </c>
      <c r="N275" s="282"/>
      <c r="O275" s="282"/>
      <c r="P275" s="282"/>
      <c r="Q275" s="5"/>
      <c r="R275" s="4">
        <f t="shared" si="91"/>
        <v>117500</v>
      </c>
      <c r="S275" s="4">
        <f>J275*495</f>
        <v>23265</v>
      </c>
    </row>
    <row r="276" spans="1:19" s="3" customFormat="1">
      <c r="A276" s="152" t="s">
        <v>305</v>
      </c>
      <c r="B276" s="372" t="s">
        <v>302</v>
      </c>
      <c r="C276" s="215"/>
      <c r="D276" s="235"/>
      <c r="E276" s="234"/>
      <c r="F276" s="230"/>
      <c r="G276" s="236"/>
      <c r="H276" s="231"/>
      <c r="I276" s="215"/>
      <c r="J276" s="35">
        <f t="shared" si="90"/>
        <v>0</v>
      </c>
      <c r="K276" s="284">
        <f>C276*1700</f>
        <v>0</v>
      </c>
      <c r="L276" s="294">
        <f>D276*1700</f>
        <v>0</v>
      </c>
      <c r="M276" s="299">
        <f>E276*1700</f>
        <v>0</v>
      </c>
      <c r="N276" s="282"/>
      <c r="O276" s="282">
        <f>I276*2000</f>
        <v>0</v>
      </c>
      <c r="P276" s="282"/>
      <c r="Q276" s="5"/>
      <c r="R276" s="4">
        <f t="shared" si="91"/>
        <v>0</v>
      </c>
      <c r="S276" s="4">
        <f>J276*495</f>
        <v>0</v>
      </c>
    </row>
    <row r="277" spans="1:19" s="3" customFormat="1">
      <c r="A277" s="153" t="s">
        <v>306</v>
      </c>
      <c r="B277" s="384" t="s">
        <v>307</v>
      </c>
      <c r="C277" s="239">
        <v>189</v>
      </c>
      <c r="D277" s="235"/>
      <c r="E277" s="234"/>
      <c r="F277" s="230"/>
      <c r="G277" s="236"/>
      <c r="H277" s="231"/>
      <c r="I277" s="214"/>
      <c r="J277" s="35">
        <f t="shared" si="90"/>
        <v>189</v>
      </c>
      <c r="K277" s="364">
        <f>C277*2500</f>
        <v>472500</v>
      </c>
      <c r="L277" s="294"/>
      <c r="M277" s="299"/>
      <c r="N277" s="282"/>
      <c r="O277" s="282"/>
      <c r="P277" s="282"/>
      <c r="Q277" s="286"/>
      <c r="R277" s="4">
        <f t="shared" si="91"/>
        <v>472500</v>
      </c>
      <c r="S277" s="4">
        <f>J277*310</f>
        <v>58590</v>
      </c>
    </row>
    <row r="278" spans="1:19" s="3" customFormat="1">
      <c r="A278" s="154" t="s">
        <v>308</v>
      </c>
      <c r="B278" s="372" t="s">
        <v>302</v>
      </c>
      <c r="C278" s="215">
        <v>100</v>
      </c>
      <c r="D278" s="235"/>
      <c r="E278" s="234">
        <v>100</v>
      </c>
      <c r="F278" s="229"/>
      <c r="G278" s="236"/>
      <c r="H278" s="231"/>
      <c r="I278" s="215"/>
      <c r="J278" s="35">
        <f t="shared" si="90"/>
        <v>200</v>
      </c>
      <c r="K278" s="284">
        <f>C278*1700</f>
        <v>170000</v>
      </c>
      <c r="L278" s="294">
        <f>D278*1700</f>
        <v>0</v>
      </c>
      <c r="M278" s="299">
        <f>E278*1700</f>
        <v>170000</v>
      </c>
      <c r="N278" s="282"/>
      <c r="O278" s="282">
        <f>I278*2000</f>
        <v>0</v>
      </c>
      <c r="P278" s="282"/>
      <c r="Q278" s="286"/>
      <c r="R278" s="4">
        <f t="shared" si="91"/>
        <v>340000</v>
      </c>
      <c r="S278" s="4">
        <f>J278*310</f>
        <v>62000</v>
      </c>
    </row>
    <row r="279" spans="1:19" s="3" customFormat="1">
      <c r="A279" s="260" t="s">
        <v>377</v>
      </c>
      <c r="B279" s="666" t="s">
        <v>378</v>
      </c>
      <c r="C279" s="239">
        <v>3</v>
      </c>
      <c r="D279" s="235"/>
      <c r="E279" s="234">
        <v>1</v>
      </c>
      <c r="F279" s="233"/>
      <c r="G279" s="233"/>
      <c r="H279" s="242"/>
      <c r="I279" s="215"/>
      <c r="J279" s="35">
        <f t="shared" si="90"/>
        <v>4</v>
      </c>
      <c r="K279" s="254">
        <f>C279*18900</f>
        <v>56700</v>
      </c>
      <c r="L279" s="294">
        <f>D279*15400</f>
        <v>0</v>
      </c>
      <c r="M279" s="302">
        <f>E279*15400</f>
        <v>15400</v>
      </c>
      <c r="N279" s="284"/>
      <c r="O279" s="551">
        <f>I279*15120</f>
        <v>0</v>
      </c>
      <c r="P279" s="284"/>
      <c r="Q279" s="284"/>
      <c r="R279" s="4">
        <f t="shared" si="91"/>
        <v>72100</v>
      </c>
      <c r="S279" s="4">
        <f>J279*4794</f>
        <v>19176</v>
      </c>
    </row>
    <row r="280" spans="1:19" s="3" customFormat="1">
      <c r="A280" s="155" t="s">
        <v>379</v>
      </c>
      <c r="B280" s="667"/>
      <c r="C280" s="239"/>
      <c r="D280" s="235"/>
      <c r="E280" s="234"/>
      <c r="F280" s="229"/>
      <c r="G280" s="236"/>
      <c r="H280" s="231"/>
      <c r="I280" s="215"/>
      <c r="J280" s="35">
        <f t="shared" si="90"/>
        <v>0</v>
      </c>
      <c r="K280" s="3">
        <f>C280*11000</f>
        <v>0</v>
      </c>
      <c r="L280" s="294">
        <f>D280*7000</f>
        <v>0</v>
      </c>
      <c r="M280" s="299">
        <f>E280*7000</f>
        <v>0</v>
      </c>
      <c r="N280" s="282"/>
      <c r="O280" s="282"/>
      <c r="P280" s="282"/>
      <c r="Q280" s="5"/>
      <c r="R280" s="4">
        <f t="shared" si="91"/>
        <v>0</v>
      </c>
      <c r="S280" s="4">
        <f>J280*1200</f>
        <v>0</v>
      </c>
    </row>
    <row r="281" spans="1:19">
      <c r="A281" s="115" t="s">
        <v>298</v>
      </c>
      <c r="B281" s="383" t="s">
        <v>299</v>
      </c>
      <c r="C281" s="237">
        <v>3</v>
      </c>
      <c r="D281" s="235"/>
      <c r="E281" s="234">
        <v>1</v>
      </c>
      <c r="F281" s="230"/>
      <c r="G281" s="236"/>
      <c r="H281" s="231"/>
      <c r="I281" s="238"/>
      <c r="J281" s="35">
        <f t="shared" si="90"/>
        <v>4</v>
      </c>
      <c r="K281" s="254">
        <f>C281*25000</f>
        <v>75000</v>
      </c>
      <c r="L281" s="294">
        <f>D281*20000</f>
        <v>0</v>
      </c>
      <c r="M281" s="299">
        <f>E281*20000</f>
        <v>20000</v>
      </c>
      <c r="N281" s="282"/>
      <c r="O281" s="282"/>
      <c r="P281" s="282"/>
      <c r="R281" s="4">
        <f t="shared" si="91"/>
        <v>95000</v>
      </c>
      <c r="S281" s="4">
        <f>J281*12400</f>
        <v>49600</v>
      </c>
    </row>
    <row r="282" spans="1:19">
      <c r="A282" s="155" t="s">
        <v>312</v>
      </c>
      <c r="B282" s="666" t="s">
        <v>393</v>
      </c>
      <c r="C282" s="237">
        <v>3</v>
      </c>
      <c r="D282" s="235"/>
      <c r="E282" s="234">
        <v>1</v>
      </c>
      <c r="F282" s="237"/>
      <c r="G282" s="236"/>
      <c r="H282" s="241"/>
      <c r="I282" s="237"/>
      <c r="J282" s="35">
        <f t="shared" si="90"/>
        <v>4</v>
      </c>
      <c r="K282" s="254">
        <f>C282*40000</f>
        <v>120000</v>
      </c>
      <c r="L282" s="294">
        <f>D282*40000</f>
        <v>0</v>
      </c>
      <c r="M282" s="299">
        <f>E282*38000</f>
        <v>38000</v>
      </c>
      <c r="N282" s="282"/>
      <c r="O282" s="550"/>
      <c r="P282" s="282"/>
      <c r="R282" s="4">
        <f t="shared" si="91"/>
        <v>158000</v>
      </c>
      <c r="S282" s="4">
        <f>J282*26400</f>
        <v>105600</v>
      </c>
    </row>
    <row r="283" spans="1:19">
      <c r="A283" s="155" t="s">
        <v>313</v>
      </c>
      <c r="B283" s="670"/>
      <c r="C283" s="237">
        <v>1</v>
      </c>
      <c r="D283" s="235"/>
      <c r="E283" s="234"/>
      <c r="F283" s="237"/>
      <c r="G283" s="236"/>
      <c r="H283" s="241"/>
      <c r="I283" s="237"/>
      <c r="J283" s="35">
        <f t="shared" si="90"/>
        <v>1</v>
      </c>
      <c r="K283" s="254">
        <f>C283*22000</f>
        <v>22000</v>
      </c>
      <c r="L283" s="294">
        <f>D283*22000</f>
        <v>0</v>
      </c>
      <c r="M283" s="299">
        <f>E283*18000</f>
        <v>0</v>
      </c>
      <c r="N283" s="282"/>
      <c r="O283" s="282"/>
      <c r="P283" s="282"/>
      <c r="R283" s="4">
        <f t="shared" si="91"/>
        <v>22000</v>
      </c>
      <c r="S283" s="4">
        <f>J283*11000</f>
        <v>11000</v>
      </c>
    </row>
    <row r="284" spans="1:19">
      <c r="A284" s="155" t="s">
        <v>314</v>
      </c>
      <c r="B284" s="667"/>
      <c r="C284" s="237"/>
      <c r="D284" s="235"/>
      <c r="E284" s="234"/>
      <c r="F284" s="237"/>
      <c r="G284" s="236"/>
      <c r="H284" s="241"/>
      <c r="I284" s="237"/>
      <c r="J284" s="35">
        <f t="shared" si="90"/>
        <v>0</v>
      </c>
      <c r="K284" s="3">
        <f>C284*4000</f>
        <v>0</v>
      </c>
      <c r="L284" s="294">
        <f>D284*4000</f>
        <v>0</v>
      </c>
      <c r="M284" s="299">
        <f>E284*3000</f>
        <v>0</v>
      </c>
      <c r="N284" s="282"/>
      <c r="O284" s="282"/>
      <c r="P284" s="282"/>
      <c r="R284" s="4">
        <f t="shared" si="91"/>
        <v>0</v>
      </c>
      <c r="S284" s="4">
        <f>J284*1760</f>
        <v>0</v>
      </c>
    </row>
    <row r="285" spans="1:19">
      <c r="A285" s="155" t="s">
        <v>315</v>
      </c>
      <c r="B285" s="385" t="s">
        <v>316</v>
      </c>
      <c r="C285" s="233"/>
      <c r="D285" s="237"/>
      <c r="E285" s="234"/>
      <c r="F285" s="237"/>
      <c r="G285" s="236"/>
      <c r="H285" s="241"/>
      <c r="I285" s="237"/>
      <c r="J285" s="35">
        <f t="shared" si="90"/>
        <v>0</v>
      </c>
      <c r="K285" s="254">
        <f>C285*25000</f>
        <v>0</v>
      </c>
      <c r="L285" s="294">
        <f>D285*25000</f>
        <v>0</v>
      </c>
      <c r="M285" s="299">
        <f>E285*25000</f>
        <v>0</v>
      </c>
      <c r="N285" s="282"/>
      <c r="O285" s="282"/>
      <c r="P285" s="282"/>
      <c r="R285" s="4">
        <f t="shared" si="91"/>
        <v>0</v>
      </c>
      <c r="S285" s="4">
        <f>J285*18000</f>
        <v>0</v>
      </c>
    </row>
    <row r="286" spans="1:19">
      <c r="A286" s="155" t="s">
        <v>317</v>
      </c>
      <c r="B286" s="385" t="s">
        <v>399</v>
      </c>
      <c r="C286" s="237">
        <v>2</v>
      </c>
      <c r="D286" s="235"/>
      <c r="E286" s="234"/>
      <c r="F286" s="237"/>
      <c r="G286" s="236"/>
      <c r="H286" s="241"/>
      <c r="I286" s="237"/>
      <c r="J286" s="35">
        <f t="shared" si="90"/>
        <v>2</v>
      </c>
      <c r="K286" s="254">
        <f>C286*5000</f>
        <v>10000</v>
      </c>
      <c r="L286" s="294">
        <f>D286*5000</f>
        <v>0</v>
      </c>
      <c r="M286" s="299">
        <f>E286*4500</f>
        <v>0</v>
      </c>
      <c r="N286" s="282"/>
      <c r="O286" s="282"/>
      <c r="P286" s="282"/>
      <c r="R286" s="4">
        <f t="shared" si="91"/>
        <v>10000</v>
      </c>
      <c r="S286" s="4">
        <f>J286*1800</f>
        <v>3600</v>
      </c>
    </row>
    <row r="287" spans="1:19">
      <c r="A287" s="128" t="s">
        <v>329</v>
      </c>
      <c r="B287" s="156"/>
      <c r="C287" s="237"/>
      <c r="D287" s="235"/>
      <c r="E287" s="234"/>
      <c r="F287" s="237"/>
      <c r="G287" s="236"/>
      <c r="H287" s="241"/>
      <c r="I287" s="241"/>
      <c r="J287" s="35">
        <f t="shared" si="90"/>
        <v>0</v>
      </c>
      <c r="L287" s="294">
        <f>D287*20000</f>
        <v>0</v>
      </c>
      <c r="M287" s="299">
        <f>E287*20000</f>
        <v>0</v>
      </c>
      <c r="N287" s="282"/>
      <c r="O287" s="282"/>
      <c r="P287" s="282"/>
      <c r="R287" s="4">
        <f t="shared" si="91"/>
        <v>0</v>
      </c>
      <c r="S287" s="4">
        <f>J287*13000</f>
        <v>0</v>
      </c>
    </row>
    <row r="288" spans="1:19">
      <c r="A288" s="155" t="s">
        <v>318</v>
      </c>
      <c r="B288" s="373"/>
      <c r="C288" s="237"/>
      <c r="D288" s="235"/>
      <c r="E288" s="234"/>
      <c r="F288" s="237"/>
      <c r="G288" s="236"/>
      <c r="H288" s="241"/>
      <c r="I288" s="237"/>
      <c r="J288" s="35">
        <f t="shared" si="90"/>
        <v>0</v>
      </c>
      <c r="K288" s="3">
        <f>C288*4000</f>
        <v>0</v>
      </c>
      <c r="L288" s="294">
        <f>D288*4000</f>
        <v>0</v>
      </c>
      <c r="M288" s="299">
        <f>E288*4000</f>
        <v>0</v>
      </c>
      <c r="N288" s="282"/>
      <c r="O288" s="282"/>
      <c r="P288" s="282"/>
      <c r="R288" s="4">
        <f t="shared" si="91"/>
        <v>0</v>
      </c>
      <c r="S288" s="4">
        <f>J288*2600</f>
        <v>0</v>
      </c>
    </row>
    <row r="289" spans="1:19">
      <c r="A289" s="155" t="s">
        <v>353</v>
      </c>
      <c r="B289" s="385" t="s">
        <v>352</v>
      </c>
      <c r="C289" s="233">
        <v>86</v>
      </c>
      <c r="D289" s="235"/>
      <c r="E289" s="234"/>
      <c r="F289" s="237"/>
      <c r="G289" s="236"/>
      <c r="H289" s="241"/>
      <c r="I289" s="230"/>
      <c r="J289" s="35">
        <f t="shared" si="90"/>
        <v>86</v>
      </c>
      <c r="K289" s="3">
        <f>C289*3900</f>
        <v>335400</v>
      </c>
      <c r="L289" s="294">
        <f>D289*3900</f>
        <v>0</v>
      </c>
      <c r="M289" s="299">
        <f>E289*3900</f>
        <v>0</v>
      </c>
      <c r="N289" s="282"/>
      <c r="O289" s="282"/>
      <c r="P289" s="282"/>
      <c r="R289" s="4">
        <f t="shared" si="91"/>
        <v>335400</v>
      </c>
      <c r="S289" s="4">
        <f>J289*3000</f>
        <v>258000</v>
      </c>
    </row>
    <row r="290" spans="1:19">
      <c r="A290" s="155" t="s">
        <v>651</v>
      </c>
      <c r="B290" s="385" t="s">
        <v>654</v>
      </c>
      <c r="C290" s="233">
        <v>3</v>
      </c>
      <c r="D290" s="235"/>
      <c r="E290" s="234"/>
      <c r="F290" s="237"/>
      <c r="G290" s="236"/>
      <c r="H290" s="241"/>
      <c r="I290" s="230"/>
      <c r="J290" s="35">
        <f t="shared" si="90"/>
        <v>3</v>
      </c>
      <c r="K290" s="3">
        <f>C290*6600</f>
        <v>19800</v>
      </c>
      <c r="L290" s="294">
        <f>D290*6600</f>
        <v>0</v>
      </c>
      <c r="M290" s="299">
        <f>E290*6600</f>
        <v>0</v>
      </c>
      <c r="N290" s="282"/>
      <c r="O290" s="282"/>
      <c r="P290" s="282"/>
      <c r="R290" s="4">
        <f t="shared" si="91"/>
        <v>19800</v>
      </c>
      <c r="S290" s="4">
        <f>J290*4400</f>
        <v>13200</v>
      </c>
    </row>
    <row r="291" spans="1:19">
      <c r="A291" s="155" t="s">
        <v>319</v>
      </c>
      <c r="B291" s="373"/>
      <c r="C291" s="237"/>
      <c r="D291" s="235"/>
      <c r="E291" s="234"/>
      <c r="F291" s="237"/>
      <c r="G291" s="236"/>
      <c r="H291" s="241"/>
      <c r="I291" s="241"/>
      <c r="J291" s="35">
        <f t="shared" si="90"/>
        <v>0</v>
      </c>
      <c r="K291" s="3">
        <f>C291*25000</f>
        <v>0</v>
      </c>
      <c r="L291" s="294">
        <f>D291*20000</f>
        <v>0</v>
      </c>
      <c r="M291" s="299">
        <f>E291*20000</f>
        <v>0</v>
      </c>
      <c r="N291" s="282"/>
      <c r="O291" s="282"/>
      <c r="P291" s="282"/>
      <c r="R291" s="4">
        <f t="shared" si="91"/>
        <v>0</v>
      </c>
      <c r="S291" s="4">
        <f>J291*8800</f>
        <v>0</v>
      </c>
    </row>
    <row r="292" spans="1:19">
      <c r="A292" s="155" t="s">
        <v>446</v>
      </c>
      <c r="B292" s="370" t="s">
        <v>448</v>
      </c>
      <c r="C292" s="237">
        <v>1</v>
      </c>
      <c r="D292" s="235"/>
      <c r="E292" s="234"/>
      <c r="F292" s="237"/>
      <c r="G292" s="236"/>
      <c r="H292" s="241"/>
      <c r="I292" s="241"/>
      <c r="J292" s="35">
        <f t="shared" si="90"/>
        <v>1</v>
      </c>
      <c r="K292" s="254">
        <f>C292*15000</f>
        <v>15000</v>
      </c>
      <c r="L292" s="294">
        <f>D292*10000</f>
        <v>0</v>
      </c>
      <c r="M292" s="299">
        <f>E292*10000</f>
        <v>0</v>
      </c>
      <c r="N292" s="282"/>
      <c r="O292" s="282"/>
      <c r="P292" s="282"/>
      <c r="R292" s="4">
        <f t="shared" si="91"/>
        <v>15000</v>
      </c>
      <c r="S292" s="4">
        <f>J292*4000</f>
        <v>4000</v>
      </c>
    </row>
    <row r="293" spans="1:19">
      <c r="A293" s="155" t="s">
        <v>447</v>
      </c>
      <c r="B293" s="370" t="s">
        <v>449</v>
      </c>
      <c r="C293" s="237">
        <v>1</v>
      </c>
      <c r="D293" s="235"/>
      <c r="E293" s="234"/>
      <c r="F293" s="237"/>
      <c r="G293" s="236"/>
      <c r="H293" s="241"/>
      <c r="I293" s="241"/>
      <c r="J293" s="35">
        <f t="shared" si="90"/>
        <v>1</v>
      </c>
      <c r="K293" s="254">
        <f>C293*15000</f>
        <v>15000</v>
      </c>
      <c r="L293" s="294">
        <f>D293*10000</f>
        <v>0</v>
      </c>
      <c r="M293" s="299">
        <f>E293*10000</f>
        <v>0</v>
      </c>
      <c r="N293" s="282"/>
      <c r="O293" s="282"/>
      <c r="P293" s="282"/>
      <c r="R293" s="4">
        <f t="shared" si="91"/>
        <v>15000</v>
      </c>
      <c r="S293" s="4">
        <f>J293*4000</f>
        <v>4000</v>
      </c>
    </row>
    <row r="294" spans="1:19" s="161" customFormat="1">
      <c r="A294" s="128" t="s">
        <v>320</v>
      </c>
      <c r="B294" s="385" t="s">
        <v>321</v>
      </c>
      <c r="C294" s="237"/>
      <c r="D294" s="237"/>
      <c r="E294" s="234"/>
      <c r="F294" s="237"/>
      <c r="G294" s="236"/>
      <c r="H294" s="243"/>
      <c r="I294" s="243"/>
      <c r="J294" s="35">
        <f t="shared" ref="J294:J329" si="93">SUM(C294:I294)</f>
        <v>0</v>
      </c>
      <c r="K294" s="364">
        <f>C294*30000</f>
        <v>0</v>
      </c>
      <c r="L294" s="294">
        <f>D294*25000</f>
        <v>0</v>
      </c>
      <c r="M294" s="299">
        <f>E294*25000</f>
        <v>0</v>
      </c>
      <c r="N294" s="282"/>
      <c r="O294" s="282"/>
      <c r="P294" s="282"/>
      <c r="Q294" s="160"/>
      <c r="R294" s="4">
        <f t="shared" si="91"/>
        <v>0</v>
      </c>
      <c r="S294" s="4">
        <f>J294*16500</f>
        <v>0</v>
      </c>
    </row>
    <row r="295" spans="1:19">
      <c r="A295" s="128" t="s">
        <v>322</v>
      </c>
      <c r="B295" s="385" t="s">
        <v>323</v>
      </c>
      <c r="C295" s="237"/>
      <c r="D295" s="237"/>
      <c r="E295" s="234"/>
      <c r="F295" s="237"/>
      <c r="G295" s="236"/>
      <c r="H295" s="241"/>
      <c r="I295" s="241"/>
      <c r="J295" s="35">
        <f t="shared" si="93"/>
        <v>0</v>
      </c>
      <c r="K295" s="3">
        <f>C295*24000</f>
        <v>0</v>
      </c>
      <c r="L295" s="294">
        <f>D295*20000</f>
        <v>0</v>
      </c>
      <c r="M295" s="299">
        <f>E295*18000</f>
        <v>0</v>
      </c>
      <c r="N295" s="282"/>
      <c r="O295" s="282"/>
      <c r="P295" s="282"/>
      <c r="R295" s="4">
        <f t="shared" si="91"/>
        <v>0</v>
      </c>
      <c r="S295" s="4">
        <f>J295*9945</f>
        <v>0</v>
      </c>
    </row>
    <row r="296" spans="1:19">
      <c r="A296" t="s">
        <v>364</v>
      </c>
      <c r="B296" s="666" t="s">
        <v>316</v>
      </c>
      <c r="C296" s="237"/>
      <c r="D296" s="235"/>
      <c r="E296" s="234"/>
      <c r="F296" s="230"/>
      <c r="G296" s="236"/>
      <c r="H296" s="231"/>
      <c r="I296" s="215"/>
      <c r="J296" s="35">
        <f t="shared" si="93"/>
        <v>0</v>
      </c>
      <c r="K296" s="3">
        <f>C296*25000</f>
        <v>0</v>
      </c>
      <c r="L296" s="294">
        <f>D296*25000</f>
        <v>0</v>
      </c>
      <c r="M296" s="299">
        <f>E296*25000</f>
        <v>0</v>
      </c>
      <c r="N296" s="282"/>
      <c r="O296" s="282"/>
      <c r="P296" s="282"/>
      <c r="R296" s="4">
        <f t="shared" si="91"/>
        <v>0</v>
      </c>
      <c r="S296" s="4">
        <f>J296*18000</f>
        <v>0</v>
      </c>
    </row>
    <row r="297" spans="1:19">
      <c r="A297" s="128" t="s">
        <v>324</v>
      </c>
      <c r="B297" s="670"/>
      <c r="C297" s="237">
        <v>3</v>
      </c>
      <c r="D297" s="237"/>
      <c r="E297" s="234"/>
      <c r="F297" s="237"/>
      <c r="G297" s="236"/>
      <c r="H297" s="241"/>
      <c r="I297" s="241"/>
      <c r="J297" s="35">
        <f t="shared" si="93"/>
        <v>3</v>
      </c>
      <c r="K297" s="254">
        <f>C297*10000</f>
        <v>30000</v>
      </c>
      <c r="L297" s="294"/>
      <c r="M297" s="299"/>
      <c r="N297" s="282"/>
      <c r="O297" s="282"/>
      <c r="P297" s="282"/>
      <c r="R297" s="4">
        <f t="shared" si="91"/>
        <v>30000</v>
      </c>
      <c r="S297" s="4">
        <f>J297*9000</f>
        <v>27000</v>
      </c>
    </row>
    <row r="298" spans="1:19">
      <c r="A298" s="128" t="s">
        <v>325</v>
      </c>
      <c r="B298" s="670"/>
      <c r="C298" s="237"/>
      <c r="D298" s="237"/>
      <c r="E298" s="234"/>
      <c r="F298" s="237"/>
      <c r="G298" s="236"/>
      <c r="H298" s="241"/>
      <c r="I298" s="241"/>
      <c r="J298" s="35">
        <f t="shared" si="93"/>
        <v>0</v>
      </c>
      <c r="K298" s="3">
        <f>C298*24000</f>
        <v>0</v>
      </c>
      <c r="L298" s="294"/>
      <c r="M298" s="299"/>
      <c r="N298" s="282"/>
      <c r="O298" s="282"/>
      <c r="P298" s="282"/>
      <c r="R298" s="4">
        <f t="shared" si="91"/>
        <v>0</v>
      </c>
      <c r="S298" s="4">
        <f>J298*18000</f>
        <v>0</v>
      </c>
    </row>
    <row r="299" spans="1:19">
      <c r="A299" s="128" t="s">
        <v>326</v>
      </c>
      <c r="B299" s="667"/>
      <c r="C299" s="237">
        <v>2</v>
      </c>
      <c r="D299" s="237"/>
      <c r="E299" s="234"/>
      <c r="F299" s="237"/>
      <c r="G299" s="236"/>
      <c r="H299" s="241"/>
      <c r="I299" s="241"/>
      <c r="J299" s="35">
        <f t="shared" si="93"/>
        <v>2</v>
      </c>
      <c r="K299" s="3">
        <f>C299*7000</f>
        <v>14000</v>
      </c>
      <c r="L299" s="294">
        <f>D299*7000</f>
        <v>0</v>
      </c>
      <c r="M299" s="299">
        <f>E299*7000</f>
        <v>0</v>
      </c>
      <c r="N299" s="282"/>
      <c r="O299" s="282"/>
      <c r="P299" s="282"/>
      <c r="R299" s="4">
        <f t="shared" si="91"/>
        <v>14000</v>
      </c>
      <c r="S299" s="4">
        <f>J299*4000</f>
        <v>8000</v>
      </c>
    </row>
    <row r="300" spans="1:19">
      <c r="A300" s="128" t="s">
        <v>745</v>
      </c>
      <c r="B300" s="598"/>
      <c r="C300" s="237"/>
      <c r="D300" s="237"/>
      <c r="E300" s="234"/>
      <c r="F300" s="237"/>
      <c r="G300" s="236"/>
      <c r="H300" s="241"/>
      <c r="I300" s="241"/>
      <c r="J300" s="35">
        <f t="shared" si="93"/>
        <v>0</v>
      </c>
      <c r="K300" s="3">
        <f>C300*10000</f>
        <v>0</v>
      </c>
      <c r="L300" s="294">
        <f>D300*10000</f>
        <v>0</v>
      </c>
      <c r="M300" s="299">
        <f>E300*10000</f>
        <v>0</v>
      </c>
      <c r="N300" s="282"/>
      <c r="O300" s="282"/>
      <c r="P300" s="282"/>
      <c r="R300" s="4">
        <f t="shared" si="91"/>
        <v>0</v>
      </c>
      <c r="S300" s="4">
        <f>J300*2664</f>
        <v>0</v>
      </c>
    </row>
    <row r="301" spans="1:19">
      <c r="A301" s="128" t="s">
        <v>442</v>
      </c>
      <c r="B301" s="386" t="s">
        <v>443</v>
      </c>
      <c r="C301" s="237">
        <v>290</v>
      </c>
      <c r="D301" s="237"/>
      <c r="E301" s="234"/>
      <c r="F301" s="237"/>
      <c r="G301" s="236"/>
      <c r="H301" s="241"/>
      <c r="I301" s="242"/>
      <c r="J301" s="35">
        <f t="shared" si="93"/>
        <v>290</v>
      </c>
      <c r="K301" s="254">
        <f t="shared" ref="K301:M302" si="94">C301*200</f>
        <v>58000</v>
      </c>
      <c r="L301" s="294">
        <f t="shared" si="94"/>
        <v>0</v>
      </c>
      <c r="M301" s="299">
        <f t="shared" si="94"/>
        <v>0</v>
      </c>
      <c r="N301" s="282"/>
      <c r="O301" s="282"/>
      <c r="P301" s="282"/>
      <c r="R301" s="4">
        <f t="shared" si="91"/>
        <v>58000</v>
      </c>
      <c r="S301" s="4">
        <f>J301*110</f>
        <v>31900</v>
      </c>
    </row>
    <row r="302" spans="1:19">
      <c r="A302" s="162" t="s">
        <v>444</v>
      </c>
      <c r="B302" s="386" t="s">
        <v>445</v>
      </c>
      <c r="C302" s="237">
        <v>30</v>
      </c>
      <c r="D302" s="237"/>
      <c r="E302" s="234"/>
      <c r="F302" s="237"/>
      <c r="G302" s="236"/>
      <c r="H302" s="241"/>
      <c r="I302" s="241"/>
      <c r="J302" s="35">
        <f t="shared" si="93"/>
        <v>30</v>
      </c>
      <c r="K302" s="254">
        <f t="shared" si="94"/>
        <v>6000</v>
      </c>
      <c r="L302" s="294">
        <f t="shared" si="94"/>
        <v>0</v>
      </c>
      <c r="M302" s="299">
        <f t="shared" si="94"/>
        <v>0</v>
      </c>
      <c r="N302" s="282"/>
      <c r="O302" s="282"/>
      <c r="P302" s="282"/>
      <c r="R302" s="4">
        <f t="shared" si="91"/>
        <v>6000</v>
      </c>
      <c r="S302" s="4">
        <f>J302*110</f>
        <v>3300</v>
      </c>
    </row>
    <row r="303" spans="1:19">
      <c r="A303" s="162" t="s">
        <v>713</v>
      </c>
      <c r="B303" s="386"/>
      <c r="C303" s="237"/>
      <c r="D303" s="237"/>
      <c r="E303" s="234"/>
      <c r="F303" s="237"/>
      <c r="G303" s="236"/>
      <c r="H303" s="241"/>
      <c r="I303" s="241"/>
      <c r="J303" s="35">
        <f t="shared" si="93"/>
        <v>0</v>
      </c>
      <c r="K303" s="254"/>
      <c r="L303" s="294"/>
      <c r="M303" s="299">
        <f>E303*150</f>
        <v>0</v>
      </c>
      <c r="N303" s="282"/>
      <c r="O303" s="282"/>
      <c r="P303" s="282"/>
      <c r="R303" s="4">
        <f t="shared" si="91"/>
        <v>0</v>
      </c>
      <c r="S303" s="4">
        <f>J303*127</f>
        <v>0</v>
      </c>
    </row>
    <row r="304" spans="1:19">
      <c r="A304" s="162" t="s">
        <v>732</v>
      </c>
      <c r="B304" s="386"/>
      <c r="C304" s="237"/>
      <c r="D304" s="237"/>
      <c r="E304" s="234">
        <v>2</v>
      </c>
      <c r="F304" s="237"/>
      <c r="G304" s="236"/>
      <c r="H304" s="241"/>
      <c r="I304" s="241"/>
      <c r="J304" s="35">
        <f t="shared" si="93"/>
        <v>2</v>
      </c>
      <c r="K304" s="254"/>
      <c r="L304" s="294"/>
      <c r="M304" s="299">
        <f>E304*15000</f>
        <v>30000</v>
      </c>
      <c r="N304" s="282"/>
      <c r="O304" s="282"/>
      <c r="P304" s="282"/>
      <c r="R304" s="4">
        <f>SUM(K304:Q304)</f>
        <v>30000</v>
      </c>
      <c r="S304" s="4">
        <f>J304*9680</f>
        <v>19360</v>
      </c>
    </row>
    <row r="305" spans="1:19">
      <c r="A305" s="128" t="s">
        <v>332</v>
      </c>
      <c r="B305" s="385" t="s">
        <v>394</v>
      </c>
      <c r="C305" s="237"/>
      <c r="D305" s="235"/>
      <c r="E305" s="234"/>
      <c r="F305" s="237"/>
      <c r="G305" s="236"/>
      <c r="H305" s="241"/>
      <c r="I305" s="241"/>
      <c r="J305" s="35">
        <f t="shared" si="93"/>
        <v>0</v>
      </c>
      <c r="K305" s="3">
        <f>C305*3000</f>
        <v>0</v>
      </c>
      <c r="L305" s="294">
        <f>D305*3000</f>
        <v>0</v>
      </c>
      <c r="M305" s="299">
        <f>E305*3000</f>
        <v>0</v>
      </c>
      <c r="N305" s="282"/>
      <c r="O305" s="282"/>
      <c r="P305" s="282"/>
      <c r="R305" s="4">
        <f t="shared" ref="R305:R329" si="95">SUM(K305:Q305)</f>
        <v>0</v>
      </c>
      <c r="S305" s="4">
        <f>J305*1320</f>
        <v>0</v>
      </c>
    </row>
    <row r="306" spans="1:19" s="3" customFormat="1">
      <c r="A306" s="155" t="s">
        <v>309</v>
      </c>
      <c r="B306" s="666" t="s">
        <v>310</v>
      </c>
      <c r="C306" s="237">
        <v>40</v>
      </c>
      <c r="D306" s="237"/>
      <c r="E306" s="234"/>
      <c r="F306" s="237"/>
      <c r="G306" s="236"/>
      <c r="H306" s="241"/>
      <c r="I306" s="240"/>
      <c r="J306" s="35">
        <f t="shared" si="93"/>
        <v>40</v>
      </c>
      <c r="K306" s="254">
        <f>C306*1100</f>
        <v>44000</v>
      </c>
      <c r="L306" s="294">
        <f>D306*850</f>
        <v>0</v>
      </c>
      <c r="M306" s="299">
        <f>E306*850</f>
        <v>0</v>
      </c>
      <c r="N306" s="282"/>
      <c r="O306" s="282"/>
      <c r="P306" s="282"/>
      <c r="Q306" s="5"/>
      <c r="R306" s="4">
        <f t="shared" si="95"/>
        <v>44000</v>
      </c>
      <c r="S306" s="4">
        <f>J306*780</f>
        <v>31200</v>
      </c>
    </row>
    <row r="307" spans="1:19" s="3" customFormat="1">
      <c r="A307" s="155" t="s">
        <v>311</v>
      </c>
      <c r="B307" s="667"/>
      <c r="C307" s="237"/>
      <c r="D307" s="237"/>
      <c r="E307" s="234"/>
      <c r="F307" s="237"/>
      <c r="G307" s="236"/>
      <c r="H307" s="241"/>
      <c r="I307" s="237"/>
      <c r="J307" s="35">
        <f t="shared" si="93"/>
        <v>0</v>
      </c>
      <c r="K307" s="254">
        <f>C307*1200</f>
        <v>0</v>
      </c>
      <c r="L307" s="294">
        <f>D307*980</f>
        <v>0</v>
      </c>
      <c r="M307" s="299">
        <f>E307*980</f>
        <v>0</v>
      </c>
      <c r="N307" s="282"/>
      <c r="O307" s="282"/>
      <c r="P307" s="282"/>
      <c r="Q307" s="5"/>
      <c r="R307" s="4">
        <f t="shared" si="95"/>
        <v>0</v>
      </c>
      <c r="S307" s="4">
        <f>J307*836</f>
        <v>0</v>
      </c>
    </row>
    <row r="308" spans="1:19" s="3" customFormat="1">
      <c r="A308" s="155" t="s">
        <v>708</v>
      </c>
      <c r="B308" s="385" t="s">
        <v>709</v>
      </c>
      <c r="C308" s="237"/>
      <c r="D308" s="237"/>
      <c r="E308" s="234"/>
      <c r="F308" s="237"/>
      <c r="G308" s="236"/>
      <c r="H308" s="241"/>
      <c r="I308" s="242"/>
      <c r="J308" s="35">
        <f t="shared" si="93"/>
        <v>0</v>
      </c>
      <c r="K308" s="254">
        <f>C308*1100</f>
        <v>0</v>
      </c>
      <c r="L308" s="294">
        <f>D308*1100</f>
        <v>0</v>
      </c>
      <c r="M308" s="299">
        <f>E308*1100</f>
        <v>0</v>
      </c>
      <c r="N308" s="282"/>
      <c r="O308" s="282"/>
      <c r="P308" s="282"/>
      <c r="Q308" s="5"/>
      <c r="R308" s="4">
        <f t="shared" si="95"/>
        <v>0</v>
      </c>
      <c r="S308" s="4">
        <f>J308*968</f>
        <v>0</v>
      </c>
    </row>
    <row r="309" spans="1:19" s="3" customFormat="1">
      <c r="A309" s="155" t="s">
        <v>450</v>
      </c>
      <c r="B309" s="671" t="s">
        <v>453</v>
      </c>
      <c r="C309" s="237"/>
      <c r="D309" s="237"/>
      <c r="E309" s="234"/>
      <c r="F309" s="237"/>
      <c r="G309" s="236"/>
      <c r="H309" s="241"/>
      <c r="I309" s="237"/>
      <c r="J309" s="35">
        <f t="shared" si="93"/>
        <v>0</v>
      </c>
      <c r="K309" s="3">
        <f t="shared" ref="K309:M311" si="96">C309*550</f>
        <v>0</v>
      </c>
      <c r="L309" s="294">
        <f t="shared" si="96"/>
        <v>0</v>
      </c>
      <c r="M309" s="299">
        <f t="shared" si="96"/>
        <v>0</v>
      </c>
      <c r="N309" s="282"/>
      <c r="O309" s="282"/>
      <c r="P309" s="282"/>
      <c r="Q309" s="5"/>
      <c r="R309" s="4">
        <f t="shared" si="95"/>
        <v>0</v>
      </c>
      <c r="S309" s="4">
        <f>J309*389</f>
        <v>0</v>
      </c>
    </row>
    <row r="310" spans="1:19" s="3" customFormat="1">
      <c r="A310" s="155" t="s">
        <v>451</v>
      </c>
      <c r="B310" s="672"/>
      <c r="C310" s="237"/>
      <c r="D310" s="237"/>
      <c r="E310" s="234"/>
      <c r="F310" s="237"/>
      <c r="G310" s="236"/>
      <c r="H310" s="241"/>
      <c r="I310" s="237"/>
      <c r="J310" s="35">
        <f t="shared" si="93"/>
        <v>0</v>
      </c>
      <c r="K310" s="3">
        <f t="shared" si="96"/>
        <v>0</v>
      </c>
      <c r="L310" s="294">
        <f t="shared" si="96"/>
        <v>0</v>
      </c>
      <c r="M310" s="299">
        <f t="shared" si="96"/>
        <v>0</v>
      </c>
      <c r="N310" s="282"/>
      <c r="O310" s="282"/>
      <c r="P310" s="282"/>
      <c r="Q310" s="5"/>
      <c r="R310" s="4">
        <f t="shared" si="95"/>
        <v>0</v>
      </c>
      <c r="S310" s="4">
        <f>J310*389</f>
        <v>0</v>
      </c>
    </row>
    <row r="311" spans="1:19" s="3" customFormat="1">
      <c r="A311" s="155" t="s">
        <v>452</v>
      </c>
      <c r="B311" s="673"/>
      <c r="C311" s="237"/>
      <c r="D311" s="237"/>
      <c r="E311" s="234"/>
      <c r="F311" s="237"/>
      <c r="G311" s="236"/>
      <c r="H311" s="241"/>
      <c r="I311" s="237"/>
      <c r="J311" s="35">
        <f t="shared" si="93"/>
        <v>0</v>
      </c>
      <c r="K311" s="3">
        <f t="shared" si="96"/>
        <v>0</v>
      </c>
      <c r="L311" s="294">
        <f t="shared" si="96"/>
        <v>0</v>
      </c>
      <c r="M311" s="299">
        <f t="shared" si="96"/>
        <v>0</v>
      </c>
      <c r="N311" s="282"/>
      <c r="O311" s="282"/>
      <c r="P311" s="282"/>
      <c r="Q311" s="5"/>
      <c r="R311" s="4">
        <f t="shared" si="95"/>
        <v>0</v>
      </c>
      <c r="S311" s="4">
        <f>J311*389</f>
        <v>0</v>
      </c>
    </row>
    <row r="312" spans="1:19" s="3" customFormat="1">
      <c r="A312" s="155" t="s">
        <v>496</v>
      </c>
      <c r="B312" s="387" t="s">
        <v>507</v>
      </c>
      <c r="C312" s="237">
        <v>3</v>
      </c>
      <c r="D312" s="235"/>
      <c r="E312" s="234"/>
      <c r="F312" s="237"/>
      <c r="G312" s="236"/>
      <c r="H312" s="241"/>
      <c r="I312" s="242"/>
      <c r="J312" s="35">
        <f t="shared" si="93"/>
        <v>3</v>
      </c>
      <c r="K312" s="254">
        <f>C312*2500</f>
        <v>7500</v>
      </c>
      <c r="L312" s="294">
        <f>D312*2500</f>
        <v>0</v>
      </c>
      <c r="M312" s="299">
        <f>E312*2500</f>
        <v>0</v>
      </c>
      <c r="N312" s="282"/>
      <c r="O312" s="282"/>
      <c r="P312" s="282"/>
      <c r="Q312" s="5"/>
      <c r="R312" s="4">
        <f t="shared" si="95"/>
        <v>7500</v>
      </c>
      <c r="S312" s="4">
        <f>J312*1412</f>
        <v>4236</v>
      </c>
    </row>
    <row r="313" spans="1:19" s="3" customFormat="1">
      <c r="A313" s="155" t="s">
        <v>513</v>
      </c>
      <c r="B313" s="386" t="s">
        <v>514</v>
      </c>
      <c r="C313" s="237">
        <v>100</v>
      </c>
      <c r="D313" s="237"/>
      <c r="E313" s="234"/>
      <c r="F313" s="237"/>
      <c r="G313" s="236"/>
      <c r="H313" s="241"/>
      <c r="I313" s="242">
        <v>75</v>
      </c>
      <c r="J313" s="35">
        <f t="shared" si="93"/>
        <v>175</v>
      </c>
      <c r="K313" s="254">
        <f>C313*110</f>
        <v>11000</v>
      </c>
      <c r="L313" s="294"/>
      <c r="M313" s="299"/>
      <c r="N313" s="282"/>
      <c r="O313" s="282"/>
      <c r="P313" s="282"/>
      <c r="Q313" s="5"/>
      <c r="R313" s="4">
        <f t="shared" si="95"/>
        <v>11000</v>
      </c>
      <c r="S313" s="4">
        <f>J313*60</f>
        <v>10500</v>
      </c>
    </row>
    <row r="314" spans="1:19" s="3" customFormat="1">
      <c r="A314" s="155" t="s">
        <v>611</v>
      </c>
      <c r="B314" s="386" t="s">
        <v>604</v>
      </c>
      <c r="C314" s="237"/>
      <c r="D314" s="237"/>
      <c r="E314" s="234"/>
      <c r="F314" s="237"/>
      <c r="G314" s="236"/>
      <c r="H314" s="241"/>
      <c r="I314" s="242"/>
      <c r="J314" s="35">
        <f t="shared" si="93"/>
        <v>0</v>
      </c>
      <c r="K314" s="254">
        <f>C314*75000</f>
        <v>0</v>
      </c>
      <c r="L314" s="294"/>
      <c r="M314" s="299"/>
      <c r="N314" s="282"/>
      <c r="O314" s="282"/>
      <c r="P314" s="282"/>
      <c r="Q314" s="5"/>
      <c r="R314" s="4">
        <f t="shared" si="95"/>
        <v>0</v>
      </c>
      <c r="S314" s="4">
        <f>J314*27500</f>
        <v>0</v>
      </c>
    </row>
    <row r="315" spans="1:19" s="3" customFormat="1">
      <c r="A315" s="155" t="s">
        <v>609</v>
      </c>
      <c r="B315" s="671" t="s">
        <v>603</v>
      </c>
      <c r="C315" s="237"/>
      <c r="D315" s="237"/>
      <c r="E315" s="234"/>
      <c r="F315" s="237"/>
      <c r="G315" s="236"/>
      <c r="H315" s="241"/>
      <c r="I315" s="242"/>
      <c r="J315" s="35">
        <f t="shared" si="93"/>
        <v>0</v>
      </c>
      <c r="K315" s="254">
        <f>C315*120000</f>
        <v>0</v>
      </c>
      <c r="L315" s="294"/>
      <c r="M315" s="299"/>
      <c r="N315" s="282"/>
      <c r="O315" s="282"/>
      <c r="P315" s="282"/>
      <c r="Q315" s="5"/>
      <c r="R315" s="4">
        <f t="shared" si="95"/>
        <v>0</v>
      </c>
      <c r="S315" s="4">
        <f>J315*59400</f>
        <v>0</v>
      </c>
    </row>
    <row r="316" spans="1:19" s="3" customFormat="1">
      <c r="A316" s="155" t="s">
        <v>610</v>
      </c>
      <c r="B316" s="673"/>
      <c r="C316" s="237"/>
      <c r="D316" s="237"/>
      <c r="E316" s="234"/>
      <c r="F316" s="237"/>
      <c r="G316" s="236"/>
      <c r="H316" s="241"/>
      <c r="I316" s="242"/>
      <c r="J316" s="35">
        <f t="shared" si="93"/>
        <v>0</v>
      </c>
      <c r="K316" s="254">
        <f>C316*75000</f>
        <v>0</v>
      </c>
      <c r="L316" s="294"/>
      <c r="M316" s="299"/>
      <c r="N316" s="282"/>
      <c r="O316" s="282"/>
      <c r="P316" s="282"/>
      <c r="Q316" s="5"/>
      <c r="R316" s="4">
        <f t="shared" si="95"/>
        <v>0</v>
      </c>
      <c r="S316" s="4">
        <f>J316*33000</f>
        <v>0</v>
      </c>
    </row>
    <row r="317" spans="1:19" s="3" customFormat="1">
      <c r="A317" s="155" t="s">
        <v>596</v>
      </c>
      <c r="B317" s="386" t="s">
        <v>605</v>
      </c>
      <c r="C317" s="237"/>
      <c r="D317" s="237"/>
      <c r="E317" s="234"/>
      <c r="F317" s="237"/>
      <c r="G317" s="236"/>
      <c r="H317" s="241"/>
      <c r="I317" s="242"/>
      <c r="J317" s="35">
        <f t="shared" si="93"/>
        <v>0</v>
      </c>
      <c r="K317" s="254">
        <f>C317*35000</f>
        <v>0</v>
      </c>
      <c r="L317" s="294"/>
      <c r="M317" s="299"/>
      <c r="N317" s="282"/>
      <c r="O317" s="282"/>
      <c r="P317" s="282"/>
      <c r="Q317" s="5"/>
      <c r="R317" s="4">
        <f t="shared" si="95"/>
        <v>0</v>
      </c>
      <c r="S317" s="4">
        <f>J317*15400</f>
        <v>0</v>
      </c>
    </row>
    <row r="318" spans="1:19" s="3" customFormat="1">
      <c r="A318" s="155" t="s">
        <v>606</v>
      </c>
      <c r="B318" s="671" t="s">
        <v>607</v>
      </c>
      <c r="C318" s="237"/>
      <c r="D318" s="237"/>
      <c r="E318" s="234"/>
      <c r="F318" s="237"/>
      <c r="G318" s="236"/>
      <c r="H318" s="241"/>
      <c r="I318" s="242"/>
      <c r="J318" s="35">
        <f t="shared" si="93"/>
        <v>0</v>
      </c>
      <c r="K318" s="254">
        <f>C318*36000</f>
        <v>0</v>
      </c>
      <c r="L318" s="294"/>
      <c r="M318" s="299"/>
      <c r="N318" s="282"/>
      <c r="O318" s="282"/>
      <c r="P318" s="282"/>
      <c r="Q318" s="5"/>
      <c r="R318" s="4">
        <f t="shared" si="95"/>
        <v>0</v>
      </c>
      <c r="S318" s="4">
        <f>J318*12000</f>
        <v>0</v>
      </c>
    </row>
    <row r="319" spans="1:19" s="3" customFormat="1">
      <c r="A319" s="155" t="s">
        <v>608</v>
      </c>
      <c r="B319" s="673"/>
      <c r="C319" s="237"/>
      <c r="D319" s="237"/>
      <c r="E319" s="234"/>
      <c r="F319" s="237"/>
      <c r="G319" s="236"/>
      <c r="H319" s="241"/>
      <c r="I319" s="242"/>
      <c r="J319" s="35">
        <f t="shared" si="93"/>
        <v>0</v>
      </c>
      <c r="K319" s="254">
        <f>C319*81000</f>
        <v>0</v>
      </c>
      <c r="L319" s="294"/>
      <c r="M319" s="299"/>
      <c r="N319" s="282"/>
      <c r="O319" s="282"/>
      <c r="P319" s="282"/>
      <c r="Q319" s="5"/>
      <c r="R319" s="4">
        <f t="shared" si="95"/>
        <v>0</v>
      </c>
      <c r="S319" s="4">
        <f>J319*34000</f>
        <v>0</v>
      </c>
    </row>
    <row r="320" spans="1:19" s="3" customFormat="1">
      <c r="A320" s="155" t="s">
        <v>730</v>
      </c>
      <c r="B320" s="386" t="s">
        <v>602</v>
      </c>
      <c r="C320" s="237"/>
      <c r="D320" s="237"/>
      <c r="E320" s="234"/>
      <c r="F320" s="237"/>
      <c r="G320" s="236"/>
      <c r="H320" s="241"/>
      <c r="I320" s="242"/>
      <c r="J320" s="35">
        <f t="shared" si="93"/>
        <v>0</v>
      </c>
      <c r="K320" s="254">
        <f>C320*72000</f>
        <v>0</v>
      </c>
      <c r="L320" s="294"/>
      <c r="M320" s="299"/>
      <c r="N320" s="282"/>
      <c r="O320" s="282"/>
      <c r="P320" s="282"/>
      <c r="Q320" s="5"/>
      <c r="R320" s="4">
        <f t="shared" si="95"/>
        <v>0</v>
      </c>
      <c r="S320" s="4">
        <f>J320*12000</f>
        <v>0</v>
      </c>
    </row>
    <row r="321" spans="1:19" s="3" customFormat="1">
      <c r="A321" s="155" t="s">
        <v>600</v>
      </c>
      <c r="B321" s="386" t="s">
        <v>601</v>
      </c>
      <c r="C321" s="237"/>
      <c r="D321" s="237"/>
      <c r="E321" s="234"/>
      <c r="F321" s="237"/>
      <c r="G321" s="236"/>
      <c r="H321" s="241"/>
      <c r="I321" s="242"/>
      <c r="J321" s="35">
        <f t="shared" si="93"/>
        <v>0</v>
      </c>
      <c r="K321" s="254">
        <f>C321*81000</f>
        <v>0</v>
      </c>
      <c r="L321" s="294"/>
      <c r="M321" s="299"/>
      <c r="N321" s="282"/>
      <c r="O321" s="282"/>
      <c r="P321" s="282"/>
      <c r="Q321" s="5"/>
      <c r="R321" s="4">
        <f t="shared" si="95"/>
        <v>0</v>
      </c>
      <c r="S321" s="4">
        <f>J321*12000</f>
        <v>0</v>
      </c>
    </row>
    <row r="322" spans="1:19" s="3" customFormat="1">
      <c r="A322" s="155" t="s">
        <v>618</v>
      </c>
      <c r="B322" s="386" t="s">
        <v>619</v>
      </c>
      <c r="C322" s="237">
        <v>20</v>
      </c>
      <c r="D322" s="237"/>
      <c r="E322" s="234"/>
      <c r="F322" s="237"/>
      <c r="G322" s="236"/>
      <c r="H322" s="241"/>
      <c r="I322" s="242"/>
      <c r="J322" s="35">
        <f t="shared" si="93"/>
        <v>20</v>
      </c>
      <c r="K322" s="254">
        <f>C322*1100</f>
        <v>22000</v>
      </c>
      <c r="L322" s="294"/>
      <c r="M322" s="299"/>
      <c r="N322" s="282"/>
      <c r="O322" s="282"/>
      <c r="P322" s="282"/>
      <c r="Q322" s="5"/>
      <c r="R322" s="4">
        <f t="shared" si="95"/>
        <v>22000</v>
      </c>
      <c r="S322" s="4">
        <f>J322*915</f>
        <v>18300</v>
      </c>
    </row>
    <row r="323" spans="1:19">
      <c r="A323" s="155" t="s">
        <v>652</v>
      </c>
      <c r="B323" s="386" t="s">
        <v>653</v>
      </c>
      <c r="C323" s="237">
        <v>18</v>
      </c>
      <c r="D323" s="237"/>
      <c r="E323" s="234"/>
      <c r="F323" s="237"/>
      <c r="G323" s="236"/>
      <c r="H323" s="241"/>
      <c r="I323" s="242"/>
      <c r="J323" s="35">
        <f t="shared" si="93"/>
        <v>18</v>
      </c>
      <c r="K323" s="225">
        <f>C323*3000</f>
        <v>54000</v>
      </c>
      <c r="L323" s="294"/>
      <c r="M323" s="299"/>
      <c r="N323" s="282"/>
      <c r="O323" s="282"/>
      <c r="P323" s="282"/>
      <c r="R323" s="4">
        <f t="shared" si="95"/>
        <v>54000</v>
      </c>
      <c r="S323" s="4">
        <f>J323*2000</f>
        <v>36000</v>
      </c>
    </row>
    <row r="324" spans="1:19">
      <c r="A324" s="128" t="s">
        <v>327</v>
      </c>
      <c r="B324" s="385" t="s">
        <v>328</v>
      </c>
      <c r="C324" s="257"/>
      <c r="D324" s="237"/>
      <c r="E324" s="234"/>
      <c r="F324" s="237"/>
      <c r="G324" s="236"/>
      <c r="H324" s="241"/>
      <c r="I324" s="241"/>
      <c r="J324" s="35">
        <f t="shared" si="93"/>
        <v>0</v>
      </c>
      <c r="K324" s="225">
        <f>C324*1000</f>
        <v>0</v>
      </c>
      <c r="L324" s="294">
        <f>D324*10000</f>
        <v>0</v>
      </c>
      <c r="M324" s="299">
        <f>E324*10000</f>
        <v>0</v>
      </c>
      <c r="N324" s="282"/>
      <c r="O324" s="282"/>
      <c r="P324" s="282"/>
      <c r="R324" s="4">
        <f t="shared" si="95"/>
        <v>0</v>
      </c>
      <c r="S324" s="4">
        <f>J324*528</f>
        <v>0</v>
      </c>
    </row>
    <row r="325" spans="1:19">
      <c r="A325" s="79" t="s">
        <v>356</v>
      </c>
      <c r="B325" s="666" t="s">
        <v>705</v>
      </c>
      <c r="C325" s="237"/>
      <c r="D325" s="237"/>
      <c r="E325" s="234"/>
      <c r="F325" s="237"/>
      <c r="G325" s="236"/>
      <c r="H325" s="241"/>
      <c r="I325" s="241"/>
      <c r="J325" s="35">
        <f t="shared" si="93"/>
        <v>0</v>
      </c>
      <c r="K325" s="3">
        <f>C325*600</f>
        <v>0</v>
      </c>
      <c r="L325" s="294">
        <f>D325*600</f>
        <v>0</v>
      </c>
      <c r="M325" s="299">
        <f>E325*600</f>
        <v>0</v>
      </c>
      <c r="N325" s="282"/>
      <c r="O325" s="282"/>
      <c r="P325" s="282"/>
      <c r="R325" s="4">
        <f t="shared" si="95"/>
        <v>0</v>
      </c>
      <c r="S325" s="4">
        <f>J325*484</f>
        <v>0</v>
      </c>
    </row>
    <row r="326" spans="1:19" s="1" customFormat="1">
      <c r="A326" s="128" t="s">
        <v>334</v>
      </c>
      <c r="B326" s="667"/>
      <c r="C326" s="237"/>
      <c r="D326" s="237"/>
      <c r="E326" s="234"/>
      <c r="F326" s="237"/>
      <c r="G326" s="236"/>
      <c r="H326" s="241"/>
      <c r="I326" s="242"/>
      <c r="J326" s="35">
        <f t="shared" si="93"/>
        <v>0</v>
      </c>
      <c r="K326" s="254">
        <f>C326*1500</f>
        <v>0</v>
      </c>
      <c r="L326" s="294">
        <f>D326*1500</f>
        <v>0</v>
      </c>
      <c r="M326" s="299">
        <f>E326*1500</f>
        <v>0</v>
      </c>
      <c r="N326" s="282"/>
      <c r="O326" s="282"/>
      <c r="P326" s="282"/>
      <c r="Q326" s="5"/>
      <c r="R326" s="4">
        <f t="shared" si="95"/>
        <v>0</v>
      </c>
      <c r="S326" s="4">
        <f>J326*1155</f>
        <v>0</v>
      </c>
    </row>
    <row r="327" spans="1:19" s="1" customFormat="1">
      <c r="A327" s="79" t="s">
        <v>330</v>
      </c>
      <c r="B327" s="385" t="s">
        <v>331</v>
      </c>
      <c r="C327" s="237"/>
      <c r="D327" s="237"/>
      <c r="E327" s="234"/>
      <c r="F327" s="237"/>
      <c r="G327" s="236"/>
      <c r="H327" s="241"/>
      <c r="I327" s="241"/>
      <c r="J327" s="35">
        <f t="shared" si="93"/>
        <v>0</v>
      </c>
      <c r="K327" s="3">
        <f>C327*1100</f>
        <v>0</v>
      </c>
      <c r="L327" s="294">
        <f>D327*110</f>
        <v>0</v>
      </c>
      <c r="M327" s="299">
        <f>E327*110</f>
        <v>0</v>
      </c>
      <c r="N327" s="282"/>
      <c r="O327" s="282"/>
      <c r="P327" s="282"/>
      <c r="Q327" s="5"/>
      <c r="R327" s="4">
        <f t="shared" si="95"/>
        <v>0</v>
      </c>
      <c r="S327" s="4">
        <f>J327*968</f>
        <v>0</v>
      </c>
    </row>
    <row r="328" spans="1:19" s="1" customFormat="1">
      <c r="A328" t="s">
        <v>358</v>
      </c>
      <c r="B328" s="385" t="s">
        <v>363</v>
      </c>
      <c r="C328" s="237"/>
      <c r="D328" s="237"/>
      <c r="E328" s="234"/>
      <c r="F328" s="237"/>
      <c r="G328" s="236"/>
      <c r="H328" s="241"/>
      <c r="I328" s="241"/>
      <c r="J328" s="35">
        <f t="shared" si="93"/>
        <v>0</v>
      </c>
      <c r="K328" s="3">
        <f>C328*88000</f>
        <v>0</v>
      </c>
      <c r="L328" s="294">
        <f>D328*88000</f>
        <v>0</v>
      </c>
      <c r="M328" s="302">
        <f>E328*88000</f>
        <v>0</v>
      </c>
      <c r="N328" s="284"/>
      <c r="O328" s="282"/>
      <c r="P328" s="282"/>
      <c r="Q328" s="5"/>
      <c r="R328" s="4">
        <f t="shared" si="95"/>
        <v>0</v>
      </c>
      <c r="S328" s="4">
        <f>J328*66000</f>
        <v>0</v>
      </c>
    </row>
    <row r="329" spans="1:19" s="1" customFormat="1">
      <c r="A329" s="128" t="s">
        <v>333</v>
      </c>
      <c r="B329" s="385" t="s">
        <v>436</v>
      </c>
      <c r="C329" s="237"/>
      <c r="D329" s="235"/>
      <c r="E329" s="234"/>
      <c r="F329" s="237"/>
      <c r="G329" s="236"/>
      <c r="H329" s="241"/>
      <c r="I329" s="241"/>
      <c r="J329" s="35">
        <f t="shared" si="93"/>
        <v>0</v>
      </c>
      <c r="K329" s="254">
        <f>C329*650</f>
        <v>0</v>
      </c>
      <c r="L329" s="294">
        <f>D329*650</f>
        <v>0</v>
      </c>
      <c r="M329" s="299">
        <f>E329*650</f>
        <v>0</v>
      </c>
      <c r="N329" s="282"/>
      <c r="O329" s="282"/>
      <c r="P329" s="282"/>
      <c r="Q329" s="5"/>
      <c r="R329" s="4">
        <f t="shared" si="95"/>
        <v>0</v>
      </c>
      <c r="S329" s="4">
        <f>J329*517</f>
        <v>0</v>
      </c>
    </row>
    <row r="330" spans="1:19" s="1" customFormat="1">
      <c r="A330"/>
      <c r="C330" s="2"/>
      <c r="K330" s="145">
        <f>SUM(K265:K329)</f>
        <v>4497900</v>
      </c>
      <c r="L330" s="298">
        <f>SUM(L265:L329)</f>
        <v>0</v>
      </c>
      <c r="M330" s="298">
        <f t="shared" ref="M330:S330" si="97">SUM(M265:M329)</f>
        <v>687400</v>
      </c>
      <c r="N330" s="298">
        <f t="shared" si="97"/>
        <v>0</v>
      </c>
      <c r="O330" s="298">
        <f t="shared" si="97"/>
        <v>0</v>
      </c>
      <c r="P330" s="298">
        <f t="shared" si="97"/>
        <v>0</v>
      </c>
      <c r="Q330" s="298">
        <f t="shared" si="97"/>
        <v>0</v>
      </c>
      <c r="R330" s="298">
        <f t="shared" si="97"/>
        <v>5185300</v>
      </c>
      <c r="S330" s="298">
        <f t="shared" si="97"/>
        <v>2468081</v>
      </c>
    </row>
    <row r="331" spans="1:19" s="244" customFormat="1">
      <c r="B331" s="245"/>
      <c r="C331" s="113"/>
      <c r="D331" s="274"/>
      <c r="E331" s="407"/>
      <c r="F331" s="272"/>
      <c r="G331" s="272"/>
      <c r="H331" s="272"/>
      <c r="I331" s="246"/>
      <c r="J331" s="247"/>
      <c r="K331" s="248"/>
      <c r="L331" s="248"/>
      <c r="M331" s="249"/>
      <c r="N331" s="249"/>
      <c r="O331" s="281"/>
      <c r="P331" s="250"/>
      <c r="Q331" s="251"/>
      <c r="R331" s="249"/>
      <c r="S331" s="249"/>
    </row>
    <row r="332" spans="1:19" s="244" customFormat="1">
      <c r="B332" s="245"/>
      <c r="C332" s="271"/>
      <c r="D332" s="274"/>
      <c r="E332" s="407"/>
      <c r="F332" s="272"/>
      <c r="G332" s="272"/>
      <c r="H332" s="272"/>
      <c r="I332" s="246"/>
      <c r="J332" s="247"/>
      <c r="K332" s="248"/>
      <c r="L332" s="248"/>
      <c r="M332" s="249"/>
      <c r="N332" s="249"/>
      <c r="O332" s="281"/>
      <c r="P332" s="250"/>
      <c r="Q332" s="251"/>
      <c r="R332" s="249"/>
      <c r="S332" s="249"/>
    </row>
    <row r="333" spans="1:19" s="244" customFormat="1">
      <c r="B333" s="245"/>
      <c r="C333" s="409" t="s">
        <v>380</v>
      </c>
      <c r="D333" s="409"/>
      <c r="E333" s="489" t="s">
        <v>382</v>
      </c>
      <c r="F333" s="272"/>
      <c r="G333" s="272"/>
      <c r="H333" s="272"/>
      <c r="I333" s="246"/>
      <c r="J333" s="247"/>
      <c r="K333" s="248"/>
      <c r="L333" s="248"/>
      <c r="M333" s="249"/>
      <c r="N333" s="249"/>
      <c r="O333" s="281"/>
      <c r="P333" s="250"/>
      <c r="Q333" s="251"/>
      <c r="R333" s="249"/>
      <c r="S333" s="249"/>
    </row>
    <row r="334" spans="1:19">
      <c r="D334" s="410"/>
      <c r="E334" s="408"/>
      <c r="F334" s="272"/>
      <c r="G334" s="272"/>
      <c r="H334" s="138"/>
      <c r="I334" s="138"/>
      <c r="J334" s="139"/>
      <c r="P334" s="210"/>
    </row>
    <row r="335" spans="1:19">
      <c r="A335" s="74" t="s">
        <v>483</v>
      </c>
      <c r="D335" s="410"/>
      <c r="E335" s="408"/>
      <c r="F335" s="272"/>
      <c r="G335" s="272"/>
      <c r="I335" s="20"/>
      <c r="J335" s="140"/>
      <c r="P335" s="210"/>
    </row>
    <row r="336" spans="1:19" ht="48">
      <c r="A336" s="111" t="s">
        <v>632</v>
      </c>
      <c r="B336" s="554" t="s">
        <v>711</v>
      </c>
      <c r="C336" s="410"/>
      <c r="D336" s="275"/>
      <c r="E336" s="408"/>
      <c r="F336" s="272"/>
      <c r="G336" s="272"/>
      <c r="H336" s="141"/>
      <c r="I336" s="141" t="s">
        <v>261</v>
      </c>
      <c r="J336" s="140"/>
      <c r="K336" s="28" t="s">
        <v>2</v>
      </c>
      <c r="L336" s="301"/>
      <c r="M336" s="301" t="s">
        <v>382</v>
      </c>
      <c r="N336" s="301"/>
      <c r="O336" s="279"/>
      <c r="P336" s="483"/>
      <c r="R336" s="28" t="s">
        <v>18</v>
      </c>
      <c r="S336" s="4" t="s">
        <v>19</v>
      </c>
    </row>
    <row r="337" spans="1:19" s="1" customFormat="1">
      <c r="A337" s="356" t="s">
        <v>558</v>
      </c>
      <c r="B337" s="374"/>
      <c r="C337" s="237"/>
      <c r="D337" s="234"/>
      <c r="E337" s="242"/>
      <c r="F337" s="230"/>
      <c r="G337" s="345"/>
      <c r="H337" s="80"/>
      <c r="I337" s="64"/>
      <c r="J337" s="35">
        <f t="shared" ref="J337:J378" si="98">SUM(B337:I337)</f>
        <v>0</v>
      </c>
      <c r="K337" s="3">
        <f>C337*4400</f>
        <v>0</v>
      </c>
      <c r="L337" s="302"/>
      <c r="M337" s="299"/>
      <c r="N337" s="283"/>
      <c r="O337" s="276"/>
      <c r="P337" s="482"/>
      <c r="Q337" s="5"/>
      <c r="R337" s="3">
        <f t="shared" ref="R337:R490" si="99">SUM(K337:Q337)</f>
        <v>0</v>
      </c>
      <c r="S337" s="3">
        <f>J337*1340</f>
        <v>0</v>
      </c>
    </row>
    <row r="338" spans="1:19" s="1" customFormat="1">
      <c r="A338" s="356" t="s">
        <v>655</v>
      </c>
      <c r="B338" s="568"/>
      <c r="C338" s="237"/>
      <c r="D338" s="234"/>
      <c r="E338" s="242"/>
      <c r="F338" s="230"/>
      <c r="G338" s="345"/>
      <c r="H338" s="80"/>
      <c r="I338" s="64"/>
      <c r="J338" s="35">
        <f t="shared" si="98"/>
        <v>0</v>
      </c>
      <c r="K338" s="3"/>
      <c r="L338" s="302"/>
      <c r="M338" s="299"/>
      <c r="N338" s="283"/>
      <c r="O338" s="276"/>
      <c r="P338" s="482"/>
      <c r="Q338" s="5"/>
      <c r="R338" s="3">
        <f t="shared" si="99"/>
        <v>0</v>
      </c>
      <c r="S338" s="3">
        <f>J338*1349</f>
        <v>0</v>
      </c>
    </row>
    <row r="339" spans="1:19" s="1" customFormat="1">
      <c r="A339" s="356" t="s">
        <v>685</v>
      </c>
      <c r="B339" s="568"/>
      <c r="C339" s="237"/>
      <c r="D339" s="234"/>
      <c r="E339" s="242"/>
      <c r="F339" s="230"/>
      <c r="G339" s="345"/>
      <c r="H339" s="80"/>
      <c r="I339" s="64"/>
      <c r="J339" s="35">
        <f t="shared" si="98"/>
        <v>0</v>
      </c>
      <c r="K339" s="3">
        <f>C339*60000</f>
        <v>0</v>
      </c>
      <c r="L339" s="302"/>
      <c r="M339" s="299"/>
      <c r="N339" s="283">
        <f>F339*54000</f>
        <v>0</v>
      </c>
      <c r="O339" s="276"/>
      <c r="P339" s="482"/>
      <c r="Q339" s="5"/>
      <c r="R339" s="3">
        <f t="shared" si="99"/>
        <v>0</v>
      </c>
      <c r="S339" s="3">
        <f>J339*5060</f>
        <v>0</v>
      </c>
    </row>
    <row r="340" spans="1:19" s="1" customFormat="1" ht="16.5" customHeight="1">
      <c r="A340" s="356" t="s">
        <v>658</v>
      </c>
      <c r="B340" s="674" t="s">
        <v>712</v>
      </c>
      <c r="C340" s="218"/>
      <c r="D340" s="234"/>
      <c r="E340" s="234"/>
      <c r="F340" s="191"/>
      <c r="G340" s="345"/>
      <c r="H340" s="80"/>
      <c r="I340" s="114"/>
      <c r="J340" s="35">
        <f t="shared" si="98"/>
        <v>0</v>
      </c>
      <c r="K340" s="3">
        <f>C340*VLOOKUP(A340,[1]오일단가!$A:$S,16,0)</f>
        <v>0</v>
      </c>
      <c r="L340" s="302"/>
      <c r="M340" s="299"/>
      <c r="N340" s="283">
        <f>F340*VLOOKUP(A340,[1]오일단가!$A:$S,17,0)</f>
        <v>0</v>
      </c>
      <c r="O340" s="276"/>
      <c r="P340" s="482"/>
      <c r="Q340" s="5"/>
      <c r="R340" s="3">
        <f>SUM(K340:Q340)</f>
        <v>0</v>
      </c>
      <c r="S340" s="3">
        <f>J340*2850</f>
        <v>0</v>
      </c>
    </row>
    <row r="341" spans="1:19" s="1" customFormat="1" ht="16.5" customHeight="1">
      <c r="A341" s="356" t="s">
        <v>697</v>
      </c>
      <c r="B341" s="675"/>
      <c r="C341" s="218"/>
      <c r="D341" s="234"/>
      <c r="E341" s="234"/>
      <c r="F341" s="191"/>
      <c r="G341" s="345"/>
      <c r="H341" s="80"/>
      <c r="I341" s="114"/>
      <c r="J341" s="35">
        <f t="shared" si="98"/>
        <v>0</v>
      </c>
      <c r="K341" s="3">
        <f>C341*17000</f>
        <v>0</v>
      </c>
      <c r="L341" s="302"/>
      <c r="M341" s="299"/>
      <c r="N341" s="283">
        <f>F341*15000</f>
        <v>0</v>
      </c>
      <c r="O341" s="276"/>
      <c r="P341" s="482"/>
      <c r="Q341" s="5"/>
      <c r="R341" s="3">
        <f t="shared" ref="R341:R352" si="100">SUM(K341:Q341)</f>
        <v>0</v>
      </c>
      <c r="S341" s="3">
        <f>J341*2670</f>
        <v>0</v>
      </c>
    </row>
    <row r="342" spans="1:19" s="1" customFormat="1">
      <c r="A342" s="356" t="s">
        <v>659</v>
      </c>
      <c r="B342" s="675"/>
      <c r="C342" s="237">
        <v>1</v>
      </c>
      <c r="D342" s="234"/>
      <c r="E342" s="234"/>
      <c r="F342" s="230"/>
      <c r="G342" s="345"/>
      <c r="H342" s="80"/>
      <c r="I342" s="114"/>
      <c r="J342" s="35">
        <f t="shared" si="98"/>
        <v>1</v>
      </c>
      <c r="K342" s="3">
        <f>C342*VLOOKUP(A342,[1]오일단가!$A:$S,16,0)</f>
        <v>21000</v>
      </c>
      <c r="L342" s="302"/>
      <c r="M342" s="299"/>
      <c r="N342" s="283">
        <f>F342*VLOOKUP(A342,[1]오일단가!$A:$S,17,0)</f>
        <v>0</v>
      </c>
      <c r="O342" s="276"/>
      <c r="P342" s="482"/>
      <c r="Q342" s="5"/>
      <c r="R342" s="3">
        <f t="shared" si="100"/>
        <v>21000</v>
      </c>
      <c r="S342" s="3">
        <f>J342*2870</f>
        <v>2870</v>
      </c>
    </row>
    <row r="343" spans="1:19" s="1" customFormat="1">
      <c r="A343" s="356" t="s">
        <v>686</v>
      </c>
      <c r="B343" s="675"/>
      <c r="C343" s="237"/>
      <c r="D343" s="234"/>
      <c r="E343" s="234"/>
      <c r="F343" s="230"/>
      <c r="G343" s="345"/>
      <c r="H343" s="80"/>
      <c r="I343" s="114"/>
      <c r="J343" s="35">
        <f t="shared" si="98"/>
        <v>0</v>
      </c>
      <c r="K343" s="3">
        <f>C343*16000</f>
        <v>0</v>
      </c>
      <c r="L343" s="302"/>
      <c r="M343" s="299"/>
      <c r="N343" s="283">
        <f>F343*14000</f>
        <v>0</v>
      </c>
      <c r="O343" s="276"/>
      <c r="P343" s="482"/>
      <c r="Q343" s="5"/>
      <c r="R343" s="3">
        <f t="shared" si="100"/>
        <v>0</v>
      </c>
      <c r="S343" s="3">
        <f>J343*2380</f>
        <v>0</v>
      </c>
    </row>
    <row r="344" spans="1:19" s="1" customFormat="1">
      <c r="A344" s="354" t="s">
        <v>660</v>
      </c>
      <c r="B344" s="675"/>
      <c r="C344" s="233">
        <v>3</v>
      </c>
      <c r="D344" s="242"/>
      <c r="E344" s="234"/>
      <c r="F344" s="230"/>
      <c r="G344" s="345"/>
      <c r="H344" s="80"/>
      <c r="I344" s="114"/>
      <c r="J344" s="35">
        <f t="shared" si="98"/>
        <v>3</v>
      </c>
      <c r="K344" s="3">
        <f>C344*VLOOKUP(A344,[1]오일단가!$A:$S,16,0)</f>
        <v>42000</v>
      </c>
      <c r="L344" s="302"/>
      <c r="M344" s="299"/>
      <c r="N344" s="283">
        <f>F344*VLOOKUP(A344,[1]오일단가!$A:$S,17,0)</f>
        <v>0</v>
      </c>
      <c r="O344" s="276"/>
      <c r="P344" s="482"/>
      <c r="Q344" s="5"/>
      <c r="R344" s="3">
        <f t="shared" si="100"/>
        <v>42000</v>
      </c>
      <c r="S344" s="3">
        <f>J344*2440</f>
        <v>7320</v>
      </c>
    </row>
    <row r="345" spans="1:19" s="1" customFormat="1">
      <c r="A345" s="354" t="s">
        <v>532</v>
      </c>
      <c r="B345" s="675"/>
      <c r="C345" s="233"/>
      <c r="D345" s="234"/>
      <c r="E345" s="234"/>
      <c r="F345" s="230"/>
      <c r="G345" s="345"/>
      <c r="H345" s="80"/>
      <c r="I345" s="114"/>
      <c r="J345" s="35">
        <f t="shared" si="98"/>
        <v>0</v>
      </c>
      <c r="K345" s="3">
        <f>C345*VLOOKUP(A345,[1]오일단가!$A:$S,16,0)</f>
        <v>0</v>
      </c>
      <c r="L345" s="302"/>
      <c r="M345" s="299"/>
      <c r="N345" s="283">
        <f>F345*VLOOKUP(A345,[1]오일단가!$A:$S,17,0)</f>
        <v>0</v>
      </c>
      <c r="O345" s="276"/>
      <c r="P345" s="482"/>
      <c r="Q345" s="5"/>
      <c r="R345" s="3">
        <f t="shared" si="100"/>
        <v>0</v>
      </c>
      <c r="S345" s="3">
        <f>J345*2740</f>
        <v>0</v>
      </c>
    </row>
    <row r="346" spans="1:19" s="1" customFormat="1">
      <c r="A346" s="355" t="s">
        <v>661</v>
      </c>
      <c r="B346" s="675"/>
      <c r="C346" s="233"/>
      <c r="D346" s="242"/>
      <c r="E346" s="234"/>
      <c r="F346" s="230"/>
      <c r="G346" s="345"/>
      <c r="H346" s="80"/>
      <c r="I346" s="114"/>
      <c r="J346" s="35">
        <f t="shared" si="98"/>
        <v>0</v>
      </c>
      <c r="K346" s="3">
        <f>C346*20000</f>
        <v>0</v>
      </c>
      <c r="L346" s="302"/>
      <c r="M346" s="299"/>
      <c r="N346" s="283">
        <f>F346*18000</f>
        <v>0</v>
      </c>
      <c r="O346" s="276"/>
      <c r="P346" s="482"/>
      <c r="Q346" s="5"/>
      <c r="R346" s="3">
        <f t="shared" si="100"/>
        <v>0</v>
      </c>
      <c r="S346" s="3">
        <f>J346*4940</f>
        <v>0</v>
      </c>
    </row>
    <row r="347" spans="1:19" s="1" customFormat="1">
      <c r="A347" s="354" t="s">
        <v>680</v>
      </c>
      <c r="B347" s="675"/>
      <c r="C347" s="233"/>
      <c r="D347" s="242"/>
      <c r="E347" s="234"/>
      <c r="F347" s="230"/>
      <c r="G347" s="345"/>
      <c r="H347" s="80"/>
      <c r="I347" s="114"/>
      <c r="J347" s="35">
        <f t="shared" si="98"/>
        <v>0</v>
      </c>
      <c r="K347" s="3">
        <f>C347*VLOOKUP(A347,[1]오일단가!$A:$S,16,0)</f>
        <v>0</v>
      </c>
      <c r="L347" s="302"/>
      <c r="M347" s="299"/>
      <c r="N347" s="283">
        <f>F347*VLOOKUP(A347,[1]오일단가!$A:$S,17,0)</f>
        <v>0</v>
      </c>
      <c r="O347" s="276"/>
      <c r="P347" s="482"/>
      <c r="Q347" s="5"/>
      <c r="R347" s="3">
        <f t="shared" si="100"/>
        <v>0</v>
      </c>
      <c r="S347" s="3">
        <f>J347*2470</f>
        <v>0</v>
      </c>
    </row>
    <row r="348" spans="1:19" s="1" customFormat="1">
      <c r="A348" s="354" t="s">
        <v>662</v>
      </c>
      <c r="B348" s="675"/>
      <c r="C348" s="233"/>
      <c r="D348" s="234"/>
      <c r="E348" s="234"/>
      <c r="F348" s="230"/>
      <c r="G348" s="345"/>
      <c r="H348" s="80"/>
      <c r="I348" s="114"/>
      <c r="J348" s="35">
        <f t="shared" si="98"/>
        <v>0</v>
      </c>
      <c r="K348" s="3">
        <f>C348*VLOOKUP(A348,[1]오일단가!$A:$S,16,0)</f>
        <v>0</v>
      </c>
      <c r="L348" s="302"/>
      <c r="M348" s="299"/>
      <c r="N348" s="283">
        <f>F348*VLOOKUP(A348,[1]오일단가!$A:$S,17,0)</f>
        <v>0</v>
      </c>
      <c r="O348" s="276"/>
      <c r="P348" s="482"/>
      <c r="Q348" s="5"/>
      <c r="R348" s="3">
        <f t="shared" si="100"/>
        <v>0</v>
      </c>
      <c r="S348" s="3">
        <f>J348*28700</f>
        <v>0</v>
      </c>
    </row>
    <row r="349" spans="1:19" s="1" customFormat="1">
      <c r="A349" s="354" t="s">
        <v>687</v>
      </c>
      <c r="B349" s="675"/>
      <c r="C349" s="233"/>
      <c r="D349" s="234"/>
      <c r="E349" s="234"/>
      <c r="F349" s="230"/>
      <c r="G349" s="345"/>
      <c r="H349" s="80"/>
      <c r="I349" s="114"/>
      <c r="J349" s="35">
        <f t="shared" si="98"/>
        <v>0</v>
      </c>
      <c r="K349" s="3">
        <f>C349*23000</f>
        <v>0</v>
      </c>
      <c r="L349" s="302"/>
      <c r="M349" s="299"/>
      <c r="N349" s="283">
        <f>F349*21000</f>
        <v>0</v>
      </c>
      <c r="O349" s="276"/>
      <c r="P349" s="482"/>
      <c r="Q349" s="5"/>
      <c r="R349" s="3">
        <f t="shared" si="100"/>
        <v>0</v>
      </c>
      <c r="S349" s="3">
        <f>J349*3170</f>
        <v>0</v>
      </c>
    </row>
    <row r="350" spans="1:19" s="1" customFormat="1">
      <c r="A350" s="354" t="s">
        <v>663</v>
      </c>
      <c r="B350" s="675"/>
      <c r="C350" s="233">
        <v>2</v>
      </c>
      <c r="D350" s="234"/>
      <c r="E350" s="234"/>
      <c r="F350" s="230"/>
      <c r="G350" s="345"/>
      <c r="H350" s="80"/>
      <c r="I350" s="114"/>
      <c r="J350" s="35">
        <f t="shared" si="98"/>
        <v>2</v>
      </c>
      <c r="K350" s="3">
        <f>C350*VLOOKUP(A350,[1]오일단가!$A:$S,16,0)</f>
        <v>14000</v>
      </c>
      <c r="L350" s="302"/>
      <c r="M350" s="299"/>
      <c r="N350" s="283">
        <f>F350*VLOOKUP(A350,[1]오일단가!$A:$S,17,0)</f>
        <v>0</v>
      </c>
      <c r="O350" s="276"/>
      <c r="P350" s="482"/>
      <c r="Q350" s="5"/>
      <c r="R350" s="3">
        <f t="shared" si="100"/>
        <v>14000</v>
      </c>
      <c r="S350" s="3">
        <f>J350*2300</f>
        <v>4600</v>
      </c>
    </row>
    <row r="351" spans="1:19" s="1" customFormat="1">
      <c r="A351" s="354" t="s">
        <v>664</v>
      </c>
      <c r="B351" s="675"/>
      <c r="C351" s="233"/>
      <c r="D351" s="234"/>
      <c r="E351" s="234"/>
      <c r="F351" s="230"/>
      <c r="G351" s="345"/>
      <c r="H351" s="80"/>
      <c r="I351" s="114"/>
      <c r="J351" s="35">
        <f t="shared" si="98"/>
        <v>0</v>
      </c>
      <c r="K351" s="3">
        <f>C351*VLOOKUP(A351,[1]오일단가!$A:$S,16,0)</f>
        <v>0</v>
      </c>
      <c r="L351" s="302"/>
      <c r="M351" s="299"/>
      <c r="N351" s="283">
        <f>F351*VLOOKUP(A351,[1]오일단가!$A:$S,17,0)</f>
        <v>0</v>
      </c>
      <c r="O351" s="276"/>
      <c r="P351" s="482"/>
      <c r="Q351" s="5"/>
      <c r="R351" s="3">
        <f t="shared" si="100"/>
        <v>0</v>
      </c>
      <c r="S351" s="3">
        <f>J351*1920</f>
        <v>0</v>
      </c>
    </row>
    <row r="352" spans="1:19" s="1" customFormat="1">
      <c r="A352" s="356" t="s">
        <v>491</v>
      </c>
      <c r="B352" s="675"/>
      <c r="C352" s="218"/>
      <c r="D352" s="234"/>
      <c r="E352" s="234"/>
      <c r="F352" s="191"/>
      <c r="G352" s="195"/>
      <c r="H352" s="80"/>
      <c r="I352" s="114"/>
      <c r="J352" s="35">
        <f t="shared" si="98"/>
        <v>0</v>
      </c>
      <c r="K352" s="3">
        <f>C352*VLOOKUP(A352,[1]오일단가!$A:$S,16,0)</f>
        <v>0</v>
      </c>
      <c r="L352" s="302"/>
      <c r="M352" s="299"/>
      <c r="N352" s="283">
        <f>F352*VLOOKUP(A352,[1]오일단가!$A:$S,17,0)</f>
        <v>0</v>
      </c>
      <c r="O352" s="276"/>
      <c r="P352" s="482"/>
      <c r="Q352" s="5"/>
      <c r="R352" s="3">
        <f t="shared" si="100"/>
        <v>0</v>
      </c>
      <c r="S352" s="3">
        <f>J352*5710</f>
        <v>0</v>
      </c>
    </row>
    <row r="353" spans="1:19" s="1" customFormat="1">
      <c r="A353" s="356" t="s">
        <v>542</v>
      </c>
      <c r="B353" s="675"/>
      <c r="C353" s="218"/>
      <c r="D353" s="234"/>
      <c r="E353" s="234"/>
      <c r="F353" s="191"/>
      <c r="G353" s="195"/>
      <c r="H353" s="80"/>
      <c r="I353" s="114"/>
      <c r="J353" s="35">
        <f t="shared" si="98"/>
        <v>0</v>
      </c>
      <c r="K353" s="3">
        <f>C353*VLOOKUP(A353,[1]오일단가!$A:$S,16,0)</f>
        <v>0</v>
      </c>
      <c r="L353" s="302"/>
      <c r="M353" s="299"/>
      <c r="N353" s="283">
        <f>F353*VLOOKUP(A353,[1]오일단가!$A:$S,17,0)</f>
        <v>0</v>
      </c>
      <c r="O353" s="276"/>
      <c r="P353" s="482"/>
      <c r="Q353" s="5"/>
      <c r="R353" s="3">
        <f t="shared" si="99"/>
        <v>0</v>
      </c>
      <c r="S353" s="3">
        <f>J353*4170</f>
        <v>0</v>
      </c>
    </row>
    <row r="354" spans="1:19" s="1" customFormat="1">
      <c r="A354" s="356" t="s">
        <v>533</v>
      </c>
      <c r="B354" s="675"/>
      <c r="C354" s="218">
        <v>1</v>
      </c>
      <c r="D354" s="234"/>
      <c r="E354" s="234"/>
      <c r="F354" s="191"/>
      <c r="G354" s="195"/>
      <c r="H354" s="80"/>
      <c r="I354" s="114"/>
      <c r="J354" s="35">
        <f t="shared" si="98"/>
        <v>1</v>
      </c>
      <c r="K354" s="3">
        <f>C354*VLOOKUP(A354,[1]오일단가!$A:$S,16,0)</f>
        <v>29000</v>
      </c>
      <c r="L354" s="302"/>
      <c r="M354" s="299"/>
      <c r="N354" s="283">
        <f>F354*VLOOKUP(A354,[1]오일단가!$A:$S,17,0)</f>
        <v>0</v>
      </c>
      <c r="O354" s="276"/>
      <c r="P354" s="482"/>
      <c r="Q354" s="5"/>
      <c r="R354" s="3">
        <f t="shared" si="99"/>
        <v>29000</v>
      </c>
      <c r="S354" s="3">
        <f>J354*8570</f>
        <v>8570</v>
      </c>
    </row>
    <row r="355" spans="1:19" s="1" customFormat="1">
      <c r="A355" s="356" t="s">
        <v>682</v>
      </c>
      <c r="B355" s="675"/>
      <c r="C355" s="218"/>
      <c r="D355" s="234"/>
      <c r="E355" s="234"/>
      <c r="F355" s="191"/>
      <c r="G355" s="195"/>
      <c r="H355" s="80"/>
      <c r="I355" s="114"/>
      <c r="J355" s="35">
        <f t="shared" si="98"/>
        <v>0</v>
      </c>
      <c r="K355" s="3">
        <f>C355*VLOOKUP(A355,[1]오일단가!$A:$S,16,0)</f>
        <v>0</v>
      </c>
      <c r="L355" s="302"/>
      <c r="M355" s="299"/>
      <c r="N355" s="283">
        <f>F355*VLOOKUP(A355,[1]오일단가!$A:$S,17,0)</f>
        <v>0</v>
      </c>
      <c r="O355" s="276"/>
      <c r="P355" s="482"/>
      <c r="Q355" s="5"/>
      <c r="R355" s="3">
        <f t="shared" si="99"/>
        <v>0</v>
      </c>
      <c r="S355" s="3">
        <f>J355*2260</f>
        <v>0</v>
      </c>
    </row>
    <row r="356" spans="1:19" s="1" customFormat="1">
      <c r="A356" s="354" t="s">
        <v>665</v>
      </c>
      <c r="B356" s="675"/>
      <c r="C356" s="233"/>
      <c r="D356" s="242"/>
      <c r="E356" s="234"/>
      <c r="F356" s="230"/>
      <c r="G356" s="345"/>
      <c r="H356" s="80"/>
      <c r="I356" s="114"/>
      <c r="J356" s="35">
        <f t="shared" si="98"/>
        <v>0</v>
      </c>
      <c r="K356" s="3">
        <f>C356*VLOOKUP(A356,[1]오일단가!$A:$S,16,0)</f>
        <v>0</v>
      </c>
      <c r="L356" s="302"/>
      <c r="M356" s="299"/>
      <c r="N356" s="283">
        <f>F356*VLOOKUP(A356,[1]오일단가!$A:$S,17,0)</f>
        <v>0</v>
      </c>
      <c r="O356" s="276"/>
      <c r="P356" s="482"/>
      <c r="Q356" s="5"/>
      <c r="R356" s="3">
        <f t="shared" si="99"/>
        <v>0</v>
      </c>
      <c r="S356" s="3">
        <f>J356*16916</f>
        <v>0</v>
      </c>
    </row>
    <row r="357" spans="1:19" s="1" customFormat="1">
      <c r="A357" s="356" t="s">
        <v>666</v>
      </c>
      <c r="B357" s="675"/>
      <c r="C357" s="218"/>
      <c r="D357" s="234"/>
      <c r="E357" s="234"/>
      <c r="F357" s="191"/>
      <c r="G357" s="195"/>
      <c r="H357" s="80"/>
      <c r="I357" s="114"/>
      <c r="J357" s="35">
        <f t="shared" si="98"/>
        <v>0</v>
      </c>
      <c r="K357" s="3">
        <f>C357*VLOOKUP(A357,[1]오일단가!$A:$S,16,0)</f>
        <v>0</v>
      </c>
      <c r="L357" s="302"/>
      <c r="M357" s="299"/>
      <c r="N357" s="283">
        <f>F357*VLOOKUP(A357,[1]오일단가!$A:$S,17,0)</f>
        <v>0</v>
      </c>
      <c r="O357" s="276"/>
      <c r="P357" s="482"/>
      <c r="Q357" s="5"/>
      <c r="R357" s="3">
        <f t="shared" si="99"/>
        <v>0</v>
      </c>
      <c r="S357" s="3">
        <f>J357*2470</f>
        <v>0</v>
      </c>
    </row>
    <row r="358" spans="1:19" s="1" customFormat="1">
      <c r="A358" s="356" t="s">
        <v>534</v>
      </c>
      <c r="B358" s="675"/>
      <c r="C358" s="218"/>
      <c r="D358" s="234"/>
      <c r="E358" s="234"/>
      <c r="F358" s="191"/>
      <c r="G358" s="195"/>
      <c r="H358" s="80"/>
      <c r="I358" s="114"/>
      <c r="J358" s="35">
        <f t="shared" si="98"/>
        <v>0</v>
      </c>
      <c r="K358" s="3">
        <f>C358*VLOOKUP(A358,[1]오일단가!$A:$S,16,0)</f>
        <v>0</v>
      </c>
      <c r="L358" s="302"/>
      <c r="M358" s="299"/>
      <c r="N358" s="283">
        <f>F358*VLOOKUP(A358,[1]오일단가!$A:$S,17,0)</f>
        <v>0</v>
      </c>
      <c r="O358" s="276"/>
      <c r="P358" s="482"/>
      <c r="Q358" s="5"/>
      <c r="R358" s="3">
        <f t="shared" si="99"/>
        <v>0</v>
      </c>
      <c r="S358" s="3">
        <f>J358*2160</f>
        <v>0</v>
      </c>
    </row>
    <row r="359" spans="1:19" s="1" customFormat="1">
      <c r="A359" s="356" t="s">
        <v>688</v>
      </c>
      <c r="B359" s="675"/>
      <c r="C359" s="218"/>
      <c r="D359" s="234"/>
      <c r="E359" s="234"/>
      <c r="F359" s="191"/>
      <c r="G359" s="195"/>
      <c r="H359" s="80"/>
      <c r="I359" s="114"/>
      <c r="J359" s="35">
        <f t="shared" si="98"/>
        <v>0</v>
      </c>
      <c r="K359" s="3">
        <f>C359*23000</f>
        <v>0</v>
      </c>
      <c r="L359" s="302"/>
      <c r="M359" s="299"/>
      <c r="N359" s="283">
        <f>F359*21000</f>
        <v>0</v>
      </c>
      <c r="O359" s="276"/>
      <c r="P359" s="482"/>
      <c r="Q359" s="5"/>
      <c r="R359" s="3">
        <f t="shared" si="99"/>
        <v>0</v>
      </c>
      <c r="S359" s="3">
        <f>J359*2540</f>
        <v>0</v>
      </c>
    </row>
    <row r="360" spans="1:19" s="1" customFormat="1">
      <c r="A360" s="354" t="s">
        <v>667</v>
      </c>
      <c r="B360" s="675"/>
      <c r="C360" s="233"/>
      <c r="D360" s="234"/>
      <c r="E360" s="234"/>
      <c r="F360" s="230"/>
      <c r="G360" s="345"/>
      <c r="H360" s="80"/>
      <c r="I360" s="114"/>
      <c r="J360" s="35">
        <f t="shared" si="98"/>
        <v>0</v>
      </c>
      <c r="K360" s="3">
        <f>C360*VLOOKUP(A360,[1]오일단가!$A:$S,16,0)</f>
        <v>0</v>
      </c>
      <c r="L360" s="302"/>
      <c r="M360" s="299"/>
      <c r="N360" s="283">
        <f>F360*VLOOKUP(A360,[1]오일단가!$A:$S,17,0)</f>
        <v>0</v>
      </c>
      <c r="O360" s="276"/>
      <c r="P360" s="482"/>
      <c r="Q360" s="5"/>
      <c r="R360" s="3">
        <f t="shared" si="99"/>
        <v>0</v>
      </c>
      <c r="S360" s="3">
        <f>J360*1690</f>
        <v>0</v>
      </c>
    </row>
    <row r="361" spans="1:19" s="1" customFormat="1">
      <c r="A361" s="356" t="s">
        <v>668</v>
      </c>
      <c r="B361" s="675"/>
      <c r="C361" s="218"/>
      <c r="D361" s="234"/>
      <c r="E361" s="234"/>
      <c r="F361" s="191"/>
      <c r="G361" s="195"/>
      <c r="H361" s="80"/>
      <c r="I361" s="114"/>
      <c r="J361" s="35">
        <f t="shared" si="98"/>
        <v>0</v>
      </c>
      <c r="K361" s="3">
        <f>C361*VLOOKUP(A361,[1]오일단가!$A:$S,16,0)</f>
        <v>0</v>
      </c>
      <c r="L361" s="302"/>
      <c r="M361" s="299"/>
      <c r="N361" s="283">
        <f>F361*VLOOKUP(A361,[1]오일단가!$A:$S,17,0)</f>
        <v>0</v>
      </c>
      <c r="O361" s="276"/>
      <c r="P361" s="482"/>
      <c r="Q361" s="5"/>
      <c r="R361" s="3">
        <f t="shared" si="99"/>
        <v>0</v>
      </c>
      <c r="S361" s="3">
        <f>J361*10990</f>
        <v>0</v>
      </c>
    </row>
    <row r="362" spans="1:19" s="1" customFormat="1">
      <c r="A362" s="356" t="s">
        <v>681</v>
      </c>
      <c r="B362" s="675"/>
      <c r="C362" s="218"/>
      <c r="D362" s="234"/>
      <c r="E362" s="234"/>
      <c r="F362" s="191"/>
      <c r="G362" s="195"/>
      <c r="H362" s="80"/>
      <c r="I362" s="114"/>
      <c r="J362" s="35">
        <f t="shared" si="98"/>
        <v>0</v>
      </c>
      <c r="K362" s="3">
        <f>C362*VLOOKUP(A362,[1]오일단가!$A:$S,16,0)</f>
        <v>0</v>
      </c>
      <c r="L362" s="302"/>
      <c r="M362" s="299"/>
      <c r="N362" s="283">
        <f>F362*VLOOKUP(A362,[1]오일단가!$A:$S,17,0)</f>
        <v>0</v>
      </c>
      <c r="O362" s="276"/>
      <c r="P362" s="482"/>
      <c r="Q362" s="5"/>
      <c r="R362" s="3">
        <f t="shared" si="99"/>
        <v>0</v>
      </c>
      <c r="S362" s="3">
        <f>J362*2180</f>
        <v>0</v>
      </c>
    </row>
    <row r="363" spans="1:19" s="1" customFormat="1">
      <c r="A363" s="356" t="s">
        <v>669</v>
      </c>
      <c r="B363" s="675"/>
      <c r="C363" s="218"/>
      <c r="D363" s="234"/>
      <c r="E363" s="234"/>
      <c r="F363" s="191"/>
      <c r="G363" s="195"/>
      <c r="H363" s="80"/>
      <c r="I363" s="114"/>
      <c r="J363" s="35">
        <f t="shared" si="98"/>
        <v>0</v>
      </c>
      <c r="K363" s="3">
        <f>C363*VLOOKUP(A363,[1]오일단가!$A:$S,16,0)</f>
        <v>0</v>
      </c>
      <c r="L363" s="302"/>
      <c r="M363" s="299"/>
      <c r="N363" s="283">
        <f>F363*VLOOKUP(A363,[1]오일단가!$A:$S,17,0)</f>
        <v>0</v>
      </c>
      <c r="O363" s="276"/>
      <c r="P363" s="482"/>
      <c r="Q363" s="5"/>
      <c r="R363" s="3">
        <f t="shared" si="99"/>
        <v>0</v>
      </c>
      <c r="S363" s="3">
        <f>J363*7800</f>
        <v>0</v>
      </c>
    </row>
    <row r="364" spans="1:19" s="1" customFormat="1">
      <c r="A364" s="354" t="s">
        <v>670</v>
      </c>
      <c r="B364" s="675"/>
      <c r="C364" s="233"/>
      <c r="D364" s="234"/>
      <c r="E364" s="234"/>
      <c r="F364" s="230"/>
      <c r="G364" s="345"/>
      <c r="H364" s="80"/>
      <c r="I364" s="114"/>
      <c r="J364" s="35">
        <f t="shared" si="98"/>
        <v>0</v>
      </c>
      <c r="K364" s="3">
        <f>C364*VLOOKUP(A364,[1]오일단가!$A:$S,16,0)</f>
        <v>0</v>
      </c>
      <c r="L364" s="302"/>
      <c r="M364" s="299"/>
      <c r="N364" s="283">
        <f>F364*VLOOKUP(A364,[1]오일단가!$A:$S,17,0)</f>
        <v>0</v>
      </c>
      <c r="O364" s="276"/>
      <c r="P364" s="482"/>
      <c r="Q364" s="5"/>
      <c r="R364" s="3">
        <f t="shared" si="99"/>
        <v>0</v>
      </c>
      <c r="S364" s="3">
        <f>J364*4225</f>
        <v>0</v>
      </c>
    </row>
    <row r="365" spans="1:19" s="1" customFormat="1">
      <c r="A365" s="356" t="s">
        <v>671</v>
      </c>
      <c r="B365" s="675"/>
      <c r="C365" s="218"/>
      <c r="D365" s="234"/>
      <c r="E365" s="234"/>
      <c r="F365" s="191"/>
      <c r="G365" s="195"/>
      <c r="H365" s="80"/>
      <c r="I365" s="114"/>
      <c r="J365" s="35">
        <f t="shared" si="98"/>
        <v>0</v>
      </c>
      <c r="K365" s="3">
        <f>C365*VLOOKUP(A365,[1]오일단가!$A:$S,16,0)</f>
        <v>0</v>
      </c>
      <c r="L365" s="302"/>
      <c r="M365" s="299"/>
      <c r="N365" s="283">
        <f>F365*VLOOKUP(A365,[1]오일단가!$A:$S,17,0)</f>
        <v>0</v>
      </c>
      <c r="O365" s="276"/>
      <c r="P365" s="482"/>
      <c r="Q365" s="5"/>
      <c r="R365" s="3">
        <f t="shared" si="99"/>
        <v>0</v>
      </c>
      <c r="S365" s="3">
        <f>J365*2652</f>
        <v>0</v>
      </c>
    </row>
    <row r="366" spans="1:19" s="1" customFormat="1">
      <c r="A366" s="356" t="s">
        <v>535</v>
      </c>
      <c r="B366" s="675"/>
      <c r="C366" s="218"/>
      <c r="D366" s="234"/>
      <c r="E366" s="234"/>
      <c r="F366" s="191"/>
      <c r="G366" s="195"/>
      <c r="H366" s="80"/>
      <c r="I366" s="114"/>
      <c r="J366" s="35">
        <f t="shared" si="98"/>
        <v>0</v>
      </c>
      <c r="K366" s="3">
        <f>C366*VLOOKUP(A366,[1]오일단가!$A:$S,16,0)</f>
        <v>0</v>
      </c>
      <c r="L366" s="302"/>
      <c r="M366" s="299"/>
      <c r="N366" s="283">
        <f>F366*VLOOKUP(A366,[1]오일단가!$A:$S,17,0)</f>
        <v>0</v>
      </c>
      <c r="O366" s="276"/>
      <c r="P366" s="482"/>
      <c r="Q366" s="5"/>
      <c r="R366" s="3">
        <f t="shared" si="99"/>
        <v>0</v>
      </c>
      <c r="S366" s="3">
        <f>J366*2410</f>
        <v>0</v>
      </c>
    </row>
    <row r="367" spans="1:19" s="1" customFormat="1">
      <c r="A367" s="356" t="s">
        <v>614</v>
      </c>
      <c r="B367" s="675"/>
      <c r="C367" s="218"/>
      <c r="D367" s="234"/>
      <c r="E367" s="234"/>
      <c r="F367" s="191"/>
      <c r="G367" s="195"/>
      <c r="H367" s="80"/>
      <c r="I367" s="114"/>
      <c r="J367" s="35">
        <f t="shared" si="98"/>
        <v>0</v>
      </c>
      <c r="K367" s="3">
        <f>C367*VLOOKUP(A367,[1]오일단가!$A:$S,16,0)</f>
        <v>0</v>
      </c>
      <c r="L367" s="302"/>
      <c r="M367" s="299"/>
      <c r="N367" s="283">
        <f>F367*VLOOKUP(A367,[1]오일단가!$A:$S,17,0)</f>
        <v>0</v>
      </c>
      <c r="O367" s="276"/>
      <c r="P367" s="482"/>
      <c r="Q367" s="5"/>
      <c r="R367" s="3">
        <f t="shared" si="99"/>
        <v>0</v>
      </c>
      <c r="S367" s="3">
        <f>J367*1820</f>
        <v>0</v>
      </c>
    </row>
    <row r="368" spans="1:19" s="1" customFormat="1">
      <c r="A368" s="354" t="s">
        <v>484</v>
      </c>
      <c r="B368" s="675"/>
      <c r="C368" s="233"/>
      <c r="D368" s="234"/>
      <c r="E368" s="234"/>
      <c r="F368" s="230"/>
      <c r="G368" s="345"/>
      <c r="H368" s="80"/>
      <c r="I368" s="114"/>
      <c r="J368" s="35">
        <f t="shared" si="98"/>
        <v>0</v>
      </c>
      <c r="K368" s="3">
        <f>C368*VLOOKUP(A368,[1]오일단가!$A:$S,16,0)</f>
        <v>0</v>
      </c>
      <c r="L368" s="302"/>
      <c r="M368" s="299"/>
      <c r="N368" s="283">
        <f>F368*VLOOKUP(A368,[1]오일단가!$A:$S,17,0)</f>
        <v>0</v>
      </c>
      <c r="O368" s="276"/>
      <c r="P368" s="482"/>
      <c r="Q368" s="5"/>
      <c r="R368" s="3">
        <f t="shared" si="99"/>
        <v>0</v>
      </c>
      <c r="S368" s="3">
        <f>J368*4170</f>
        <v>0</v>
      </c>
    </row>
    <row r="369" spans="1:19" s="1" customFormat="1">
      <c r="A369" s="354" t="s">
        <v>698</v>
      </c>
      <c r="B369" s="675"/>
      <c r="C369" s="233"/>
      <c r="D369" s="234"/>
      <c r="E369" s="234"/>
      <c r="F369" s="230"/>
      <c r="G369" s="345"/>
      <c r="H369" s="80"/>
      <c r="I369" s="114"/>
      <c r="J369" s="35">
        <f t="shared" si="98"/>
        <v>0</v>
      </c>
      <c r="K369" s="3">
        <f>C369*125000</f>
        <v>0</v>
      </c>
      <c r="L369" s="302"/>
      <c r="M369" s="299"/>
      <c r="N369" s="283">
        <f>F369*113000</f>
        <v>0</v>
      </c>
      <c r="O369" s="276"/>
      <c r="P369" s="482"/>
      <c r="Q369" s="5"/>
      <c r="R369" s="3">
        <f t="shared" si="99"/>
        <v>0</v>
      </c>
      <c r="S369" s="3">
        <f>J369*9020</f>
        <v>0</v>
      </c>
    </row>
    <row r="370" spans="1:19" s="1" customFormat="1">
      <c r="A370" s="354" t="s">
        <v>689</v>
      </c>
      <c r="B370" s="675"/>
      <c r="C370" s="233"/>
      <c r="D370" s="234"/>
      <c r="E370" s="234"/>
      <c r="F370" s="230"/>
      <c r="G370" s="345"/>
      <c r="H370" s="80"/>
      <c r="I370" s="114"/>
      <c r="J370" s="35">
        <f t="shared" si="98"/>
        <v>0</v>
      </c>
      <c r="K370" s="3">
        <f>C370*110000</f>
        <v>0</v>
      </c>
      <c r="L370" s="302"/>
      <c r="M370" s="299"/>
      <c r="N370" s="283">
        <f>F370*99000</f>
        <v>0</v>
      </c>
      <c r="O370" s="276"/>
      <c r="P370" s="482"/>
      <c r="Q370" s="5"/>
      <c r="R370" s="3">
        <f t="shared" si="99"/>
        <v>0</v>
      </c>
      <c r="S370" s="3">
        <f>J370*5930</f>
        <v>0</v>
      </c>
    </row>
    <row r="371" spans="1:19" s="1" customFormat="1">
      <c r="A371" s="356" t="s">
        <v>536</v>
      </c>
      <c r="B371" s="675"/>
      <c r="C371" s="218"/>
      <c r="D371" s="234"/>
      <c r="E371" s="234"/>
      <c r="F371" s="191"/>
      <c r="G371" s="195"/>
      <c r="H371" s="80"/>
      <c r="I371" s="114"/>
      <c r="J371" s="35">
        <f t="shared" si="98"/>
        <v>0</v>
      </c>
      <c r="K371" s="3">
        <f>C371*VLOOKUP(A371,[1]오일단가!$A:$S,16,0)</f>
        <v>0</v>
      </c>
      <c r="L371" s="302"/>
      <c r="M371" s="299"/>
      <c r="N371" s="283">
        <f>F371*VLOOKUP(A371,[1]오일단가!$A:$S,17,0)</f>
        <v>0</v>
      </c>
      <c r="O371" s="276"/>
      <c r="P371" s="482"/>
      <c r="Q371" s="5"/>
      <c r="R371" s="3">
        <f t="shared" si="99"/>
        <v>0</v>
      </c>
      <c r="S371" s="3">
        <f>J371*17940</f>
        <v>0</v>
      </c>
    </row>
    <row r="372" spans="1:19" s="1" customFormat="1">
      <c r="A372" s="356" t="s">
        <v>683</v>
      </c>
      <c r="B372" s="675"/>
      <c r="C372" s="218"/>
      <c r="D372" s="234"/>
      <c r="E372" s="234"/>
      <c r="F372" s="191"/>
      <c r="G372" s="195"/>
      <c r="H372" s="80"/>
      <c r="I372" s="114"/>
      <c r="J372" s="35">
        <f t="shared" si="98"/>
        <v>0</v>
      </c>
      <c r="K372" s="3">
        <f>C372*VLOOKUP(A372,[1]오일단가!$A:$S,16,0)</f>
        <v>0</v>
      </c>
      <c r="L372" s="302"/>
      <c r="M372" s="299"/>
      <c r="N372" s="283">
        <f>F372*VLOOKUP(A372,[1]오일단가!$A:$S,17,0)</f>
        <v>0</v>
      </c>
      <c r="O372" s="276"/>
      <c r="P372" s="482"/>
      <c r="Q372" s="5"/>
      <c r="R372" s="3">
        <f t="shared" si="99"/>
        <v>0</v>
      </c>
      <c r="S372" s="3">
        <f>J372*2110</f>
        <v>0</v>
      </c>
    </row>
    <row r="373" spans="1:19" s="1" customFormat="1">
      <c r="A373" s="354" t="s">
        <v>487</v>
      </c>
      <c r="B373" s="675"/>
      <c r="C373" s="233"/>
      <c r="D373" s="234"/>
      <c r="E373" s="234"/>
      <c r="F373" s="230"/>
      <c r="G373" s="345"/>
      <c r="H373" s="80"/>
      <c r="I373" s="114"/>
      <c r="J373" s="35">
        <f t="shared" si="98"/>
        <v>0</v>
      </c>
      <c r="K373" s="3">
        <f>C373*VLOOKUP(A373,[1]오일단가!$A:$S,16,0)</f>
        <v>0</v>
      </c>
      <c r="L373" s="302"/>
      <c r="M373" s="299"/>
      <c r="N373" s="283">
        <f>F373*VLOOKUP(A373,[1]오일단가!$A:$S,17,0)</f>
        <v>0</v>
      </c>
      <c r="O373" s="276"/>
      <c r="P373" s="482"/>
      <c r="Q373" s="5"/>
      <c r="R373" s="3">
        <f t="shared" si="99"/>
        <v>0</v>
      </c>
      <c r="S373" s="3">
        <f>J373*1728</f>
        <v>0</v>
      </c>
    </row>
    <row r="374" spans="1:19" s="1" customFormat="1">
      <c r="A374" s="354" t="s">
        <v>690</v>
      </c>
      <c r="B374" s="675"/>
      <c r="C374" s="233"/>
      <c r="D374" s="234"/>
      <c r="E374" s="234"/>
      <c r="F374" s="230"/>
      <c r="G374" s="345"/>
      <c r="H374" s="80"/>
      <c r="I374" s="114"/>
      <c r="J374" s="35">
        <f t="shared" si="98"/>
        <v>0</v>
      </c>
      <c r="K374" s="3">
        <f>C374*17000</f>
        <v>0</v>
      </c>
      <c r="L374" s="302"/>
      <c r="M374" s="299"/>
      <c r="N374" s="283">
        <f>F374*15000</f>
        <v>0</v>
      </c>
      <c r="O374" s="276"/>
      <c r="P374" s="482"/>
      <c r="Q374" s="5"/>
      <c r="R374" s="3">
        <f t="shared" si="99"/>
        <v>0</v>
      </c>
      <c r="S374" s="3">
        <f>J374*2620</f>
        <v>0</v>
      </c>
    </row>
    <row r="375" spans="1:19" s="1" customFormat="1">
      <c r="A375" s="354" t="s">
        <v>488</v>
      </c>
      <c r="B375" s="675"/>
      <c r="C375" s="233"/>
      <c r="D375" s="234"/>
      <c r="E375" s="234"/>
      <c r="F375" s="230"/>
      <c r="G375" s="345"/>
      <c r="H375" s="80"/>
      <c r="I375" s="114"/>
      <c r="J375" s="35">
        <f t="shared" si="98"/>
        <v>0</v>
      </c>
      <c r="K375" s="3">
        <f>C375*VLOOKUP(A375,[1]오일단가!$A:$S,16,0)</f>
        <v>0</v>
      </c>
      <c r="L375" s="302"/>
      <c r="M375" s="299"/>
      <c r="N375" s="283">
        <f>F375*VLOOKUP(A375,[1]오일단가!$A:$S,17,0)</f>
        <v>0</v>
      </c>
      <c r="O375" s="276"/>
      <c r="P375" s="482"/>
      <c r="Q375" s="5"/>
      <c r="R375" s="3">
        <f t="shared" si="99"/>
        <v>0</v>
      </c>
      <c r="S375" s="3">
        <f>J375*1996</f>
        <v>0</v>
      </c>
    </row>
    <row r="376" spans="1:19" s="1" customFormat="1">
      <c r="A376" s="354" t="s">
        <v>613</v>
      </c>
      <c r="B376" s="675"/>
      <c r="C376" s="233"/>
      <c r="D376" s="234"/>
      <c r="E376" s="234"/>
      <c r="F376" s="230"/>
      <c r="G376" s="345"/>
      <c r="H376" s="80"/>
      <c r="I376" s="114"/>
      <c r="J376" s="35">
        <f t="shared" si="98"/>
        <v>0</v>
      </c>
      <c r="K376" s="3">
        <f>C376*VLOOKUP(A376,[1]오일단가!$A:$S,16,0)</f>
        <v>0</v>
      </c>
      <c r="L376" s="302"/>
      <c r="M376" s="299"/>
      <c r="N376" s="283">
        <f>F376*VLOOKUP(A376,[1]오일단가!$A:$S,17,0)</f>
        <v>0</v>
      </c>
      <c r="O376" s="276"/>
      <c r="P376" s="482"/>
      <c r="Q376" s="5"/>
      <c r="R376" s="3">
        <f t="shared" si="99"/>
        <v>0</v>
      </c>
      <c r="S376" s="3">
        <f>J376*2080</f>
        <v>0</v>
      </c>
    </row>
    <row r="377" spans="1:19" s="1" customFormat="1">
      <c r="A377" s="356" t="s">
        <v>489</v>
      </c>
      <c r="B377" s="675"/>
      <c r="C377" s="218"/>
      <c r="D377" s="33"/>
      <c r="E377" s="33"/>
      <c r="F377" s="191"/>
      <c r="G377" s="195"/>
      <c r="H377" s="80"/>
      <c r="I377" s="114"/>
      <c r="J377" s="35">
        <f t="shared" si="98"/>
        <v>0</v>
      </c>
      <c r="K377" s="3">
        <f>C377*VLOOKUP(A377,[1]오일단가!$A:$S,16,0)</f>
        <v>0</v>
      </c>
      <c r="L377" s="302"/>
      <c r="M377" s="299"/>
      <c r="N377" s="283">
        <f>F377*VLOOKUP(A377,[1]오일단가!$A:$S,17,0)</f>
        <v>0</v>
      </c>
      <c r="O377" s="276"/>
      <c r="P377" s="482"/>
      <c r="Q377" s="5"/>
      <c r="R377" s="3">
        <f t="shared" si="99"/>
        <v>0</v>
      </c>
      <c r="S377" s="3">
        <f>J377*5556</f>
        <v>0</v>
      </c>
    </row>
    <row r="378" spans="1:19" s="1" customFormat="1">
      <c r="A378" s="356" t="s">
        <v>672</v>
      </c>
      <c r="B378" s="675"/>
      <c r="C378" s="218"/>
      <c r="D378" s="234"/>
      <c r="E378" s="234"/>
      <c r="F378" s="191"/>
      <c r="G378" s="195"/>
      <c r="H378" s="80"/>
      <c r="I378" s="114"/>
      <c r="J378" s="35">
        <f t="shared" si="98"/>
        <v>0</v>
      </c>
      <c r="K378" s="3">
        <f>C378*VLOOKUP(A378,[1]오일단가!$A:$S,16,0)</f>
        <v>0</v>
      </c>
      <c r="L378" s="302"/>
      <c r="M378" s="299"/>
      <c r="N378" s="283">
        <f>F378*VLOOKUP(A378,[1]오일단가!$A:$S,17,0)</f>
        <v>0</v>
      </c>
      <c r="O378" s="276"/>
      <c r="P378" s="482"/>
      <c r="Q378" s="5"/>
      <c r="R378" s="3">
        <f t="shared" si="99"/>
        <v>0</v>
      </c>
      <c r="S378" s="3">
        <f>J378*5480</f>
        <v>0</v>
      </c>
    </row>
    <row r="379" spans="1:19" s="1" customFormat="1">
      <c r="A379" s="354" t="s">
        <v>673</v>
      </c>
      <c r="B379" s="675"/>
      <c r="C379" s="233"/>
      <c r="D379" s="234"/>
      <c r="E379" s="234"/>
      <c r="F379" s="230"/>
      <c r="G379" s="345"/>
      <c r="H379" s="80"/>
      <c r="I379" s="114"/>
      <c r="J379" s="35">
        <f t="shared" ref="J379:J490" si="101">SUM(B379:I379)</f>
        <v>0</v>
      </c>
      <c r="K379" s="3">
        <f>C379*VLOOKUP(A379,[1]오일단가!$A:$S,16,0)</f>
        <v>0</v>
      </c>
      <c r="L379" s="302"/>
      <c r="M379" s="299"/>
      <c r="N379" s="283">
        <f>F379*VLOOKUP(A379,[1]오일단가!$A:$S,17,0)</f>
        <v>0</v>
      </c>
      <c r="O379" s="276"/>
      <c r="P379" s="482"/>
      <c r="Q379" s="5"/>
      <c r="R379" s="3">
        <f t="shared" si="99"/>
        <v>0</v>
      </c>
      <c r="S379" s="3">
        <f>J379*6700</f>
        <v>0</v>
      </c>
    </row>
    <row r="380" spans="1:19" s="1" customFormat="1">
      <c r="A380" s="356" t="s">
        <v>537</v>
      </c>
      <c r="B380" s="675"/>
      <c r="C380" s="218"/>
      <c r="D380" s="234"/>
      <c r="E380" s="234"/>
      <c r="F380" s="191"/>
      <c r="G380" s="195"/>
      <c r="H380" s="80"/>
      <c r="I380" s="114"/>
      <c r="J380" s="35">
        <f t="shared" si="101"/>
        <v>0</v>
      </c>
      <c r="K380" s="3">
        <f>C380*VLOOKUP(A380,[1]오일단가!$A:$S,16,0)</f>
        <v>0</v>
      </c>
      <c r="L380" s="302"/>
      <c r="M380" s="299"/>
      <c r="N380" s="283">
        <f>F380*VLOOKUP(A380,[1]오일단가!$A:$S,17,0)</f>
        <v>0</v>
      </c>
      <c r="O380" s="276"/>
      <c r="P380" s="482"/>
      <c r="Q380" s="5"/>
      <c r="R380" s="3">
        <f t="shared" si="99"/>
        <v>0</v>
      </c>
      <c r="S380" s="3">
        <f>J380*4225</f>
        <v>0</v>
      </c>
    </row>
    <row r="381" spans="1:19" s="1" customFormat="1">
      <c r="A381" s="356" t="s">
        <v>538</v>
      </c>
      <c r="B381" s="675"/>
      <c r="C381" s="218"/>
      <c r="D381" s="234"/>
      <c r="E381" s="234"/>
      <c r="F381" s="191"/>
      <c r="G381" s="195"/>
      <c r="H381" s="80"/>
      <c r="I381" s="114"/>
      <c r="J381" s="35">
        <f t="shared" si="101"/>
        <v>0</v>
      </c>
      <c r="K381" s="3">
        <f>C381*VLOOKUP(A381,[1]오일단가!$A:$S,16,0)</f>
        <v>0</v>
      </c>
      <c r="L381" s="302"/>
      <c r="M381" s="299"/>
      <c r="N381" s="283">
        <f>F381*VLOOKUP(A381,[1]오일단가!$A:$S,17,0)</f>
        <v>0</v>
      </c>
      <c r="O381" s="276"/>
      <c r="P381" s="482"/>
      <c r="Q381" s="5"/>
      <c r="R381" s="3">
        <f t="shared" si="99"/>
        <v>0</v>
      </c>
      <c r="S381" s="3">
        <f>J381*5380</f>
        <v>0</v>
      </c>
    </row>
    <row r="382" spans="1:19" s="1" customFormat="1">
      <c r="A382" s="356" t="s">
        <v>699</v>
      </c>
      <c r="B382" s="675"/>
      <c r="C382" s="218"/>
      <c r="D382" s="234"/>
      <c r="E382" s="234"/>
      <c r="F382" s="191"/>
      <c r="G382" s="195"/>
      <c r="H382" s="80"/>
      <c r="I382" s="114"/>
      <c r="J382" s="35">
        <f t="shared" si="101"/>
        <v>0</v>
      </c>
      <c r="K382" s="3">
        <f>C382*23000</f>
        <v>0</v>
      </c>
      <c r="L382" s="302"/>
      <c r="M382" s="299"/>
      <c r="N382" s="283">
        <f>F382*21000</f>
        <v>0</v>
      </c>
      <c r="O382" s="276"/>
      <c r="P382" s="482"/>
      <c r="Q382" s="5"/>
      <c r="R382" s="3">
        <f t="shared" si="99"/>
        <v>0</v>
      </c>
      <c r="S382" s="3">
        <f>J382*3220</f>
        <v>0</v>
      </c>
    </row>
    <row r="383" spans="1:19" s="1" customFormat="1">
      <c r="A383" s="356" t="s">
        <v>700</v>
      </c>
      <c r="B383" s="675"/>
      <c r="C383" s="218"/>
      <c r="D383" s="234"/>
      <c r="E383" s="234"/>
      <c r="F383" s="191"/>
      <c r="G383" s="195"/>
      <c r="H383" s="80"/>
      <c r="I383" s="114"/>
      <c r="J383" s="35">
        <f t="shared" si="101"/>
        <v>0</v>
      </c>
      <c r="K383" s="3">
        <f>C383*29000</f>
        <v>0</v>
      </c>
      <c r="L383" s="302"/>
      <c r="M383" s="299"/>
      <c r="N383" s="283">
        <f>F383*26000</f>
        <v>0</v>
      </c>
      <c r="O383" s="276"/>
      <c r="P383" s="482"/>
      <c r="Q383" s="5"/>
      <c r="R383" s="3">
        <f t="shared" si="99"/>
        <v>0</v>
      </c>
      <c r="S383" s="3">
        <f>J383*5340</f>
        <v>0</v>
      </c>
    </row>
    <row r="384" spans="1:19" s="1" customFormat="1">
      <c r="A384" s="356" t="s">
        <v>615</v>
      </c>
      <c r="B384" s="675"/>
      <c r="C384" s="218"/>
      <c r="D384" s="234"/>
      <c r="E384" s="234"/>
      <c r="F384" s="191"/>
      <c r="G384" s="195"/>
      <c r="H384" s="80"/>
      <c r="I384" s="114"/>
      <c r="J384" s="35">
        <f t="shared" si="101"/>
        <v>0</v>
      </c>
      <c r="K384" s="3">
        <f>C384*VLOOKUP(A384,[1]오일단가!$A:$S,16,0)</f>
        <v>0</v>
      </c>
      <c r="L384" s="302"/>
      <c r="M384" s="299"/>
      <c r="N384" s="283">
        <f>F384*VLOOKUP(A384,[1]오일단가!$A:$S,17,0)</f>
        <v>0</v>
      </c>
      <c r="O384" s="276"/>
      <c r="P384" s="482"/>
      <c r="Q384" s="5"/>
      <c r="R384" s="3">
        <f t="shared" si="99"/>
        <v>0</v>
      </c>
      <c r="S384" s="3">
        <f>J384*5600</f>
        <v>0</v>
      </c>
    </row>
    <row r="385" spans="1:19" s="1" customFormat="1">
      <c r="A385" s="356" t="s">
        <v>684</v>
      </c>
      <c r="B385" s="675"/>
      <c r="C385" s="218"/>
      <c r="D385" s="234"/>
      <c r="E385" s="234"/>
      <c r="F385" s="191"/>
      <c r="G385" s="195"/>
      <c r="H385" s="80"/>
      <c r="I385" s="114"/>
      <c r="J385" s="35">
        <f t="shared" si="101"/>
        <v>0</v>
      </c>
      <c r="K385" s="3">
        <f>C385*VLOOKUP(A385,[1]오일단가!$A:$S,16,0)</f>
        <v>0</v>
      </c>
      <c r="L385" s="302"/>
      <c r="M385" s="299"/>
      <c r="N385" s="283">
        <f>F385*VLOOKUP(A385,[1]오일단가!$A:$S,17,0)</f>
        <v>0</v>
      </c>
      <c r="O385" s="276"/>
      <c r="P385" s="482"/>
      <c r="Q385" s="5"/>
      <c r="R385" s="3">
        <f t="shared" si="99"/>
        <v>0</v>
      </c>
      <c r="S385" s="3">
        <f>J385*2570</f>
        <v>0</v>
      </c>
    </row>
    <row r="386" spans="1:19" s="1" customFormat="1">
      <c r="A386" s="356" t="s">
        <v>691</v>
      </c>
      <c r="B386" s="675"/>
      <c r="C386" s="218"/>
      <c r="D386" s="234"/>
      <c r="E386" s="234"/>
      <c r="F386" s="191"/>
      <c r="G386" s="195"/>
      <c r="H386" s="80"/>
      <c r="I386" s="114"/>
      <c r="J386" s="35">
        <f t="shared" si="101"/>
        <v>0</v>
      </c>
      <c r="K386" s="3">
        <f>C386*23000</f>
        <v>0</v>
      </c>
      <c r="L386" s="302"/>
      <c r="M386" s="299"/>
      <c r="N386" s="283">
        <f>F386*21000</f>
        <v>0</v>
      </c>
      <c r="O386" s="276"/>
      <c r="P386" s="482"/>
      <c r="Q386" s="5"/>
      <c r="R386" s="3">
        <f t="shared" si="99"/>
        <v>0</v>
      </c>
      <c r="S386" s="3">
        <f>J386*3330</f>
        <v>0</v>
      </c>
    </row>
    <row r="387" spans="1:19" s="1" customFormat="1">
      <c r="A387" s="356" t="s">
        <v>692</v>
      </c>
      <c r="B387" s="675"/>
      <c r="C387" s="218"/>
      <c r="D387" s="234"/>
      <c r="E387" s="234"/>
      <c r="F387" s="191"/>
      <c r="G387" s="195"/>
      <c r="H387" s="80"/>
      <c r="I387" s="114"/>
      <c r="J387" s="35">
        <f t="shared" si="101"/>
        <v>0</v>
      </c>
      <c r="K387" s="3">
        <f>C387*16000</f>
        <v>0</v>
      </c>
      <c r="L387" s="302"/>
      <c r="M387" s="299"/>
      <c r="N387" s="283">
        <f>F387*14000</f>
        <v>0</v>
      </c>
      <c r="O387" s="276"/>
      <c r="P387" s="482"/>
      <c r="Q387" s="5"/>
      <c r="R387" s="3">
        <f t="shared" si="99"/>
        <v>0</v>
      </c>
      <c r="S387" s="3">
        <f>J387*2090</f>
        <v>0</v>
      </c>
    </row>
    <row r="388" spans="1:19" s="1" customFormat="1">
      <c r="A388" s="356" t="s">
        <v>693</v>
      </c>
      <c r="B388" s="675"/>
      <c r="C388" s="218"/>
      <c r="D388" s="234"/>
      <c r="E388" s="234"/>
      <c r="F388" s="191"/>
      <c r="G388" s="195"/>
      <c r="H388" s="80"/>
      <c r="I388" s="114"/>
      <c r="J388" s="35">
        <f t="shared" si="101"/>
        <v>0</v>
      </c>
      <c r="K388" s="3">
        <f>C388*23000</f>
        <v>0</v>
      </c>
      <c r="L388" s="302"/>
      <c r="M388" s="299"/>
      <c r="N388" s="283">
        <f>F388*21000</f>
        <v>0</v>
      </c>
      <c r="O388" s="276"/>
      <c r="P388" s="482"/>
      <c r="Q388" s="5"/>
      <c r="R388" s="3">
        <f t="shared" si="99"/>
        <v>0</v>
      </c>
      <c r="S388" s="3">
        <f>J388*3170</f>
        <v>0</v>
      </c>
    </row>
    <row r="389" spans="1:19" s="1" customFormat="1">
      <c r="A389" s="356" t="s">
        <v>490</v>
      </c>
      <c r="B389" s="675"/>
      <c r="C389" s="218"/>
      <c r="D389" s="234"/>
      <c r="E389" s="234"/>
      <c r="F389" s="191"/>
      <c r="G389" s="195"/>
      <c r="H389" s="80"/>
      <c r="I389" s="114"/>
      <c r="J389" s="35">
        <f t="shared" si="101"/>
        <v>0</v>
      </c>
      <c r="K389" s="3">
        <f>C389*VLOOKUP(A389,[1]오일단가!$A:$S,16,0)</f>
        <v>0</v>
      </c>
      <c r="L389" s="302"/>
      <c r="M389" s="299"/>
      <c r="N389" s="283">
        <f>F389*VLOOKUP(A389,[1]오일단가!$A:$S,17,0)</f>
        <v>0</v>
      </c>
      <c r="O389" s="276"/>
      <c r="P389" s="482"/>
      <c r="Q389" s="5"/>
      <c r="R389" s="3">
        <f t="shared" si="99"/>
        <v>0</v>
      </c>
      <c r="S389" s="3">
        <f>J389*4720</f>
        <v>0</v>
      </c>
    </row>
    <row r="390" spans="1:19" s="1" customFormat="1">
      <c r="A390" s="356" t="s">
        <v>616</v>
      </c>
      <c r="B390" s="675"/>
      <c r="C390" s="218"/>
      <c r="D390" s="234"/>
      <c r="E390" s="234"/>
      <c r="F390" s="191"/>
      <c r="G390" s="195"/>
      <c r="H390" s="80"/>
      <c r="I390" s="114"/>
      <c r="J390" s="35">
        <f t="shared" si="101"/>
        <v>0</v>
      </c>
      <c r="K390" s="3">
        <f>C390*VLOOKUP(A390,[1]오일단가!$A:$S,16,0)</f>
        <v>0</v>
      </c>
      <c r="L390" s="302"/>
      <c r="M390" s="299"/>
      <c r="N390" s="283">
        <f>F390*VLOOKUP(A390,[1]오일단가!$A:$S,17,0)</f>
        <v>0</v>
      </c>
      <c r="O390" s="276"/>
      <c r="P390" s="482"/>
      <c r="Q390" s="5"/>
      <c r="R390" s="3">
        <f t="shared" si="99"/>
        <v>0</v>
      </c>
      <c r="S390" s="3">
        <f>J390*3048</f>
        <v>0</v>
      </c>
    </row>
    <row r="391" spans="1:19" s="1" customFormat="1">
      <c r="A391" s="356" t="s">
        <v>539</v>
      </c>
      <c r="B391" s="675"/>
      <c r="C391" s="218"/>
      <c r="D391" s="234"/>
      <c r="E391" s="234"/>
      <c r="F391" s="191"/>
      <c r="G391" s="195"/>
      <c r="H391" s="80"/>
      <c r="I391" s="114"/>
      <c r="J391" s="35">
        <f t="shared" si="101"/>
        <v>0</v>
      </c>
      <c r="K391" s="3">
        <f>C391*VLOOKUP(A391,[1]오일단가!$A:$S,16,0)</f>
        <v>0</v>
      </c>
      <c r="L391" s="302"/>
      <c r="M391" s="299"/>
      <c r="N391" s="283">
        <f>F391*VLOOKUP(A391,[1]오일단가!$A:$S,17,0)</f>
        <v>0</v>
      </c>
      <c r="O391" s="276"/>
      <c r="P391" s="482"/>
      <c r="Q391" s="5"/>
      <c r="R391" s="3">
        <f t="shared" si="99"/>
        <v>0</v>
      </c>
      <c r="S391" s="3">
        <f>J391*2740</f>
        <v>0</v>
      </c>
    </row>
    <row r="392" spans="1:19" s="1" customFormat="1">
      <c r="A392" s="356" t="s">
        <v>694</v>
      </c>
      <c r="B392" s="675"/>
      <c r="C392" s="218"/>
      <c r="D392" s="234"/>
      <c r="E392" s="234"/>
      <c r="F392" s="191"/>
      <c r="G392" s="195"/>
      <c r="H392" s="80"/>
      <c r="I392" s="114"/>
      <c r="J392" s="35">
        <f t="shared" si="101"/>
        <v>0</v>
      </c>
      <c r="K392" s="3">
        <f>C392*16000</f>
        <v>0</v>
      </c>
      <c r="L392" s="302"/>
      <c r="M392" s="299"/>
      <c r="N392" s="283">
        <f>F392*14000</f>
        <v>0</v>
      </c>
      <c r="O392" s="276"/>
      <c r="P392" s="482"/>
      <c r="Q392" s="5"/>
      <c r="R392" s="3">
        <f t="shared" si="99"/>
        <v>0</v>
      </c>
      <c r="S392" s="3">
        <f>J392*2160</f>
        <v>0</v>
      </c>
    </row>
    <row r="393" spans="1:19" s="1" customFormat="1">
      <c r="A393" s="354" t="s">
        <v>485</v>
      </c>
      <c r="B393" s="675"/>
      <c r="C393" s="233"/>
      <c r="D393" s="234"/>
      <c r="E393" s="234"/>
      <c r="F393" s="230"/>
      <c r="G393" s="345"/>
      <c r="H393" s="80"/>
      <c r="I393" s="114"/>
      <c r="J393" s="35">
        <f t="shared" si="101"/>
        <v>0</v>
      </c>
      <c r="K393" s="3">
        <f>C393*VLOOKUP(A393,[1]오일단가!$A:$S,16,0)</f>
        <v>0</v>
      </c>
      <c r="L393" s="302"/>
      <c r="M393" s="299"/>
      <c r="N393" s="283">
        <f>F393*VLOOKUP(A393,[1]오일단가!$A:$S,17,0)</f>
        <v>0</v>
      </c>
      <c r="O393" s="276"/>
      <c r="P393" s="482"/>
      <c r="Q393" s="5"/>
      <c r="R393" s="3">
        <f t="shared" si="99"/>
        <v>0</v>
      </c>
      <c r="S393" s="3">
        <f>J393*2060</f>
        <v>0</v>
      </c>
    </row>
    <row r="394" spans="1:19" s="1" customFormat="1">
      <c r="A394" s="356" t="s">
        <v>540</v>
      </c>
      <c r="B394" s="675"/>
      <c r="C394" s="218"/>
      <c r="D394" s="234"/>
      <c r="E394" s="234"/>
      <c r="F394" s="191"/>
      <c r="G394" s="195"/>
      <c r="H394" s="80"/>
      <c r="I394" s="114"/>
      <c r="J394" s="35">
        <f t="shared" si="101"/>
        <v>0</v>
      </c>
      <c r="K394" s="3">
        <f>C394*VLOOKUP(A394,[1]오일단가!$A:$S,16,0)</f>
        <v>0</v>
      </c>
      <c r="L394" s="302"/>
      <c r="M394" s="299"/>
      <c r="N394" s="283">
        <f>F394*VLOOKUP(A394,[1]오일단가!$A:$S,17,0)</f>
        <v>0</v>
      </c>
      <c r="O394" s="276"/>
      <c r="P394" s="482"/>
      <c r="Q394" s="5"/>
      <c r="R394" s="3">
        <f t="shared" si="99"/>
        <v>0</v>
      </c>
      <c r="S394" s="3">
        <f>J394*3730</f>
        <v>0</v>
      </c>
    </row>
    <row r="395" spans="1:19" s="1" customFormat="1">
      <c r="A395" s="356" t="s">
        <v>656</v>
      </c>
      <c r="B395" s="675"/>
      <c r="C395" s="218"/>
      <c r="D395" s="234"/>
      <c r="E395" s="234"/>
      <c r="F395" s="191"/>
      <c r="G395" s="195"/>
      <c r="H395" s="80"/>
      <c r="I395" s="114"/>
      <c r="J395" s="35">
        <f t="shared" si="101"/>
        <v>0</v>
      </c>
      <c r="K395" s="3">
        <f>C395*VLOOKUP(A395,[1]오일단가!$A:$S,16,0)</f>
        <v>0</v>
      </c>
      <c r="L395" s="302"/>
      <c r="M395" s="299"/>
      <c r="N395" s="283">
        <f>F395*VLOOKUP(A395,[1]오일단가!$A:$S,17,0)</f>
        <v>0</v>
      </c>
      <c r="O395" s="276"/>
      <c r="P395" s="482"/>
      <c r="Q395" s="5"/>
      <c r="R395" s="3">
        <f t="shared" si="99"/>
        <v>0</v>
      </c>
      <c r="S395" s="3">
        <f>J395*2360</f>
        <v>0</v>
      </c>
    </row>
    <row r="396" spans="1:19" s="1" customFormat="1">
      <c r="A396" s="354" t="s">
        <v>486</v>
      </c>
      <c r="B396" s="675"/>
      <c r="C396" s="233">
        <v>1</v>
      </c>
      <c r="D396" s="234"/>
      <c r="E396" s="234"/>
      <c r="F396" s="230"/>
      <c r="G396" s="345"/>
      <c r="H396" s="80"/>
      <c r="I396" s="114"/>
      <c r="J396" s="35">
        <f t="shared" si="101"/>
        <v>1</v>
      </c>
      <c r="K396" s="3">
        <f>C396*VLOOKUP(A396,[1]오일단가!$A:$S,16,0)</f>
        <v>10000</v>
      </c>
      <c r="L396" s="302"/>
      <c r="M396" s="299"/>
      <c r="N396" s="283">
        <f>F396*VLOOKUP(A396,[1]오일단가!$A:$S,17,0)</f>
        <v>0</v>
      </c>
      <c r="O396" s="276"/>
      <c r="P396" s="482"/>
      <c r="Q396" s="5"/>
      <c r="R396" s="3">
        <f t="shared" si="99"/>
        <v>10000</v>
      </c>
      <c r="S396" s="3">
        <f>J396*1790</f>
        <v>1790</v>
      </c>
    </row>
    <row r="397" spans="1:19" s="1" customFormat="1">
      <c r="A397" s="356" t="s">
        <v>541</v>
      </c>
      <c r="B397" s="675"/>
      <c r="C397" s="218"/>
      <c r="D397" s="234"/>
      <c r="E397" s="234"/>
      <c r="F397" s="191"/>
      <c r="G397" s="195"/>
      <c r="H397" s="80"/>
      <c r="I397" s="114"/>
      <c r="J397" s="35">
        <f t="shared" si="101"/>
        <v>0</v>
      </c>
      <c r="K397" s="3">
        <f>C397*VLOOKUP(A397,[1]오일단가!$A:$S,16,0)</f>
        <v>0</v>
      </c>
      <c r="L397" s="302"/>
      <c r="M397" s="299"/>
      <c r="N397" s="283">
        <f>F397*VLOOKUP(A397,[1]오일단가!$A:$S,17,0)</f>
        <v>0</v>
      </c>
      <c r="O397" s="276"/>
      <c r="P397" s="482"/>
      <c r="Q397" s="5"/>
      <c r="R397" s="3">
        <f t="shared" si="99"/>
        <v>0</v>
      </c>
      <c r="S397" s="3">
        <f>J397*4060</f>
        <v>0</v>
      </c>
    </row>
    <row r="398" spans="1:19" s="1" customFormat="1">
      <c r="A398" s="356" t="s">
        <v>543</v>
      </c>
      <c r="B398" s="675"/>
      <c r="C398" s="218"/>
      <c r="D398" s="234"/>
      <c r="E398" s="234"/>
      <c r="F398" s="191"/>
      <c r="G398" s="195"/>
      <c r="H398" s="80"/>
      <c r="I398" s="114"/>
      <c r="J398" s="35">
        <f t="shared" si="101"/>
        <v>0</v>
      </c>
      <c r="K398" s="3">
        <f>C398*VLOOKUP(A398,[1]오일단가!$A:$S,16,0)</f>
        <v>0</v>
      </c>
      <c r="L398" s="302"/>
      <c r="M398" s="299"/>
      <c r="N398" s="283">
        <f>F398*VLOOKUP(A398,[1]오일단가!$A:$S,17,0)</f>
        <v>0</v>
      </c>
      <c r="O398" s="276"/>
      <c r="P398" s="482"/>
      <c r="Q398" s="5"/>
      <c r="R398" s="3">
        <f t="shared" si="99"/>
        <v>0</v>
      </c>
      <c r="S398" s="3">
        <f>J398*7690</f>
        <v>0</v>
      </c>
    </row>
    <row r="399" spans="1:19" s="1" customFormat="1">
      <c r="A399" s="356" t="s">
        <v>617</v>
      </c>
      <c r="B399" s="675"/>
      <c r="C399" s="218"/>
      <c r="D399" s="234"/>
      <c r="E399" s="234"/>
      <c r="F399" s="191"/>
      <c r="G399" s="195"/>
      <c r="H399" s="80"/>
      <c r="I399" s="114"/>
      <c r="J399" s="35">
        <f t="shared" si="101"/>
        <v>0</v>
      </c>
      <c r="K399" s="3">
        <f>C399*VLOOKUP(A399,[1]오일단가!$A:$S,16,0)</f>
        <v>0</v>
      </c>
      <c r="L399" s="302"/>
      <c r="M399" s="299"/>
      <c r="N399" s="283">
        <f>F399*VLOOKUP(A399,[1]오일단가!$A:$S,17,0)</f>
        <v>0</v>
      </c>
      <c r="O399" s="276"/>
      <c r="P399" s="482"/>
      <c r="Q399" s="5"/>
      <c r="R399" s="3">
        <f t="shared" si="99"/>
        <v>0</v>
      </c>
      <c r="S399" s="3">
        <f>J399*3730</f>
        <v>0</v>
      </c>
    </row>
    <row r="400" spans="1:19" s="1" customFormat="1">
      <c r="A400" s="356" t="s">
        <v>674</v>
      </c>
      <c r="B400" s="675"/>
      <c r="C400" s="233">
        <v>1</v>
      </c>
      <c r="D400" s="234"/>
      <c r="E400" s="234"/>
      <c r="F400" s="230"/>
      <c r="G400" s="345"/>
      <c r="H400" s="80"/>
      <c r="I400" s="114"/>
      <c r="J400" s="35">
        <f t="shared" si="101"/>
        <v>1</v>
      </c>
      <c r="K400" s="3">
        <f>C400*VLOOKUP(A400,[1]오일단가!$A:$S,16,0)</f>
        <v>24000</v>
      </c>
      <c r="L400" s="302"/>
      <c r="M400" s="299"/>
      <c r="N400" s="283">
        <f>F400*VLOOKUP(A400,[1]오일단가!$A:$S,17,0)</f>
        <v>0</v>
      </c>
      <c r="O400" s="276"/>
      <c r="P400" s="482"/>
      <c r="Q400" s="5"/>
      <c r="R400" s="3">
        <f t="shared" si="99"/>
        <v>24000</v>
      </c>
      <c r="S400" s="3">
        <f>J400*5160</f>
        <v>5160</v>
      </c>
    </row>
    <row r="401" spans="1:19" s="1" customFormat="1">
      <c r="A401" s="356" t="s">
        <v>695</v>
      </c>
      <c r="B401" s="675"/>
      <c r="C401" s="233"/>
      <c r="D401" s="234"/>
      <c r="E401" s="234"/>
      <c r="F401" s="230"/>
      <c r="G401" s="345"/>
      <c r="H401" s="80"/>
      <c r="I401" s="114"/>
      <c r="J401" s="35">
        <f t="shared" si="101"/>
        <v>0</v>
      </c>
      <c r="K401" s="3">
        <f>C401*125000</f>
        <v>0</v>
      </c>
      <c r="L401" s="302"/>
      <c r="M401" s="299"/>
      <c r="N401" s="283">
        <f>F401*113000</f>
        <v>0</v>
      </c>
      <c r="O401" s="276"/>
      <c r="P401" s="482"/>
      <c r="Q401" s="5"/>
      <c r="R401" s="3">
        <f t="shared" si="99"/>
        <v>0</v>
      </c>
      <c r="S401" s="3">
        <f>J401*3640</f>
        <v>0</v>
      </c>
    </row>
    <row r="402" spans="1:19" s="1" customFormat="1">
      <c r="A402" s="356" t="s">
        <v>696</v>
      </c>
      <c r="B402" s="675"/>
      <c r="C402" s="233"/>
      <c r="D402" s="234"/>
      <c r="E402" s="234"/>
      <c r="F402" s="230"/>
      <c r="G402" s="345"/>
      <c r="H402" s="80"/>
      <c r="I402" s="114"/>
      <c r="J402" s="35">
        <f t="shared" si="101"/>
        <v>0</v>
      </c>
      <c r="K402" s="3">
        <f>C402*23000</f>
        <v>0</v>
      </c>
      <c r="L402" s="302"/>
      <c r="M402" s="299"/>
      <c r="N402" s="283">
        <f>F402*21000</f>
        <v>0</v>
      </c>
      <c r="O402" s="276"/>
      <c r="P402" s="482"/>
      <c r="Q402" s="5"/>
      <c r="R402" s="3">
        <f t="shared" si="99"/>
        <v>0</v>
      </c>
      <c r="S402" s="3">
        <f>J402*3220</f>
        <v>0</v>
      </c>
    </row>
    <row r="403" spans="1:19" s="1" customFormat="1">
      <c r="A403" s="356" t="s">
        <v>675</v>
      </c>
      <c r="B403" s="675"/>
      <c r="C403" s="35"/>
      <c r="D403" s="234"/>
      <c r="E403" s="234"/>
      <c r="F403" s="191"/>
      <c r="G403" s="195"/>
      <c r="H403" s="80"/>
      <c r="I403" s="114"/>
      <c r="J403" s="35">
        <f t="shared" si="101"/>
        <v>0</v>
      </c>
      <c r="K403" s="3">
        <f>C403*VLOOKUP(A403,[1]오일단가!$A:$S,16,0)</f>
        <v>0</v>
      </c>
      <c r="L403" s="302"/>
      <c r="M403" s="299"/>
      <c r="N403" s="283">
        <f>F403*VLOOKUP(A403,[1]오일단가!$A:$S,17,0)</f>
        <v>0</v>
      </c>
      <c r="O403" s="276"/>
      <c r="P403" s="482"/>
      <c r="Q403" s="5"/>
      <c r="R403" s="3">
        <f t="shared" si="99"/>
        <v>0</v>
      </c>
      <c r="S403" s="3">
        <f>J403*8130</f>
        <v>0</v>
      </c>
    </row>
    <row r="404" spans="1:19" s="1" customFormat="1">
      <c r="A404" s="356" t="s">
        <v>676</v>
      </c>
      <c r="B404" s="675"/>
      <c r="C404" s="35"/>
      <c r="D404" s="234"/>
      <c r="E404" s="234"/>
      <c r="F404" s="191"/>
      <c r="G404" s="195"/>
      <c r="H404" s="80"/>
      <c r="I404" s="114"/>
      <c r="J404" s="35">
        <f t="shared" si="101"/>
        <v>0</v>
      </c>
      <c r="K404" s="3">
        <f>C404*VLOOKUP(A404,[1]오일단가!$A:$S,16,0)</f>
        <v>0</v>
      </c>
      <c r="L404" s="302"/>
      <c r="M404" s="299"/>
      <c r="N404" s="283">
        <f>F404*VLOOKUP(A404,[1]오일단가!$A:$S,17,0)</f>
        <v>0</v>
      </c>
      <c r="O404" s="276"/>
      <c r="P404" s="482"/>
      <c r="Q404" s="5"/>
      <c r="R404" s="3">
        <f t="shared" si="99"/>
        <v>0</v>
      </c>
      <c r="S404" s="3">
        <f>J404*2960</f>
        <v>0</v>
      </c>
    </row>
    <row r="405" spans="1:19" s="1" customFormat="1">
      <c r="A405" s="356" t="s">
        <v>544</v>
      </c>
      <c r="B405" s="675"/>
      <c r="C405" s="35"/>
      <c r="D405" s="234"/>
      <c r="E405" s="234"/>
      <c r="F405" s="191"/>
      <c r="G405" s="195"/>
      <c r="H405" s="80"/>
      <c r="I405" s="114"/>
      <c r="J405" s="35">
        <f t="shared" si="101"/>
        <v>0</v>
      </c>
      <c r="K405" s="3">
        <f>C405*VLOOKUP(A405,[1]오일단가!$A:$S,16,0)</f>
        <v>0</v>
      </c>
      <c r="L405" s="302"/>
      <c r="M405" s="299"/>
      <c r="N405" s="283">
        <f>F405*VLOOKUP(A405,[1]오일단가!$A:$S,17,0)</f>
        <v>0</v>
      </c>
      <c r="O405" s="276"/>
      <c r="P405" s="482"/>
      <c r="Q405" s="5"/>
      <c r="R405" s="3">
        <f t="shared" si="99"/>
        <v>0</v>
      </c>
      <c r="S405" s="3">
        <f>J405*4270</f>
        <v>0</v>
      </c>
    </row>
    <row r="406" spans="1:19" s="1" customFormat="1">
      <c r="A406" s="356" t="s">
        <v>545</v>
      </c>
      <c r="B406" s="675"/>
      <c r="C406" s="35"/>
      <c r="D406" s="234"/>
      <c r="E406" s="234"/>
      <c r="F406" s="191"/>
      <c r="G406" s="195"/>
      <c r="H406" s="80"/>
      <c r="I406" s="114"/>
      <c r="J406" s="35">
        <f t="shared" si="101"/>
        <v>0</v>
      </c>
      <c r="K406" s="3">
        <f>C406*VLOOKUP(A406,[1]오일단가!$A:$S,16,0)</f>
        <v>0</v>
      </c>
      <c r="L406" s="302"/>
      <c r="M406" s="299"/>
      <c r="N406" s="283">
        <f>F406*VLOOKUP(A406,[1]오일단가!$A:$S,17,0)</f>
        <v>0</v>
      </c>
      <c r="O406" s="276"/>
      <c r="P406" s="482"/>
      <c r="Q406" s="5"/>
      <c r="R406" s="3">
        <f t="shared" si="99"/>
        <v>0</v>
      </c>
      <c r="S406" s="3">
        <f>J406*5610</f>
        <v>0</v>
      </c>
    </row>
    <row r="407" spans="1:19" s="1" customFormat="1">
      <c r="A407" s="356" t="s">
        <v>546</v>
      </c>
      <c r="B407" s="675"/>
      <c r="C407" s="35"/>
      <c r="D407" s="234"/>
      <c r="E407" s="234"/>
      <c r="F407" s="191"/>
      <c r="G407" s="195"/>
      <c r="H407" s="80"/>
      <c r="I407" s="114"/>
      <c r="J407" s="35">
        <f t="shared" si="101"/>
        <v>0</v>
      </c>
      <c r="K407" s="3">
        <f>C407*VLOOKUP(A407,[1]오일단가!$A:$S,16,0)</f>
        <v>0</v>
      </c>
      <c r="L407" s="302"/>
      <c r="M407" s="299"/>
      <c r="N407" s="283">
        <f>F407*VLOOKUP(A407,[1]오일단가!$A:$S,17,0)</f>
        <v>0</v>
      </c>
      <c r="O407" s="276"/>
      <c r="P407" s="482"/>
      <c r="Q407" s="5"/>
      <c r="R407" s="3">
        <f t="shared" si="99"/>
        <v>0</v>
      </c>
      <c r="S407" s="3">
        <f>J407*7310</f>
        <v>0</v>
      </c>
    </row>
    <row r="408" spans="1:19" s="1" customFormat="1">
      <c r="A408" s="356" t="s">
        <v>547</v>
      </c>
      <c r="B408" s="675"/>
      <c r="C408" s="35"/>
      <c r="D408" s="234"/>
      <c r="E408" s="234"/>
      <c r="F408" s="191"/>
      <c r="G408" s="195"/>
      <c r="H408" s="80"/>
      <c r="I408" s="114"/>
      <c r="J408" s="35">
        <f t="shared" si="101"/>
        <v>0</v>
      </c>
      <c r="K408" s="3">
        <f>C408*VLOOKUP(A408,[1]오일단가!$A:$S,16,0)</f>
        <v>0</v>
      </c>
      <c r="L408" s="302"/>
      <c r="M408" s="299"/>
      <c r="N408" s="283">
        <f>F408*VLOOKUP(A408,[1]오일단가!$A:$S,17,0)</f>
        <v>0</v>
      </c>
      <c r="O408" s="276"/>
      <c r="P408" s="482"/>
      <c r="Q408" s="5"/>
      <c r="R408" s="3">
        <f t="shared" si="99"/>
        <v>0</v>
      </c>
      <c r="S408" s="3">
        <f>J408*3980</f>
        <v>0</v>
      </c>
    </row>
    <row r="409" spans="1:19" s="1" customFormat="1">
      <c r="A409" s="356" t="s">
        <v>548</v>
      </c>
      <c r="B409" s="676"/>
      <c r="C409" s="35"/>
      <c r="D409" s="234"/>
      <c r="E409" s="234"/>
      <c r="F409" s="191"/>
      <c r="G409" s="195"/>
      <c r="H409" s="80"/>
      <c r="I409" s="114"/>
      <c r="J409" s="35">
        <f t="shared" si="101"/>
        <v>0</v>
      </c>
      <c r="K409" s="3">
        <f>C409*VLOOKUP(A409,[1]오일단가!$A:$S,16,0)</f>
        <v>0</v>
      </c>
      <c r="L409" s="302"/>
      <c r="M409" s="299"/>
      <c r="N409" s="283">
        <f>F409*VLOOKUP(A409,[1]오일단가!$A:$S,17,0)</f>
        <v>0</v>
      </c>
      <c r="O409" s="276"/>
      <c r="P409" s="482"/>
      <c r="Q409" s="5"/>
      <c r="R409" s="3">
        <f t="shared" si="99"/>
        <v>0</v>
      </c>
      <c r="S409" s="3">
        <f>J409*3920</f>
        <v>0</v>
      </c>
    </row>
    <row r="410" spans="1:19" s="1" customFormat="1">
      <c r="A410" s="356"/>
      <c r="B410" s="417"/>
      <c r="C410" s="35"/>
      <c r="D410" s="234"/>
      <c r="E410" s="234"/>
      <c r="F410" s="191"/>
      <c r="G410" s="195"/>
      <c r="H410" s="80"/>
      <c r="I410" s="114"/>
      <c r="J410" s="35"/>
      <c r="K410" s="3"/>
      <c r="L410" s="302"/>
      <c r="M410" s="299"/>
      <c r="N410" s="283"/>
      <c r="O410" s="276"/>
      <c r="P410" s="482"/>
      <c r="Q410" s="5"/>
      <c r="R410" s="3"/>
      <c r="S410" s="3"/>
    </row>
    <row r="411" spans="1:19" s="74" customFormat="1">
      <c r="A411" s="504" t="s">
        <v>575</v>
      </c>
      <c r="B411" s="503"/>
      <c r="C411" s="450">
        <f>SUM(C340:C410)</f>
        <v>9</v>
      </c>
      <c r="D411" s="450">
        <f t="shared" ref="D411:J411" si="102">SUM(D340:D410)</f>
        <v>0</v>
      </c>
      <c r="E411" s="450">
        <f t="shared" si="102"/>
        <v>0</v>
      </c>
      <c r="F411" s="450">
        <f t="shared" si="102"/>
        <v>0</v>
      </c>
      <c r="G411" s="450">
        <f t="shared" si="102"/>
        <v>0</v>
      </c>
      <c r="H411" s="450">
        <f t="shared" si="102"/>
        <v>0</v>
      </c>
      <c r="I411" s="450">
        <f t="shared" si="102"/>
        <v>0</v>
      </c>
      <c r="J411" s="450">
        <f t="shared" si="102"/>
        <v>9</v>
      </c>
      <c r="K411" s="457">
        <f>SUM(K337:K410)</f>
        <v>140000</v>
      </c>
      <c r="L411" s="457">
        <f t="shared" ref="L411:Q411" si="103">SUM(L337:L410)</f>
        <v>0</v>
      </c>
      <c r="M411" s="457">
        <f t="shared" si="103"/>
        <v>0</v>
      </c>
      <c r="N411" s="540">
        <f t="shared" si="103"/>
        <v>0</v>
      </c>
      <c r="O411" s="457">
        <f t="shared" si="103"/>
        <v>0</v>
      </c>
      <c r="P411" s="457">
        <f t="shared" si="103"/>
        <v>0</v>
      </c>
      <c r="Q411" s="457">
        <f t="shared" si="103"/>
        <v>0</v>
      </c>
      <c r="R411" s="457">
        <f>SUM(K411:Q411)</f>
        <v>140000</v>
      </c>
      <c r="S411" s="457">
        <f>SUM(S337:S410)</f>
        <v>30310</v>
      </c>
    </row>
    <row r="412" spans="1:19" s="245" customFormat="1">
      <c r="A412" s="570" t="s">
        <v>685</v>
      </c>
      <c r="B412" s="571"/>
      <c r="C412" s="237"/>
      <c r="D412" s="237"/>
      <c r="E412" s="237"/>
      <c r="F412" s="237"/>
      <c r="G412" s="237"/>
      <c r="H412" s="237"/>
      <c r="I412" s="237"/>
      <c r="J412" s="35">
        <f t="shared" si="101"/>
        <v>0</v>
      </c>
      <c r="K412" s="458">
        <f>C412*480000</f>
        <v>0</v>
      </c>
      <c r="L412" s="458"/>
      <c r="M412" s="458"/>
      <c r="N412" s="461">
        <f>F412*432000</f>
        <v>0</v>
      </c>
      <c r="O412" s="458"/>
      <c r="P412" s="458"/>
      <c r="Q412" s="458"/>
      <c r="R412" s="3">
        <f>SUM(K412:Q412)</f>
        <v>0</v>
      </c>
      <c r="S412" s="458">
        <f>J412*40100</f>
        <v>0</v>
      </c>
    </row>
    <row r="413" spans="1:19" s="1" customFormat="1" ht="16.5" customHeight="1">
      <c r="A413" s="356" t="s">
        <v>658</v>
      </c>
      <c r="B413" s="674" t="s">
        <v>710</v>
      </c>
      <c r="C413" s="237"/>
      <c r="D413" s="234"/>
      <c r="E413" s="234"/>
      <c r="F413" s="230"/>
      <c r="G413" s="345"/>
      <c r="H413" s="80"/>
      <c r="I413" s="114"/>
      <c r="J413" s="35">
        <f t="shared" si="101"/>
        <v>0</v>
      </c>
      <c r="K413" s="3">
        <f>C413*VLOOKUP(A413,[1]오일단가!$A:$S,13,0)</f>
        <v>0</v>
      </c>
      <c r="L413" s="302"/>
      <c r="M413" s="299"/>
      <c r="N413" s="283">
        <f>F413*VLOOKUP(A413,[1]오일단가!$A:$S,14,0)</f>
        <v>0</v>
      </c>
      <c r="O413" s="276"/>
      <c r="P413" s="482"/>
      <c r="Q413" s="5"/>
      <c r="R413" s="3">
        <f t="shared" ref="R413:R482" si="104">SUM(K413:Q413)</f>
        <v>0</v>
      </c>
      <c r="S413" s="3">
        <f>J413*18000</f>
        <v>0</v>
      </c>
    </row>
    <row r="414" spans="1:19" s="1" customFormat="1" ht="16.5" customHeight="1">
      <c r="A414" s="356" t="s">
        <v>697</v>
      </c>
      <c r="B414" s="675"/>
      <c r="C414" s="237"/>
      <c r="D414" s="234"/>
      <c r="E414" s="234"/>
      <c r="F414" s="230"/>
      <c r="G414" s="345"/>
      <c r="H414" s="80"/>
      <c r="I414" s="114"/>
      <c r="J414" s="35">
        <f t="shared" si="101"/>
        <v>0</v>
      </c>
      <c r="K414" s="3">
        <f>C414*136000</f>
        <v>0</v>
      </c>
      <c r="L414" s="302"/>
      <c r="M414" s="299"/>
      <c r="N414" s="283">
        <f>F414*122000</f>
        <v>0</v>
      </c>
      <c r="O414" s="276"/>
      <c r="P414" s="482"/>
      <c r="Q414" s="5"/>
      <c r="R414" s="3">
        <f t="shared" si="104"/>
        <v>0</v>
      </c>
      <c r="S414" s="3">
        <f>J414*16200</f>
        <v>0</v>
      </c>
    </row>
    <row r="415" spans="1:19" s="1" customFormat="1">
      <c r="A415" s="356" t="s">
        <v>659</v>
      </c>
      <c r="B415" s="675"/>
      <c r="C415" s="237"/>
      <c r="D415" s="234"/>
      <c r="E415" s="234"/>
      <c r="F415" s="230"/>
      <c r="G415" s="345"/>
      <c r="H415" s="80"/>
      <c r="I415" s="114"/>
      <c r="J415" s="35">
        <f t="shared" si="101"/>
        <v>0</v>
      </c>
      <c r="K415" s="3">
        <f>C415*VLOOKUP(A415,[1]오일단가!$A:$S,13,0)</f>
        <v>0</v>
      </c>
      <c r="L415" s="302"/>
      <c r="M415" s="299"/>
      <c r="N415" s="283">
        <f>F415*VLOOKUP(A415,[1]오일단가!$A:$S,14,0)</f>
        <v>0</v>
      </c>
      <c r="O415" s="276"/>
      <c r="P415" s="482"/>
      <c r="Q415" s="5"/>
      <c r="R415" s="3">
        <f t="shared" si="104"/>
        <v>0</v>
      </c>
      <c r="S415" s="3">
        <f>J415*18200</f>
        <v>0</v>
      </c>
    </row>
    <row r="416" spans="1:19" s="1" customFormat="1">
      <c r="A416" s="356" t="s">
        <v>686</v>
      </c>
      <c r="B416" s="675"/>
      <c r="C416" s="237"/>
      <c r="D416" s="234"/>
      <c r="E416" s="234"/>
      <c r="F416" s="230"/>
      <c r="G416" s="345"/>
      <c r="H416" s="80"/>
      <c r="I416" s="114"/>
      <c r="J416" s="35">
        <f t="shared" si="101"/>
        <v>0</v>
      </c>
      <c r="K416" s="3">
        <f>C416*128000</f>
        <v>0</v>
      </c>
      <c r="L416" s="302"/>
      <c r="M416" s="299"/>
      <c r="N416" s="283">
        <f>F416*115000</f>
        <v>0</v>
      </c>
      <c r="O416" s="276"/>
      <c r="P416" s="482"/>
      <c r="Q416" s="5"/>
      <c r="R416" s="3">
        <f t="shared" si="104"/>
        <v>0</v>
      </c>
      <c r="S416" s="3">
        <f>J416*13300</f>
        <v>0</v>
      </c>
    </row>
    <row r="417" spans="1:19" s="1" customFormat="1">
      <c r="A417" s="354" t="s">
        <v>660</v>
      </c>
      <c r="B417" s="675"/>
      <c r="C417" s="237"/>
      <c r="D417" s="242"/>
      <c r="E417" s="234"/>
      <c r="F417" s="230"/>
      <c r="G417" s="345"/>
      <c r="H417" s="80"/>
      <c r="I417" s="114"/>
      <c r="J417" s="35">
        <f t="shared" si="101"/>
        <v>0</v>
      </c>
      <c r="K417" s="3">
        <f>C417*VLOOKUP(A417,[1]오일단가!$A:$S,13,0)</f>
        <v>0</v>
      </c>
      <c r="L417" s="302"/>
      <c r="M417" s="299"/>
      <c r="N417" s="283">
        <f>F417*VLOOKUP(A417,[1]오일단가!$A:$S,14,0)</f>
        <v>0</v>
      </c>
      <c r="O417" s="276"/>
      <c r="P417" s="482"/>
      <c r="Q417" s="5"/>
      <c r="R417" s="3">
        <f t="shared" si="104"/>
        <v>0</v>
      </c>
      <c r="S417" s="3">
        <f>J417*13900</f>
        <v>0</v>
      </c>
    </row>
    <row r="418" spans="1:19" s="1" customFormat="1">
      <c r="A418" s="354" t="s">
        <v>532</v>
      </c>
      <c r="B418" s="675"/>
      <c r="C418" s="237"/>
      <c r="D418" s="234"/>
      <c r="E418" s="234"/>
      <c r="F418" s="230"/>
      <c r="G418" s="345"/>
      <c r="H418" s="80"/>
      <c r="I418" s="114"/>
      <c r="J418" s="35">
        <f t="shared" si="101"/>
        <v>0</v>
      </c>
      <c r="K418" s="3">
        <f>C418*VLOOKUP(A418,[1]오일단가!$A:$S,13,0)</f>
        <v>0</v>
      </c>
      <c r="L418" s="302"/>
      <c r="M418" s="299"/>
      <c r="N418" s="283">
        <f>F418*VLOOKUP(A418,[1]오일단가!$A:$S,14,0)</f>
        <v>0</v>
      </c>
      <c r="O418" s="276"/>
      <c r="P418" s="482"/>
      <c r="Q418" s="5"/>
      <c r="R418" s="3">
        <f t="shared" si="104"/>
        <v>0</v>
      </c>
      <c r="S418" s="3">
        <f>J418*16900</f>
        <v>0</v>
      </c>
    </row>
    <row r="419" spans="1:19" s="1" customFormat="1">
      <c r="A419" s="355" t="s">
        <v>661</v>
      </c>
      <c r="B419" s="675"/>
      <c r="C419" s="237"/>
      <c r="D419" s="242"/>
      <c r="E419" s="234"/>
      <c r="F419" s="230"/>
      <c r="G419" s="345"/>
      <c r="H419" s="80"/>
      <c r="I419" s="114"/>
      <c r="J419" s="35">
        <f t="shared" si="101"/>
        <v>0</v>
      </c>
      <c r="K419" s="3">
        <f>C419*146000</f>
        <v>0</v>
      </c>
      <c r="L419" s="302"/>
      <c r="M419" s="299"/>
      <c r="N419" s="283">
        <f>F419*131000</f>
        <v>0</v>
      </c>
      <c r="O419" s="276"/>
      <c r="P419" s="482"/>
      <c r="Q419" s="5"/>
      <c r="R419" s="3">
        <f t="shared" si="104"/>
        <v>0</v>
      </c>
      <c r="S419" s="3">
        <f>J419*38900</f>
        <v>0</v>
      </c>
    </row>
    <row r="420" spans="1:19" s="1" customFormat="1">
      <c r="A420" s="354" t="s">
        <v>680</v>
      </c>
      <c r="B420" s="675"/>
      <c r="C420" s="237"/>
      <c r="D420" s="242"/>
      <c r="E420" s="234"/>
      <c r="F420" s="230"/>
      <c r="G420" s="345"/>
      <c r="H420" s="80"/>
      <c r="I420" s="114"/>
      <c r="J420" s="35">
        <f t="shared" si="101"/>
        <v>0</v>
      </c>
      <c r="K420" s="3">
        <f>C420*VLOOKUP(A420,[1]오일단가!$A:$S,13,0)</f>
        <v>0</v>
      </c>
      <c r="L420" s="302"/>
      <c r="M420" s="299"/>
      <c r="N420" s="283">
        <f>F420*VLOOKUP(A420,[1]오일단가!$A:$S,14,0)</f>
        <v>0</v>
      </c>
      <c r="O420" s="276"/>
      <c r="P420" s="482"/>
      <c r="Q420" s="5"/>
      <c r="R420" s="3">
        <f t="shared" si="104"/>
        <v>0</v>
      </c>
      <c r="S420" s="3">
        <f>J420*14200</f>
        <v>0</v>
      </c>
    </row>
    <row r="421" spans="1:19" s="1" customFormat="1">
      <c r="A421" s="354" t="s">
        <v>662</v>
      </c>
      <c r="B421" s="675"/>
      <c r="C421" s="237"/>
      <c r="D421" s="234"/>
      <c r="E421" s="234"/>
      <c r="F421" s="230"/>
      <c r="G421" s="345"/>
      <c r="H421" s="80"/>
      <c r="I421" s="114"/>
      <c r="J421" s="35">
        <f t="shared" si="101"/>
        <v>0</v>
      </c>
      <c r="K421" s="3">
        <f>C421*VLOOKUP(A421,[1]오일단가!$A:$S,13,0)</f>
        <v>0</v>
      </c>
      <c r="L421" s="302"/>
      <c r="M421" s="299"/>
      <c r="N421" s="283">
        <f>F421*VLOOKUP(A421,[1]오일단가!$A:$S,14,0)</f>
        <v>0</v>
      </c>
      <c r="O421" s="276"/>
      <c r="P421" s="482"/>
      <c r="Q421" s="5"/>
      <c r="R421" s="3">
        <f t="shared" si="104"/>
        <v>0</v>
      </c>
      <c r="S421" s="3">
        <f>J421*276500</f>
        <v>0</v>
      </c>
    </row>
    <row r="422" spans="1:19" s="1" customFormat="1">
      <c r="A422" s="354" t="s">
        <v>687</v>
      </c>
      <c r="B422" s="675"/>
      <c r="C422" s="237"/>
      <c r="D422" s="234"/>
      <c r="E422" s="234"/>
      <c r="F422" s="230"/>
      <c r="G422" s="345"/>
      <c r="H422" s="80"/>
      <c r="I422" s="114"/>
      <c r="J422" s="35">
        <f t="shared" si="101"/>
        <v>0</v>
      </c>
      <c r="K422" s="3">
        <f>C422*184000</f>
        <v>0</v>
      </c>
      <c r="L422" s="302"/>
      <c r="M422" s="299"/>
      <c r="N422" s="283">
        <f>F422*166000</f>
        <v>0</v>
      </c>
      <c r="O422" s="276"/>
      <c r="P422" s="482"/>
      <c r="Q422" s="5"/>
      <c r="R422" s="3">
        <f t="shared" si="104"/>
        <v>0</v>
      </c>
      <c r="S422" s="3">
        <f>J422*21200</f>
        <v>0</v>
      </c>
    </row>
    <row r="423" spans="1:19" s="1" customFormat="1">
      <c r="A423" s="354" t="s">
        <v>663</v>
      </c>
      <c r="B423" s="675"/>
      <c r="C423" s="237"/>
      <c r="D423" s="234"/>
      <c r="E423" s="234"/>
      <c r="F423" s="230"/>
      <c r="G423" s="345"/>
      <c r="H423" s="80"/>
      <c r="I423" s="114"/>
      <c r="J423" s="35">
        <f t="shared" si="101"/>
        <v>0</v>
      </c>
      <c r="K423" s="3">
        <f>C423*VLOOKUP(A423,[1]오일단가!$A:$S,13,0)</f>
        <v>0</v>
      </c>
      <c r="L423" s="302"/>
      <c r="M423" s="299"/>
      <c r="N423" s="283">
        <f>F423*VLOOKUP(A423,[1]오일단가!$A:$S,14,0)</f>
        <v>0</v>
      </c>
      <c r="O423" s="276"/>
      <c r="P423" s="482"/>
      <c r="Q423" s="5"/>
      <c r="R423" s="3">
        <f t="shared" si="104"/>
        <v>0</v>
      </c>
      <c r="S423" s="3">
        <f>J423*12500</f>
        <v>0</v>
      </c>
    </row>
    <row r="424" spans="1:19" s="1" customFormat="1">
      <c r="A424" s="354" t="s">
        <v>664</v>
      </c>
      <c r="B424" s="675"/>
      <c r="C424" s="237"/>
      <c r="D424" s="234"/>
      <c r="E424" s="234"/>
      <c r="F424" s="230"/>
      <c r="G424" s="345"/>
      <c r="H424" s="80"/>
      <c r="I424" s="114"/>
      <c r="J424" s="35">
        <f t="shared" si="101"/>
        <v>0</v>
      </c>
      <c r="K424" s="3">
        <f>C424*VLOOKUP(A424,[1]오일단가!$A:$S,13,0)</f>
        <v>0</v>
      </c>
      <c r="L424" s="302"/>
      <c r="M424" s="299"/>
      <c r="N424" s="283">
        <f>F424*VLOOKUP(A424,[1]오일단가!$A:$S,14,0)</f>
        <v>0</v>
      </c>
      <c r="O424" s="276"/>
      <c r="P424" s="482"/>
      <c r="Q424" s="5"/>
      <c r="R424" s="3">
        <f t="shared" si="104"/>
        <v>0</v>
      </c>
      <c r="S424" s="3">
        <f>J424*8700</f>
        <v>0</v>
      </c>
    </row>
    <row r="425" spans="1:19" s="1" customFormat="1">
      <c r="A425" s="356" t="s">
        <v>491</v>
      </c>
      <c r="B425" s="675"/>
      <c r="C425" s="35"/>
      <c r="D425" s="234"/>
      <c r="E425" s="234"/>
      <c r="F425" s="191"/>
      <c r="G425" s="195"/>
      <c r="H425" s="80"/>
      <c r="I425" s="114"/>
      <c r="J425" s="35">
        <f t="shared" si="101"/>
        <v>0</v>
      </c>
      <c r="K425" s="3">
        <f>C425*VLOOKUP(A425,[1]오일단가!$A:$S,13,0)</f>
        <v>0</v>
      </c>
      <c r="L425" s="302"/>
      <c r="M425" s="299"/>
      <c r="N425" s="283">
        <f>F425*VLOOKUP(A425,[1]오일단가!$A:$S,14,0)</f>
        <v>0</v>
      </c>
      <c r="O425" s="276"/>
      <c r="P425" s="482"/>
      <c r="Q425" s="5"/>
      <c r="R425" s="3">
        <f t="shared" si="104"/>
        <v>0</v>
      </c>
      <c r="S425" s="3">
        <f>J425*46600</f>
        <v>0</v>
      </c>
    </row>
    <row r="426" spans="1:19" s="1" customFormat="1">
      <c r="A426" s="356" t="s">
        <v>542</v>
      </c>
      <c r="B426" s="675"/>
      <c r="C426" s="35"/>
      <c r="D426" s="234"/>
      <c r="E426" s="234"/>
      <c r="F426" s="191"/>
      <c r="G426" s="195"/>
      <c r="H426" s="80"/>
      <c r="I426" s="114"/>
      <c r="J426" s="35">
        <f t="shared" si="101"/>
        <v>0</v>
      </c>
      <c r="K426" s="3">
        <f>C426*VLOOKUP(A426,[1]오일단가!$A:$S,13,0)</f>
        <v>0</v>
      </c>
      <c r="L426" s="302"/>
      <c r="M426" s="299"/>
      <c r="N426" s="283">
        <f>F426*VLOOKUP(A426,[1]오일단가!$A:$S,14,0)</f>
        <v>0</v>
      </c>
      <c r="O426" s="276"/>
      <c r="P426" s="482"/>
      <c r="Q426" s="5"/>
      <c r="R426" s="3">
        <f t="shared" si="104"/>
        <v>0</v>
      </c>
      <c r="S426" s="3">
        <f>J426*31200</f>
        <v>0</v>
      </c>
    </row>
    <row r="427" spans="1:19" s="1" customFormat="1">
      <c r="A427" s="356" t="s">
        <v>533</v>
      </c>
      <c r="B427" s="675"/>
      <c r="C427" s="35"/>
      <c r="D427" s="234"/>
      <c r="E427" s="234"/>
      <c r="F427" s="191"/>
      <c r="G427" s="195"/>
      <c r="H427" s="80"/>
      <c r="I427" s="114"/>
      <c r="J427" s="35">
        <f t="shared" si="101"/>
        <v>0</v>
      </c>
      <c r="K427" s="3">
        <f>C427*VLOOKUP(A427,[1]오일단가!$A:$S,13,0)</f>
        <v>0</v>
      </c>
      <c r="L427" s="302"/>
      <c r="M427" s="299"/>
      <c r="N427" s="283">
        <f>F427*VLOOKUP(A427,[1]오일단가!$A:$S,14,0)</f>
        <v>0</v>
      </c>
      <c r="O427" s="276"/>
      <c r="P427" s="482"/>
      <c r="Q427" s="5"/>
      <c r="R427" s="3">
        <f t="shared" si="104"/>
        <v>0</v>
      </c>
      <c r="S427" s="3">
        <f>J427*75200</f>
        <v>0</v>
      </c>
    </row>
    <row r="428" spans="1:19" s="1" customFormat="1">
      <c r="A428" s="356" t="s">
        <v>682</v>
      </c>
      <c r="B428" s="675"/>
      <c r="C428" s="35"/>
      <c r="D428" s="234"/>
      <c r="E428" s="234"/>
      <c r="F428" s="191"/>
      <c r="G428" s="195"/>
      <c r="H428" s="80"/>
      <c r="I428" s="114"/>
      <c r="J428" s="35">
        <f t="shared" si="101"/>
        <v>0</v>
      </c>
      <c r="K428" s="3">
        <f>C428*VLOOKUP(A428,[1]오일단가!$A:$S,13,0)</f>
        <v>0</v>
      </c>
      <c r="L428" s="302"/>
      <c r="M428" s="299"/>
      <c r="N428" s="283">
        <f>F428*VLOOKUP(A428,[1]오일단가!$A:$S,14,0)</f>
        <v>0</v>
      </c>
      <c r="O428" s="276"/>
      <c r="P428" s="482"/>
      <c r="Q428" s="5"/>
      <c r="R428" s="3">
        <f t="shared" si="104"/>
        <v>0</v>
      </c>
      <c r="S428" s="3">
        <f>J428*12100</f>
        <v>0</v>
      </c>
    </row>
    <row r="429" spans="1:19" s="1" customFormat="1">
      <c r="A429" s="354" t="s">
        <v>665</v>
      </c>
      <c r="B429" s="675"/>
      <c r="C429" s="237"/>
      <c r="D429" s="242"/>
      <c r="E429" s="234"/>
      <c r="F429" s="230"/>
      <c r="G429" s="345"/>
      <c r="H429" s="80"/>
      <c r="I429" s="114"/>
      <c r="J429" s="35">
        <f t="shared" si="101"/>
        <v>0</v>
      </c>
      <c r="K429" s="3">
        <f>C429*VLOOKUP(A429,[1]오일단가!$A:$S,13,0)</f>
        <v>0</v>
      </c>
      <c r="L429" s="302"/>
      <c r="M429" s="299"/>
      <c r="N429" s="283">
        <f>F429*VLOOKUP(A429,[1]오일단가!$A:$S,14,0)</f>
        <v>0</v>
      </c>
      <c r="O429" s="276"/>
      <c r="P429" s="482"/>
      <c r="Q429" s="5"/>
      <c r="R429" s="3">
        <f t="shared" si="104"/>
        <v>0</v>
      </c>
      <c r="S429" s="3">
        <f>J429*158660</f>
        <v>0</v>
      </c>
    </row>
    <row r="430" spans="1:19" s="1" customFormat="1">
      <c r="A430" s="356" t="s">
        <v>666</v>
      </c>
      <c r="B430" s="675"/>
      <c r="C430" s="35"/>
      <c r="D430" s="234"/>
      <c r="E430" s="234"/>
      <c r="F430" s="191"/>
      <c r="G430" s="195"/>
      <c r="H430" s="80"/>
      <c r="I430" s="114"/>
      <c r="J430" s="35">
        <f t="shared" si="101"/>
        <v>0</v>
      </c>
      <c r="K430" s="3">
        <f>C430*VLOOKUP(A430,[1]오일단가!$A:$S,13,0)</f>
        <v>0</v>
      </c>
      <c r="L430" s="302"/>
      <c r="M430" s="299"/>
      <c r="N430" s="283">
        <f>F430*VLOOKUP(A430,[1]오일단가!$A:$S,14,0)</f>
        <v>0</v>
      </c>
      <c r="O430" s="276"/>
      <c r="P430" s="482"/>
      <c r="Q430" s="5"/>
      <c r="R430" s="3">
        <f t="shared" si="104"/>
        <v>0</v>
      </c>
      <c r="S430" s="3">
        <f>J430*14200</f>
        <v>0</v>
      </c>
    </row>
    <row r="431" spans="1:19" s="1" customFormat="1">
      <c r="A431" s="356" t="s">
        <v>534</v>
      </c>
      <c r="B431" s="675"/>
      <c r="C431" s="35"/>
      <c r="D431" s="234"/>
      <c r="E431" s="234"/>
      <c r="F431" s="191"/>
      <c r="G431" s="195"/>
      <c r="H431" s="80"/>
      <c r="I431" s="114"/>
      <c r="J431" s="35">
        <f t="shared" si="101"/>
        <v>0</v>
      </c>
      <c r="K431" s="3">
        <f>C431*VLOOKUP(A431,[1]오일단가!$A:$S,13,0)</f>
        <v>0</v>
      </c>
      <c r="L431" s="302"/>
      <c r="M431" s="299"/>
      <c r="N431" s="283">
        <f>F431*VLOOKUP(A431,[1]오일단가!$A:$S,14,0)</f>
        <v>0</v>
      </c>
      <c r="O431" s="276"/>
      <c r="P431" s="482"/>
      <c r="Q431" s="5"/>
      <c r="R431" s="3">
        <f t="shared" si="104"/>
        <v>0</v>
      </c>
      <c r="S431" s="3">
        <f>J431*11100</f>
        <v>0</v>
      </c>
    </row>
    <row r="432" spans="1:19" s="1" customFormat="1">
      <c r="A432" s="356" t="s">
        <v>688</v>
      </c>
      <c r="B432" s="675"/>
      <c r="C432" s="35"/>
      <c r="D432" s="234"/>
      <c r="E432" s="234"/>
      <c r="F432" s="191"/>
      <c r="G432" s="195"/>
      <c r="H432" s="80"/>
      <c r="I432" s="114"/>
      <c r="J432" s="35">
        <f t="shared" si="101"/>
        <v>0</v>
      </c>
      <c r="K432" s="3">
        <f>C432*184000</f>
        <v>0</v>
      </c>
      <c r="L432" s="302"/>
      <c r="M432" s="299"/>
      <c r="N432" s="283">
        <f>F432*166000</f>
        <v>0</v>
      </c>
      <c r="O432" s="276"/>
      <c r="P432" s="482"/>
      <c r="Q432" s="5"/>
      <c r="R432" s="3">
        <f t="shared" si="104"/>
        <v>0</v>
      </c>
      <c r="S432" s="3">
        <f>J432*14900</f>
        <v>0</v>
      </c>
    </row>
    <row r="433" spans="1:19" s="1" customFormat="1">
      <c r="A433" s="354" t="s">
        <v>667</v>
      </c>
      <c r="B433" s="675"/>
      <c r="C433" s="237"/>
      <c r="D433" s="234"/>
      <c r="E433" s="234"/>
      <c r="F433" s="230"/>
      <c r="G433" s="345"/>
      <c r="H433" s="80"/>
      <c r="I433" s="114"/>
      <c r="J433" s="35">
        <f t="shared" si="101"/>
        <v>0</v>
      </c>
      <c r="K433" s="3">
        <f>C433*VLOOKUP(A433,[1]오일단가!$A:$S,13,0)</f>
        <v>0</v>
      </c>
      <c r="L433" s="302"/>
      <c r="M433" s="299"/>
      <c r="N433" s="283">
        <f>F433*VLOOKUP(A433,[1]오일단가!$A:$S,14,0)</f>
        <v>0</v>
      </c>
      <c r="O433" s="276"/>
      <c r="P433" s="482"/>
      <c r="Q433" s="5"/>
      <c r="R433" s="3">
        <f t="shared" si="104"/>
        <v>0</v>
      </c>
      <c r="S433" s="3">
        <f>J433*6400</f>
        <v>0</v>
      </c>
    </row>
    <row r="434" spans="1:19" s="1" customFormat="1">
      <c r="A434" s="356" t="s">
        <v>668</v>
      </c>
      <c r="B434" s="675"/>
      <c r="C434" s="35"/>
      <c r="D434" s="234"/>
      <c r="E434" s="234"/>
      <c r="F434" s="191"/>
      <c r="G434" s="195"/>
      <c r="H434" s="80"/>
      <c r="I434" s="114"/>
      <c r="J434" s="35">
        <f t="shared" si="101"/>
        <v>0</v>
      </c>
      <c r="K434" s="3">
        <f>C434*VLOOKUP(A434,[1]오일단가!$A:$S,13,0)</f>
        <v>0</v>
      </c>
      <c r="L434" s="302"/>
      <c r="M434" s="299"/>
      <c r="N434" s="283">
        <f>F434*VLOOKUP(A434,[1]오일단가!$A:$S,14,0)</f>
        <v>0</v>
      </c>
      <c r="O434" s="276"/>
      <c r="P434" s="482"/>
      <c r="Q434" s="5"/>
      <c r="R434" s="3">
        <f t="shared" si="104"/>
        <v>0</v>
      </c>
      <c r="S434" s="3">
        <f>J434*99400</f>
        <v>0</v>
      </c>
    </row>
    <row r="435" spans="1:19" s="1" customFormat="1">
      <c r="A435" s="356" t="s">
        <v>681</v>
      </c>
      <c r="B435" s="675"/>
      <c r="C435" s="35"/>
      <c r="D435" s="234"/>
      <c r="E435" s="234"/>
      <c r="F435" s="191"/>
      <c r="G435" s="195"/>
      <c r="H435" s="80"/>
      <c r="I435" s="114"/>
      <c r="J435" s="35">
        <f t="shared" si="101"/>
        <v>0</v>
      </c>
      <c r="K435" s="3">
        <f>C435*VLOOKUP(A435,[1]오일단가!$A:$S,13,0)</f>
        <v>0</v>
      </c>
      <c r="L435" s="302"/>
      <c r="M435" s="299"/>
      <c r="N435" s="283">
        <f>F435*VLOOKUP(A435,[1]오일단가!$A:$S,14,0)</f>
        <v>0</v>
      </c>
      <c r="O435" s="276"/>
      <c r="P435" s="482"/>
      <c r="Q435" s="5"/>
      <c r="R435" s="3">
        <f t="shared" si="104"/>
        <v>0</v>
      </c>
      <c r="S435" s="3">
        <f>J435*11300</f>
        <v>0</v>
      </c>
    </row>
    <row r="436" spans="1:19" s="1" customFormat="1">
      <c r="A436" s="356" t="s">
        <v>669</v>
      </c>
      <c r="B436" s="675"/>
      <c r="C436" s="35"/>
      <c r="D436" s="234"/>
      <c r="E436" s="234"/>
      <c r="F436" s="191"/>
      <c r="G436" s="195"/>
      <c r="H436" s="80"/>
      <c r="I436" s="114"/>
      <c r="J436" s="35">
        <f t="shared" si="101"/>
        <v>0</v>
      </c>
      <c r="K436" s="3">
        <f>C436*VLOOKUP(A436,[1]오일단가!$A:$S,13,0)</f>
        <v>0</v>
      </c>
      <c r="L436" s="302"/>
      <c r="M436" s="299"/>
      <c r="N436" s="283">
        <f>F436*VLOOKUP(A436,[1]오일단가!$A:$S,14,0)</f>
        <v>0</v>
      </c>
      <c r="O436" s="276"/>
      <c r="P436" s="482"/>
      <c r="Q436" s="5"/>
      <c r="R436" s="3">
        <f t="shared" si="104"/>
        <v>0</v>
      </c>
      <c r="S436" s="3">
        <f>J436*67500</f>
        <v>0</v>
      </c>
    </row>
    <row r="437" spans="1:19" s="1" customFormat="1">
      <c r="A437" s="354" t="s">
        <v>670</v>
      </c>
      <c r="B437" s="675"/>
      <c r="C437" s="237"/>
      <c r="D437" s="234"/>
      <c r="E437" s="234"/>
      <c r="F437" s="230"/>
      <c r="G437" s="345"/>
      <c r="H437" s="80"/>
      <c r="I437" s="114"/>
      <c r="J437" s="35">
        <f t="shared" si="101"/>
        <v>0</v>
      </c>
      <c r="K437" s="3">
        <f>C437*VLOOKUP(A437,[1]오일단가!$A:$S,13,0)</f>
        <v>0</v>
      </c>
      <c r="L437" s="302"/>
      <c r="M437" s="299"/>
      <c r="N437" s="283">
        <f>F437*VLOOKUP(A437,[1]오일단가!$A:$S,14,0)</f>
        <v>0</v>
      </c>
      <c r="O437" s="276"/>
      <c r="P437" s="482"/>
      <c r="Q437" s="5"/>
      <c r="R437" s="3">
        <f t="shared" si="104"/>
        <v>0</v>
      </c>
      <c r="S437" s="3">
        <f>J437*31750</f>
        <v>0</v>
      </c>
    </row>
    <row r="438" spans="1:19" s="1" customFormat="1">
      <c r="A438" s="356" t="s">
        <v>671</v>
      </c>
      <c r="B438" s="675"/>
      <c r="C438" s="35"/>
      <c r="D438" s="234"/>
      <c r="E438" s="234"/>
      <c r="F438" s="191"/>
      <c r="G438" s="195"/>
      <c r="H438" s="80"/>
      <c r="I438" s="114"/>
      <c r="J438" s="35">
        <f t="shared" si="101"/>
        <v>0</v>
      </c>
      <c r="K438" s="3">
        <f>C438*VLOOKUP(A438,[1]오일단가!$A:$S,13,0)</f>
        <v>0</v>
      </c>
      <c r="L438" s="302"/>
      <c r="M438" s="299"/>
      <c r="N438" s="283">
        <f>F438*VLOOKUP(A438,[1]오일단가!$A:$S,14,0)</f>
        <v>0</v>
      </c>
      <c r="O438" s="276"/>
      <c r="P438" s="482"/>
      <c r="Q438" s="5"/>
      <c r="R438" s="3">
        <f t="shared" si="104"/>
        <v>0</v>
      </c>
      <c r="S438" s="3">
        <f>J438*16020</f>
        <v>0</v>
      </c>
    </row>
    <row r="439" spans="1:19" s="1" customFormat="1">
      <c r="A439" s="356" t="s">
        <v>535</v>
      </c>
      <c r="B439" s="675"/>
      <c r="C439" s="35"/>
      <c r="D439" s="234"/>
      <c r="E439" s="234"/>
      <c r="F439" s="191"/>
      <c r="G439" s="195"/>
      <c r="H439" s="80"/>
      <c r="I439" s="114"/>
      <c r="J439" s="35">
        <f t="shared" si="101"/>
        <v>0</v>
      </c>
      <c r="K439" s="3">
        <f>C439*VLOOKUP(A439,[1]오일단가!$A:$S,13,0)</f>
        <v>0</v>
      </c>
      <c r="L439" s="302"/>
      <c r="M439" s="299"/>
      <c r="N439" s="283">
        <f>F439*VLOOKUP(A439,[1]오일단가!$A:$S,14,0)</f>
        <v>0</v>
      </c>
      <c r="O439" s="276"/>
      <c r="P439" s="482"/>
      <c r="Q439" s="5"/>
      <c r="R439" s="3">
        <f t="shared" si="104"/>
        <v>0</v>
      </c>
      <c r="S439" s="3">
        <f>J439*13600</f>
        <v>0</v>
      </c>
    </row>
    <row r="440" spans="1:19" s="1" customFormat="1">
      <c r="A440" s="356" t="s">
        <v>677</v>
      </c>
      <c r="B440" s="675"/>
      <c r="C440" s="35"/>
      <c r="D440" s="234"/>
      <c r="E440" s="234"/>
      <c r="F440" s="191"/>
      <c r="G440" s="195"/>
      <c r="H440" s="80"/>
      <c r="I440" s="114"/>
      <c r="J440" s="35">
        <f t="shared" si="101"/>
        <v>0</v>
      </c>
      <c r="K440" s="3">
        <f>C440*VLOOKUP(A440,[1]오일단가!$A:$S,13,0)</f>
        <v>0</v>
      </c>
      <c r="L440" s="302"/>
      <c r="M440" s="299"/>
      <c r="N440" s="283">
        <f>F440*VLOOKUP(A440,[1]오일단가!$A:$S,14,0)</f>
        <v>0</v>
      </c>
      <c r="O440" s="276"/>
      <c r="P440" s="482"/>
      <c r="Q440" s="5"/>
      <c r="R440" s="3">
        <f t="shared" si="104"/>
        <v>0</v>
      </c>
      <c r="S440" s="3">
        <f>J440*13600</f>
        <v>0</v>
      </c>
    </row>
    <row r="441" spans="1:19" s="1" customFormat="1">
      <c r="A441" s="354" t="s">
        <v>484</v>
      </c>
      <c r="B441" s="675"/>
      <c r="C441" s="237"/>
      <c r="D441" s="234"/>
      <c r="E441" s="234"/>
      <c r="F441" s="230"/>
      <c r="G441" s="345"/>
      <c r="H441" s="80"/>
      <c r="I441" s="114"/>
      <c r="J441" s="35">
        <f t="shared" si="101"/>
        <v>0</v>
      </c>
      <c r="K441" s="3">
        <f>C441*VLOOKUP(A441,[1]오일단가!$A:$S,13,0)</f>
        <v>0</v>
      </c>
      <c r="L441" s="302"/>
      <c r="M441" s="299"/>
      <c r="N441" s="283">
        <f>F441*VLOOKUP(A441,[1]오일단가!$A:$S,14,0)</f>
        <v>0</v>
      </c>
      <c r="O441" s="276"/>
      <c r="P441" s="482"/>
      <c r="Q441" s="5"/>
      <c r="R441" s="3">
        <f t="shared" si="104"/>
        <v>0</v>
      </c>
      <c r="S441" s="3">
        <f>J441*31200</f>
        <v>0</v>
      </c>
    </row>
    <row r="442" spans="1:19" s="1" customFormat="1">
      <c r="A442" s="354" t="s">
        <v>689</v>
      </c>
      <c r="B442" s="675"/>
      <c r="C442" s="237"/>
      <c r="D442" s="234"/>
      <c r="E442" s="234"/>
      <c r="F442" s="230"/>
      <c r="G442" s="345"/>
      <c r="H442" s="80"/>
      <c r="I442" s="114"/>
      <c r="J442" s="35">
        <f t="shared" si="101"/>
        <v>0</v>
      </c>
      <c r="K442" s="3">
        <f>C442*880000</f>
        <v>0</v>
      </c>
      <c r="L442" s="302"/>
      <c r="M442" s="299"/>
      <c r="N442" s="283">
        <f>F442*792000</f>
        <v>0</v>
      </c>
      <c r="O442" s="276"/>
      <c r="P442" s="482"/>
      <c r="Q442" s="5"/>
      <c r="R442" s="3">
        <f t="shared" si="104"/>
        <v>0</v>
      </c>
      <c r="S442" s="3">
        <f>J442*48800</f>
        <v>0</v>
      </c>
    </row>
    <row r="443" spans="1:19" s="1" customFormat="1">
      <c r="A443" s="354" t="s">
        <v>698</v>
      </c>
      <c r="B443" s="675"/>
      <c r="C443" s="237"/>
      <c r="D443" s="234"/>
      <c r="E443" s="234"/>
      <c r="F443" s="230"/>
      <c r="G443" s="345"/>
      <c r="H443" s="80"/>
      <c r="I443" s="114"/>
      <c r="J443" s="35">
        <f t="shared" si="101"/>
        <v>0</v>
      </c>
      <c r="K443" s="3">
        <f>C443*1000000</f>
        <v>0</v>
      </c>
      <c r="L443" s="302"/>
      <c r="M443" s="299"/>
      <c r="N443" s="283">
        <f>F443*900000</f>
        <v>0</v>
      </c>
      <c r="O443" s="276"/>
      <c r="P443" s="482"/>
      <c r="Q443" s="5"/>
      <c r="R443" s="3">
        <f t="shared" si="104"/>
        <v>0</v>
      </c>
      <c r="S443" s="3">
        <f>J443*79700</f>
        <v>0</v>
      </c>
    </row>
    <row r="444" spans="1:19" s="1" customFormat="1">
      <c r="A444" s="356" t="s">
        <v>536</v>
      </c>
      <c r="B444" s="675"/>
      <c r="C444" s="35"/>
      <c r="D444" s="234"/>
      <c r="E444" s="234"/>
      <c r="F444" s="191"/>
      <c r="G444" s="195"/>
      <c r="H444" s="80"/>
      <c r="I444" s="114"/>
      <c r="J444" s="35">
        <f t="shared" si="101"/>
        <v>0</v>
      </c>
      <c r="K444" s="3">
        <f>C444*VLOOKUP(A444,[1]오일단가!$A:$S,13,0)</f>
        <v>0</v>
      </c>
      <c r="L444" s="302"/>
      <c r="M444" s="299"/>
      <c r="N444" s="283">
        <f>F444*VLOOKUP(A444,[1]오일단가!$A:$S,14,0)</f>
        <v>0</v>
      </c>
      <c r="O444" s="276"/>
      <c r="P444" s="482"/>
      <c r="Q444" s="5"/>
      <c r="R444" s="3">
        <f t="shared" si="104"/>
        <v>0</v>
      </c>
      <c r="S444" s="3">
        <f>J444*168900</f>
        <v>0</v>
      </c>
    </row>
    <row r="445" spans="1:19" s="1" customFormat="1">
      <c r="A445" s="356" t="s">
        <v>683</v>
      </c>
      <c r="B445" s="675"/>
      <c r="C445" s="35"/>
      <c r="D445" s="234"/>
      <c r="E445" s="234"/>
      <c r="F445" s="191"/>
      <c r="G445" s="195"/>
      <c r="H445" s="80"/>
      <c r="I445" s="114"/>
      <c r="J445" s="35">
        <f t="shared" si="101"/>
        <v>0</v>
      </c>
      <c r="K445" s="3">
        <f>C445*VLOOKUP(A445,[1]오일단가!$A:$S,13,0)</f>
        <v>0</v>
      </c>
      <c r="L445" s="302"/>
      <c r="M445" s="299"/>
      <c r="N445" s="283">
        <f>F445*VLOOKUP(A445,[1]오일단가!$A:$S,14,0)</f>
        <v>0</v>
      </c>
      <c r="O445" s="276"/>
      <c r="P445" s="482"/>
      <c r="Q445" s="5"/>
      <c r="R445" s="3">
        <f t="shared" si="104"/>
        <v>0</v>
      </c>
      <c r="S445" s="3">
        <f>J445*10600</f>
        <v>0</v>
      </c>
    </row>
    <row r="446" spans="1:19" s="1" customFormat="1">
      <c r="A446" s="354" t="s">
        <v>487</v>
      </c>
      <c r="B446" s="675"/>
      <c r="C446" s="237"/>
      <c r="D446" s="234"/>
      <c r="E446" s="234"/>
      <c r="F446" s="230"/>
      <c r="G446" s="345"/>
      <c r="H446" s="80"/>
      <c r="I446" s="114"/>
      <c r="J446" s="35">
        <f t="shared" si="101"/>
        <v>0</v>
      </c>
      <c r="K446" s="3">
        <f>C446*VLOOKUP(A446,[1]오일단가!$A:$S,13,0)</f>
        <v>0</v>
      </c>
      <c r="L446" s="302"/>
      <c r="M446" s="299"/>
      <c r="N446" s="283">
        <f>F446*VLOOKUP(A446,[1]오일단가!$A:$S,14,0)</f>
        <v>0</v>
      </c>
      <c r="O446" s="276"/>
      <c r="P446" s="482"/>
      <c r="Q446" s="5"/>
      <c r="R446" s="3">
        <f t="shared" si="104"/>
        <v>0</v>
      </c>
      <c r="S446" s="3">
        <f>J446*6780</f>
        <v>0</v>
      </c>
    </row>
    <row r="447" spans="1:19" s="1" customFormat="1">
      <c r="A447" s="354" t="s">
        <v>690</v>
      </c>
      <c r="B447" s="675"/>
      <c r="C447" s="237"/>
      <c r="D447" s="234"/>
      <c r="E447" s="234"/>
      <c r="F447" s="230"/>
      <c r="G447" s="345"/>
      <c r="H447" s="80"/>
      <c r="I447" s="114"/>
      <c r="J447" s="35">
        <f t="shared" si="101"/>
        <v>0</v>
      </c>
      <c r="K447" s="3">
        <f>C447*136000</f>
        <v>0</v>
      </c>
      <c r="L447" s="302"/>
      <c r="M447" s="299"/>
      <c r="N447" s="283">
        <f>F447*122000</f>
        <v>0</v>
      </c>
      <c r="O447" s="276"/>
      <c r="P447" s="482"/>
      <c r="Q447" s="5"/>
      <c r="R447" s="3">
        <f t="shared" si="104"/>
        <v>0</v>
      </c>
      <c r="S447" s="3">
        <f>J447*15700</f>
        <v>0</v>
      </c>
    </row>
    <row r="448" spans="1:19" s="1" customFormat="1">
      <c r="A448" s="354" t="s">
        <v>488</v>
      </c>
      <c r="B448" s="675"/>
      <c r="C448" s="237"/>
      <c r="D448" s="234"/>
      <c r="E448" s="234"/>
      <c r="F448" s="230"/>
      <c r="G448" s="345"/>
      <c r="H448" s="80"/>
      <c r="I448" s="114"/>
      <c r="J448" s="35">
        <f t="shared" si="101"/>
        <v>0</v>
      </c>
      <c r="K448" s="3">
        <f>C448*VLOOKUP(A448,[1]오일단가!$A:$S,13,0)</f>
        <v>0</v>
      </c>
      <c r="L448" s="302"/>
      <c r="M448" s="299"/>
      <c r="N448" s="283">
        <f>F448*VLOOKUP(A448,[1]오일단가!$A:$S,14,0)</f>
        <v>0</v>
      </c>
      <c r="O448" s="276"/>
      <c r="P448" s="482"/>
      <c r="Q448" s="5"/>
      <c r="R448" s="3">
        <f t="shared" si="104"/>
        <v>0</v>
      </c>
      <c r="S448" s="3">
        <f>J448*9459</f>
        <v>0</v>
      </c>
    </row>
    <row r="449" spans="1:19" s="1" customFormat="1">
      <c r="A449" s="354" t="s">
        <v>678</v>
      </c>
      <c r="B449" s="675"/>
      <c r="C449" s="237"/>
      <c r="D449" s="234"/>
      <c r="E449" s="234"/>
      <c r="F449" s="191"/>
      <c r="G449" s="195"/>
      <c r="H449" s="80"/>
      <c r="I449" s="114"/>
      <c r="J449" s="35">
        <f t="shared" si="101"/>
        <v>0</v>
      </c>
      <c r="K449" s="3">
        <f>C449*VLOOKUP(A449,[1]오일단가!$A:$S,13,0)</f>
        <v>0</v>
      </c>
      <c r="L449" s="302"/>
      <c r="M449" s="299"/>
      <c r="N449" s="283">
        <f>F449*VLOOKUP(A449,[1]오일단가!$A:$S,14,0)</f>
        <v>0</v>
      </c>
      <c r="O449" s="276"/>
      <c r="P449" s="482"/>
      <c r="Q449" s="5"/>
      <c r="R449" s="3">
        <f t="shared" si="104"/>
        <v>0</v>
      </c>
      <c r="S449" s="3">
        <f>J449*13600</f>
        <v>0</v>
      </c>
    </row>
    <row r="450" spans="1:19" s="1" customFormat="1">
      <c r="A450" s="356" t="s">
        <v>489</v>
      </c>
      <c r="B450" s="675"/>
      <c r="C450" s="35"/>
      <c r="D450" s="33"/>
      <c r="E450" s="33"/>
      <c r="F450" s="191"/>
      <c r="G450" s="195"/>
      <c r="H450" s="80"/>
      <c r="I450" s="114"/>
      <c r="J450" s="35">
        <f t="shared" si="101"/>
        <v>0</v>
      </c>
      <c r="K450" s="3">
        <f>C450*VLOOKUP(A450,[1]오일단가!$A:$S,13,0)</f>
        <v>0</v>
      </c>
      <c r="L450" s="302"/>
      <c r="M450" s="299"/>
      <c r="N450" s="283">
        <f>F450*VLOOKUP(A450,[1]오일단가!$A:$S,14,0)</f>
        <v>0</v>
      </c>
      <c r="O450" s="276"/>
      <c r="P450" s="482"/>
      <c r="Q450" s="5"/>
      <c r="R450" s="3">
        <f t="shared" si="104"/>
        <v>0</v>
      </c>
      <c r="S450" s="3">
        <f>J450*45060</f>
        <v>0</v>
      </c>
    </row>
    <row r="451" spans="1:19" s="1" customFormat="1">
      <c r="A451" s="356" t="s">
        <v>672</v>
      </c>
      <c r="B451" s="675"/>
      <c r="C451" s="35"/>
      <c r="D451" s="234"/>
      <c r="E451" s="234"/>
      <c r="F451" s="191"/>
      <c r="G451" s="195"/>
      <c r="H451" s="80"/>
      <c r="I451" s="114"/>
      <c r="J451" s="35">
        <f t="shared" si="101"/>
        <v>0</v>
      </c>
      <c r="K451" s="3">
        <f>C451*VLOOKUP(A451,[1]오일단가!$A:$S,13,0)</f>
        <v>0</v>
      </c>
      <c r="L451" s="302"/>
      <c r="M451" s="299"/>
      <c r="N451" s="283">
        <f>F451*VLOOKUP(A451,[1]오일단가!$A:$S,14,0)</f>
        <v>0</v>
      </c>
      <c r="O451" s="276"/>
      <c r="P451" s="482"/>
      <c r="Q451" s="5"/>
      <c r="R451" s="3">
        <f t="shared" si="104"/>
        <v>0</v>
      </c>
      <c r="S451" s="3">
        <f>J451*44300</f>
        <v>0</v>
      </c>
    </row>
    <row r="452" spans="1:19" s="1" customFormat="1">
      <c r="A452" s="354" t="s">
        <v>673</v>
      </c>
      <c r="B452" s="675"/>
      <c r="C452" s="237"/>
      <c r="D452" s="234"/>
      <c r="E452" s="234"/>
      <c r="F452" s="230"/>
      <c r="G452" s="345"/>
      <c r="H452" s="80"/>
      <c r="I452" s="114"/>
      <c r="J452" s="35">
        <f t="shared" si="101"/>
        <v>0</v>
      </c>
      <c r="K452" s="3">
        <f>C452*VLOOKUP(A452,[1]오일단가!$A:$S,13,0)</f>
        <v>0</v>
      </c>
      <c r="L452" s="302"/>
      <c r="M452" s="299"/>
      <c r="N452" s="283">
        <f>F452*VLOOKUP(A452,[1]오일단가!$A:$S,14,0)</f>
        <v>0</v>
      </c>
      <c r="O452" s="276"/>
      <c r="P452" s="482"/>
      <c r="Q452" s="5"/>
      <c r="R452" s="3">
        <f t="shared" si="104"/>
        <v>0</v>
      </c>
      <c r="S452" s="3">
        <f>J452*56500</f>
        <v>0</v>
      </c>
    </row>
    <row r="453" spans="1:19" s="1" customFormat="1">
      <c r="A453" s="356" t="s">
        <v>537</v>
      </c>
      <c r="B453" s="675"/>
      <c r="C453" s="35"/>
      <c r="D453" s="234"/>
      <c r="E453" s="234"/>
      <c r="F453" s="191"/>
      <c r="G453" s="195"/>
      <c r="H453" s="80"/>
      <c r="I453" s="114"/>
      <c r="J453" s="35">
        <f t="shared" si="101"/>
        <v>0</v>
      </c>
      <c r="K453" s="3">
        <f>C453*VLOOKUP(A453,[1]오일단가!$A:$S,13,0)</f>
        <v>0</v>
      </c>
      <c r="L453" s="302"/>
      <c r="M453" s="299"/>
      <c r="N453" s="283">
        <f>F453*VLOOKUP(A453,[1]오일단가!$A:$S,14,0)</f>
        <v>0</v>
      </c>
      <c r="O453" s="276"/>
      <c r="P453" s="482"/>
      <c r="Q453" s="5"/>
      <c r="R453" s="3">
        <f t="shared" si="104"/>
        <v>0</v>
      </c>
      <c r="S453" s="3">
        <f>J453*31750</f>
        <v>0</v>
      </c>
    </row>
    <row r="454" spans="1:19" s="1" customFormat="1">
      <c r="A454" s="356" t="s">
        <v>538</v>
      </c>
      <c r="B454" s="675"/>
      <c r="C454" s="35"/>
      <c r="D454" s="234"/>
      <c r="E454" s="234"/>
      <c r="F454" s="191"/>
      <c r="G454" s="195"/>
      <c r="H454" s="80"/>
      <c r="I454" s="114"/>
      <c r="J454" s="35">
        <f t="shared" si="101"/>
        <v>0</v>
      </c>
      <c r="K454" s="3">
        <f>C454*VLOOKUP(A454,[1]오일단가!$A:$S,13,0)</f>
        <v>0</v>
      </c>
      <c r="L454" s="302"/>
      <c r="M454" s="299"/>
      <c r="N454" s="283">
        <f>F454*VLOOKUP(A454,[1]오일단가!$A:$S,14,0)</f>
        <v>0</v>
      </c>
      <c r="O454" s="276"/>
      <c r="P454" s="482"/>
      <c r="Q454" s="5"/>
      <c r="R454" s="3">
        <f t="shared" si="104"/>
        <v>0</v>
      </c>
      <c r="S454" s="3">
        <f>J454*43300</f>
        <v>0</v>
      </c>
    </row>
    <row r="455" spans="1:19" s="1" customFormat="1">
      <c r="A455" s="356" t="s">
        <v>699</v>
      </c>
      <c r="B455" s="675"/>
      <c r="C455" s="35"/>
      <c r="D455" s="234"/>
      <c r="E455" s="234"/>
      <c r="F455" s="191"/>
      <c r="G455" s="195"/>
      <c r="H455" s="80"/>
      <c r="I455" s="114"/>
      <c r="J455" s="35">
        <f t="shared" si="101"/>
        <v>0</v>
      </c>
      <c r="K455" s="3">
        <f>C455*184000</f>
        <v>0</v>
      </c>
      <c r="L455" s="302"/>
      <c r="M455" s="299"/>
      <c r="N455" s="283">
        <f>F455*166000</f>
        <v>0</v>
      </c>
      <c r="O455" s="276"/>
      <c r="P455" s="482"/>
      <c r="Q455" s="5"/>
      <c r="R455" s="3">
        <f t="shared" si="104"/>
        <v>0</v>
      </c>
      <c r="S455" s="3">
        <f>J455*21700</f>
        <v>0</v>
      </c>
    </row>
    <row r="456" spans="1:19" s="1" customFormat="1">
      <c r="A456" s="356" t="s">
        <v>700</v>
      </c>
      <c r="B456" s="675"/>
      <c r="C456" s="35"/>
      <c r="D456" s="234"/>
      <c r="E456" s="234"/>
      <c r="F456" s="191"/>
      <c r="G456" s="195"/>
      <c r="H456" s="80"/>
      <c r="I456" s="114"/>
      <c r="J456" s="35">
        <f t="shared" si="101"/>
        <v>0</v>
      </c>
      <c r="K456" s="3">
        <f>C456*228000</f>
        <v>0</v>
      </c>
      <c r="L456" s="302"/>
      <c r="M456" s="299"/>
      <c r="N456" s="283">
        <f>F456*205000</f>
        <v>0</v>
      </c>
      <c r="O456" s="276"/>
      <c r="P456" s="482"/>
      <c r="Q456" s="5"/>
      <c r="R456" s="3">
        <f t="shared" si="104"/>
        <v>0</v>
      </c>
      <c r="S456" s="3">
        <f>J456*42900</f>
        <v>0</v>
      </c>
    </row>
    <row r="457" spans="1:19" s="1" customFormat="1">
      <c r="A457" s="356" t="s">
        <v>715</v>
      </c>
      <c r="B457" s="675"/>
      <c r="C457" s="35"/>
      <c r="D457" s="234"/>
      <c r="E457" s="234"/>
      <c r="F457" s="191"/>
      <c r="G457" s="195"/>
      <c r="H457" s="80"/>
      <c r="I457" s="114"/>
      <c r="J457" s="35">
        <f t="shared" si="101"/>
        <v>0</v>
      </c>
      <c r="K457" s="3">
        <f>C457*184000</f>
        <v>0</v>
      </c>
      <c r="L457" s="302"/>
      <c r="M457" s="299"/>
      <c r="N457" s="283">
        <f>F457*166000</f>
        <v>0</v>
      </c>
      <c r="O457" s="276"/>
      <c r="P457" s="482"/>
      <c r="Q457" s="5"/>
      <c r="R457" s="3">
        <f t="shared" si="104"/>
        <v>0</v>
      </c>
      <c r="S457" s="3">
        <f>J457*21200</f>
        <v>0</v>
      </c>
    </row>
    <row r="458" spans="1:19" s="1" customFormat="1">
      <c r="A458" s="356" t="s">
        <v>615</v>
      </c>
      <c r="B458" s="675"/>
      <c r="C458" s="35"/>
      <c r="D458" s="234"/>
      <c r="E458" s="234"/>
      <c r="F458" s="191"/>
      <c r="G458" s="195"/>
      <c r="H458" s="80"/>
      <c r="I458" s="114"/>
      <c r="J458" s="35">
        <f t="shared" si="101"/>
        <v>0</v>
      </c>
      <c r="K458" s="3">
        <f>C458*VLOOKUP(A458,[1]오일단가!$A:$S,13,0)</f>
        <v>0</v>
      </c>
      <c r="L458" s="302"/>
      <c r="M458" s="299"/>
      <c r="N458" s="283">
        <f>F458*VLOOKUP(A458,[1]오일단가!$A:$S,14,0)</f>
        <v>0</v>
      </c>
      <c r="O458" s="276"/>
      <c r="P458" s="482"/>
      <c r="Q458" s="5"/>
      <c r="R458" s="3">
        <f t="shared" si="104"/>
        <v>0</v>
      </c>
      <c r="S458" s="3">
        <f>J458*45500</f>
        <v>0</v>
      </c>
    </row>
    <row r="459" spans="1:19" s="1" customFormat="1">
      <c r="A459" s="356" t="s">
        <v>684</v>
      </c>
      <c r="B459" s="675"/>
      <c r="C459" s="35"/>
      <c r="D459" s="234"/>
      <c r="E459" s="234"/>
      <c r="F459" s="191"/>
      <c r="G459" s="195"/>
      <c r="H459" s="80"/>
      <c r="I459" s="114"/>
      <c r="J459" s="35">
        <f t="shared" si="101"/>
        <v>0</v>
      </c>
      <c r="K459" s="3">
        <f>C459*VLOOKUP(A459,[1]오일단가!$A:$S,13,0)</f>
        <v>0</v>
      </c>
      <c r="L459" s="302"/>
      <c r="M459" s="299"/>
      <c r="N459" s="283">
        <f>F459*VLOOKUP(A459,[1]오일단가!$A:$S,14,0)</f>
        <v>0</v>
      </c>
      <c r="O459" s="276"/>
      <c r="P459" s="482"/>
      <c r="Q459" s="5"/>
      <c r="R459" s="3">
        <f t="shared" si="104"/>
        <v>0</v>
      </c>
      <c r="S459" s="3">
        <f>J459*15200</f>
        <v>0</v>
      </c>
    </row>
    <row r="460" spans="1:19" s="1" customFormat="1">
      <c r="A460" s="356" t="s">
        <v>691</v>
      </c>
      <c r="B460" s="675"/>
      <c r="C460" s="35"/>
      <c r="D460" s="234"/>
      <c r="E460" s="234"/>
      <c r="F460" s="191"/>
      <c r="G460" s="195"/>
      <c r="H460" s="80"/>
      <c r="I460" s="114"/>
      <c r="J460" s="35">
        <f t="shared" si="101"/>
        <v>0</v>
      </c>
      <c r="K460" s="3">
        <f>C460*184000</f>
        <v>0</v>
      </c>
      <c r="L460" s="302"/>
      <c r="M460" s="299"/>
      <c r="N460" s="283">
        <f>F460*166000</f>
        <v>0</v>
      </c>
      <c r="O460" s="276"/>
      <c r="P460" s="482"/>
      <c r="Q460" s="5"/>
      <c r="R460" s="3">
        <f t="shared" si="104"/>
        <v>0</v>
      </c>
      <c r="S460" s="3">
        <f>J460*22800</f>
        <v>0</v>
      </c>
    </row>
    <row r="461" spans="1:19" s="1" customFormat="1">
      <c r="A461" s="356" t="s">
        <v>692</v>
      </c>
      <c r="B461" s="675"/>
      <c r="C461" s="35"/>
      <c r="D461" s="234"/>
      <c r="E461" s="234"/>
      <c r="F461" s="191"/>
      <c r="G461" s="195"/>
      <c r="H461" s="80"/>
      <c r="I461" s="114"/>
      <c r="J461" s="35">
        <f t="shared" si="101"/>
        <v>0</v>
      </c>
      <c r="K461" s="3">
        <f>C461*128000</f>
        <v>0</v>
      </c>
      <c r="L461" s="302"/>
      <c r="M461" s="299"/>
      <c r="N461" s="283">
        <f>F461*115000</f>
        <v>0</v>
      </c>
      <c r="O461" s="276"/>
      <c r="P461" s="482"/>
      <c r="Q461" s="5"/>
      <c r="R461" s="3">
        <f t="shared" si="104"/>
        <v>0</v>
      </c>
      <c r="S461" s="3">
        <f>J461*10400</f>
        <v>0</v>
      </c>
    </row>
    <row r="462" spans="1:19" s="1" customFormat="1">
      <c r="A462" s="356" t="s">
        <v>490</v>
      </c>
      <c r="B462" s="675"/>
      <c r="C462" s="35"/>
      <c r="D462" s="234"/>
      <c r="E462" s="234"/>
      <c r="F462" s="191"/>
      <c r="G462" s="195"/>
      <c r="H462" s="80"/>
      <c r="I462" s="114"/>
      <c r="J462" s="35">
        <f t="shared" si="101"/>
        <v>0</v>
      </c>
      <c r="K462" s="3">
        <f>C462*VLOOKUP(A462,[1]오일단가!$A:$S,13,0)</f>
        <v>0</v>
      </c>
      <c r="L462" s="302"/>
      <c r="M462" s="299"/>
      <c r="N462" s="283">
        <f>F462*VLOOKUP(A462,[1]오일단가!$A:$S,14,0)</f>
        <v>0</v>
      </c>
      <c r="O462" s="276"/>
      <c r="P462" s="482"/>
      <c r="Q462" s="5"/>
      <c r="R462" s="3">
        <f t="shared" si="104"/>
        <v>0</v>
      </c>
      <c r="S462" s="3">
        <f>J462*36700</f>
        <v>0</v>
      </c>
    </row>
    <row r="463" spans="1:19" s="1" customFormat="1">
      <c r="A463" s="356" t="s">
        <v>616</v>
      </c>
      <c r="B463" s="675"/>
      <c r="C463" s="35"/>
      <c r="D463" s="234"/>
      <c r="E463" s="234"/>
      <c r="F463" s="191"/>
      <c r="G463" s="195"/>
      <c r="H463" s="80"/>
      <c r="I463" s="114"/>
      <c r="J463" s="35">
        <f t="shared" si="101"/>
        <v>0</v>
      </c>
      <c r="K463" s="3">
        <f>C463*VLOOKUP(A463,[1]오일단가!$A:$S,13,0)</f>
        <v>0</v>
      </c>
      <c r="L463" s="302"/>
      <c r="M463" s="299"/>
      <c r="N463" s="283">
        <f>F463*VLOOKUP(A463,[1]오일단가!$A:$S,14,0)</f>
        <v>0</v>
      </c>
      <c r="O463" s="276"/>
      <c r="P463" s="482"/>
      <c r="Q463" s="5"/>
      <c r="R463" s="3">
        <f t="shared" si="104"/>
        <v>0</v>
      </c>
      <c r="S463" s="3">
        <f>J463*19980</f>
        <v>0</v>
      </c>
    </row>
    <row r="464" spans="1:19" s="1" customFormat="1">
      <c r="A464" s="356" t="s">
        <v>539</v>
      </c>
      <c r="B464" s="675"/>
      <c r="C464" s="35"/>
      <c r="D464" s="234"/>
      <c r="E464" s="234"/>
      <c r="F464" s="191"/>
      <c r="G464" s="195"/>
      <c r="H464" s="80"/>
      <c r="I464" s="114"/>
      <c r="J464" s="35">
        <f t="shared" si="101"/>
        <v>0</v>
      </c>
      <c r="K464" s="3">
        <f>C464*VLOOKUP(A464,[1]오일단가!$A:$S,13,0)</f>
        <v>0</v>
      </c>
      <c r="L464" s="302"/>
      <c r="M464" s="299"/>
      <c r="N464" s="283">
        <f>F464*VLOOKUP(A464,[1]오일단가!$A:$S,14,0)</f>
        <v>0</v>
      </c>
      <c r="O464" s="276"/>
      <c r="P464" s="482"/>
      <c r="Q464" s="5"/>
      <c r="R464" s="3">
        <f t="shared" si="104"/>
        <v>0</v>
      </c>
      <c r="S464" s="3">
        <f>J464*16900</f>
        <v>0</v>
      </c>
    </row>
    <row r="465" spans="1:19" s="1" customFormat="1">
      <c r="A465" s="356" t="s">
        <v>694</v>
      </c>
      <c r="B465" s="675"/>
      <c r="C465" s="35"/>
      <c r="D465" s="234"/>
      <c r="E465" s="234"/>
      <c r="F465" s="191"/>
      <c r="G465" s="195"/>
      <c r="H465" s="80"/>
      <c r="I465" s="114"/>
      <c r="J465" s="35">
        <f t="shared" si="101"/>
        <v>0</v>
      </c>
      <c r="K465" s="3">
        <f>C465*128000</f>
        <v>0</v>
      </c>
      <c r="L465" s="302"/>
      <c r="M465" s="299"/>
      <c r="N465" s="283">
        <f>F465*115000</f>
        <v>0</v>
      </c>
      <c r="O465" s="276"/>
      <c r="P465" s="482"/>
      <c r="Q465" s="5"/>
      <c r="R465" s="3">
        <f t="shared" si="104"/>
        <v>0</v>
      </c>
      <c r="S465" s="3">
        <f>J465*11100</f>
        <v>0</v>
      </c>
    </row>
    <row r="466" spans="1:19" s="1" customFormat="1">
      <c r="A466" s="354" t="s">
        <v>485</v>
      </c>
      <c r="B466" s="675"/>
      <c r="C466" s="237"/>
      <c r="D466" s="234"/>
      <c r="E466" s="234"/>
      <c r="F466" s="230"/>
      <c r="G466" s="345"/>
      <c r="H466" s="80"/>
      <c r="I466" s="114"/>
      <c r="J466" s="35">
        <f t="shared" si="101"/>
        <v>0</v>
      </c>
      <c r="K466" s="3">
        <f>C466*VLOOKUP(A466,[1]오일단가!$A:$S,13,0)</f>
        <v>0</v>
      </c>
      <c r="L466" s="302"/>
      <c r="M466" s="299"/>
      <c r="N466" s="283">
        <f>F466*VLOOKUP(A466,[1]오일단가!$A:$S,14,0)</f>
        <v>0</v>
      </c>
      <c r="O466" s="276"/>
      <c r="P466" s="482"/>
      <c r="Q466" s="5"/>
      <c r="R466" s="3">
        <f t="shared" si="104"/>
        <v>0</v>
      </c>
      <c r="S466" s="3">
        <f>J466*10100</f>
        <v>0</v>
      </c>
    </row>
    <row r="467" spans="1:19" s="1" customFormat="1">
      <c r="A467" s="356" t="s">
        <v>540</v>
      </c>
      <c r="B467" s="675"/>
      <c r="C467" s="35"/>
      <c r="D467" s="234"/>
      <c r="E467" s="234"/>
      <c r="F467" s="191"/>
      <c r="G467" s="195"/>
      <c r="H467" s="80"/>
      <c r="I467" s="114"/>
      <c r="J467" s="35">
        <f t="shared" si="101"/>
        <v>0</v>
      </c>
      <c r="K467" s="3">
        <f>C467*VLOOKUP(A467,[1]오일단가!$A:$S,13,0)</f>
        <v>0</v>
      </c>
      <c r="L467" s="302"/>
      <c r="M467" s="299"/>
      <c r="N467" s="283">
        <f>F467*VLOOKUP(A467,[1]오일단가!$A:$S,14,0)</f>
        <v>0</v>
      </c>
      <c r="O467" s="276"/>
      <c r="P467" s="482"/>
      <c r="Q467" s="5"/>
      <c r="R467" s="3">
        <f t="shared" si="104"/>
        <v>0</v>
      </c>
      <c r="S467" s="3">
        <f>J467*26800</f>
        <v>0</v>
      </c>
    </row>
    <row r="468" spans="1:19" s="1" customFormat="1">
      <c r="A468" s="356" t="s">
        <v>679</v>
      </c>
      <c r="B468" s="675"/>
      <c r="C468" s="35"/>
      <c r="D468" s="234"/>
      <c r="E468" s="234"/>
      <c r="F468" s="191"/>
      <c r="G468" s="195"/>
      <c r="H468" s="80"/>
      <c r="I468" s="114"/>
      <c r="J468" s="35">
        <f t="shared" si="101"/>
        <v>0</v>
      </c>
      <c r="K468" s="3">
        <f>C468*VLOOKUP(A468,[1]오일단가!$A:$S,13,0)</f>
        <v>0</v>
      </c>
      <c r="L468" s="302"/>
      <c r="M468" s="299"/>
      <c r="N468" s="283">
        <f>F468*VLOOKUP(A468,[1]오일단가!$A:$S,14,0)</f>
        <v>0</v>
      </c>
      <c r="O468" s="276"/>
      <c r="P468" s="482"/>
      <c r="Q468" s="5"/>
      <c r="R468" s="3">
        <f t="shared" si="104"/>
        <v>0</v>
      </c>
      <c r="S468" s="3">
        <f>J468*13100</f>
        <v>0</v>
      </c>
    </row>
    <row r="469" spans="1:19" s="1" customFormat="1">
      <c r="A469" s="354" t="s">
        <v>486</v>
      </c>
      <c r="B469" s="675"/>
      <c r="C469" s="237"/>
      <c r="D469" s="234"/>
      <c r="E469" s="234"/>
      <c r="F469" s="230"/>
      <c r="G469" s="345"/>
      <c r="H469" s="80"/>
      <c r="I469" s="114"/>
      <c r="J469" s="35">
        <f t="shared" si="101"/>
        <v>0</v>
      </c>
      <c r="K469" s="3">
        <f>C469*VLOOKUP(A469,[1]오일단가!$A:$S,13,0)</f>
        <v>0</v>
      </c>
      <c r="L469" s="302"/>
      <c r="M469" s="299"/>
      <c r="N469" s="283">
        <f>F469*VLOOKUP(A469,[1]오일단가!$A:$S,14,0)</f>
        <v>0</v>
      </c>
      <c r="O469" s="276"/>
      <c r="P469" s="482"/>
      <c r="Q469" s="5"/>
      <c r="R469" s="3">
        <f t="shared" si="104"/>
        <v>0</v>
      </c>
      <c r="S469" s="3">
        <f>J469*7400</f>
        <v>0</v>
      </c>
    </row>
    <row r="470" spans="1:19" s="1" customFormat="1">
      <c r="A470" s="356" t="s">
        <v>541</v>
      </c>
      <c r="B470" s="675"/>
      <c r="C470" s="35"/>
      <c r="D470" s="234"/>
      <c r="E470" s="234"/>
      <c r="F470" s="191"/>
      <c r="G470" s="195"/>
      <c r="H470" s="80"/>
      <c r="I470" s="114"/>
      <c r="J470" s="35">
        <f t="shared" si="101"/>
        <v>0</v>
      </c>
      <c r="K470" s="3">
        <f>C470*VLOOKUP(A470,[1]오일단가!$A:$S,13,0)</f>
        <v>0</v>
      </c>
      <c r="L470" s="302"/>
      <c r="M470" s="299"/>
      <c r="N470" s="283">
        <f>F470*VLOOKUP(A470,[1]오일단가!$A:$S,14,0)</f>
        <v>0</v>
      </c>
      <c r="O470" s="276"/>
      <c r="P470" s="482"/>
      <c r="Q470" s="5"/>
      <c r="R470" s="3">
        <f t="shared" si="104"/>
        <v>0</v>
      </c>
      <c r="S470" s="3">
        <f>J470*30100</f>
        <v>0</v>
      </c>
    </row>
    <row r="471" spans="1:19" s="1" customFormat="1">
      <c r="A471" s="356" t="s">
        <v>543</v>
      </c>
      <c r="B471" s="675"/>
      <c r="C471" s="35"/>
      <c r="D471" s="234"/>
      <c r="E471" s="234"/>
      <c r="F471" s="191"/>
      <c r="G471" s="195"/>
      <c r="H471" s="80"/>
      <c r="I471" s="114"/>
      <c r="J471" s="35">
        <f t="shared" si="101"/>
        <v>0</v>
      </c>
      <c r="K471" s="3">
        <f>C471*VLOOKUP(A471,[1]오일단가!$A:$S,13,0)</f>
        <v>0</v>
      </c>
      <c r="L471" s="302"/>
      <c r="M471" s="299"/>
      <c r="N471" s="283">
        <f>F471*VLOOKUP(A471,[1]오일단가!$A:$S,14,0)</f>
        <v>0</v>
      </c>
      <c r="O471" s="276"/>
      <c r="P471" s="482"/>
      <c r="Q471" s="5"/>
      <c r="R471" s="3">
        <f t="shared" si="104"/>
        <v>0</v>
      </c>
      <c r="S471" s="3">
        <f>J471*66400</f>
        <v>0</v>
      </c>
    </row>
    <row r="472" spans="1:19" s="1" customFormat="1">
      <c r="A472" s="356" t="s">
        <v>617</v>
      </c>
      <c r="B472" s="675"/>
      <c r="C472" s="35"/>
      <c r="D472" s="234"/>
      <c r="E472" s="234"/>
      <c r="F472" s="191"/>
      <c r="G472" s="195"/>
      <c r="H472" s="80"/>
      <c r="I472" s="114"/>
      <c r="J472" s="35">
        <f t="shared" si="101"/>
        <v>0</v>
      </c>
      <c r="K472" s="3">
        <f>C472*VLOOKUP(A472,[1]오일단가!$A:$S,13,0)</f>
        <v>0</v>
      </c>
      <c r="L472" s="302"/>
      <c r="M472" s="299"/>
      <c r="N472" s="283">
        <f>F472*VLOOKUP(A472,[1]오일단가!$A:$S,14,0)</f>
        <v>0</v>
      </c>
      <c r="O472" s="276"/>
      <c r="P472" s="482"/>
      <c r="Q472" s="5"/>
      <c r="R472" s="3">
        <f t="shared" si="104"/>
        <v>0</v>
      </c>
      <c r="S472" s="3">
        <f>J472*26800</f>
        <v>0</v>
      </c>
    </row>
    <row r="473" spans="1:19" s="1" customFormat="1">
      <c r="A473" s="356" t="s">
        <v>674</v>
      </c>
      <c r="B473" s="675"/>
      <c r="C473" s="237"/>
      <c r="D473" s="234"/>
      <c r="E473" s="234"/>
      <c r="F473" s="230"/>
      <c r="G473" s="345"/>
      <c r="H473" s="80"/>
      <c r="I473" s="114"/>
      <c r="J473" s="35">
        <f t="shared" si="101"/>
        <v>0</v>
      </c>
      <c r="K473" s="3">
        <f>C473*VLOOKUP(A473,[1]오일단가!$A:$S,13,0)</f>
        <v>0</v>
      </c>
      <c r="L473" s="302"/>
      <c r="M473" s="299"/>
      <c r="N473" s="283">
        <f>F473*VLOOKUP(A473,[1]오일단가!$A:$S,14,0)</f>
        <v>0</v>
      </c>
      <c r="O473" s="276"/>
      <c r="P473" s="482"/>
      <c r="Q473" s="5"/>
      <c r="R473" s="3">
        <f t="shared" si="104"/>
        <v>0</v>
      </c>
      <c r="S473" s="3">
        <f>J473*41100</f>
        <v>0</v>
      </c>
    </row>
    <row r="474" spans="1:19" s="1" customFormat="1">
      <c r="A474" s="356" t="s">
        <v>695</v>
      </c>
      <c r="B474" s="675"/>
      <c r="C474" s="237"/>
      <c r="D474" s="234"/>
      <c r="E474" s="234"/>
      <c r="F474" s="230"/>
      <c r="G474" s="345"/>
      <c r="H474" s="80"/>
      <c r="I474" s="114"/>
      <c r="J474" s="35">
        <f t="shared" si="101"/>
        <v>0</v>
      </c>
      <c r="K474" s="3">
        <f>C474*1000000</f>
        <v>0</v>
      </c>
      <c r="L474" s="302"/>
      <c r="M474" s="299"/>
      <c r="N474" s="283">
        <f>F474*900000</f>
        <v>0</v>
      </c>
      <c r="O474" s="276"/>
      <c r="P474" s="482"/>
      <c r="Q474" s="5"/>
      <c r="R474" s="3">
        <f t="shared" si="104"/>
        <v>0</v>
      </c>
      <c r="S474" s="3">
        <f>J474*25900</f>
        <v>0</v>
      </c>
    </row>
    <row r="475" spans="1:19" s="1" customFormat="1">
      <c r="A475" s="356" t="s">
        <v>675</v>
      </c>
      <c r="B475" s="675"/>
      <c r="C475" s="35"/>
      <c r="D475" s="234"/>
      <c r="E475" s="234"/>
      <c r="F475" s="191"/>
      <c r="G475" s="195"/>
      <c r="H475" s="80"/>
      <c r="I475" s="114"/>
      <c r="J475" s="35">
        <f t="shared" si="101"/>
        <v>0</v>
      </c>
      <c r="K475" s="3">
        <f>C475*VLOOKUP(A475,[1]오일단가!$A:$S,13,0)</f>
        <v>0</v>
      </c>
      <c r="L475" s="302"/>
      <c r="M475" s="299"/>
      <c r="N475" s="283">
        <f>F475*VLOOKUP(A475,[1]오일단가!$A:$S,14,0)</f>
        <v>0</v>
      </c>
      <c r="O475" s="276"/>
      <c r="P475" s="482"/>
      <c r="Q475" s="5"/>
      <c r="R475" s="3">
        <f t="shared" si="104"/>
        <v>0</v>
      </c>
      <c r="S475" s="3">
        <f>J475*70800</f>
        <v>0</v>
      </c>
    </row>
    <row r="476" spans="1:19" s="1" customFormat="1">
      <c r="A476" s="356" t="s">
        <v>696</v>
      </c>
      <c r="B476" s="675"/>
      <c r="C476" s="35"/>
      <c r="D476" s="234"/>
      <c r="E476" s="234"/>
      <c r="F476" s="191"/>
      <c r="G476" s="195"/>
      <c r="H476" s="80"/>
      <c r="I476" s="114"/>
      <c r="J476" s="35">
        <f t="shared" si="101"/>
        <v>0</v>
      </c>
      <c r="K476" s="3">
        <f>C476*184000</f>
        <v>0</v>
      </c>
      <c r="L476" s="302"/>
      <c r="M476" s="299"/>
      <c r="N476" s="283">
        <f>F476*166000</f>
        <v>0</v>
      </c>
      <c r="O476" s="276"/>
      <c r="P476" s="482"/>
      <c r="Q476" s="5"/>
      <c r="R476" s="3">
        <f t="shared" si="104"/>
        <v>0</v>
      </c>
      <c r="S476" s="3">
        <f>J476*21700</f>
        <v>0</v>
      </c>
    </row>
    <row r="477" spans="1:19" s="1" customFormat="1">
      <c r="A477" s="356" t="s">
        <v>676</v>
      </c>
      <c r="B477" s="675"/>
      <c r="C477" s="35"/>
      <c r="D477" s="234"/>
      <c r="E477" s="234"/>
      <c r="F477" s="191"/>
      <c r="G477" s="195"/>
      <c r="H477" s="80"/>
      <c r="I477" s="114"/>
      <c r="J477" s="35">
        <f t="shared" si="101"/>
        <v>0</v>
      </c>
      <c r="K477" s="3">
        <f>C477*VLOOKUP(A477,[1]오일단가!$A:$S,13,0)</f>
        <v>0</v>
      </c>
      <c r="L477" s="302"/>
      <c r="M477" s="299"/>
      <c r="N477" s="283">
        <f>F477*VLOOKUP(A477,[1]오일단가!$A:$S,14,0)</f>
        <v>0</v>
      </c>
      <c r="O477" s="276"/>
      <c r="P477" s="482"/>
      <c r="Q477" s="5"/>
      <c r="R477" s="3">
        <f t="shared" si="104"/>
        <v>0</v>
      </c>
      <c r="S477" s="3">
        <f>J477*19100</f>
        <v>0</v>
      </c>
    </row>
    <row r="478" spans="1:19" s="1" customFormat="1">
      <c r="A478" s="356" t="s">
        <v>544</v>
      </c>
      <c r="B478" s="675"/>
      <c r="C478" s="35"/>
      <c r="D478" s="234"/>
      <c r="E478" s="234"/>
      <c r="F478" s="191"/>
      <c r="G478" s="195"/>
      <c r="H478" s="80"/>
      <c r="I478" s="114"/>
      <c r="J478" s="35">
        <f t="shared" si="101"/>
        <v>0</v>
      </c>
      <c r="K478" s="3">
        <f>C478*VLOOKUP(A478,[1]오일단가!$A:$S,13,0)</f>
        <v>0</v>
      </c>
      <c r="L478" s="302"/>
      <c r="M478" s="299"/>
      <c r="N478" s="283">
        <f>F478*VLOOKUP(A478,[1]오일단가!$A:$S,14,0)</f>
        <v>0</v>
      </c>
      <c r="O478" s="276"/>
      <c r="P478" s="482"/>
      <c r="Q478" s="5"/>
      <c r="R478" s="3">
        <f t="shared" si="104"/>
        <v>0</v>
      </c>
      <c r="S478" s="3">
        <f>J478*32200</f>
        <v>0</v>
      </c>
    </row>
    <row r="479" spans="1:19" s="1" customFormat="1">
      <c r="A479" s="356" t="s">
        <v>545</v>
      </c>
      <c r="B479" s="675"/>
      <c r="C479" s="35"/>
      <c r="D479" s="234"/>
      <c r="E479" s="234"/>
      <c r="F479" s="191"/>
      <c r="G479" s="195"/>
      <c r="H479" s="80"/>
      <c r="I479" s="114"/>
      <c r="J479" s="35">
        <f t="shared" si="101"/>
        <v>0</v>
      </c>
      <c r="K479" s="3">
        <f>C479*VLOOKUP(A479,[1]오일단가!$A:$S,13,0)</f>
        <v>0</v>
      </c>
      <c r="L479" s="302"/>
      <c r="M479" s="299"/>
      <c r="N479" s="283">
        <f>F479*VLOOKUP(A479,[1]오일단가!$A:$S,14,0)</f>
        <v>0</v>
      </c>
      <c r="O479" s="276"/>
      <c r="P479" s="482"/>
      <c r="Q479" s="5"/>
      <c r="R479" s="3">
        <f t="shared" si="104"/>
        <v>0</v>
      </c>
      <c r="S479" s="3">
        <f>J479*45600</f>
        <v>0</v>
      </c>
    </row>
    <row r="480" spans="1:19" s="1" customFormat="1">
      <c r="A480" s="356" t="s">
        <v>546</v>
      </c>
      <c r="B480" s="675"/>
      <c r="C480" s="35"/>
      <c r="D480" s="234"/>
      <c r="E480" s="234"/>
      <c r="F480" s="191"/>
      <c r="G480" s="195"/>
      <c r="H480" s="80"/>
      <c r="I480" s="114"/>
      <c r="J480" s="35">
        <f t="shared" si="101"/>
        <v>0</v>
      </c>
      <c r="K480" s="3">
        <f>C480*VLOOKUP(A480,[1]오일단가!$A:$S,13,0)</f>
        <v>0</v>
      </c>
      <c r="L480" s="302"/>
      <c r="M480" s="299"/>
      <c r="N480" s="283">
        <f>F480*VLOOKUP(A480,[1]오일단가!$A:$S,14,0)</f>
        <v>0</v>
      </c>
      <c r="O480" s="276"/>
      <c r="P480" s="482"/>
      <c r="Q480" s="5"/>
      <c r="R480" s="3">
        <f t="shared" si="104"/>
        <v>0</v>
      </c>
      <c r="S480" s="3">
        <f>J480*62600</f>
        <v>0</v>
      </c>
    </row>
    <row r="481" spans="1:19" s="1" customFormat="1">
      <c r="A481" s="356" t="s">
        <v>547</v>
      </c>
      <c r="B481" s="675"/>
      <c r="C481" s="35"/>
      <c r="D481" s="234"/>
      <c r="E481" s="234"/>
      <c r="F481" s="191"/>
      <c r="G481" s="195"/>
      <c r="H481" s="80"/>
      <c r="I481" s="114"/>
      <c r="J481" s="35">
        <f t="shared" si="101"/>
        <v>0</v>
      </c>
      <c r="K481" s="3">
        <f>C481*VLOOKUP(A481,[1]오일단가!$A:$S,13,0)</f>
        <v>0</v>
      </c>
      <c r="L481" s="302"/>
      <c r="M481" s="299"/>
      <c r="N481" s="283">
        <f>F481*VLOOKUP(A481,[1]오일단가!$A:$S,14,0)</f>
        <v>0</v>
      </c>
      <c r="O481" s="276"/>
      <c r="P481" s="482"/>
      <c r="Q481" s="5"/>
      <c r="R481" s="3">
        <f t="shared" si="104"/>
        <v>0</v>
      </c>
      <c r="S481" s="3">
        <f>J481*29300</f>
        <v>0</v>
      </c>
    </row>
    <row r="482" spans="1:19" s="1" customFormat="1">
      <c r="A482" s="356" t="s">
        <v>548</v>
      </c>
      <c r="B482" s="676"/>
      <c r="C482" s="35"/>
      <c r="D482" s="234"/>
      <c r="E482" s="234"/>
      <c r="F482" s="191"/>
      <c r="G482" s="195"/>
      <c r="H482" s="80"/>
      <c r="I482" s="114"/>
      <c r="J482" s="35">
        <f t="shared" si="101"/>
        <v>0</v>
      </c>
      <c r="K482" s="3">
        <f>C482*VLOOKUP(A482,[1]오일단가!$A:$S,13,0)</f>
        <v>0</v>
      </c>
      <c r="L482" s="302"/>
      <c r="M482" s="299"/>
      <c r="N482" s="283">
        <f>F482*VLOOKUP(A482,[1]오일단가!$A:$S,14,0)</f>
        <v>0</v>
      </c>
      <c r="O482" s="276"/>
      <c r="P482" s="482"/>
      <c r="Q482" s="5"/>
      <c r="R482" s="3">
        <f t="shared" si="104"/>
        <v>0</v>
      </c>
      <c r="S482" s="3">
        <f>J482*28700</f>
        <v>0</v>
      </c>
    </row>
    <row r="483" spans="1:19" s="1" customFormat="1">
      <c r="A483" s="356"/>
      <c r="B483" s="418"/>
      <c r="C483" s="35"/>
      <c r="D483" s="234"/>
      <c r="E483" s="234"/>
      <c r="F483" s="191"/>
      <c r="G483" s="195"/>
      <c r="H483" s="80"/>
      <c r="I483" s="114"/>
      <c r="J483" s="35"/>
      <c r="K483" s="3"/>
      <c r="L483" s="302"/>
      <c r="M483" s="299"/>
      <c r="N483" s="283"/>
      <c r="O483" s="276"/>
      <c r="P483" s="482"/>
      <c r="Q483" s="5"/>
      <c r="R483" s="3"/>
      <c r="S483" s="3"/>
    </row>
    <row r="484" spans="1:19" s="74" customFormat="1">
      <c r="A484" s="504" t="s">
        <v>576</v>
      </c>
      <c r="B484" s="506"/>
      <c r="C484" s="450">
        <f t="shared" ref="C484:Q484" si="105">SUM(C413:C483)</f>
        <v>0</v>
      </c>
      <c r="D484" s="450">
        <f t="shared" si="105"/>
        <v>0</v>
      </c>
      <c r="E484" s="450">
        <f t="shared" si="105"/>
        <v>0</v>
      </c>
      <c r="F484" s="450">
        <f t="shared" si="105"/>
        <v>0</v>
      </c>
      <c r="G484" s="450">
        <f t="shared" si="105"/>
        <v>0</v>
      </c>
      <c r="H484" s="450">
        <f t="shared" si="105"/>
        <v>0</v>
      </c>
      <c r="I484" s="450">
        <f t="shared" si="105"/>
        <v>0</v>
      </c>
      <c r="J484" s="450">
        <f t="shared" si="105"/>
        <v>0</v>
      </c>
      <c r="K484" s="457">
        <f t="shared" si="105"/>
        <v>0</v>
      </c>
      <c r="L484" s="457">
        <f t="shared" si="105"/>
        <v>0</v>
      </c>
      <c r="M484" s="457">
        <f t="shared" si="105"/>
        <v>0</v>
      </c>
      <c r="N484" s="457">
        <f t="shared" si="105"/>
        <v>0</v>
      </c>
      <c r="O484" s="457">
        <f t="shared" si="105"/>
        <v>0</v>
      </c>
      <c r="P484" s="457">
        <f t="shared" si="105"/>
        <v>0</v>
      </c>
      <c r="Q484" s="457">
        <f t="shared" si="105"/>
        <v>0</v>
      </c>
      <c r="R484" s="457">
        <f>SUM(K484:Q484)</f>
        <v>0</v>
      </c>
      <c r="S484" s="457">
        <f>SUM(S413:S483)</f>
        <v>0</v>
      </c>
    </row>
    <row r="485" spans="1:19" s="1" customFormat="1">
      <c r="A485" s="356"/>
      <c r="B485" s="505"/>
      <c r="C485" s="35"/>
      <c r="D485" s="234"/>
      <c r="E485" s="234"/>
      <c r="F485" s="191"/>
      <c r="G485" s="195"/>
      <c r="H485" s="80"/>
      <c r="I485" s="114"/>
      <c r="J485" s="35"/>
      <c r="K485" s="364"/>
      <c r="L485" s="302"/>
      <c r="M485" s="299"/>
      <c r="N485" s="282"/>
      <c r="O485" s="276"/>
      <c r="P485" s="482"/>
      <c r="Q485" s="5"/>
      <c r="R485" s="3"/>
      <c r="S485" s="3"/>
    </row>
    <row r="486" spans="1:19" s="1" customFormat="1" ht="16.5" customHeight="1">
      <c r="A486" s="356" t="s">
        <v>549</v>
      </c>
      <c r="B486" s="674" t="s">
        <v>594</v>
      </c>
      <c r="C486" s="35">
        <v>1</v>
      </c>
      <c r="D486" s="234"/>
      <c r="E486" s="234"/>
      <c r="F486" s="191"/>
      <c r="G486" s="195"/>
      <c r="H486" s="80"/>
      <c r="I486" s="114"/>
      <c r="J486" s="35">
        <f t="shared" si="101"/>
        <v>1</v>
      </c>
      <c r="K486" s="364">
        <f>C486*156000</f>
        <v>156000</v>
      </c>
      <c r="L486" s="302"/>
      <c r="M486" s="299">
        <f>E486*156000</f>
        <v>0</v>
      </c>
      <c r="N486" s="282">
        <f>F486*124800</f>
        <v>0</v>
      </c>
      <c r="O486" s="276"/>
      <c r="P486" s="482"/>
      <c r="Q486" s="5"/>
      <c r="R486" s="3">
        <f t="shared" si="99"/>
        <v>156000</v>
      </c>
      <c r="S486" s="3">
        <f>J486*22320</f>
        <v>22320</v>
      </c>
    </row>
    <row r="487" spans="1:19" s="275" customFormat="1">
      <c r="A487" s="356" t="s">
        <v>550</v>
      </c>
      <c r="B487" s="675"/>
      <c r="C487" s="539"/>
      <c r="D487" s="233"/>
      <c r="E487" s="233"/>
      <c r="F487" s="218"/>
      <c r="G487" s="413"/>
      <c r="H487" s="413"/>
      <c r="I487" s="413"/>
      <c r="J487" s="218">
        <f t="shared" si="101"/>
        <v>0</v>
      </c>
      <c r="K487" s="364">
        <f>C487*44000</f>
        <v>0</v>
      </c>
      <c r="L487" s="175"/>
      <c r="M487" s="299">
        <f>E487*44000</f>
        <v>0</v>
      </c>
      <c r="N487" s="282">
        <f>F487*35200</f>
        <v>0</v>
      </c>
      <c r="O487" s="175"/>
      <c r="P487" s="490"/>
      <c r="Q487" s="411"/>
      <c r="R487" s="3">
        <f t="shared" si="99"/>
        <v>0</v>
      </c>
      <c r="S487" s="3">
        <f>J487*10230</f>
        <v>0</v>
      </c>
    </row>
    <row r="488" spans="1:19" s="275" customFormat="1">
      <c r="A488" s="356" t="s">
        <v>551</v>
      </c>
      <c r="B488" s="675"/>
      <c r="C488" s="539"/>
      <c r="D488" s="233"/>
      <c r="E488" s="233"/>
      <c r="F488" s="218"/>
      <c r="G488" s="413"/>
      <c r="H488" s="413"/>
      <c r="I488" s="413"/>
      <c r="J488" s="218">
        <f t="shared" si="101"/>
        <v>0</v>
      </c>
      <c r="K488" s="364">
        <f>C488*44000</f>
        <v>0</v>
      </c>
      <c r="L488" s="175"/>
      <c r="M488" s="299">
        <f>E488*44000</f>
        <v>0</v>
      </c>
      <c r="N488" s="282">
        <f>F488*35200</f>
        <v>0</v>
      </c>
      <c r="O488" s="175"/>
      <c r="P488" s="490"/>
      <c r="Q488" s="411"/>
      <c r="R488" s="3">
        <f t="shared" si="99"/>
        <v>0</v>
      </c>
      <c r="S488" s="3">
        <f>J488*10780</f>
        <v>0</v>
      </c>
    </row>
    <row r="489" spans="1:19" s="275" customFormat="1">
      <c r="A489" s="356" t="s">
        <v>552</v>
      </c>
      <c r="B489" s="675"/>
      <c r="C489" s="218"/>
      <c r="D489" s="233"/>
      <c r="E489" s="234"/>
      <c r="F489" s="218"/>
      <c r="G489" s="413"/>
      <c r="H489" s="413"/>
      <c r="I489" s="413"/>
      <c r="J489" s="218">
        <f t="shared" si="101"/>
        <v>0</v>
      </c>
      <c r="K489" s="364">
        <f>C489*66000</f>
        <v>0</v>
      </c>
      <c r="L489" s="175"/>
      <c r="M489" s="299">
        <f>E489*66000</f>
        <v>0</v>
      </c>
      <c r="N489" s="282">
        <f>F489*52800</f>
        <v>0</v>
      </c>
      <c r="O489" s="175"/>
      <c r="P489" s="490"/>
      <c r="Q489" s="411"/>
      <c r="R489" s="3">
        <f t="shared" si="99"/>
        <v>0</v>
      </c>
      <c r="S489" s="3">
        <f>J489*14300</f>
        <v>0</v>
      </c>
    </row>
    <row r="490" spans="1:19" s="412" customFormat="1">
      <c r="A490" s="356" t="s">
        <v>553</v>
      </c>
      <c r="B490" s="676"/>
      <c r="C490" s="218"/>
      <c r="D490" s="233"/>
      <c r="E490" s="234"/>
      <c r="F490" s="191"/>
      <c r="G490" s="413"/>
      <c r="H490" s="413"/>
      <c r="I490" s="413"/>
      <c r="J490" s="218">
        <f t="shared" si="101"/>
        <v>0</v>
      </c>
      <c r="K490" s="364">
        <f>C490*36000</f>
        <v>0</v>
      </c>
      <c r="L490" s="175"/>
      <c r="M490" s="299">
        <f>E490*36000</f>
        <v>0</v>
      </c>
      <c r="N490" s="282">
        <f>F490*28800</f>
        <v>0</v>
      </c>
      <c r="O490" s="175"/>
      <c r="P490" s="490"/>
      <c r="Q490" s="411"/>
      <c r="R490" s="3">
        <f t="shared" si="99"/>
        <v>0</v>
      </c>
      <c r="S490" s="3">
        <f>J490*6600</f>
        <v>0</v>
      </c>
    </row>
    <row r="491" spans="1:19">
      <c r="A491" s="515" t="s">
        <v>579</v>
      </c>
      <c r="B491" s="516"/>
      <c r="C491" s="541">
        <f>SUM(C486:C490)</f>
        <v>1</v>
      </c>
      <c r="D491" s="541">
        <f t="shared" ref="D491:J491" si="106">SUM(D486:D490)</f>
        <v>0</v>
      </c>
      <c r="E491" s="541">
        <f t="shared" si="106"/>
        <v>0</v>
      </c>
      <c r="F491" s="541">
        <f t="shared" si="106"/>
        <v>0</v>
      </c>
      <c r="G491" s="541">
        <f t="shared" si="106"/>
        <v>0</v>
      </c>
      <c r="H491" s="541">
        <f t="shared" si="106"/>
        <v>0</v>
      </c>
      <c r="I491" s="541">
        <f t="shared" si="106"/>
        <v>0</v>
      </c>
      <c r="J491" s="541">
        <f t="shared" si="106"/>
        <v>1</v>
      </c>
      <c r="K491" s="507">
        <f>SUM(K485:K490)</f>
        <v>156000</v>
      </c>
      <c r="L491" s="507">
        <f t="shared" ref="L491:Q491" si="107">SUM(L485:L490)</f>
        <v>0</v>
      </c>
      <c r="M491" s="507">
        <f t="shared" si="107"/>
        <v>0</v>
      </c>
      <c r="N491" s="507">
        <f t="shared" si="107"/>
        <v>0</v>
      </c>
      <c r="O491" s="507">
        <f t="shared" si="107"/>
        <v>0</v>
      </c>
      <c r="P491" s="507">
        <f t="shared" si="107"/>
        <v>0</v>
      </c>
      <c r="Q491" s="507">
        <f t="shared" si="107"/>
        <v>0</v>
      </c>
      <c r="R491" s="508">
        <f>SUM(K491:Q491)</f>
        <v>156000</v>
      </c>
      <c r="S491" s="509">
        <f>SUM(S485:S490)</f>
        <v>22320</v>
      </c>
    </row>
    <row r="492" spans="1:19">
      <c r="A492" s="517"/>
      <c r="D492" s="142"/>
      <c r="E492" s="143"/>
      <c r="F492" s="498"/>
      <c r="G492" s="12"/>
      <c r="H492" s="498"/>
      <c r="I492" s="677" t="s">
        <v>580</v>
      </c>
      <c r="J492" s="677"/>
      <c r="K492" s="518">
        <f>K491+K484+K411</f>
        <v>296000</v>
      </c>
      <c r="L492" s="510"/>
      <c r="M492" s="511"/>
      <c r="N492" s="511"/>
      <c r="O492" s="511"/>
      <c r="P492" s="512"/>
      <c r="Q492" s="513"/>
      <c r="R492" s="518">
        <f>R491+R484+R411</f>
        <v>296000</v>
      </c>
      <c r="S492" s="519">
        <f>S491+S484+S411</f>
        <v>52630</v>
      </c>
    </row>
    <row r="493" spans="1:19" s="244" customFormat="1">
      <c r="B493" s="245"/>
      <c r="C493" s="245"/>
      <c r="D493" s="514"/>
      <c r="E493" s="500"/>
      <c r="F493" s="501"/>
      <c r="G493" s="502"/>
      <c r="H493" s="491"/>
      <c r="I493" s="501"/>
      <c r="J493" s="501"/>
      <c r="K493" s="492"/>
      <c r="L493" s="492"/>
      <c r="M493" s="493"/>
      <c r="N493" s="493"/>
      <c r="O493" s="494"/>
      <c r="P493" s="495"/>
      <c r="Q493" s="496"/>
      <c r="R493" s="492"/>
      <c r="S493" s="497"/>
    </row>
    <row r="494" spans="1:19" s="1" customFormat="1" ht="17.25" thickBot="1">
      <c r="A494" t="s">
        <v>335</v>
      </c>
      <c r="C494" s="2"/>
      <c r="F494" s="163"/>
      <c r="J494" s="164"/>
      <c r="K494" s="165"/>
      <c r="L494" s="165"/>
      <c r="M494" s="165"/>
      <c r="N494" s="165"/>
      <c r="O494" s="284"/>
      <c r="P494" s="165"/>
      <c r="Q494" s="165"/>
      <c r="R494"/>
    </row>
    <row r="495" spans="1:19" s="1" customFormat="1">
      <c r="A495" t="s">
        <v>337</v>
      </c>
      <c r="C495" s="2"/>
      <c r="F495" s="163"/>
      <c r="J495" s="141"/>
      <c r="K495" s="521" t="s">
        <v>577</v>
      </c>
      <c r="L495" s="524" t="s">
        <v>373</v>
      </c>
      <c r="M495" s="526" t="s">
        <v>578</v>
      </c>
      <c r="N495" s="528" t="s">
        <v>581</v>
      </c>
      <c r="O495" s="166"/>
      <c r="P495" s="601" t="s">
        <v>372</v>
      </c>
      <c r="Q495" s="158"/>
      <c r="R495" s="159"/>
      <c r="S495"/>
    </row>
    <row r="496" spans="1:19" s="1" customFormat="1">
      <c r="A496"/>
      <c r="C496" s="2"/>
      <c r="F496" s="163"/>
      <c r="J496" s="141" t="s">
        <v>582</v>
      </c>
      <c r="K496" s="522">
        <f>R24+R44+R61+R85+R102+R120+R127+R133+R141+R159</f>
        <v>202925900</v>
      </c>
      <c r="L496" s="296">
        <f>R222+R232+R238+R246</f>
        <v>32090110</v>
      </c>
      <c r="M496" s="286">
        <f>R492</f>
        <v>296000</v>
      </c>
      <c r="N496" s="602">
        <f>R259+R330</f>
        <v>9414900</v>
      </c>
      <c r="O496" s="159"/>
      <c r="P496" s="603">
        <f>SUM(K496:O496)</f>
        <v>244726910</v>
      </c>
      <c r="Q496" s="158"/>
      <c r="R496" s="159"/>
      <c r="S496"/>
    </row>
    <row r="497" spans="1:19" s="1" customFormat="1" ht="17.25" thickBot="1">
      <c r="A497" t="s">
        <v>338</v>
      </c>
      <c r="C497" s="2"/>
      <c r="F497" s="163"/>
      <c r="J497" s="520" t="s">
        <v>506</v>
      </c>
      <c r="K497" s="523">
        <f>S24+S44+S61+S85+S102+S120+S127+S133+S141+S159</f>
        <v>97837636</v>
      </c>
      <c r="L497" s="525">
        <f>S222+S232+S238+S246</f>
        <v>7291323</v>
      </c>
      <c r="M497" s="527">
        <f>S492</f>
        <v>52630</v>
      </c>
      <c r="N497" s="604">
        <f>S259+S330</f>
        <v>3623381</v>
      </c>
      <c r="O497" s="605"/>
      <c r="P497" s="606">
        <f>SUM(K497:O497)</f>
        <v>108804970</v>
      </c>
      <c r="Q497" s="158"/>
      <c r="R497" s="158"/>
      <c r="S497"/>
    </row>
    <row r="498" spans="1:19" s="1" customFormat="1">
      <c r="A498" t="s">
        <v>505</v>
      </c>
      <c r="C498" s="2"/>
      <c r="F498" s="163"/>
      <c r="K498" s="3"/>
      <c r="L498" s="3"/>
      <c r="M498" s="4"/>
      <c r="N498" s="167"/>
      <c r="O498" s="573" t="s">
        <v>339</v>
      </c>
      <c r="P498" s="600" t="s">
        <v>340</v>
      </c>
      <c r="Q498" s="5"/>
      <c r="R498" s="4"/>
      <c r="S498"/>
    </row>
    <row r="499" spans="1:19" s="1" customFormat="1">
      <c r="A499"/>
      <c r="C499" s="2"/>
      <c r="F499" s="163"/>
      <c r="K499" s="3"/>
      <c r="L499" s="3"/>
      <c r="M499" s="4"/>
      <c r="N499" s="167" t="s">
        <v>341</v>
      </c>
      <c r="O499" s="529">
        <f>K496</f>
        <v>202925900</v>
      </c>
      <c r="P499" s="168">
        <f>K497</f>
        <v>97837636</v>
      </c>
      <c r="Q499" s="464"/>
      <c r="R499" s="42"/>
      <c r="S499"/>
    </row>
    <row r="500" spans="1:19" s="1" customFormat="1">
      <c r="A500" t="s">
        <v>369</v>
      </c>
      <c r="B500" s="144"/>
      <c r="C500" s="2"/>
      <c r="F500" s="163"/>
      <c r="H500" s="216"/>
      <c r="I500" s="216"/>
      <c r="J500" s="217"/>
      <c r="K500" s="3"/>
      <c r="L500" s="3"/>
      <c r="M500" s="4"/>
      <c r="N500" s="169" t="s">
        <v>342</v>
      </c>
      <c r="O500" s="170">
        <f>L496</f>
        <v>32090110</v>
      </c>
      <c r="P500" s="171">
        <f>L497</f>
        <v>7291323</v>
      </c>
      <c r="Q500" s="172"/>
      <c r="R500" s="172"/>
      <c r="S500"/>
    </row>
    <row r="501" spans="1:19" s="1" customFormat="1">
      <c r="A501" t="s">
        <v>343</v>
      </c>
      <c r="C501" s="2"/>
      <c r="F501" s="163"/>
      <c r="K501" s="3"/>
      <c r="L501" s="3"/>
      <c r="M501" s="4"/>
      <c r="N501" s="174" t="s">
        <v>336</v>
      </c>
      <c r="O501" s="175">
        <f>N496</f>
        <v>9414900</v>
      </c>
      <c r="P501" s="176">
        <f>N497</f>
        <v>3623381</v>
      </c>
      <c r="Q501" s="177"/>
      <c r="R501" s="177"/>
      <c r="S501"/>
    </row>
    <row r="502" spans="1:19" s="1" customFormat="1">
      <c r="A502" t="s">
        <v>344</v>
      </c>
      <c r="C502" s="2"/>
      <c r="F502" s="163"/>
      <c r="K502" s="3"/>
      <c r="L502" s="226"/>
      <c r="M502" s="4"/>
      <c r="N502" s="359" t="s">
        <v>578</v>
      </c>
      <c r="O502" s="283">
        <f>M496</f>
        <v>296000</v>
      </c>
      <c r="P502" s="360">
        <f>M497</f>
        <v>52630</v>
      </c>
      <c r="Q502" s="283"/>
      <c r="R502" s="180"/>
      <c r="S502"/>
    </row>
    <row r="503" spans="1:19" s="1" customFormat="1">
      <c r="A503" t="s">
        <v>354</v>
      </c>
      <c r="C503" s="2"/>
      <c r="F503" s="213"/>
      <c r="G503" s="212"/>
      <c r="K503" s="3"/>
      <c r="L503" s="226"/>
      <c r="M503" s="4"/>
      <c r="N503" s="178"/>
      <c r="O503" s="530"/>
      <c r="P503" s="179"/>
      <c r="Q503" s="180"/>
      <c r="R503" s="183"/>
      <c r="S503"/>
    </row>
    <row r="504" spans="1:19" s="1" customFormat="1">
      <c r="A504" t="s">
        <v>355</v>
      </c>
      <c r="C504" s="2"/>
      <c r="F504" s="213"/>
      <c r="K504" s="3"/>
      <c r="L504" s="3"/>
      <c r="M504" s="4"/>
      <c r="N504" s="182" t="s">
        <v>372</v>
      </c>
      <c r="O504" s="367">
        <f>SUM(O499:O503)</f>
        <v>244726910</v>
      </c>
      <c r="P504" s="368">
        <f>SUM(P499:P503)</f>
        <v>108804970</v>
      </c>
      <c r="Q504" s="464"/>
      <c r="R504" s="4"/>
      <c r="S504"/>
    </row>
    <row r="505" spans="1:19" s="1" customFormat="1">
      <c r="A505" t="s">
        <v>703</v>
      </c>
      <c r="B505" s="572"/>
      <c r="C505" s="2"/>
      <c r="K505" s="4"/>
      <c r="L505" s="175" t="s">
        <v>383</v>
      </c>
      <c r="M505" s="4" t="s">
        <v>384</v>
      </c>
      <c r="N505" s="264" t="s">
        <v>385</v>
      </c>
      <c r="O505" s="283" t="s">
        <v>578</v>
      </c>
      <c r="P505" s="599" t="s">
        <v>387</v>
      </c>
      <c r="Q505" s="28" t="s">
        <v>386</v>
      </c>
      <c r="R505" s="1" t="s">
        <v>391</v>
      </c>
      <c r="S505" s="599"/>
    </row>
    <row r="506" spans="1:19">
      <c r="A506" t="s">
        <v>704</v>
      </c>
      <c r="E506" s="270"/>
      <c r="K506" s="4" t="s">
        <v>380</v>
      </c>
      <c r="L506" s="175">
        <v>8382100</v>
      </c>
      <c r="M506" s="4">
        <v>168967500</v>
      </c>
      <c r="N506" s="265">
        <v>25481590</v>
      </c>
      <c r="O506" s="283">
        <v>296000</v>
      </c>
      <c r="P506" s="269">
        <f>SUM(L506:O506)</f>
        <v>203127190</v>
      </c>
      <c r="Q506" s="3">
        <v>203125194</v>
      </c>
      <c r="R506" s="266"/>
      <c r="S506" s="269"/>
    </row>
    <row r="507" spans="1:19">
      <c r="A507" t="s">
        <v>388</v>
      </c>
      <c r="K507" s="4"/>
      <c r="L507" s="175">
        <v>3187718</v>
      </c>
      <c r="M507" s="4">
        <v>79425349</v>
      </c>
      <c r="N507" s="265">
        <v>5569558</v>
      </c>
      <c r="O507" s="283">
        <v>52630</v>
      </c>
      <c r="P507" s="269">
        <f>SUM(L507:O507)</f>
        <v>88235255</v>
      </c>
      <c r="Q507" s="3">
        <v>88101170</v>
      </c>
      <c r="R507" s="266"/>
      <c r="S507" s="269"/>
    </row>
    <row r="508" spans="1:19">
      <c r="K508" s="4" t="s">
        <v>381</v>
      </c>
      <c r="L508" s="175"/>
      <c r="N508" s="265"/>
      <c r="O508" s="283"/>
      <c r="P508" s="269">
        <f t="shared" ref="P508:P511" si="108">SUM(L508:O508)</f>
        <v>0</v>
      </c>
      <c r="Q508" s="3"/>
      <c r="R508" s="266"/>
      <c r="S508" s="269"/>
    </row>
    <row r="509" spans="1:19">
      <c r="K509" s="4"/>
      <c r="L509" s="175"/>
      <c r="N509" s="265"/>
      <c r="O509" s="283"/>
      <c r="P509" s="269">
        <f t="shared" si="108"/>
        <v>0</v>
      </c>
      <c r="Q509" s="3"/>
      <c r="R509" s="266"/>
      <c r="S509" s="269"/>
    </row>
    <row r="510" spans="1:19">
      <c r="K510" s="4" t="s">
        <v>382</v>
      </c>
      <c r="L510" s="175">
        <f>N496-L506-L508</f>
        <v>1032800</v>
      </c>
      <c r="M510" s="4">
        <f t="shared" ref="M510:O511" si="109">K496-M506-M508</f>
        <v>33958400</v>
      </c>
      <c r="N510" s="265">
        <f t="shared" si="109"/>
        <v>6608520</v>
      </c>
      <c r="O510" s="283">
        <f t="shared" si="109"/>
        <v>0</v>
      </c>
      <c r="P510" s="269">
        <f t="shared" si="108"/>
        <v>41599720</v>
      </c>
      <c r="Q510" s="3">
        <v>41599720</v>
      </c>
      <c r="R510" s="266"/>
      <c r="S510" s="269"/>
    </row>
    <row r="511" spans="1:19">
      <c r="K511" s="4"/>
      <c r="L511" s="175">
        <f>N497-L507-L509</f>
        <v>435663</v>
      </c>
      <c r="M511" s="4">
        <f t="shared" si="109"/>
        <v>18412287</v>
      </c>
      <c r="N511" s="265">
        <f t="shared" si="109"/>
        <v>1721765</v>
      </c>
      <c r="O511" s="283">
        <f t="shared" si="109"/>
        <v>0</v>
      </c>
      <c r="P511" s="269">
        <f t="shared" si="108"/>
        <v>20569715</v>
      </c>
      <c r="Q511" s="3">
        <v>20595259</v>
      </c>
      <c r="R511" s="266"/>
      <c r="S511" s="269"/>
    </row>
    <row r="512" spans="1:19">
      <c r="K512" s="4"/>
      <c r="L512" s="175"/>
      <c r="N512" s="265"/>
      <c r="O512" s="283"/>
      <c r="P512" s="269"/>
      <c r="Q512" s="3"/>
      <c r="R512"/>
      <c r="S512" s="269"/>
    </row>
    <row r="513" spans="1:19">
      <c r="K513" s="4" t="s">
        <v>389</v>
      </c>
      <c r="L513" s="175">
        <f t="shared" ref="L513:O514" si="110">L506+L508+L510</f>
        <v>9414900</v>
      </c>
      <c r="M513" s="4">
        <f t="shared" si="110"/>
        <v>202925900</v>
      </c>
      <c r="N513" s="170">
        <f>N506+N508+N510</f>
        <v>32090110</v>
      </c>
      <c r="O513" s="283">
        <f>O506+O508+O510</f>
        <v>296000</v>
      </c>
      <c r="P513" s="269">
        <f>SUM(L513:O513)</f>
        <v>244726910</v>
      </c>
      <c r="Q513" s="253">
        <f>Q506+Q508+Q510</f>
        <v>244724914</v>
      </c>
      <c r="R513" s="253">
        <v>258251520</v>
      </c>
      <c r="S513" s="269"/>
    </row>
    <row r="514" spans="1:19" s="1" customFormat="1">
      <c r="A514"/>
      <c r="C514" s="2"/>
      <c r="K514" s="4" t="s">
        <v>390</v>
      </c>
      <c r="L514" s="175">
        <f>L507+L509+L511</f>
        <v>3623381</v>
      </c>
      <c r="M514" s="4">
        <f t="shared" si="110"/>
        <v>97837636</v>
      </c>
      <c r="N514" s="170">
        <f t="shared" si="110"/>
        <v>7291323</v>
      </c>
      <c r="O514" s="283">
        <f t="shared" si="110"/>
        <v>52630</v>
      </c>
      <c r="P514" s="269">
        <f>SUM(L514:O514)</f>
        <v>108804970</v>
      </c>
      <c r="Q514" s="253">
        <f>Q507+Q509+Q511</f>
        <v>108696429</v>
      </c>
      <c r="R514" s="267">
        <f>R507+R509+R511</f>
        <v>0</v>
      </c>
      <c r="S514" s="269"/>
    </row>
    <row r="516" spans="1:19">
      <c r="R516" s="24" t="s">
        <v>473</v>
      </c>
    </row>
    <row r="517" spans="1:19">
      <c r="R517" s="349" t="s">
        <v>612</v>
      </c>
      <c r="S517" s="4">
        <v>13473000</v>
      </c>
    </row>
    <row r="518" spans="1:19" ht="25.5" customHeight="1">
      <c r="R518" s="349" t="s">
        <v>469</v>
      </c>
    </row>
    <row r="519" spans="1:19">
      <c r="L519" s="177" t="s">
        <v>383</v>
      </c>
      <c r="M519" s="4" t="s">
        <v>384</v>
      </c>
      <c r="N519" s="172" t="s">
        <v>385</v>
      </c>
      <c r="O519" s="283" t="s">
        <v>392</v>
      </c>
      <c r="P519" s="5" t="s">
        <v>387</v>
      </c>
      <c r="R519" s="349" t="s">
        <v>472</v>
      </c>
    </row>
    <row r="520" spans="1:19">
      <c r="K520" s="3" t="s">
        <v>467</v>
      </c>
      <c r="L520" s="175">
        <v>7578900</v>
      </c>
      <c r="M520" s="4">
        <v>45341700</v>
      </c>
      <c r="N520" s="265">
        <v>20886280</v>
      </c>
      <c r="O520" s="283">
        <v>296000</v>
      </c>
      <c r="P520" s="3">
        <f>SUM(K520:O520)</f>
        <v>74102880</v>
      </c>
      <c r="Q520" s="3"/>
      <c r="R520" s="68" t="s">
        <v>509</v>
      </c>
    </row>
    <row r="521" spans="1:19">
      <c r="L521" s="175">
        <v>2777218</v>
      </c>
      <c r="M521" s="4">
        <v>17796197</v>
      </c>
      <c r="N521" s="265">
        <v>4507930</v>
      </c>
      <c r="O521" s="283">
        <v>52630</v>
      </c>
      <c r="P521" s="3">
        <f>SUM(K521:O521)</f>
        <v>25133975</v>
      </c>
      <c r="Q521" s="3"/>
      <c r="R521" s="68" t="s">
        <v>438</v>
      </c>
      <c r="S521" s="4">
        <f>P513+S517</f>
        <v>258199910</v>
      </c>
    </row>
    <row r="522" spans="1:19">
      <c r="K522" s="3" t="s">
        <v>468</v>
      </c>
      <c r="L522" s="175">
        <v>803200</v>
      </c>
      <c r="M522" s="4">
        <v>123625800</v>
      </c>
      <c r="N522" s="170">
        <v>4595310</v>
      </c>
      <c r="O522" s="283"/>
      <c r="P522" s="4">
        <f>SUM(K522:O522)</f>
        <v>129024310</v>
      </c>
      <c r="Q522" s="4"/>
      <c r="R522" t="s">
        <v>466</v>
      </c>
      <c r="S522" s="4">
        <f>R513-S521</f>
        <v>51610</v>
      </c>
    </row>
    <row r="523" spans="1:19">
      <c r="L523" s="175">
        <v>410500</v>
      </c>
      <c r="M523" s="4">
        <v>61629152</v>
      </c>
      <c r="N523" s="170">
        <v>1061628</v>
      </c>
      <c r="O523" s="283"/>
      <c r="P523" s="4">
        <f>SUM(K523:O523)</f>
        <v>63101280</v>
      </c>
      <c r="Q523" s="4"/>
      <c r="R523" s="537"/>
      <c r="S523" s="537"/>
    </row>
    <row r="524" spans="1:19">
      <c r="L524" s="4"/>
      <c r="N524" s="276"/>
      <c r="O524" s="4"/>
      <c r="Q524" s="4"/>
    </row>
    <row r="525" spans="1:19">
      <c r="L525" s="177">
        <f>L520+L522</f>
        <v>8382100</v>
      </c>
      <c r="M525" s="4">
        <f>M520+M522</f>
        <v>168967500</v>
      </c>
      <c r="N525" s="172">
        <f>N520+N522</f>
        <v>25481590</v>
      </c>
      <c r="O525" s="276">
        <f>O520+O522</f>
        <v>296000</v>
      </c>
      <c r="P525" s="4">
        <f>SUM(K525:O525)</f>
        <v>203127190</v>
      </c>
      <c r="Q525" s="4"/>
    </row>
    <row r="526" spans="1:19" s="4" customFormat="1">
      <c r="A526"/>
      <c r="B526" s="1"/>
      <c r="C526" s="2"/>
      <c r="D526" s="1"/>
      <c r="E526" s="1"/>
      <c r="F526" s="1"/>
      <c r="G526" s="1"/>
      <c r="H526" s="1"/>
      <c r="I526" s="1"/>
      <c r="J526" s="1"/>
      <c r="K526" s="3"/>
      <c r="L526" s="177">
        <f t="shared" ref="L526:O526" si="111">L521+L523</f>
        <v>3187718</v>
      </c>
      <c r="M526" s="4">
        <f t="shared" si="111"/>
        <v>79425349</v>
      </c>
      <c r="N526" s="172">
        <f t="shared" si="111"/>
        <v>5569558</v>
      </c>
      <c r="O526" s="276">
        <f t="shared" si="111"/>
        <v>52630</v>
      </c>
      <c r="P526" s="4">
        <f>SUM(K526:O526)</f>
        <v>88235255</v>
      </c>
    </row>
  </sheetData>
  <mergeCells count="37">
    <mergeCell ref="H85:I85"/>
    <mergeCell ref="L6:M6"/>
    <mergeCell ref="B13:B21"/>
    <mergeCell ref="B25:B28"/>
    <mergeCell ref="L47:M47"/>
    <mergeCell ref="L67:M67"/>
    <mergeCell ref="B216:B217"/>
    <mergeCell ref="L87:M87"/>
    <mergeCell ref="L106:M106"/>
    <mergeCell ref="L122:M122"/>
    <mergeCell ref="L128:M128"/>
    <mergeCell ref="L136:M136"/>
    <mergeCell ref="L149:M149"/>
    <mergeCell ref="L170:M170"/>
    <mergeCell ref="B177:B178"/>
    <mergeCell ref="B199:B200"/>
    <mergeCell ref="B203:B204"/>
    <mergeCell ref="B214:B215"/>
    <mergeCell ref="B309:B311"/>
    <mergeCell ref="B219:B221"/>
    <mergeCell ref="D224:D226"/>
    <mergeCell ref="L227:N227"/>
    <mergeCell ref="L234:M234"/>
    <mergeCell ref="L250:M250"/>
    <mergeCell ref="L264:M264"/>
    <mergeCell ref="B265:B266"/>
    <mergeCell ref="B279:B280"/>
    <mergeCell ref="B282:B284"/>
    <mergeCell ref="B296:B299"/>
    <mergeCell ref="B306:B307"/>
    <mergeCell ref="I492:J492"/>
    <mergeCell ref="B315:B316"/>
    <mergeCell ref="B318:B319"/>
    <mergeCell ref="B325:B326"/>
    <mergeCell ref="B340:B409"/>
    <mergeCell ref="B413:B482"/>
    <mergeCell ref="B486:B490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A75B-72B9-435E-9905-09BF563EB7BE}">
  <dimension ref="A1:S530"/>
  <sheetViews>
    <sheetView zoomScale="86" zoomScaleNormal="86" workbookViewId="0">
      <pane xSplit="2" ySplit="6" topLeftCell="C503" activePane="bottomRight" state="frozen"/>
      <selection pane="topRight" activeCell="C1" sqref="C1"/>
      <selection pane="bottomLeft" activeCell="A7" sqref="A7"/>
      <selection pane="bottomRight" activeCell="V199" sqref="V199"/>
    </sheetView>
  </sheetViews>
  <sheetFormatPr defaultRowHeight="16.5"/>
  <cols>
    <col min="1" max="1" width="17.125" customWidth="1"/>
    <col min="2" max="2" width="9" style="1" customWidth="1"/>
    <col min="3" max="3" width="9" style="2" customWidth="1"/>
    <col min="4" max="4" width="9.75" style="1" customWidth="1"/>
    <col min="5" max="5" width="12.375" style="1" customWidth="1"/>
    <col min="6" max="6" width="10.375" style="1" customWidth="1"/>
    <col min="7" max="7" width="10" style="1" customWidth="1"/>
    <col min="8" max="8" width="9.25" style="1" customWidth="1"/>
    <col min="9" max="9" width="9" style="1" customWidth="1"/>
    <col min="10" max="10" width="7.5" style="1" customWidth="1"/>
    <col min="11" max="12" width="14" style="3" customWidth="1"/>
    <col min="13" max="14" width="14" style="4" customWidth="1"/>
    <col min="15" max="15" width="14" style="276" customWidth="1"/>
    <col min="16" max="16" width="14" style="4" customWidth="1"/>
    <col min="17" max="17" width="15.25" style="5" customWidth="1"/>
    <col min="18" max="18" width="16.25" style="4" customWidth="1"/>
    <col min="19" max="19" width="16.125" style="4" customWidth="1"/>
    <col min="20" max="1003" width="8.375" customWidth="1"/>
  </cols>
  <sheetData>
    <row r="1" spans="1:19">
      <c r="F1" s="381" t="s">
        <v>620</v>
      </c>
      <c r="G1" s="546" t="s">
        <v>621</v>
      </c>
    </row>
    <row r="2" spans="1:19" ht="24">
      <c r="A2" s="6"/>
      <c r="F2" s="20" t="s">
        <v>13</v>
      </c>
      <c r="G2" s="7" t="s">
        <v>629</v>
      </c>
    </row>
    <row r="3" spans="1:19">
      <c r="A3" s="8"/>
      <c r="C3" s="1" t="s">
        <v>2</v>
      </c>
      <c r="D3" s="9" t="s">
        <v>3</v>
      </c>
      <c r="E3" s="10" t="s">
        <v>4</v>
      </c>
      <c r="F3" s="7" t="s">
        <v>0</v>
      </c>
      <c r="G3" s="7" t="s">
        <v>657</v>
      </c>
      <c r="H3" s="12" t="s">
        <v>464</v>
      </c>
      <c r="I3" s="7"/>
      <c r="J3" s="13" t="s">
        <v>6</v>
      </c>
    </row>
    <row r="4" spans="1:19" s="185" customFormat="1" ht="24">
      <c r="B4" s="186"/>
      <c r="C4" s="187"/>
      <c r="D4" s="388" t="s">
        <v>7</v>
      </c>
      <c r="E4" s="15" t="s">
        <v>8</v>
      </c>
      <c r="F4" s="20" t="s">
        <v>420</v>
      </c>
      <c r="G4" s="378" t="s">
        <v>419</v>
      </c>
      <c r="H4" s="20" t="s">
        <v>597</v>
      </c>
      <c r="I4" s="7" t="s">
        <v>762</v>
      </c>
      <c r="J4" s="17"/>
      <c r="K4" s="188"/>
      <c r="L4" s="188"/>
      <c r="M4" s="189"/>
      <c r="N4" s="189"/>
      <c r="O4" s="277"/>
      <c r="P4" s="189"/>
      <c r="Q4" s="190"/>
      <c r="R4" s="189"/>
      <c r="S4" s="189"/>
    </row>
    <row r="5" spans="1:19" ht="24">
      <c r="C5" s="18"/>
      <c r="D5" s="389" t="s">
        <v>9</v>
      </c>
      <c r="E5" s="19" t="s">
        <v>454</v>
      </c>
      <c r="F5" s="20" t="s">
        <v>10</v>
      </c>
      <c r="G5" s="21" t="s">
        <v>11</v>
      </c>
      <c r="H5" s="20" t="s">
        <v>776</v>
      </c>
      <c r="I5" s="22" t="s">
        <v>764</v>
      </c>
      <c r="J5" s="23"/>
    </row>
    <row r="6" spans="1:19" ht="24">
      <c r="A6" s="24" t="s">
        <v>12</v>
      </c>
      <c r="C6" s="25"/>
      <c r="D6" s="19"/>
      <c r="E6" s="19" t="s">
        <v>706</v>
      </c>
      <c r="F6" s="184" t="s">
        <v>14</v>
      </c>
      <c r="G6" s="26" t="s">
        <v>15</v>
      </c>
      <c r="H6" s="194"/>
      <c r="I6" s="26"/>
      <c r="J6" s="27"/>
      <c r="K6" s="219" t="s">
        <v>2</v>
      </c>
      <c r="L6" s="664" t="s">
        <v>734</v>
      </c>
      <c r="M6" s="664"/>
      <c r="N6" s="348" t="s">
        <v>559</v>
      </c>
      <c r="O6" s="348" t="s">
        <v>557</v>
      </c>
      <c r="P6" s="348" t="s">
        <v>464</v>
      </c>
      <c r="Q6" s="348" t="s">
        <v>623</v>
      </c>
      <c r="R6" s="220" t="s">
        <v>18</v>
      </c>
      <c r="S6" s="220" t="s">
        <v>506</v>
      </c>
    </row>
    <row r="7" spans="1:19">
      <c r="A7" s="29" t="s">
        <v>20</v>
      </c>
      <c r="B7" s="381" t="s">
        <v>21</v>
      </c>
      <c r="C7" s="263">
        <v>115</v>
      </c>
      <c r="D7" s="235"/>
      <c r="E7" s="234"/>
      <c r="F7" s="230">
        <v>4</v>
      </c>
      <c r="G7" s="322"/>
      <c r="H7" s="236"/>
      <c r="I7" s="322"/>
      <c r="J7" s="35">
        <f>C7+D7+E7+F7+G7+I7+H7</f>
        <v>119</v>
      </c>
      <c r="K7" s="361">
        <f>C7*26300</f>
        <v>3024500</v>
      </c>
      <c r="L7" s="173">
        <f>D7*19200</f>
        <v>0</v>
      </c>
      <c r="M7" s="299">
        <f>E7*19200</f>
        <v>0</v>
      </c>
      <c r="N7" s="282"/>
      <c r="O7" s="282">
        <f>F7*21040</f>
        <v>84160</v>
      </c>
      <c r="P7" s="282"/>
      <c r="Q7" s="279"/>
      <c r="R7" s="4">
        <f>SUM(K7:Q7)</f>
        <v>3108660</v>
      </c>
      <c r="S7" s="4">
        <f>(C7+D7+E7+F7+I7+H7+G7)*8655</f>
        <v>1029945</v>
      </c>
    </row>
    <row r="8" spans="1:19">
      <c r="A8" s="29" t="s">
        <v>22</v>
      </c>
      <c r="B8" s="377" t="s">
        <v>23</v>
      </c>
      <c r="C8" s="310">
        <v>8</v>
      </c>
      <c r="D8" s="235"/>
      <c r="E8" s="234"/>
      <c r="F8" s="322"/>
      <c r="G8" s="322"/>
      <c r="H8" s="236"/>
      <c r="I8" s="322"/>
      <c r="J8" s="35">
        <f t="shared" ref="J8:J23" si="0">C8+D8+E8+F8+G8+I8+H8</f>
        <v>8</v>
      </c>
      <c r="K8" s="361">
        <f t="shared" ref="K8:K11" si="1">C8*26300</f>
        <v>210400</v>
      </c>
      <c r="L8" s="173">
        <f t="shared" ref="L8:M11" si="2">D8*19200</f>
        <v>0</v>
      </c>
      <c r="M8" s="299">
        <f t="shared" si="2"/>
        <v>0</v>
      </c>
      <c r="N8" s="282"/>
      <c r="O8" s="282">
        <f t="shared" ref="O8:O12" si="3">F8*20000</f>
        <v>0</v>
      </c>
      <c r="P8" s="282"/>
      <c r="Q8" s="279"/>
      <c r="R8" s="4">
        <f t="shared" ref="R8:R23" si="4">SUM(K8:Q8)</f>
        <v>210400</v>
      </c>
      <c r="S8" s="4">
        <f>(C8+D8+E8+F8+I8+H8+G8)*8926</f>
        <v>71408</v>
      </c>
    </row>
    <row r="9" spans="1:19">
      <c r="A9" s="29" t="s">
        <v>24</v>
      </c>
      <c r="B9" s="377" t="s">
        <v>25</v>
      </c>
      <c r="C9" s="310">
        <v>7</v>
      </c>
      <c r="D9" s="235"/>
      <c r="E9" s="234"/>
      <c r="F9" s="322"/>
      <c r="G9" s="322"/>
      <c r="H9" s="236"/>
      <c r="I9" s="322"/>
      <c r="J9" s="35">
        <f t="shared" si="0"/>
        <v>7</v>
      </c>
      <c r="K9" s="361">
        <f t="shared" si="1"/>
        <v>184100</v>
      </c>
      <c r="L9" s="173">
        <f t="shared" si="2"/>
        <v>0</v>
      </c>
      <c r="M9" s="299">
        <f t="shared" si="2"/>
        <v>0</v>
      </c>
      <c r="N9" s="282"/>
      <c r="O9" s="282">
        <f t="shared" si="3"/>
        <v>0</v>
      </c>
      <c r="P9" s="282"/>
      <c r="Q9" s="279"/>
      <c r="R9" s="4">
        <f t="shared" si="4"/>
        <v>184100</v>
      </c>
      <c r="S9" s="4">
        <f>(C9+D9+E9+F9+I9+H9+G9)*8926</f>
        <v>62482</v>
      </c>
    </row>
    <row r="10" spans="1:19">
      <c r="A10" s="29" t="s">
        <v>26</v>
      </c>
      <c r="B10" s="377" t="s">
        <v>27</v>
      </c>
      <c r="C10" s="310">
        <v>8</v>
      </c>
      <c r="D10" s="235"/>
      <c r="E10" s="234"/>
      <c r="F10" s="322"/>
      <c r="G10" s="322"/>
      <c r="H10" s="236"/>
      <c r="I10" s="322"/>
      <c r="J10" s="35">
        <f t="shared" si="0"/>
        <v>8</v>
      </c>
      <c r="K10" s="361">
        <f t="shared" si="1"/>
        <v>210400</v>
      </c>
      <c r="L10" s="173">
        <f t="shared" si="2"/>
        <v>0</v>
      </c>
      <c r="M10" s="299">
        <f t="shared" si="2"/>
        <v>0</v>
      </c>
      <c r="N10" s="282"/>
      <c r="O10" s="282">
        <f t="shared" si="3"/>
        <v>0</v>
      </c>
      <c r="P10" s="282"/>
      <c r="Q10" s="279"/>
      <c r="R10" s="4">
        <f t="shared" si="4"/>
        <v>210400</v>
      </c>
      <c r="S10" s="4">
        <f>(C10+D10+E10+F10+I10+H10+G10)*8926</f>
        <v>71408</v>
      </c>
    </row>
    <row r="11" spans="1:19">
      <c r="A11" s="29" t="s">
        <v>28</v>
      </c>
      <c r="B11" s="377"/>
      <c r="C11" s="310"/>
      <c r="D11" s="235"/>
      <c r="E11" s="234"/>
      <c r="F11" s="215"/>
      <c r="G11" s="230"/>
      <c r="H11" s="236"/>
      <c r="I11" s="322"/>
      <c r="J11" s="35">
        <f t="shared" si="0"/>
        <v>0</v>
      </c>
      <c r="K11" s="361">
        <f t="shared" si="1"/>
        <v>0</v>
      </c>
      <c r="L11" s="173">
        <f t="shared" si="2"/>
        <v>0</v>
      </c>
      <c r="M11" s="299">
        <f t="shared" si="2"/>
        <v>0</v>
      </c>
      <c r="N11" s="282"/>
      <c r="O11" s="282">
        <f t="shared" si="3"/>
        <v>0</v>
      </c>
      <c r="P11" s="282"/>
      <c r="Q11" s="279"/>
      <c r="R11" s="4">
        <f t="shared" si="4"/>
        <v>0</v>
      </c>
      <c r="S11" s="4">
        <f>(C11+D11+E11+G11+F11+I11+H11)*7042</f>
        <v>0</v>
      </c>
    </row>
    <row r="12" spans="1:19">
      <c r="A12" s="29" t="s">
        <v>29</v>
      </c>
      <c r="B12" s="381" t="s">
        <v>30</v>
      </c>
      <c r="C12" s="263">
        <v>8</v>
      </c>
      <c r="D12" s="323"/>
      <c r="E12" s="324"/>
      <c r="F12" s="289"/>
      <c r="G12" s="289"/>
      <c r="H12" s="325"/>
      <c r="I12" s="289"/>
      <c r="J12" s="35">
        <f t="shared" si="0"/>
        <v>8</v>
      </c>
      <c r="K12" s="361">
        <f>C12*26300</f>
        <v>210400</v>
      </c>
      <c r="L12" s="173"/>
      <c r="M12" s="299"/>
      <c r="N12" s="282"/>
      <c r="O12" s="282">
        <f t="shared" si="3"/>
        <v>0</v>
      </c>
      <c r="P12" s="282"/>
      <c r="Q12" s="279"/>
      <c r="R12" s="4">
        <f t="shared" si="4"/>
        <v>210400</v>
      </c>
      <c r="S12" s="4">
        <f>(C12+D12+E12+F12+I12+H12+G12)*8926</f>
        <v>71408</v>
      </c>
    </row>
    <row r="13" spans="1:19" ht="16.5" customHeight="1">
      <c r="A13" s="29" t="s">
        <v>476</v>
      </c>
      <c r="B13" s="674" t="s">
        <v>763</v>
      </c>
      <c r="C13" s="263"/>
      <c r="D13" s="323"/>
      <c r="E13" s="324"/>
      <c r="F13" s="289"/>
      <c r="G13" s="289"/>
      <c r="H13" s="326">
        <v>2</v>
      </c>
      <c r="I13" s="289"/>
      <c r="J13" s="35">
        <f t="shared" si="0"/>
        <v>2</v>
      </c>
      <c r="K13" s="290">
        <f>C13*35500</f>
        <v>0</v>
      </c>
      <c r="L13" s="173"/>
      <c r="M13" s="299"/>
      <c r="N13" s="282"/>
      <c r="O13" s="282">
        <f>F13*27300</f>
        <v>0</v>
      </c>
      <c r="P13" s="282">
        <f>H13*26700</f>
        <v>53400</v>
      </c>
      <c r="Q13" s="279"/>
      <c r="R13" s="4">
        <f t="shared" si="4"/>
        <v>53400</v>
      </c>
      <c r="S13" s="4">
        <f>(C13+D13+E13+F13+I13+H13+G13)*14876</f>
        <v>29752</v>
      </c>
    </row>
    <row r="14" spans="1:19">
      <c r="A14" s="29" t="s">
        <v>477</v>
      </c>
      <c r="B14" s="675"/>
      <c r="C14" s="263">
        <v>3</v>
      </c>
      <c r="D14" s="323"/>
      <c r="E14" s="324"/>
      <c r="F14" s="326"/>
      <c r="G14" s="289"/>
      <c r="H14" s="326">
        <v>11</v>
      </c>
      <c r="I14" s="289"/>
      <c r="J14" s="35">
        <f t="shared" si="0"/>
        <v>14</v>
      </c>
      <c r="K14" s="290">
        <f>C14*35500</f>
        <v>106500</v>
      </c>
      <c r="L14" s="173"/>
      <c r="M14" s="299">
        <f>E14*33600</f>
        <v>0</v>
      </c>
      <c r="N14" s="282"/>
      <c r="O14" s="282"/>
      <c r="P14" s="282">
        <f>H14*26700</f>
        <v>293700</v>
      </c>
      <c r="Q14" s="279"/>
      <c r="R14" s="4">
        <f>SUM(K14:Q14)</f>
        <v>400200</v>
      </c>
      <c r="S14" s="4">
        <f>(C14+D14+E14+F14+I14+H14+G14)*14065</f>
        <v>196910</v>
      </c>
    </row>
    <row r="15" spans="1:19">
      <c r="A15" s="29" t="s">
        <v>478</v>
      </c>
      <c r="B15" s="675"/>
      <c r="C15" s="263">
        <v>5</v>
      </c>
      <c r="D15" s="323"/>
      <c r="E15" s="324"/>
      <c r="F15" s="326"/>
      <c r="G15" s="289"/>
      <c r="H15" s="326">
        <v>18</v>
      </c>
      <c r="I15" s="289"/>
      <c r="J15" s="35">
        <f t="shared" si="0"/>
        <v>23</v>
      </c>
      <c r="K15" s="290">
        <f>C15*35500</f>
        <v>177500</v>
      </c>
      <c r="L15" s="173"/>
      <c r="M15" s="299">
        <f>E15*33600</f>
        <v>0</v>
      </c>
      <c r="N15" s="282"/>
      <c r="O15" s="282"/>
      <c r="P15" s="282">
        <f>H15*26700</f>
        <v>480600</v>
      </c>
      <c r="Q15" s="279"/>
      <c r="R15" s="4">
        <f t="shared" si="4"/>
        <v>658100</v>
      </c>
      <c r="S15" s="4">
        <f>(C15+D15+E15+F15+I15+H15+G15)*14876</f>
        <v>342148</v>
      </c>
    </row>
    <row r="16" spans="1:19">
      <c r="A16" s="29" t="s">
        <v>530</v>
      </c>
      <c r="B16" s="675"/>
      <c r="C16" s="263">
        <v>15</v>
      </c>
      <c r="D16" s="323"/>
      <c r="E16" s="324"/>
      <c r="F16" s="326"/>
      <c r="G16" s="289"/>
      <c r="H16" s="326">
        <v>47</v>
      </c>
      <c r="I16" s="289"/>
      <c r="J16" s="35">
        <f t="shared" si="0"/>
        <v>62</v>
      </c>
      <c r="K16" s="290">
        <f>C16*40000</f>
        <v>600000</v>
      </c>
      <c r="L16" s="173"/>
      <c r="M16" s="299">
        <f>E16*35500</f>
        <v>0</v>
      </c>
      <c r="N16" s="282"/>
      <c r="O16" s="282"/>
      <c r="P16" s="282">
        <f>H16*30000</f>
        <v>1410000</v>
      </c>
      <c r="Q16" s="279"/>
      <c r="R16" s="4">
        <f>SUM(K16:Q16)</f>
        <v>2010000</v>
      </c>
      <c r="S16" s="4">
        <f>(C16+D16+E16+F16+I16+H16+G16)*15958</f>
        <v>989396</v>
      </c>
    </row>
    <row r="17" spans="1:19">
      <c r="A17" s="29" t="s">
        <v>707</v>
      </c>
      <c r="B17" s="675"/>
      <c r="C17" s="263">
        <v>29</v>
      </c>
      <c r="D17" s="323"/>
      <c r="E17" s="324"/>
      <c r="F17" s="326"/>
      <c r="G17" s="289"/>
      <c r="H17" s="326">
        <v>337</v>
      </c>
      <c r="I17" s="564"/>
      <c r="J17" s="35">
        <f t="shared" si="0"/>
        <v>366</v>
      </c>
      <c r="K17" s="290">
        <f>C17*30000</f>
        <v>870000</v>
      </c>
      <c r="L17" s="173"/>
      <c r="M17" s="299">
        <f>E17*20000</f>
        <v>0</v>
      </c>
      <c r="N17" s="282"/>
      <c r="O17" s="282"/>
      <c r="P17" s="282">
        <f>H17*19800</f>
        <v>6672600</v>
      </c>
      <c r="Q17" s="279"/>
      <c r="R17" s="4">
        <f t="shared" si="4"/>
        <v>7542600</v>
      </c>
      <c r="S17" s="4">
        <f>(C17+D17+E17+F17+I17+H17+G17)*13262</f>
        <v>4853892</v>
      </c>
    </row>
    <row r="18" spans="1:19">
      <c r="A18" s="29" t="s">
        <v>479</v>
      </c>
      <c r="B18" s="675"/>
      <c r="C18" s="263">
        <v>3</v>
      </c>
      <c r="D18" s="323"/>
      <c r="E18" s="324">
        <v>5</v>
      </c>
      <c r="F18" s="289"/>
      <c r="G18" s="289"/>
      <c r="H18" s="326">
        <v>16</v>
      </c>
      <c r="I18" s="289"/>
      <c r="J18" s="35">
        <f t="shared" si="0"/>
        <v>24</v>
      </c>
      <c r="K18" s="290">
        <f>C18*190000</f>
        <v>570000</v>
      </c>
      <c r="L18" s="173"/>
      <c r="M18" s="299">
        <f>E18*154000</f>
        <v>770000</v>
      </c>
      <c r="N18" s="282"/>
      <c r="O18" s="282"/>
      <c r="P18" s="282">
        <f>H18*142500</f>
        <v>2280000</v>
      </c>
      <c r="Q18" s="279"/>
      <c r="R18" s="4">
        <f t="shared" si="4"/>
        <v>3620000</v>
      </c>
      <c r="S18" s="4">
        <f>(C18+D18+E18+F18+I18+H18+G18)*89709</f>
        <v>2153016</v>
      </c>
    </row>
    <row r="19" spans="1:19">
      <c r="A19" s="29" t="s">
        <v>480</v>
      </c>
      <c r="B19" s="675"/>
      <c r="C19" s="263">
        <v>1</v>
      </c>
      <c r="D19" s="323"/>
      <c r="E19" s="324">
        <v>1</v>
      </c>
      <c r="F19" s="289"/>
      <c r="G19" s="289"/>
      <c r="H19" s="326">
        <v>31</v>
      </c>
      <c r="I19" s="289"/>
      <c r="J19" s="35">
        <f t="shared" si="0"/>
        <v>33</v>
      </c>
      <c r="K19" s="290">
        <f t="shared" ref="K19:K20" si="5">C19*190000</f>
        <v>190000</v>
      </c>
      <c r="L19" s="173"/>
      <c r="M19" s="299">
        <f t="shared" ref="M19:M20" si="6">E19*154000</f>
        <v>154000</v>
      </c>
      <c r="N19" s="282"/>
      <c r="O19" s="282"/>
      <c r="P19" s="282">
        <f>H19*142500</f>
        <v>4417500</v>
      </c>
      <c r="Q19" s="279"/>
      <c r="R19" s="4">
        <f t="shared" si="4"/>
        <v>4761500</v>
      </c>
      <c r="S19" s="4">
        <f>(C19+D19+E19+F19+I19+H19+G19)*85201</f>
        <v>2811633</v>
      </c>
    </row>
    <row r="20" spans="1:19">
      <c r="A20" s="29" t="s">
        <v>481</v>
      </c>
      <c r="B20" s="675"/>
      <c r="C20" s="263">
        <v>1</v>
      </c>
      <c r="D20" s="323"/>
      <c r="E20" s="324"/>
      <c r="F20" s="289"/>
      <c r="G20" s="289"/>
      <c r="H20" s="326">
        <v>15</v>
      </c>
      <c r="I20" s="289"/>
      <c r="J20" s="35">
        <f t="shared" si="0"/>
        <v>16</v>
      </c>
      <c r="K20" s="290">
        <f t="shared" si="5"/>
        <v>190000</v>
      </c>
      <c r="L20" s="173"/>
      <c r="M20" s="299">
        <f t="shared" si="6"/>
        <v>0</v>
      </c>
      <c r="N20" s="282"/>
      <c r="O20" s="282"/>
      <c r="P20" s="282">
        <f>H20*142500</f>
        <v>2137500</v>
      </c>
      <c r="Q20" s="279"/>
      <c r="R20" s="4">
        <f t="shared" si="4"/>
        <v>2327500</v>
      </c>
      <c r="S20" s="4">
        <f>(C20+D20+E20+F20+I20+H20+G20)*89709</f>
        <v>1435344</v>
      </c>
    </row>
    <row r="21" spans="1:19">
      <c r="A21" s="29" t="s">
        <v>531</v>
      </c>
      <c r="B21" s="676"/>
      <c r="C21" s="263">
        <v>8</v>
      </c>
      <c r="D21" s="323"/>
      <c r="E21" s="324"/>
      <c r="F21" s="289"/>
      <c r="G21" s="289"/>
      <c r="H21" s="326">
        <v>98</v>
      </c>
      <c r="I21" s="289"/>
      <c r="J21" s="35">
        <f t="shared" si="0"/>
        <v>106</v>
      </c>
      <c r="K21" s="290">
        <f>C21*206000</f>
        <v>1648000</v>
      </c>
      <c r="L21" s="173"/>
      <c r="M21" s="299">
        <f>E21*171000</f>
        <v>0</v>
      </c>
      <c r="N21" s="282"/>
      <c r="O21" s="282"/>
      <c r="P21" s="282">
        <f>H21*154500</f>
        <v>15141000</v>
      </c>
      <c r="Q21" s="279"/>
      <c r="R21" s="4">
        <f t="shared" si="4"/>
        <v>16789000</v>
      </c>
      <c r="S21" s="4">
        <f>(C21+D21+E21+F21+I21+H21+G21)*96471</f>
        <v>10225926</v>
      </c>
    </row>
    <row r="22" spans="1:19">
      <c r="A22" s="29" t="s">
        <v>376</v>
      </c>
      <c r="B22" s="222"/>
      <c r="C22" s="31"/>
      <c r="D22" s="37"/>
      <c r="E22" s="38"/>
      <c r="F22" s="40"/>
      <c r="G22" s="39"/>
      <c r="H22" s="196"/>
      <c r="I22" s="39"/>
      <c r="J22" s="35">
        <f t="shared" si="0"/>
        <v>0</v>
      </c>
      <c r="K22" s="290">
        <f>C22*25000</f>
        <v>0</v>
      </c>
      <c r="L22" s="173"/>
      <c r="M22" s="299"/>
      <c r="N22" s="282"/>
      <c r="O22" s="282"/>
      <c r="P22" s="282"/>
      <c r="Q22" s="279"/>
      <c r="R22" s="4">
        <f t="shared" si="4"/>
        <v>0</v>
      </c>
      <c r="S22" s="4">
        <f>(C22+D22+E22+F22+I22+H22+G22)*6110</f>
        <v>0</v>
      </c>
    </row>
    <row r="23" spans="1:19">
      <c r="A23" s="223" t="s">
        <v>361</v>
      </c>
      <c r="B23" s="222"/>
      <c r="C23" s="31"/>
      <c r="D23" s="37"/>
      <c r="E23" s="38"/>
      <c r="F23" s="40"/>
      <c r="G23" s="39"/>
      <c r="H23" s="196"/>
      <c r="I23" s="39"/>
      <c r="J23" s="35">
        <f t="shared" si="0"/>
        <v>0</v>
      </c>
      <c r="K23" s="291">
        <f>C23*25000</f>
        <v>0</v>
      </c>
      <c r="L23" s="173"/>
      <c r="M23" s="299"/>
      <c r="N23" s="282"/>
      <c r="O23" s="282"/>
      <c r="P23" s="282"/>
      <c r="Q23" s="279"/>
      <c r="R23" s="4">
        <f t="shared" si="4"/>
        <v>0</v>
      </c>
      <c r="S23" s="4">
        <f>(C23+D23+E23+F23+I23+H23+G23)*7100</f>
        <v>0</v>
      </c>
    </row>
    <row r="24" spans="1:19" s="24" customFormat="1">
      <c r="A24" s="439" t="s">
        <v>31</v>
      </c>
      <c r="B24" s="440"/>
      <c r="C24" s="441">
        <f t="shared" ref="C24:S24" si="7">SUM(C7:C23)</f>
        <v>211</v>
      </c>
      <c r="D24" s="441">
        <f t="shared" si="7"/>
        <v>0</v>
      </c>
      <c r="E24" s="441">
        <f t="shared" si="7"/>
        <v>6</v>
      </c>
      <c r="F24" s="441">
        <f t="shared" si="7"/>
        <v>4</v>
      </c>
      <c r="G24" s="441">
        <f t="shared" si="7"/>
        <v>0</v>
      </c>
      <c r="H24" s="441">
        <f t="shared" si="7"/>
        <v>575</v>
      </c>
      <c r="I24" s="441">
        <f t="shared" si="7"/>
        <v>0</v>
      </c>
      <c r="J24" s="442">
        <f t="shared" si="7"/>
        <v>796</v>
      </c>
      <c r="K24" s="443">
        <f>SUM(K7:K23)</f>
        <v>8191800</v>
      </c>
      <c r="L24" s="444">
        <f t="shared" si="7"/>
        <v>0</v>
      </c>
      <c r="M24" s="445">
        <f t="shared" si="7"/>
        <v>924000</v>
      </c>
      <c r="N24" s="446">
        <f t="shared" si="7"/>
        <v>0</v>
      </c>
      <c r="O24" s="446">
        <f t="shared" si="7"/>
        <v>84160</v>
      </c>
      <c r="P24" s="446">
        <f t="shared" si="7"/>
        <v>32886300</v>
      </c>
      <c r="Q24" s="446">
        <f t="shared" si="7"/>
        <v>0</v>
      </c>
      <c r="R24" s="447">
        <f t="shared" si="7"/>
        <v>42086260</v>
      </c>
      <c r="S24" s="448">
        <f t="shared" si="7"/>
        <v>24344668</v>
      </c>
    </row>
    <row r="25" spans="1:19" s="24" customFormat="1">
      <c r="A25" s="85" t="s">
        <v>625</v>
      </c>
      <c r="B25" s="678" t="s">
        <v>32</v>
      </c>
      <c r="C25" s="310">
        <v>2</v>
      </c>
      <c r="D25" s="326"/>
      <c r="E25" s="310"/>
      <c r="F25" s="327">
        <v>1</v>
      </c>
      <c r="G25" s="326"/>
      <c r="H25" s="325"/>
      <c r="I25" s="564"/>
      <c r="J25" s="35">
        <f>SUM(C25:I25)</f>
        <v>3</v>
      </c>
      <c r="K25" s="361">
        <f>C25*6200</f>
        <v>12400</v>
      </c>
      <c r="L25" s="305"/>
      <c r="M25" s="300"/>
      <c r="N25" s="282">
        <f>F25*5580</f>
        <v>5580</v>
      </c>
      <c r="O25" s="282">
        <f>G25*4340</f>
        <v>0</v>
      </c>
      <c r="P25" s="210"/>
      <c r="Q25" s="5"/>
      <c r="R25" s="4">
        <f>SUM(K25:Q25)</f>
        <v>17980</v>
      </c>
      <c r="S25" s="42">
        <f>(C25+D25+E25+F25+I25+G25+H25)*3923</f>
        <v>11769</v>
      </c>
    </row>
    <row r="26" spans="1:19" s="24" customFormat="1">
      <c r="A26" s="85" t="s">
        <v>626</v>
      </c>
      <c r="B26" s="679"/>
      <c r="C26" s="310">
        <v>4</v>
      </c>
      <c r="D26" s="326"/>
      <c r="E26" s="310"/>
      <c r="F26" s="327">
        <v>8</v>
      </c>
      <c r="G26" s="326">
        <v>1</v>
      </c>
      <c r="H26" s="325"/>
      <c r="I26" s="564"/>
      <c r="J26" s="35">
        <f t="shared" ref="J26:J27" si="8">SUM(C26:I26)</f>
        <v>13</v>
      </c>
      <c r="K26" s="361">
        <f t="shared" ref="K26:K28" si="9">C26*6200</f>
        <v>24800</v>
      </c>
      <c r="L26" s="305"/>
      <c r="M26" s="300"/>
      <c r="N26" s="282">
        <f t="shared" ref="N26:N28" si="10">F26*5580</f>
        <v>44640</v>
      </c>
      <c r="O26" s="282">
        <f t="shared" ref="O26:O28" si="11">G26*4340</f>
        <v>4340</v>
      </c>
      <c r="P26" s="210"/>
      <c r="Q26" s="5"/>
      <c r="R26" s="4">
        <f t="shared" ref="R26:R28" si="12">SUM(K26:Q26)</f>
        <v>73780</v>
      </c>
      <c r="S26" s="42">
        <f>(C26+D26+E26+F26+I26+G26+H26)*3923</f>
        <v>50999</v>
      </c>
    </row>
    <row r="27" spans="1:19" s="24" customFormat="1">
      <c r="A27" s="85" t="s">
        <v>627</v>
      </c>
      <c r="B27" s="679"/>
      <c r="C27" s="310">
        <v>2</v>
      </c>
      <c r="D27" s="326"/>
      <c r="E27" s="310"/>
      <c r="F27" s="327">
        <v>3</v>
      </c>
      <c r="G27" s="326"/>
      <c r="H27" s="325"/>
      <c r="I27" s="564"/>
      <c r="J27" s="35">
        <f t="shared" si="8"/>
        <v>5</v>
      </c>
      <c r="K27" s="361">
        <f t="shared" si="9"/>
        <v>12400</v>
      </c>
      <c r="L27" s="305"/>
      <c r="M27" s="300"/>
      <c r="N27" s="282">
        <f t="shared" si="10"/>
        <v>16740</v>
      </c>
      <c r="O27" s="282">
        <f t="shared" si="11"/>
        <v>0</v>
      </c>
      <c r="P27" s="210"/>
      <c r="Q27" s="5"/>
      <c r="R27" s="4">
        <f t="shared" si="12"/>
        <v>29140</v>
      </c>
      <c r="S27" s="42">
        <f>(C27+D27+E27+F27+I27+G27+H27)*3923</f>
        <v>19615</v>
      </c>
    </row>
    <row r="28" spans="1:19" s="24" customFormat="1">
      <c r="A28" s="85" t="s">
        <v>628</v>
      </c>
      <c r="B28" s="680"/>
      <c r="C28" s="310">
        <v>7</v>
      </c>
      <c r="D28" s="326"/>
      <c r="E28" s="310"/>
      <c r="F28" s="327">
        <v>3</v>
      </c>
      <c r="G28" s="326">
        <v>1</v>
      </c>
      <c r="H28" s="325"/>
      <c r="I28" s="564"/>
      <c r="J28" s="35">
        <f t="shared" ref="J28:J43" si="13">SUM(C28:I28)</f>
        <v>11</v>
      </c>
      <c r="K28" s="361">
        <f t="shared" si="9"/>
        <v>43400</v>
      </c>
      <c r="L28" s="305"/>
      <c r="M28" s="300"/>
      <c r="N28" s="282">
        <f t="shared" si="10"/>
        <v>16740</v>
      </c>
      <c r="O28" s="282">
        <f t="shared" si="11"/>
        <v>4340</v>
      </c>
      <c r="P28" s="210"/>
      <c r="Q28" s="5"/>
      <c r="R28" s="4">
        <f t="shared" si="12"/>
        <v>64480</v>
      </c>
      <c r="S28" s="42">
        <f>(C28+D28+E28+F28+I28+G28+H28)*3923</f>
        <v>43153</v>
      </c>
    </row>
    <row r="29" spans="1:19">
      <c r="A29" s="29" t="s">
        <v>33</v>
      </c>
      <c r="B29" s="381" t="s">
        <v>34</v>
      </c>
      <c r="C29" s="258">
        <v>40</v>
      </c>
      <c r="D29" s="235"/>
      <c r="E29" s="234">
        <v>149</v>
      </c>
      <c r="F29" s="215">
        <v>317</v>
      </c>
      <c r="G29" s="215"/>
      <c r="H29" s="215">
        <v>148</v>
      </c>
      <c r="I29" s="238"/>
      <c r="J29" s="35">
        <f t="shared" si="13"/>
        <v>654</v>
      </c>
      <c r="K29" s="361">
        <f>C29*40000</f>
        <v>1600000</v>
      </c>
      <c r="L29" s="173">
        <f>D29*30800</f>
        <v>0</v>
      </c>
      <c r="M29" s="299">
        <f>E29*30800</f>
        <v>4589200</v>
      </c>
      <c r="N29" s="276">
        <f>F29*34000</f>
        <v>10778000</v>
      </c>
      <c r="O29" s="282"/>
      <c r="P29" s="285">
        <f>H29*34000</f>
        <v>5032000</v>
      </c>
      <c r="Q29" s="285"/>
      <c r="R29" s="4">
        <f t="shared" ref="R29:R41" si="14">SUM(K29:Q29)</f>
        <v>21999200</v>
      </c>
      <c r="S29" s="42">
        <f>(C29+D29+E29+F29+I29+G29+H29)*17852</f>
        <v>11675208</v>
      </c>
    </row>
    <row r="30" spans="1:19">
      <c r="A30" s="29" t="s">
        <v>35</v>
      </c>
      <c r="B30" s="382" t="s">
        <v>36</v>
      </c>
      <c r="C30" s="262">
        <v>14</v>
      </c>
      <c r="D30" s="235"/>
      <c r="E30" s="234">
        <v>56</v>
      </c>
      <c r="F30" s="230">
        <v>336</v>
      </c>
      <c r="G30" s="230"/>
      <c r="H30" s="230">
        <v>15</v>
      </c>
      <c r="I30" s="322"/>
      <c r="J30" s="35">
        <f t="shared" si="13"/>
        <v>421</v>
      </c>
      <c r="K30" s="361">
        <f>C30*37800</f>
        <v>529200</v>
      </c>
      <c r="L30" s="173">
        <f>D30*27800</f>
        <v>0</v>
      </c>
      <c r="M30" s="299">
        <f t="shared" ref="M30:M41" si="15">E30*27800</f>
        <v>1556800</v>
      </c>
      <c r="N30" s="276">
        <f>F30*32130</f>
        <v>10795680</v>
      </c>
      <c r="O30" s="282"/>
      <c r="P30" s="285">
        <f>H30*32130</f>
        <v>481950</v>
      </c>
      <c r="Q30" s="285"/>
      <c r="R30" s="4">
        <f t="shared" si="14"/>
        <v>13363630</v>
      </c>
      <c r="S30" s="42">
        <f>(C30+D30+E30+F30+I30+G30+H30)*15958</f>
        <v>6718318</v>
      </c>
    </row>
    <row r="31" spans="1:19">
      <c r="A31" s="29" t="s">
        <v>37</v>
      </c>
      <c r="B31" s="381" t="s">
        <v>38</v>
      </c>
      <c r="C31" s="263">
        <v>56</v>
      </c>
      <c r="D31" s="235"/>
      <c r="E31" s="234">
        <v>214</v>
      </c>
      <c r="F31" s="230">
        <v>459</v>
      </c>
      <c r="G31" s="230"/>
      <c r="H31" s="230">
        <v>396</v>
      </c>
      <c r="I31" s="330"/>
      <c r="J31" s="35">
        <f t="shared" si="13"/>
        <v>1125</v>
      </c>
      <c r="K31" s="361">
        <f t="shared" ref="K31:K41" si="16">C31*37800</f>
        <v>2116800</v>
      </c>
      <c r="L31" s="173">
        <f t="shared" ref="L31:L41" si="17">D31*27800</f>
        <v>0</v>
      </c>
      <c r="M31" s="299">
        <f t="shared" si="15"/>
        <v>5949200</v>
      </c>
      <c r="N31" s="276">
        <f t="shared" ref="N31:N41" si="18">F31*32130</f>
        <v>14747670</v>
      </c>
      <c r="O31" s="282"/>
      <c r="P31" s="285">
        <f t="shared" ref="P31:P41" si="19">H31*32130</f>
        <v>12723480</v>
      </c>
      <c r="Q31" s="285"/>
      <c r="R31" s="4">
        <f t="shared" si="14"/>
        <v>35537150</v>
      </c>
      <c r="S31" s="42">
        <f>(C31+D31+E31+F31+I31+G31+H31)*15958</f>
        <v>17952750</v>
      </c>
    </row>
    <row r="32" spans="1:19">
      <c r="A32" s="29" t="s">
        <v>39</v>
      </c>
      <c r="B32" s="377" t="s">
        <v>40</v>
      </c>
      <c r="C32" s="263">
        <v>34</v>
      </c>
      <c r="D32" s="235"/>
      <c r="E32" s="234">
        <v>84</v>
      </c>
      <c r="F32" s="215">
        <v>152</v>
      </c>
      <c r="G32" s="215"/>
      <c r="H32" s="215">
        <v>90</v>
      </c>
      <c r="I32" s="329"/>
      <c r="J32" s="35">
        <f t="shared" si="13"/>
        <v>360</v>
      </c>
      <c r="K32" s="361">
        <f t="shared" si="16"/>
        <v>1285200</v>
      </c>
      <c r="L32" s="173">
        <f t="shared" si="17"/>
        <v>0</v>
      </c>
      <c r="M32" s="299">
        <f t="shared" si="15"/>
        <v>2335200</v>
      </c>
      <c r="N32" s="276">
        <f t="shared" si="18"/>
        <v>4883760</v>
      </c>
      <c r="O32" s="282"/>
      <c r="P32" s="285">
        <f t="shared" si="19"/>
        <v>2891700</v>
      </c>
      <c r="Q32" s="285"/>
      <c r="R32" s="4">
        <f t="shared" si="14"/>
        <v>11395860</v>
      </c>
      <c r="S32" s="42">
        <f>(C32+D32+E32+F32+I32+G32+H32)*15958</f>
        <v>5744880</v>
      </c>
    </row>
    <row r="33" spans="1:19">
      <c r="A33" s="43" t="s">
        <v>41</v>
      </c>
      <c r="B33" s="381" t="s">
        <v>701</v>
      </c>
      <c r="C33" s="263">
        <v>36</v>
      </c>
      <c r="D33" s="235"/>
      <c r="E33" s="234">
        <v>157</v>
      </c>
      <c r="F33" s="230">
        <v>312</v>
      </c>
      <c r="G33" s="230">
        <v>1</v>
      </c>
      <c r="H33" s="230">
        <v>160</v>
      </c>
      <c r="I33" s="322"/>
      <c r="J33" s="35">
        <f t="shared" si="13"/>
        <v>666</v>
      </c>
      <c r="K33" s="361">
        <f t="shared" si="16"/>
        <v>1360800</v>
      </c>
      <c r="L33" s="173">
        <f t="shared" si="17"/>
        <v>0</v>
      </c>
      <c r="M33" s="299">
        <f t="shared" si="15"/>
        <v>4364600</v>
      </c>
      <c r="N33" s="276">
        <f t="shared" si="18"/>
        <v>10024560</v>
      </c>
      <c r="O33" s="282">
        <f>G33*30240</f>
        <v>30240</v>
      </c>
      <c r="P33" s="285">
        <f t="shared" si="19"/>
        <v>5140800</v>
      </c>
      <c r="Q33" s="285"/>
      <c r="R33" s="4">
        <f t="shared" si="14"/>
        <v>20921000</v>
      </c>
      <c r="S33" s="42">
        <f t="shared" ref="S33:S38" si="20">(C33+D33+E33+F33+I33+G33+H33)*16680</f>
        <v>11108880</v>
      </c>
    </row>
    <row r="34" spans="1:19">
      <c r="A34" s="29" t="s">
        <v>42</v>
      </c>
      <c r="B34" s="381" t="s">
        <v>43</v>
      </c>
      <c r="C34" s="263">
        <v>35</v>
      </c>
      <c r="D34" s="235"/>
      <c r="E34" s="234">
        <v>89</v>
      </c>
      <c r="F34" s="230">
        <v>322</v>
      </c>
      <c r="G34" s="230"/>
      <c r="H34" s="230">
        <v>243</v>
      </c>
      <c r="I34" s="322"/>
      <c r="J34" s="35">
        <f t="shared" si="13"/>
        <v>689</v>
      </c>
      <c r="K34" s="361">
        <f t="shared" si="16"/>
        <v>1323000</v>
      </c>
      <c r="L34" s="173">
        <f t="shared" si="17"/>
        <v>0</v>
      </c>
      <c r="M34" s="299">
        <f t="shared" si="15"/>
        <v>2474200</v>
      </c>
      <c r="N34" s="276">
        <f t="shared" si="18"/>
        <v>10345860</v>
      </c>
      <c r="O34" s="282"/>
      <c r="P34" s="285">
        <f t="shared" si="19"/>
        <v>7807590</v>
      </c>
      <c r="Q34" s="285"/>
      <c r="R34" s="4">
        <f t="shared" si="14"/>
        <v>21950650</v>
      </c>
      <c r="S34" s="42">
        <f t="shared" si="20"/>
        <v>11492520</v>
      </c>
    </row>
    <row r="35" spans="1:19">
      <c r="A35" s="29" t="s">
        <v>44</v>
      </c>
      <c r="B35" s="377" t="s">
        <v>45</v>
      </c>
      <c r="C35" s="263"/>
      <c r="D35" s="235"/>
      <c r="E35" s="234"/>
      <c r="F35" s="230"/>
      <c r="G35" s="230"/>
      <c r="H35" s="230"/>
      <c r="I35" s="322"/>
      <c r="J35" s="35">
        <f t="shared" si="13"/>
        <v>0</v>
      </c>
      <c r="K35" s="361">
        <f t="shared" si="16"/>
        <v>0</v>
      </c>
      <c r="L35" s="173">
        <f t="shared" si="17"/>
        <v>0</v>
      </c>
      <c r="M35" s="299">
        <f t="shared" si="15"/>
        <v>0</v>
      </c>
      <c r="N35" s="276">
        <f t="shared" si="18"/>
        <v>0</v>
      </c>
      <c r="O35" s="282"/>
      <c r="P35" s="285">
        <f t="shared" si="19"/>
        <v>0</v>
      </c>
      <c r="Q35" s="285"/>
      <c r="R35" s="4">
        <f t="shared" si="14"/>
        <v>0</v>
      </c>
      <c r="S35" s="42">
        <f t="shared" si="20"/>
        <v>0</v>
      </c>
    </row>
    <row r="36" spans="1:19">
      <c r="A36" s="29" t="s">
        <v>46</v>
      </c>
      <c r="B36" s="377" t="s">
        <v>47</v>
      </c>
      <c r="C36" s="263">
        <v>15</v>
      </c>
      <c r="D36" s="235"/>
      <c r="E36" s="234">
        <v>12</v>
      </c>
      <c r="F36" s="230">
        <v>36</v>
      </c>
      <c r="G36" s="230"/>
      <c r="H36" s="230">
        <v>40</v>
      </c>
      <c r="I36" s="322"/>
      <c r="J36" s="35">
        <f t="shared" si="13"/>
        <v>103</v>
      </c>
      <c r="K36" s="361">
        <f t="shared" si="16"/>
        <v>567000</v>
      </c>
      <c r="L36" s="173">
        <f t="shared" si="17"/>
        <v>0</v>
      </c>
      <c r="M36" s="299">
        <f t="shared" si="15"/>
        <v>333600</v>
      </c>
      <c r="N36" s="276">
        <f t="shared" si="18"/>
        <v>1156680</v>
      </c>
      <c r="O36" s="282"/>
      <c r="P36" s="285">
        <f t="shared" si="19"/>
        <v>1285200</v>
      </c>
      <c r="Q36" s="285"/>
      <c r="R36" s="4">
        <f t="shared" si="14"/>
        <v>3342480</v>
      </c>
      <c r="S36" s="42">
        <f t="shared" si="20"/>
        <v>1718040</v>
      </c>
    </row>
    <row r="37" spans="1:19">
      <c r="A37" s="29" t="s">
        <v>48</v>
      </c>
      <c r="B37" s="377" t="s">
        <v>727</v>
      </c>
      <c r="C37" s="310">
        <v>4</v>
      </c>
      <c r="D37" s="235"/>
      <c r="E37" s="234"/>
      <c r="F37" s="215">
        <v>1</v>
      </c>
      <c r="G37" s="215"/>
      <c r="H37" s="215"/>
      <c r="I37" s="329"/>
      <c r="J37" s="35">
        <f t="shared" si="13"/>
        <v>5</v>
      </c>
      <c r="K37" s="361">
        <f t="shared" si="16"/>
        <v>151200</v>
      </c>
      <c r="L37" s="173">
        <f t="shared" si="17"/>
        <v>0</v>
      </c>
      <c r="M37" s="299">
        <f t="shared" si="15"/>
        <v>0</v>
      </c>
      <c r="N37" s="276">
        <f t="shared" si="18"/>
        <v>32130</v>
      </c>
      <c r="O37" s="282"/>
      <c r="P37" s="285">
        <f t="shared" si="19"/>
        <v>0</v>
      </c>
      <c r="Q37" s="285"/>
      <c r="R37" s="4">
        <f t="shared" si="14"/>
        <v>183330</v>
      </c>
      <c r="S37" s="42">
        <f t="shared" si="20"/>
        <v>83400</v>
      </c>
    </row>
    <row r="38" spans="1:19">
      <c r="A38" s="29" t="s">
        <v>49</v>
      </c>
      <c r="B38" s="381" t="s">
        <v>50</v>
      </c>
      <c r="C38" s="310">
        <v>4</v>
      </c>
      <c r="D38" s="235"/>
      <c r="E38" s="234">
        <v>20</v>
      </c>
      <c r="F38" s="230">
        <v>46</v>
      </c>
      <c r="G38" s="230"/>
      <c r="H38" s="230">
        <v>33</v>
      </c>
      <c r="I38" s="322"/>
      <c r="J38" s="35">
        <f t="shared" si="13"/>
        <v>103</v>
      </c>
      <c r="K38" s="361">
        <f t="shared" si="16"/>
        <v>151200</v>
      </c>
      <c r="L38" s="173">
        <f t="shared" si="17"/>
        <v>0</v>
      </c>
      <c r="M38" s="299">
        <f t="shared" si="15"/>
        <v>556000</v>
      </c>
      <c r="N38" s="276">
        <f t="shared" si="18"/>
        <v>1477980</v>
      </c>
      <c r="O38" s="282"/>
      <c r="P38" s="285">
        <f t="shared" si="19"/>
        <v>1060290</v>
      </c>
      <c r="Q38" s="285"/>
      <c r="R38" s="4">
        <f t="shared" si="14"/>
        <v>3245470</v>
      </c>
      <c r="S38" s="42">
        <f t="shared" si="20"/>
        <v>1718040</v>
      </c>
    </row>
    <row r="39" spans="1:19">
      <c r="A39" s="29" t="s">
        <v>51</v>
      </c>
      <c r="B39" s="377" t="s">
        <v>52</v>
      </c>
      <c r="C39" s="310"/>
      <c r="D39" s="235"/>
      <c r="E39" s="234"/>
      <c r="F39" s="215"/>
      <c r="G39" s="215"/>
      <c r="H39" s="215"/>
      <c r="I39" s="329"/>
      <c r="J39" s="35">
        <f t="shared" si="13"/>
        <v>0</v>
      </c>
      <c r="K39" s="361">
        <f t="shared" si="16"/>
        <v>0</v>
      </c>
      <c r="L39" s="173">
        <f t="shared" si="17"/>
        <v>0</v>
      </c>
      <c r="M39" s="299">
        <f t="shared" si="15"/>
        <v>0</v>
      </c>
      <c r="N39" s="276">
        <f t="shared" si="18"/>
        <v>0</v>
      </c>
      <c r="O39" s="282"/>
      <c r="P39" s="285">
        <f t="shared" si="19"/>
        <v>0</v>
      </c>
      <c r="Q39" s="285"/>
      <c r="R39" s="4">
        <f t="shared" si="14"/>
        <v>0</v>
      </c>
      <c r="S39" s="42">
        <f>(C39+D39+E39+F39+I39+G39+H39)*15688</f>
        <v>0</v>
      </c>
    </row>
    <row r="40" spans="1:19">
      <c r="A40" s="29" t="s">
        <v>53</v>
      </c>
      <c r="B40" s="377" t="s">
        <v>54</v>
      </c>
      <c r="C40" s="263">
        <v>7</v>
      </c>
      <c r="D40" s="235"/>
      <c r="E40" s="234">
        <v>14</v>
      </c>
      <c r="F40" s="230">
        <v>102</v>
      </c>
      <c r="G40" s="230"/>
      <c r="H40" s="230">
        <v>85</v>
      </c>
      <c r="I40" s="322"/>
      <c r="J40" s="35">
        <f t="shared" si="13"/>
        <v>208</v>
      </c>
      <c r="K40" s="361">
        <f t="shared" si="16"/>
        <v>264600</v>
      </c>
      <c r="L40" s="173">
        <f t="shared" si="17"/>
        <v>0</v>
      </c>
      <c r="M40" s="299">
        <f t="shared" si="15"/>
        <v>389200</v>
      </c>
      <c r="N40" s="276">
        <f t="shared" si="18"/>
        <v>3277260</v>
      </c>
      <c r="O40" s="282"/>
      <c r="P40" s="285">
        <f t="shared" si="19"/>
        <v>2731050</v>
      </c>
      <c r="Q40" s="285"/>
      <c r="R40" s="4">
        <f t="shared" si="14"/>
        <v>6662110</v>
      </c>
      <c r="S40" s="42">
        <f>(C40+D40+E40+F40+I40+G40+H40)*15688</f>
        <v>3263104</v>
      </c>
    </row>
    <row r="41" spans="1:19">
      <c r="A41" s="29" t="s">
        <v>55</v>
      </c>
      <c r="B41" s="377" t="s">
        <v>396</v>
      </c>
      <c r="C41" s="263">
        <v>6</v>
      </c>
      <c r="D41" s="235"/>
      <c r="E41" s="234"/>
      <c r="F41" s="215">
        <v>1</v>
      </c>
      <c r="G41" s="215"/>
      <c r="H41" s="215"/>
      <c r="I41" s="329"/>
      <c r="J41" s="35">
        <f t="shared" si="13"/>
        <v>7</v>
      </c>
      <c r="K41" s="361">
        <f t="shared" si="16"/>
        <v>226800</v>
      </c>
      <c r="L41" s="173">
        <f t="shared" si="17"/>
        <v>0</v>
      </c>
      <c r="M41" s="299">
        <f t="shared" si="15"/>
        <v>0</v>
      </c>
      <c r="N41" s="276">
        <f t="shared" si="18"/>
        <v>32130</v>
      </c>
      <c r="O41" s="282"/>
      <c r="P41" s="285">
        <f t="shared" si="19"/>
        <v>0</v>
      </c>
      <c r="Q41" s="285"/>
      <c r="R41" s="4">
        <f t="shared" si="14"/>
        <v>258930</v>
      </c>
      <c r="S41" s="42">
        <f>(C41+D41+E41+F41+I41+G41+H41)*15688</f>
        <v>109816</v>
      </c>
    </row>
    <row r="42" spans="1:19">
      <c r="A42" s="29"/>
      <c r="B42" s="377"/>
      <c r="C42" s="263"/>
      <c r="D42" s="235"/>
      <c r="E42" s="234"/>
      <c r="F42" s="215"/>
      <c r="G42" s="215"/>
      <c r="H42" s="328"/>
      <c r="I42" s="329"/>
      <c r="J42" s="35">
        <f t="shared" si="13"/>
        <v>0</v>
      </c>
      <c r="K42" s="361"/>
      <c r="L42" s="173"/>
      <c r="M42" s="299"/>
      <c r="O42" s="282"/>
      <c r="P42" s="282"/>
      <c r="Q42" s="285"/>
      <c r="S42" s="42"/>
    </row>
    <row r="43" spans="1:19">
      <c r="A43" s="29"/>
      <c r="B43" s="30"/>
      <c r="C43" s="310"/>
      <c r="D43" s="32"/>
      <c r="E43" s="33"/>
      <c r="F43" s="191"/>
      <c r="G43" s="34"/>
      <c r="H43" s="197"/>
      <c r="I43" s="34"/>
      <c r="J43" s="35">
        <f t="shared" si="13"/>
        <v>0</v>
      </c>
      <c r="K43" s="290">
        <f>C43*36000</f>
        <v>0</v>
      </c>
      <c r="L43" s="173">
        <f>D43*28000</f>
        <v>0</v>
      </c>
      <c r="M43" s="299"/>
      <c r="P43" s="282"/>
      <c r="S43" s="42"/>
    </row>
    <row r="44" spans="1:19" s="24" customFormat="1">
      <c r="A44" s="439" t="s">
        <v>56</v>
      </c>
      <c r="B44" s="449"/>
      <c r="C44" s="450">
        <f t="shared" ref="C44:J44" si="21">SUM(C29:C43)</f>
        <v>251</v>
      </c>
      <c r="D44" s="451">
        <f t="shared" si="21"/>
        <v>0</v>
      </c>
      <c r="E44" s="452">
        <f t="shared" si="21"/>
        <v>795</v>
      </c>
      <c r="F44" s="453">
        <f t="shared" si="21"/>
        <v>2084</v>
      </c>
      <c r="G44" s="453">
        <f t="shared" si="21"/>
        <v>1</v>
      </c>
      <c r="H44" s="453">
        <f t="shared" si="21"/>
        <v>1210</v>
      </c>
      <c r="I44" s="453">
        <f t="shared" si="21"/>
        <v>0</v>
      </c>
      <c r="J44" s="442">
        <f t="shared" si="21"/>
        <v>4341</v>
      </c>
      <c r="K44" s="443">
        <f>SUM(K25:K43)</f>
        <v>9668800</v>
      </c>
      <c r="L44" s="444">
        <f>SUM(L25:L43)</f>
        <v>0</v>
      </c>
      <c r="M44" s="445">
        <f t="shared" ref="M44:Q44" si="22">SUM(M25:M43)</f>
        <v>22548000</v>
      </c>
      <c r="N44" s="443">
        <f>SUM(N25:N43)</f>
        <v>67635410</v>
      </c>
      <c r="O44" s="446">
        <f>SUM(O25:O43)</f>
        <v>38920</v>
      </c>
      <c r="P44" s="446">
        <f t="shared" si="22"/>
        <v>39154060</v>
      </c>
      <c r="Q44" s="446">
        <f t="shared" si="22"/>
        <v>0</v>
      </c>
      <c r="R44" s="454">
        <f>SUM(R25:R43)</f>
        <v>139045190</v>
      </c>
      <c r="S44" s="448">
        <f>SUM(S25:S43)</f>
        <v>71710492</v>
      </c>
    </row>
    <row r="45" spans="1:19">
      <c r="C45" s="1" t="s">
        <v>2</v>
      </c>
      <c r="D45" s="9" t="s">
        <v>3</v>
      </c>
      <c r="E45" s="10" t="s">
        <v>4</v>
      </c>
      <c r="F45" s="12" t="s">
        <v>5</v>
      </c>
      <c r="G45" s="12"/>
      <c r="H45" s="12" t="s">
        <v>464</v>
      </c>
      <c r="I45" s="12"/>
      <c r="J45" s="13" t="s">
        <v>6</v>
      </c>
      <c r="K45" s="181"/>
      <c r="P45" s="210"/>
    </row>
    <row r="46" spans="1:19">
      <c r="C46" s="44"/>
      <c r="D46" s="406" t="s">
        <v>57</v>
      </c>
      <c r="E46" s="19" t="s">
        <v>58</v>
      </c>
      <c r="F46" s="20" t="s">
        <v>421</v>
      </c>
      <c r="G46" s="46">
        <v>0.15</v>
      </c>
      <c r="H46" s="20"/>
      <c r="I46" s="20"/>
      <c r="J46" s="17"/>
      <c r="P46" s="210"/>
    </row>
    <row r="47" spans="1:19" ht="24">
      <c r="A47" s="24" t="s">
        <v>59</v>
      </c>
      <c r="C47" s="47"/>
      <c r="D47" s="48"/>
      <c r="E47" s="49"/>
      <c r="F47" s="20" t="s">
        <v>14</v>
      </c>
      <c r="G47" s="26" t="s">
        <v>15</v>
      </c>
      <c r="H47" s="20"/>
      <c r="I47" s="415"/>
      <c r="J47" s="50"/>
      <c r="K47" s="219" t="s">
        <v>2</v>
      </c>
      <c r="L47" s="664" t="s">
        <v>734</v>
      </c>
      <c r="M47" s="664"/>
      <c r="N47" s="348" t="s">
        <v>465</v>
      </c>
      <c r="O47" s="348" t="s">
        <v>557</v>
      </c>
      <c r="P47" s="348" t="s">
        <v>464</v>
      </c>
      <c r="Q47" s="348"/>
      <c r="R47" s="220" t="s">
        <v>18</v>
      </c>
      <c r="S47" s="220" t="s">
        <v>506</v>
      </c>
    </row>
    <row r="48" spans="1:19">
      <c r="A48" s="51" t="s">
        <v>60</v>
      </c>
      <c r="B48" s="376" t="s">
        <v>61</v>
      </c>
      <c r="C48" s="233">
        <v>26</v>
      </c>
      <c r="D48" s="331"/>
      <c r="E48" s="332">
        <v>84</v>
      </c>
      <c r="F48" s="333">
        <v>220</v>
      </c>
      <c r="G48" s="322"/>
      <c r="H48" s="333"/>
      <c r="I48" s="334"/>
      <c r="J48" s="27">
        <f>SUM(C48:I48)</f>
        <v>330</v>
      </c>
      <c r="K48" s="361">
        <f>C48*35700</f>
        <v>928200</v>
      </c>
      <c r="L48" s="294">
        <f>D48*25400</f>
        <v>0</v>
      </c>
      <c r="M48" s="299">
        <f>E48*25400</f>
        <v>2133600</v>
      </c>
      <c r="N48" s="276">
        <f>F48*29500</f>
        <v>6490000</v>
      </c>
      <c r="P48" s="282">
        <f>H48*29500</f>
        <v>0</v>
      </c>
      <c r="R48" s="4">
        <f>SUM(K48:Q48)</f>
        <v>9551800</v>
      </c>
      <c r="S48" s="4">
        <f>(C48+D48+E48+F48+I48+H48+G48)*14155</f>
        <v>4671150</v>
      </c>
    </row>
    <row r="49" spans="1:19">
      <c r="A49" s="51" t="s">
        <v>62</v>
      </c>
      <c r="B49" s="375" t="s">
        <v>63</v>
      </c>
      <c r="C49" s="233">
        <v>4</v>
      </c>
      <c r="D49" s="235"/>
      <c r="E49" s="234"/>
      <c r="F49" s="230">
        <v>38</v>
      </c>
      <c r="G49" s="334"/>
      <c r="H49" s="333"/>
      <c r="I49" s="334"/>
      <c r="J49" s="27">
        <f t="shared" ref="J49:J60" si="23">SUM(C49:I49)</f>
        <v>42</v>
      </c>
      <c r="K49" s="361">
        <f>C49*35700</f>
        <v>142800</v>
      </c>
      <c r="L49" s="294">
        <f t="shared" ref="L49:M59" si="24">D49*25400</f>
        <v>0</v>
      </c>
      <c r="M49" s="299">
        <f t="shared" si="24"/>
        <v>0</v>
      </c>
      <c r="N49" s="276">
        <f t="shared" ref="N49:N59" si="25">F49*29500</f>
        <v>1121000</v>
      </c>
      <c r="P49" s="282">
        <f t="shared" ref="P49:P59" si="26">H49*29500</f>
        <v>0</v>
      </c>
      <c r="R49" s="4">
        <f t="shared" ref="R49:R59" si="27">SUM(K49:Q49)</f>
        <v>1263800</v>
      </c>
      <c r="S49" s="4">
        <f>(C49+D49+E49+F49+I49+H49+G49)*14155</f>
        <v>594510</v>
      </c>
    </row>
    <row r="50" spans="1:19">
      <c r="A50" s="51" t="s">
        <v>64</v>
      </c>
      <c r="B50" s="376" t="s">
        <v>65</v>
      </c>
      <c r="C50" s="237">
        <v>4</v>
      </c>
      <c r="D50" s="235"/>
      <c r="E50" s="234"/>
      <c r="F50" s="230">
        <v>12</v>
      </c>
      <c r="G50" s="334"/>
      <c r="H50" s="333"/>
      <c r="I50" s="334"/>
      <c r="J50" s="27">
        <f t="shared" si="23"/>
        <v>16</v>
      </c>
      <c r="K50" s="361">
        <f t="shared" ref="K50:K59" si="28">C50*34700</f>
        <v>138800</v>
      </c>
      <c r="L50" s="294">
        <f t="shared" si="24"/>
        <v>0</v>
      </c>
      <c r="M50" s="299">
        <f t="shared" si="24"/>
        <v>0</v>
      </c>
      <c r="N50" s="276">
        <f t="shared" si="25"/>
        <v>354000</v>
      </c>
      <c r="P50" s="282">
        <f t="shared" si="26"/>
        <v>0</v>
      </c>
      <c r="R50" s="4">
        <f t="shared" si="27"/>
        <v>492800</v>
      </c>
      <c r="S50" s="4">
        <f>(C50+D50+E50+F50+I50+H50+G50)*13975</f>
        <v>223600</v>
      </c>
    </row>
    <row r="51" spans="1:19">
      <c r="A51" s="51" t="s">
        <v>66</v>
      </c>
      <c r="B51" s="375" t="s">
        <v>67</v>
      </c>
      <c r="C51" s="233">
        <v>10</v>
      </c>
      <c r="D51" s="235"/>
      <c r="E51" s="234"/>
      <c r="F51" s="230">
        <v>71</v>
      </c>
      <c r="G51" s="334"/>
      <c r="H51" s="333"/>
      <c r="I51" s="334"/>
      <c r="J51" s="27">
        <f t="shared" si="23"/>
        <v>81</v>
      </c>
      <c r="K51" s="361">
        <f t="shared" si="28"/>
        <v>347000</v>
      </c>
      <c r="L51" s="294">
        <f t="shared" si="24"/>
        <v>0</v>
      </c>
      <c r="M51" s="299">
        <f t="shared" si="24"/>
        <v>0</v>
      </c>
      <c r="N51" s="276">
        <f t="shared" si="25"/>
        <v>2094500</v>
      </c>
      <c r="P51" s="282">
        <f t="shared" si="26"/>
        <v>0</v>
      </c>
      <c r="R51" s="4">
        <f t="shared" si="27"/>
        <v>2441500</v>
      </c>
      <c r="S51" s="4">
        <f t="shared" ref="S51:S59" si="29">(C51+D51+E51+F51+I51+H51+G51)*13975</f>
        <v>1131975</v>
      </c>
    </row>
    <row r="52" spans="1:19">
      <c r="A52" s="51" t="s">
        <v>68</v>
      </c>
      <c r="B52" s="376" t="s">
        <v>702</v>
      </c>
      <c r="C52" s="237"/>
      <c r="D52" s="235"/>
      <c r="E52" s="234"/>
      <c r="F52" s="230"/>
      <c r="G52" s="334"/>
      <c r="H52" s="333"/>
      <c r="I52" s="334"/>
      <c r="J52" s="27">
        <f t="shared" si="23"/>
        <v>0</v>
      </c>
      <c r="K52" s="361">
        <f t="shared" si="28"/>
        <v>0</v>
      </c>
      <c r="L52" s="294">
        <f t="shared" si="24"/>
        <v>0</v>
      </c>
      <c r="M52" s="299">
        <f t="shared" si="24"/>
        <v>0</v>
      </c>
      <c r="N52" s="276">
        <f t="shared" si="25"/>
        <v>0</v>
      </c>
      <c r="P52" s="282">
        <f t="shared" si="26"/>
        <v>0</v>
      </c>
      <c r="R52" s="4">
        <f t="shared" si="27"/>
        <v>0</v>
      </c>
      <c r="S52" s="4">
        <f t="shared" si="29"/>
        <v>0</v>
      </c>
    </row>
    <row r="53" spans="1:19">
      <c r="A53" s="51" t="s">
        <v>69</v>
      </c>
      <c r="B53" s="376" t="s">
        <v>70</v>
      </c>
      <c r="C53" s="237">
        <v>2</v>
      </c>
      <c r="D53" s="235"/>
      <c r="E53" s="234"/>
      <c r="F53" s="230">
        <v>16</v>
      </c>
      <c r="G53" s="333">
        <v>1</v>
      </c>
      <c r="H53" s="333"/>
      <c r="I53" s="334"/>
      <c r="J53" s="27">
        <f t="shared" si="23"/>
        <v>19</v>
      </c>
      <c r="K53" s="361">
        <f t="shared" si="28"/>
        <v>69400</v>
      </c>
      <c r="L53" s="294">
        <f t="shared" si="24"/>
        <v>0</v>
      </c>
      <c r="M53" s="299">
        <f t="shared" si="24"/>
        <v>0</v>
      </c>
      <c r="N53" s="276">
        <f t="shared" si="25"/>
        <v>472000</v>
      </c>
      <c r="O53" s="282">
        <f>G53*27760</f>
        <v>27760</v>
      </c>
      <c r="P53" s="282">
        <f t="shared" si="26"/>
        <v>0</v>
      </c>
      <c r="Q53" s="285"/>
      <c r="R53" s="4">
        <f t="shared" si="27"/>
        <v>569160</v>
      </c>
      <c r="S53" s="4">
        <f t="shared" si="29"/>
        <v>265525</v>
      </c>
    </row>
    <row r="54" spans="1:19">
      <c r="A54" s="51" t="s">
        <v>71</v>
      </c>
      <c r="B54" s="375" t="s">
        <v>72</v>
      </c>
      <c r="C54" s="233">
        <v>6</v>
      </c>
      <c r="D54" s="235"/>
      <c r="E54" s="234"/>
      <c r="F54" s="230">
        <v>45</v>
      </c>
      <c r="G54" s="334"/>
      <c r="H54" s="333"/>
      <c r="I54" s="334"/>
      <c r="J54" s="27">
        <f t="shared" si="23"/>
        <v>51</v>
      </c>
      <c r="K54" s="361">
        <f t="shared" si="28"/>
        <v>208200</v>
      </c>
      <c r="L54" s="294">
        <f t="shared" si="24"/>
        <v>0</v>
      </c>
      <c r="M54" s="299">
        <f t="shared" si="24"/>
        <v>0</v>
      </c>
      <c r="N54" s="276">
        <f>F54*29500</f>
        <v>1327500</v>
      </c>
      <c r="P54" s="282">
        <f t="shared" si="26"/>
        <v>0</v>
      </c>
      <c r="R54" s="4">
        <f t="shared" si="27"/>
        <v>1535700</v>
      </c>
      <c r="S54" s="4">
        <f t="shared" si="29"/>
        <v>712725</v>
      </c>
    </row>
    <row r="55" spans="1:19">
      <c r="A55" s="51" t="s">
        <v>73</v>
      </c>
      <c r="B55" s="376" t="s">
        <v>74</v>
      </c>
      <c r="C55" s="237"/>
      <c r="D55" s="235"/>
      <c r="E55" s="234"/>
      <c r="F55" s="230"/>
      <c r="G55" s="334"/>
      <c r="H55" s="333"/>
      <c r="I55" s="334"/>
      <c r="J55" s="27">
        <f t="shared" si="23"/>
        <v>0</v>
      </c>
      <c r="K55" s="361">
        <f t="shared" si="28"/>
        <v>0</v>
      </c>
      <c r="L55" s="294">
        <f t="shared" si="24"/>
        <v>0</v>
      </c>
      <c r="M55" s="299">
        <f t="shared" si="24"/>
        <v>0</v>
      </c>
      <c r="N55" s="276">
        <f t="shared" si="25"/>
        <v>0</v>
      </c>
      <c r="P55" s="282">
        <f t="shared" si="26"/>
        <v>0</v>
      </c>
      <c r="R55" s="4">
        <f t="shared" si="27"/>
        <v>0</v>
      </c>
      <c r="S55" s="4">
        <f t="shared" si="29"/>
        <v>0</v>
      </c>
    </row>
    <row r="56" spans="1:19">
      <c r="A56" s="51" t="s">
        <v>75</v>
      </c>
      <c r="B56" s="375" t="s">
        <v>76</v>
      </c>
      <c r="C56" s="233"/>
      <c r="D56" s="235"/>
      <c r="E56" s="234"/>
      <c r="F56" s="230">
        <v>44</v>
      </c>
      <c r="G56" s="334"/>
      <c r="H56" s="333"/>
      <c r="I56" s="334"/>
      <c r="J56" s="27">
        <f t="shared" si="23"/>
        <v>44</v>
      </c>
      <c r="K56" s="361">
        <f t="shared" si="28"/>
        <v>0</v>
      </c>
      <c r="L56" s="294">
        <f t="shared" si="24"/>
        <v>0</v>
      </c>
      <c r="M56" s="299">
        <f t="shared" si="24"/>
        <v>0</v>
      </c>
      <c r="N56" s="276">
        <f t="shared" si="25"/>
        <v>1298000</v>
      </c>
      <c r="P56" s="282">
        <f t="shared" si="26"/>
        <v>0</v>
      </c>
      <c r="R56" s="4">
        <f t="shared" si="27"/>
        <v>1298000</v>
      </c>
      <c r="S56" s="4">
        <f>(C56+D56+E56+F56+I56+H56+G56)*13434</f>
        <v>591096</v>
      </c>
    </row>
    <row r="57" spans="1:19">
      <c r="A57" s="51" t="s">
        <v>77</v>
      </c>
      <c r="B57" s="375" t="s">
        <v>78</v>
      </c>
      <c r="C57" s="233">
        <v>19</v>
      </c>
      <c r="D57" s="235"/>
      <c r="E57" s="234"/>
      <c r="F57" s="230">
        <v>140</v>
      </c>
      <c r="G57" s="334"/>
      <c r="H57" s="333"/>
      <c r="I57" s="334"/>
      <c r="J57" s="27">
        <f t="shared" si="23"/>
        <v>159</v>
      </c>
      <c r="K57" s="361">
        <f t="shared" si="28"/>
        <v>659300</v>
      </c>
      <c r="L57" s="294">
        <f t="shared" si="24"/>
        <v>0</v>
      </c>
      <c r="M57" s="299">
        <f t="shared" si="24"/>
        <v>0</v>
      </c>
      <c r="N57" s="276">
        <f t="shared" si="25"/>
        <v>4130000</v>
      </c>
      <c r="P57" s="282">
        <f t="shared" si="26"/>
        <v>0</v>
      </c>
      <c r="R57" s="4">
        <f t="shared" si="27"/>
        <v>4789300</v>
      </c>
      <c r="S57" s="4">
        <f>(C57+D57+E57+F57+I57+H57+G57)*13975</f>
        <v>2222025</v>
      </c>
    </row>
    <row r="58" spans="1:19">
      <c r="A58" s="51" t="s">
        <v>79</v>
      </c>
      <c r="B58" s="375" t="s">
        <v>367</v>
      </c>
      <c r="C58" s="237">
        <v>4</v>
      </c>
      <c r="D58" s="235"/>
      <c r="E58" s="234"/>
      <c r="F58" s="230">
        <v>16</v>
      </c>
      <c r="G58" s="334"/>
      <c r="H58" s="333"/>
      <c r="I58" s="334"/>
      <c r="J58" s="27">
        <f t="shared" si="23"/>
        <v>20</v>
      </c>
      <c r="K58" s="361">
        <f t="shared" si="28"/>
        <v>138800</v>
      </c>
      <c r="L58" s="294">
        <f t="shared" si="24"/>
        <v>0</v>
      </c>
      <c r="M58" s="299">
        <f t="shared" si="24"/>
        <v>0</v>
      </c>
      <c r="N58" s="276">
        <f t="shared" si="25"/>
        <v>472000</v>
      </c>
      <c r="P58" s="282">
        <f t="shared" si="26"/>
        <v>0</v>
      </c>
      <c r="R58" s="4">
        <f t="shared" si="27"/>
        <v>610800</v>
      </c>
      <c r="S58" s="4">
        <f>(C58+D58+E58+F58+I58+H58+G58)*13434</f>
        <v>268680</v>
      </c>
    </row>
    <row r="59" spans="1:19">
      <c r="A59" s="51" t="s">
        <v>80</v>
      </c>
      <c r="B59" s="375" t="s">
        <v>81</v>
      </c>
      <c r="C59" s="233"/>
      <c r="D59" s="235"/>
      <c r="E59" s="234"/>
      <c r="F59" s="230"/>
      <c r="G59" s="334"/>
      <c r="H59" s="333"/>
      <c r="I59" s="334"/>
      <c r="J59" s="27">
        <f t="shared" si="23"/>
        <v>0</v>
      </c>
      <c r="K59" s="361">
        <f t="shared" si="28"/>
        <v>0</v>
      </c>
      <c r="L59" s="294">
        <f t="shared" si="24"/>
        <v>0</v>
      </c>
      <c r="M59" s="299">
        <f t="shared" si="24"/>
        <v>0</v>
      </c>
      <c r="N59" s="276">
        <f t="shared" si="25"/>
        <v>0</v>
      </c>
      <c r="P59" s="282">
        <f t="shared" si="26"/>
        <v>0</v>
      </c>
      <c r="R59" s="4">
        <f t="shared" si="27"/>
        <v>0</v>
      </c>
      <c r="S59" s="4">
        <f t="shared" si="29"/>
        <v>0</v>
      </c>
    </row>
    <row r="60" spans="1:19">
      <c r="A60" s="51"/>
      <c r="B60" s="29"/>
      <c r="C60" s="35"/>
      <c r="D60" s="32"/>
      <c r="E60" s="33"/>
      <c r="F60" s="191"/>
      <c r="G60" s="53"/>
      <c r="H60" s="52"/>
      <c r="I60" s="53"/>
      <c r="J60" s="27">
        <f t="shared" si="23"/>
        <v>0</v>
      </c>
      <c r="K60" s="291"/>
      <c r="L60" s="294"/>
      <c r="M60" s="299"/>
      <c r="N60" s="282"/>
      <c r="P60" s="210"/>
    </row>
    <row r="61" spans="1:19" s="24" customFormat="1">
      <c r="A61" s="455" t="s">
        <v>82</v>
      </c>
      <c r="B61" s="449"/>
      <c r="C61" s="450">
        <f>SUM(C48:C60)</f>
        <v>75</v>
      </c>
      <c r="D61" s="450">
        <f>SUM(D48:D60)</f>
        <v>0</v>
      </c>
      <c r="E61" s="450">
        <f>SUM(E48:E60)</f>
        <v>84</v>
      </c>
      <c r="F61" s="453">
        <f>SUM(F48:F60)</f>
        <v>602</v>
      </c>
      <c r="G61" s="453"/>
      <c r="H61" s="453">
        <f>SUM(H48:H60)</f>
        <v>0</v>
      </c>
      <c r="I61" s="453">
        <f t="shared" ref="I61:J61" si="30">SUM(I48:I60)</f>
        <v>0</v>
      </c>
      <c r="J61" s="442">
        <f t="shared" si="30"/>
        <v>762</v>
      </c>
      <c r="K61" s="443">
        <f>SUM(K48:K60)</f>
        <v>2632500</v>
      </c>
      <c r="L61" s="456">
        <f t="shared" ref="L61:Q61" si="31">SUM(L48:L60)</f>
        <v>0</v>
      </c>
      <c r="M61" s="445">
        <f t="shared" si="31"/>
        <v>2133600</v>
      </c>
      <c r="N61" s="446">
        <f t="shared" si="31"/>
        <v>17759000</v>
      </c>
      <c r="O61" s="446">
        <f t="shared" si="31"/>
        <v>27760</v>
      </c>
      <c r="P61" s="446">
        <f t="shared" si="31"/>
        <v>0</v>
      </c>
      <c r="Q61" s="446">
        <f t="shared" si="31"/>
        <v>0</v>
      </c>
      <c r="R61" s="447">
        <f>SUM(R48:R60)</f>
        <v>22552860</v>
      </c>
      <c r="S61" s="448">
        <f>SUM(S48:S60)</f>
        <v>10681286</v>
      </c>
    </row>
    <row r="62" spans="1:19">
      <c r="A62" s="54"/>
      <c r="C62" s="14" t="s">
        <v>2</v>
      </c>
      <c r="D62" s="55" t="s">
        <v>3</v>
      </c>
      <c r="E62" s="15" t="s">
        <v>4</v>
      </c>
      <c r="H62" s="416"/>
      <c r="J62" s="56"/>
      <c r="K62" s="181"/>
      <c r="P62" s="210"/>
    </row>
    <row r="63" spans="1:19">
      <c r="A63" s="54"/>
      <c r="C63" s="14"/>
      <c r="D63" s="388" t="s">
        <v>83</v>
      </c>
      <c r="E63" s="15" t="s">
        <v>84</v>
      </c>
      <c r="F63" s="57" t="s">
        <v>5</v>
      </c>
      <c r="G63" s="57"/>
      <c r="H63" s="200"/>
      <c r="I63" s="57"/>
      <c r="J63" s="58" t="s">
        <v>6</v>
      </c>
      <c r="P63" s="210"/>
    </row>
    <row r="64" spans="1:19">
      <c r="C64" s="18"/>
      <c r="D64" s="388" t="s">
        <v>85</v>
      </c>
      <c r="E64" s="15" t="s">
        <v>86</v>
      </c>
      <c r="F64" s="20"/>
      <c r="G64" s="45"/>
      <c r="H64" s="20"/>
      <c r="I64" s="20"/>
      <c r="J64" s="59"/>
      <c r="P64" s="210"/>
    </row>
    <row r="65" spans="1:19" ht="24">
      <c r="C65" s="18" t="s">
        <v>87</v>
      </c>
      <c r="D65" s="55" t="s">
        <v>88</v>
      </c>
      <c r="E65" s="15" t="s">
        <v>788</v>
      </c>
      <c r="F65" s="20" t="s">
        <v>14</v>
      </c>
      <c r="G65" s="26" t="s">
        <v>15</v>
      </c>
      <c r="H65" s="193"/>
      <c r="I65" s="22"/>
      <c r="J65" s="60"/>
      <c r="P65" s="210"/>
    </row>
    <row r="66" spans="1:19" ht="30" customHeight="1">
      <c r="C66" s="18"/>
      <c r="D66" s="55" t="s">
        <v>90</v>
      </c>
      <c r="E66" s="15" t="s">
        <v>91</v>
      </c>
      <c r="F66" s="61"/>
      <c r="G66" s="22"/>
      <c r="H66" s="193"/>
      <c r="I66" s="22"/>
      <c r="J66" s="60"/>
      <c r="P66" s="210"/>
    </row>
    <row r="67" spans="1:19">
      <c r="A67" s="24" t="s">
        <v>92</v>
      </c>
      <c r="C67" s="25"/>
      <c r="D67" s="55"/>
      <c r="E67" s="15"/>
      <c r="F67" s="62"/>
      <c r="G67" s="63"/>
      <c r="H67" s="201"/>
      <c r="I67" s="63" t="s">
        <v>412</v>
      </c>
      <c r="J67" s="27"/>
      <c r="K67" s="219" t="s">
        <v>2</v>
      </c>
      <c r="L67" s="664" t="s">
        <v>734</v>
      </c>
      <c r="M67" s="664"/>
      <c r="N67" s="348" t="s">
        <v>16</v>
      </c>
      <c r="O67" s="348" t="s">
        <v>557</v>
      </c>
      <c r="P67" s="348" t="s">
        <v>464</v>
      </c>
      <c r="Q67" s="220"/>
      <c r="R67" s="220" t="s">
        <v>18</v>
      </c>
      <c r="S67" s="220" t="s">
        <v>506</v>
      </c>
    </row>
    <row r="68" spans="1:19" s="3" customFormat="1">
      <c r="A68" s="115" t="s">
        <v>93</v>
      </c>
      <c r="B68" s="375" t="s">
        <v>94</v>
      </c>
      <c r="C68" s="233">
        <v>153</v>
      </c>
      <c r="D68" s="235"/>
      <c r="E68" s="234">
        <v>15</v>
      </c>
      <c r="F68" s="322"/>
      <c r="G68" s="322"/>
      <c r="H68" s="236"/>
      <c r="I68" s="322"/>
      <c r="J68" s="35">
        <f t="shared" ref="J68:J84" si="32">SUM(C68:I68)</f>
        <v>168</v>
      </c>
      <c r="K68" s="362">
        <f>C68*25200</f>
        <v>3855600</v>
      </c>
      <c r="L68" s="294">
        <f>D68*21000</f>
        <v>0</v>
      </c>
      <c r="M68" s="299">
        <f>E68*21000</f>
        <v>315000</v>
      </c>
      <c r="N68" s="282"/>
      <c r="O68" s="282"/>
      <c r="P68" s="282"/>
      <c r="Q68" s="5"/>
      <c r="R68" s="4">
        <f>SUM(K68:Q68)</f>
        <v>4170600</v>
      </c>
      <c r="S68" s="4">
        <f>(C68+D68+E68+F68+I68+G68+H68)*7032</f>
        <v>1181376</v>
      </c>
    </row>
    <row r="69" spans="1:19" s="3" customFormat="1">
      <c r="A69" s="115" t="s">
        <v>95</v>
      </c>
      <c r="B69" s="375" t="s">
        <v>346</v>
      </c>
      <c r="C69" s="237"/>
      <c r="D69" s="235"/>
      <c r="E69" s="234">
        <v>6</v>
      </c>
      <c r="F69" s="322"/>
      <c r="G69" s="322"/>
      <c r="H69" s="236"/>
      <c r="I69" s="322"/>
      <c r="J69" s="35">
        <f t="shared" si="32"/>
        <v>6</v>
      </c>
      <c r="K69" s="362">
        <f>C69*47000</f>
        <v>0</v>
      </c>
      <c r="L69" s="294">
        <f>D69*39600</f>
        <v>0</v>
      </c>
      <c r="M69" s="299">
        <f>E69*39600</f>
        <v>237600</v>
      </c>
      <c r="N69" s="282"/>
      <c r="O69" s="282"/>
      <c r="P69" s="282"/>
      <c r="Q69" s="5"/>
      <c r="R69" s="4">
        <f t="shared" ref="R69:R84" si="33">SUM(K69:Q69)</f>
        <v>237600</v>
      </c>
      <c r="S69" s="4">
        <f>(C69+D69+E69+F69+I69+G69+H69)*11631</f>
        <v>69786</v>
      </c>
    </row>
    <row r="70" spans="1:19" s="3" customFormat="1">
      <c r="A70" s="115" t="s">
        <v>96</v>
      </c>
      <c r="B70" s="375" t="s">
        <v>97</v>
      </c>
      <c r="C70" s="233">
        <v>121</v>
      </c>
      <c r="D70" s="235"/>
      <c r="E70" s="234">
        <v>15</v>
      </c>
      <c r="F70" s="322"/>
      <c r="G70" s="322"/>
      <c r="H70" s="236"/>
      <c r="I70" s="322"/>
      <c r="J70" s="35">
        <f t="shared" si="32"/>
        <v>136</v>
      </c>
      <c r="K70" s="362">
        <f>C70*29400</f>
        <v>3557400</v>
      </c>
      <c r="L70" s="294">
        <f>D70*25000</f>
        <v>0</v>
      </c>
      <c r="M70" s="299">
        <f>E70*25000</f>
        <v>375000</v>
      </c>
      <c r="N70" s="282"/>
      <c r="O70" s="282"/>
      <c r="P70" s="282"/>
      <c r="Q70" s="5"/>
      <c r="R70" s="4">
        <f t="shared" si="33"/>
        <v>3932400</v>
      </c>
      <c r="S70" s="4">
        <f>(C70+D70+E70+F70+I70+G70+H70)*8565</f>
        <v>1164840</v>
      </c>
    </row>
    <row r="71" spans="1:19" s="3" customFormat="1">
      <c r="A71" s="115" t="s">
        <v>98</v>
      </c>
      <c r="B71" s="375" t="s">
        <v>346</v>
      </c>
      <c r="C71" s="233"/>
      <c r="D71" s="235"/>
      <c r="E71" s="234">
        <v>3</v>
      </c>
      <c r="F71" s="322"/>
      <c r="G71" s="322"/>
      <c r="H71" s="236"/>
      <c r="I71" s="322"/>
      <c r="J71" s="35">
        <f t="shared" si="32"/>
        <v>3</v>
      </c>
      <c r="K71" s="362">
        <f>C71*47000</f>
        <v>0</v>
      </c>
      <c r="L71" s="294">
        <f>D71*39600</f>
        <v>0</v>
      </c>
      <c r="M71" s="299">
        <f>E71*39600</f>
        <v>118800</v>
      </c>
      <c r="N71" s="282"/>
      <c r="O71" s="282"/>
      <c r="P71" s="282"/>
      <c r="Q71" s="5"/>
      <c r="R71" s="4">
        <f t="shared" si="33"/>
        <v>118800</v>
      </c>
      <c r="S71" s="4">
        <f>(C71+D71+E71+F71+I71+G71+H71)*13073</f>
        <v>39219</v>
      </c>
    </row>
    <row r="72" spans="1:19" s="3" customFormat="1">
      <c r="A72" s="115" t="s">
        <v>99</v>
      </c>
      <c r="B72" s="375" t="s">
        <v>100</v>
      </c>
      <c r="C72" s="233">
        <v>33</v>
      </c>
      <c r="D72" s="235"/>
      <c r="E72" s="234">
        <v>3</v>
      </c>
      <c r="F72" s="322"/>
      <c r="G72" s="322"/>
      <c r="H72" s="236"/>
      <c r="I72" s="322"/>
      <c r="J72" s="35">
        <f t="shared" si="32"/>
        <v>36</v>
      </c>
      <c r="K72" s="362">
        <f>C72*25200</f>
        <v>831600</v>
      </c>
      <c r="L72" s="294">
        <f>D72*21000</f>
        <v>0</v>
      </c>
      <c r="M72" s="299">
        <f>E72*21000</f>
        <v>63000</v>
      </c>
      <c r="N72" s="282"/>
      <c r="O72" s="282"/>
      <c r="P72" s="282"/>
      <c r="Q72" s="5"/>
      <c r="R72" s="4">
        <f t="shared" si="33"/>
        <v>894600</v>
      </c>
      <c r="S72" s="4">
        <f>(C72+D72+E72+F72+I72+G72+H72)*7032</f>
        <v>253152</v>
      </c>
    </row>
    <row r="73" spans="1:19" s="3" customFormat="1">
      <c r="A73" s="115" t="s">
        <v>101</v>
      </c>
      <c r="B73" s="375" t="s">
        <v>102</v>
      </c>
      <c r="C73" s="233">
        <v>32</v>
      </c>
      <c r="D73" s="235"/>
      <c r="E73" s="234">
        <v>5</v>
      </c>
      <c r="F73" s="322"/>
      <c r="G73" s="322"/>
      <c r="H73" s="236"/>
      <c r="I73" s="322"/>
      <c r="J73" s="35">
        <f t="shared" si="32"/>
        <v>37</v>
      </c>
      <c r="K73" s="362">
        <f>C73*29400</f>
        <v>940800</v>
      </c>
      <c r="L73" s="294">
        <f>D73*25000</f>
        <v>0</v>
      </c>
      <c r="M73" s="299">
        <f>E73*25000</f>
        <v>125000</v>
      </c>
      <c r="N73" s="282"/>
      <c r="O73" s="282"/>
      <c r="P73" s="282"/>
      <c r="Q73" s="5"/>
      <c r="R73" s="4">
        <f t="shared" si="33"/>
        <v>1065800</v>
      </c>
      <c r="S73" s="4">
        <f>(C73+D73+E73+F73+I73+G73+H73)*8565</f>
        <v>316905</v>
      </c>
    </row>
    <row r="74" spans="1:19" s="3" customFormat="1">
      <c r="A74" s="115" t="s">
        <v>103</v>
      </c>
      <c r="B74" s="375" t="s">
        <v>346</v>
      </c>
      <c r="C74" s="237"/>
      <c r="D74" s="235"/>
      <c r="E74" s="234">
        <v>2</v>
      </c>
      <c r="F74" s="322"/>
      <c r="G74" s="322"/>
      <c r="H74" s="236"/>
      <c r="I74" s="322"/>
      <c r="J74" s="35">
        <f t="shared" si="32"/>
        <v>2</v>
      </c>
      <c r="K74" s="362">
        <f>C74*47000</f>
        <v>0</v>
      </c>
      <c r="L74" s="294">
        <f>D74*39600</f>
        <v>0</v>
      </c>
      <c r="M74" s="299">
        <f>E74*39600</f>
        <v>79200</v>
      </c>
      <c r="N74" s="282"/>
      <c r="O74" s="282"/>
      <c r="P74" s="282"/>
      <c r="Q74" s="5"/>
      <c r="R74" s="4">
        <f t="shared" si="33"/>
        <v>79200</v>
      </c>
      <c r="S74" s="4">
        <f>(C74+D74+E74+F74+I74+G74+H74)*13073</f>
        <v>26146</v>
      </c>
    </row>
    <row r="75" spans="1:19" s="3" customFormat="1">
      <c r="A75" s="115" t="s">
        <v>104</v>
      </c>
      <c r="B75" s="375" t="s">
        <v>105</v>
      </c>
      <c r="C75" s="237">
        <v>4</v>
      </c>
      <c r="D75" s="235"/>
      <c r="E75" s="234">
        <v>2</v>
      </c>
      <c r="F75" s="322"/>
      <c r="G75" s="322"/>
      <c r="H75" s="236"/>
      <c r="I75" s="322"/>
      <c r="J75" s="35">
        <f t="shared" si="32"/>
        <v>6</v>
      </c>
      <c r="K75" s="362">
        <f>C75*29400</f>
        <v>117600</v>
      </c>
      <c r="L75" s="294">
        <f>D75*25000</f>
        <v>0</v>
      </c>
      <c r="M75" s="299">
        <f>E75*25000</f>
        <v>50000</v>
      </c>
      <c r="N75" s="282"/>
      <c r="O75" s="282"/>
      <c r="P75" s="282"/>
      <c r="Q75" s="5"/>
      <c r="R75" s="4">
        <f t="shared" si="33"/>
        <v>167600</v>
      </c>
      <c r="S75" s="4">
        <f>(C75+D75+E75+F75+I75+G75+H75)*8926</f>
        <v>53556</v>
      </c>
    </row>
    <row r="76" spans="1:19" s="3" customFormat="1">
      <c r="A76" s="115" t="s">
        <v>106</v>
      </c>
      <c r="B76" s="375" t="s">
        <v>107</v>
      </c>
      <c r="C76" s="233"/>
      <c r="D76" s="235"/>
      <c r="E76" s="234"/>
      <c r="F76" s="322"/>
      <c r="G76" s="322"/>
      <c r="H76" s="236"/>
      <c r="I76" s="322"/>
      <c r="J76" s="35">
        <f t="shared" si="32"/>
        <v>0</v>
      </c>
      <c r="K76" s="362">
        <f>C76*25200</f>
        <v>0</v>
      </c>
      <c r="L76" s="294">
        <f>D76*21000</f>
        <v>0</v>
      </c>
      <c r="M76" s="299">
        <f>E76*21000</f>
        <v>0</v>
      </c>
      <c r="N76" s="282"/>
      <c r="O76" s="282"/>
      <c r="P76" s="282"/>
      <c r="Q76" s="5"/>
      <c r="R76" s="4">
        <f t="shared" si="33"/>
        <v>0</v>
      </c>
      <c r="S76" s="4">
        <f>(C76+D76+E76+F76+I76+G76+H76)*7032</f>
        <v>0</v>
      </c>
    </row>
    <row r="77" spans="1:19" s="3" customFormat="1">
      <c r="A77" s="115" t="s">
        <v>108</v>
      </c>
      <c r="B77" s="375" t="s">
        <v>761</v>
      </c>
      <c r="C77" s="233">
        <v>36</v>
      </c>
      <c r="D77" s="235"/>
      <c r="E77" s="234">
        <v>1</v>
      </c>
      <c r="F77" s="322"/>
      <c r="G77" s="322"/>
      <c r="H77" s="236"/>
      <c r="I77" s="322"/>
      <c r="J77" s="35">
        <f t="shared" si="32"/>
        <v>37</v>
      </c>
      <c r="K77" s="288">
        <f>C77*47000</f>
        <v>1692000</v>
      </c>
      <c r="L77" s="294">
        <f>D77*39600</f>
        <v>0</v>
      </c>
      <c r="M77" s="299">
        <f>E77*39600</f>
        <v>39600</v>
      </c>
      <c r="N77" s="282"/>
      <c r="O77" s="282"/>
      <c r="P77" s="282"/>
      <c r="Q77" s="5"/>
      <c r="R77" s="4">
        <f t="shared" si="33"/>
        <v>1731600</v>
      </c>
      <c r="S77" s="4">
        <f>(C77+D77+E77+F77+I77+G77+H77)*11631</f>
        <v>430347</v>
      </c>
    </row>
    <row r="78" spans="1:19" s="3" customFormat="1">
      <c r="A78" s="115" t="s">
        <v>109</v>
      </c>
      <c r="B78" s="375" t="s">
        <v>110</v>
      </c>
      <c r="C78" s="233">
        <v>13</v>
      </c>
      <c r="D78" s="235"/>
      <c r="E78" s="234">
        <v>4</v>
      </c>
      <c r="F78" s="322"/>
      <c r="G78" s="322"/>
      <c r="H78" s="236"/>
      <c r="I78" s="322"/>
      <c r="J78" s="35">
        <f t="shared" si="32"/>
        <v>17</v>
      </c>
      <c r="K78" s="362">
        <f>C78*29400</f>
        <v>382200</v>
      </c>
      <c r="L78" s="294">
        <f>D78*25000</f>
        <v>0</v>
      </c>
      <c r="M78" s="299">
        <f>E78*25000</f>
        <v>100000</v>
      </c>
      <c r="N78" s="282"/>
      <c r="O78" s="282"/>
      <c r="P78" s="282"/>
      <c r="Q78" s="5"/>
      <c r="R78" s="4">
        <f t="shared" si="33"/>
        <v>482200</v>
      </c>
      <c r="S78" s="4">
        <f>(C78+D78+E78+F78+I78+G78+H78)*8926</f>
        <v>151742</v>
      </c>
    </row>
    <row r="79" spans="1:19" s="3" customFormat="1">
      <c r="A79" s="115" t="s">
        <v>111</v>
      </c>
      <c r="B79" s="375" t="s">
        <v>110</v>
      </c>
      <c r="C79" s="233">
        <v>19</v>
      </c>
      <c r="D79" s="235"/>
      <c r="E79" s="234">
        <v>3</v>
      </c>
      <c r="F79" s="322"/>
      <c r="G79" s="322"/>
      <c r="H79" s="236"/>
      <c r="I79" s="322"/>
      <c r="J79" s="35">
        <f t="shared" si="32"/>
        <v>22</v>
      </c>
      <c r="K79" s="362">
        <f t="shared" ref="K79:K80" si="34">C79*29400</f>
        <v>558600</v>
      </c>
      <c r="L79" s="294">
        <f t="shared" ref="L79:M80" si="35">D79*25000</f>
        <v>0</v>
      </c>
      <c r="M79" s="299">
        <f t="shared" si="35"/>
        <v>75000</v>
      </c>
      <c r="N79" s="282"/>
      <c r="O79" s="282"/>
      <c r="P79" s="282"/>
      <c r="Q79" s="5"/>
      <c r="R79" s="4">
        <f t="shared" si="33"/>
        <v>633600</v>
      </c>
      <c r="S79" s="4">
        <f t="shared" ref="S79:S80" si="36">(C79+D79+E79+F79+I79+G79+H79)*8926</f>
        <v>196372</v>
      </c>
    </row>
    <row r="80" spans="1:19" s="3" customFormat="1">
      <c r="A80" s="65" t="s">
        <v>112</v>
      </c>
      <c r="B80" s="379" t="s">
        <v>110</v>
      </c>
      <c r="C80" s="311">
        <v>8</v>
      </c>
      <c r="D80" s="335"/>
      <c r="E80" s="336">
        <v>1</v>
      </c>
      <c r="F80" s="337"/>
      <c r="G80" s="337"/>
      <c r="H80" s="338"/>
      <c r="I80" s="337"/>
      <c r="J80" s="35">
        <f t="shared" si="32"/>
        <v>9</v>
      </c>
      <c r="K80" s="362">
        <f t="shared" si="34"/>
        <v>235200</v>
      </c>
      <c r="L80" s="294">
        <f t="shared" si="35"/>
        <v>0</v>
      </c>
      <c r="M80" s="299">
        <f t="shared" si="35"/>
        <v>25000</v>
      </c>
      <c r="N80" s="282"/>
      <c r="O80" s="282"/>
      <c r="P80" s="282"/>
      <c r="Q80" s="5"/>
      <c r="R80" s="4">
        <f t="shared" si="33"/>
        <v>260200</v>
      </c>
      <c r="S80" s="4">
        <f t="shared" si="36"/>
        <v>80334</v>
      </c>
    </row>
    <row r="81" spans="1:19" s="3" customFormat="1">
      <c r="A81" s="115" t="s">
        <v>113</v>
      </c>
      <c r="B81" s="375" t="s">
        <v>474</v>
      </c>
      <c r="C81" s="233">
        <v>13</v>
      </c>
      <c r="D81" s="235"/>
      <c r="E81" s="234">
        <v>1</v>
      </c>
      <c r="F81" s="215">
        <v>1</v>
      </c>
      <c r="G81" s="322"/>
      <c r="H81" s="236"/>
      <c r="I81" s="322"/>
      <c r="J81" s="35">
        <f t="shared" si="32"/>
        <v>15</v>
      </c>
      <c r="K81" s="362">
        <f>C81*47000</f>
        <v>611000</v>
      </c>
      <c r="L81" s="294">
        <f>D81*35200</f>
        <v>0</v>
      </c>
      <c r="M81" s="299">
        <f>E81*35200</f>
        <v>35200</v>
      </c>
      <c r="N81" s="282"/>
      <c r="O81" s="282">
        <f>F81*37600</f>
        <v>37600</v>
      </c>
      <c r="P81" s="282"/>
      <c r="Q81" s="5"/>
      <c r="R81" s="4">
        <f t="shared" si="33"/>
        <v>683800</v>
      </c>
      <c r="S81" s="4">
        <f>(C81+D81+E81+F81+I81+G81+H81)*18934</f>
        <v>284010</v>
      </c>
    </row>
    <row r="82" spans="1:19" s="3" customFormat="1">
      <c r="A82" s="115" t="s">
        <v>114</v>
      </c>
      <c r="B82" s="380" t="s">
        <v>753</v>
      </c>
      <c r="C82" s="233">
        <v>14</v>
      </c>
      <c r="D82" s="235"/>
      <c r="E82" s="234"/>
      <c r="F82" s="230"/>
      <c r="G82" s="322"/>
      <c r="H82" s="236"/>
      <c r="I82" s="230"/>
      <c r="J82" s="35">
        <f t="shared" si="32"/>
        <v>14</v>
      </c>
      <c r="K82" s="288">
        <f>C82*16800</f>
        <v>235200</v>
      </c>
      <c r="L82" s="294">
        <f>D82*12100</f>
        <v>0</v>
      </c>
      <c r="M82" s="299">
        <f>E82*12100</f>
        <v>0</v>
      </c>
      <c r="N82" s="282"/>
      <c r="O82" s="282">
        <f>F82*9000</f>
        <v>0</v>
      </c>
      <c r="P82" s="282"/>
      <c r="Q82" s="5"/>
      <c r="R82" s="4">
        <f t="shared" si="33"/>
        <v>235200</v>
      </c>
      <c r="S82" s="4">
        <f>(C82+D82+E82+F82+I82+G82+H82)*5319</f>
        <v>74466</v>
      </c>
    </row>
    <row r="83" spans="1:19">
      <c r="A83" s="115" t="s">
        <v>116</v>
      </c>
      <c r="B83" s="380" t="s">
        <v>115</v>
      </c>
      <c r="C83" s="237">
        <v>2</v>
      </c>
      <c r="D83" s="235"/>
      <c r="E83" s="234"/>
      <c r="F83" s="230"/>
      <c r="G83" s="322"/>
      <c r="H83" s="236"/>
      <c r="I83" s="230"/>
      <c r="J83" s="35">
        <f t="shared" si="32"/>
        <v>2</v>
      </c>
      <c r="K83" s="288">
        <f t="shared" ref="K83:K84" si="37">C83*16800</f>
        <v>33600</v>
      </c>
      <c r="L83" s="294">
        <f t="shared" ref="L83:M84" si="38">D83*12100</f>
        <v>0</v>
      </c>
      <c r="M83" s="299">
        <f t="shared" si="38"/>
        <v>0</v>
      </c>
      <c r="N83" s="282"/>
      <c r="O83" s="282">
        <f>F83*9000</f>
        <v>0</v>
      </c>
      <c r="P83" s="282"/>
      <c r="R83" s="4">
        <f t="shared" si="33"/>
        <v>33600</v>
      </c>
      <c r="S83" s="4">
        <f t="shared" ref="S83:S84" si="39">(C83+D83+E83+F83+I83+G83+H83)*5319</f>
        <v>10638</v>
      </c>
    </row>
    <row r="84" spans="1:19">
      <c r="A84" s="115" t="s">
        <v>117</v>
      </c>
      <c r="B84" s="380" t="s">
        <v>115</v>
      </c>
      <c r="C84" s="233">
        <v>14</v>
      </c>
      <c r="D84" s="235"/>
      <c r="E84" s="234"/>
      <c r="F84" s="230"/>
      <c r="G84" s="322"/>
      <c r="H84" s="236"/>
      <c r="I84" s="230"/>
      <c r="J84" s="35">
        <f t="shared" si="32"/>
        <v>14</v>
      </c>
      <c r="K84" s="288">
        <f t="shared" si="37"/>
        <v>235200</v>
      </c>
      <c r="L84" s="294">
        <f t="shared" si="38"/>
        <v>0</v>
      </c>
      <c r="M84" s="299">
        <f t="shared" si="38"/>
        <v>0</v>
      </c>
      <c r="N84" s="282"/>
      <c r="O84" s="282">
        <f>F84*9000</f>
        <v>0</v>
      </c>
      <c r="P84" s="282"/>
      <c r="R84" s="4">
        <f t="shared" si="33"/>
        <v>235200</v>
      </c>
      <c r="S84" s="4">
        <f t="shared" si="39"/>
        <v>74466</v>
      </c>
    </row>
    <row r="85" spans="1:19" s="24" customFormat="1">
      <c r="A85" s="68"/>
      <c r="B85" s="69"/>
      <c r="C85" s="70" t="s">
        <v>2</v>
      </c>
      <c r="D85" s="9" t="s">
        <v>3</v>
      </c>
      <c r="E85" s="10" t="s">
        <v>4</v>
      </c>
      <c r="F85" s="12" t="s">
        <v>5</v>
      </c>
      <c r="G85" s="12"/>
      <c r="H85" s="681" t="s">
        <v>118</v>
      </c>
      <c r="I85" s="681"/>
      <c r="J85" s="13" t="s">
        <v>6</v>
      </c>
      <c r="K85" s="443">
        <f t="shared" ref="K85:S85" si="40">SUM(K68:K84)</f>
        <v>13286000</v>
      </c>
      <c r="L85" s="456">
        <f t="shared" si="40"/>
        <v>0</v>
      </c>
      <c r="M85" s="445">
        <f t="shared" si="40"/>
        <v>1638400</v>
      </c>
      <c r="N85" s="446">
        <f t="shared" si="40"/>
        <v>0</v>
      </c>
      <c r="O85" s="446">
        <f t="shared" si="40"/>
        <v>37600</v>
      </c>
      <c r="P85" s="446">
        <f t="shared" si="40"/>
        <v>0</v>
      </c>
      <c r="Q85" s="443">
        <f t="shared" si="40"/>
        <v>0</v>
      </c>
      <c r="R85" s="447">
        <f t="shared" si="40"/>
        <v>14962000</v>
      </c>
      <c r="S85" s="448">
        <f t="shared" si="40"/>
        <v>4407355</v>
      </c>
    </row>
    <row r="86" spans="1:19">
      <c r="C86" s="14"/>
      <c r="D86" s="388" t="s">
        <v>119</v>
      </c>
      <c r="E86" s="15" t="s">
        <v>120</v>
      </c>
      <c r="F86" s="45" t="s">
        <v>121</v>
      </c>
      <c r="G86" s="7" t="s">
        <v>400</v>
      </c>
      <c r="H86" s="20"/>
      <c r="I86" s="157"/>
      <c r="J86" s="17"/>
      <c r="L86" s="294"/>
      <c r="M86" s="299"/>
      <c r="P86" s="210"/>
    </row>
    <row r="87" spans="1:19">
      <c r="A87" s="24" t="s">
        <v>122</v>
      </c>
      <c r="C87" s="18"/>
      <c r="D87" s="389" t="s">
        <v>123</v>
      </c>
      <c r="E87" s="19" t="s">
        <v>124</v>
      </c>
      <c r="F87" s="71" t="s">
        <v>125</v>
      </c>
      <c r="G87" s="71" t="s">
        <v>401</v>
      </c>
      <c r="H87" s="203"/>
      <c r="I87" s="71"/>
      <c r="J87" s="72"/>
      <c r="K87" s="219" t="s">
        <v>2</v>
      </c>
      <c r="L87" s="664" t="s">
        <v>734</v>
      </c>
      <c r="M87" s="664"/>
      <c r="N87" s="348" t="s">
        <v>16</v>
      </c>
      <c r="O87" s="348" t="s">
        <v>557</v>
      </c>
      <c r="P87" s="348" t="s">
        <v>464</v>
      </c>
      <c r="Q87" s="420" t="s">
        <v>412</v>
      </c>
      <c r="R87" s="220" t="s">
        <v>18</v>
      </c>
      <c r="S87" s="221" t="s">
        <v>19</v>
      </c>
    </row>
    <row r="88" spans="1:19">
      <c r="A88" s="79" t="s">
        <v>126</v>
      </c>
      <c r="B88" s="375" t="s">
        <v>127</v>
      </c>
      <c r="C88" s="233">
        <v>117</v>
      </c>
      <c r="D88" s="538"/>
      <c r="E88" s="234">
        <v>6</v>
      </c>
      <c r="F88" s="230"/>
      <c r="G88" s="322"/>
      <c r="H88" s="230"/>
      <c r="I88" s="230"/>
      <c r="J88" s="35">
        <f>SUM(C88:I88)</f>
        <v>123</v>
      </c>
      <c r="K88" s="362">
        <f>C88*18900</f>
        <v>2211300</v>
      </c>
      <c r="L88" s="294">
        <f>D88*15400</f>
        <v>0</v>
      </c>
      <c r="M88" s="299">
        <f>E88*15400</f>
        <v>92400</v>
      </c>
      <c r="N88" s="282"/>
      <c r="O88" s="282"/>
      <c r="P88" s="286">
        <f>H88*18000</f>
        <v>0</v>
      </c>
      <c r="Q88" s="159"/>
      <c r="R88" s="4">
        <f>SUM(K88:Q88)</f>
        <v>2303700</v>
      </c>
      <c r="S88" s="4">
        <f>J88*7734</f>
        <v>951282</v>
      </c>
    </row>
    <row r="89" spans="1:19">
      <c r="A89" s="79" t="s">
        <v>128</v>
      </c>
      <c r="B89" s="375" t="s">
        <v>127</v>
      </c>
      <c r="C89" s="233">
        <v>143</v>
      </c>
      <c r="D89" s="235"/>
      <c r="E89" s="234">
        <v>19</v>
      </c>
      <c r="F89" s="230"/>
      <c r="G89" s="322"/>
      <c r="H89" s="230"/>
      <c r="I89" s="230"/>
      <c r="J89" s="35">
        <f t="shared" ref="J89:J99" si="41">SUM(C89:I89)</f>
        <v>162</v>
      </c>
      <c r="K89" s="362">
        <f t="shared" ref="K89:K93" si="42">C89*18900</f>
        <v>2702700</v>
      </c>
      <c r="L89" s="294">
        <f t="shared" ref="L89:M93" si="43">D89*15400</f>
        <v>0</v>
      </c>
      <c r="M89" s="299">
        <f t="shared" si="43"/>
        <v>292600</v>
      </c>
      <c r="N89" s="282"/>
      <c r="O89" s="282"/>
      <c r="P89" s="286">
        <f>H89*18000</f>
        <v>0</v>
      </c>
      <c r="Q89" s="159"/>
      <c r="R89" s="4">
        <f t="shared" ref="R89:R99" si="44">SUM(K89:Q89)</f>
        <v>2995300</v>
      </c>
      <c r="S89" s="4">
        <f t="shared" ref="S89:S93" si="45">J89*7734</f>
        <v>1252908</v>
      </c>
    </row>
    <row r="90" spans="1:19">
      <c r="A90" s="79" t="s">
        <v>129</v>
      </c>
      <c r="B90" s="375" t="s">
        <v>127</v>
      </c>
      <c r="C90" s="233">
        <v>108</v>
      </c>
      <c r="D90" s="235"/>
      <c r="E90" s="234">
        <v>10</v>
      </c>
      <c r="F90" s="230"/>
      <c r="G90" s="322"/>
      <c r="H90" s="230"/>
      <c r="I90" s="230"/>
      <c r="J90" s="35">
        <f t="shared" si="41"/>
        <v>118</v>
      </c>
      <c r="K90" s="362">
        <f t="shared" si="42"/>
        <v>2041200</v>
      </c>
      <c r="L90" s="294">
        <f t="shared" si="43"/>
        <v>0</v>
      </c>
      <c r="M90" s="299">
        <f t="shared" si="43"/>
        <v>154000</v>
      </c>
      <c r="N90" s="282"/>
      <c r="O90" s="282"/>
      <c r="P90" s="286">
        <f t="shared" ref="P90:P93" si="46">H90*18000</f>
        <v>0</v>
      </c>
      <c r="Q90" s="159"/>
      <c r="R90" s="4">
        <f t="shared" si="44"/>
        <v>2195200</v>
      </c>
      <c r="S90" s="4">
        <f t="shared" si="45"/>
        <v>912612</v>
      </c>
    </row>
    <row r="91" spans="1:19">
      <c r="A91" s="79" t="s">
        <v>131</v>
      </c>
      <c r="B91" s="375" t="s">
        <v>127</v>
      </c>
      <c r="C91" s="233">
        <v>78</v>
      </c>
      <c r="D91" s="235"/>
      <c r="E91" s="234">
        <v>10</v>
      </c>
      <c r="F91" s="230"/>
      <c r="G91" s="322"/>
      <c r="H91" s="230"/>
      <c r="I91" s="230"/>
      <c r="J91" s="35">
        <f t="shared" si="41"/>
        <v>88</v>
      </c>
      <c r="K91" s="362">
        <f t="shared" si="42"/>
        <v>1474200</v>
      </c>
      <c r="L91" s="294">
        <f t="shared" si="43"/>
        <v>0</v>
      </c>
      <c r="M91" s="299">
        <f t="shared" si="43"/>
        <v>154000</v>
      </c>
      <c r="N91" s="282"/>
      <c r="O91" s="282"/>
      <c r="P91" s="286">
        <f t="shared" si="46"/>
        <v>0</v>
      </c>
      <c r="Q91" s="159"/>
      <c r="R91" s="4">
        <f t="shared" si="44"/>
        <v>1628200</v>
      </c>
      <c r="S91" s="4">
        <f t="shared" si="45"/>
        <v>680592</v>
      </c>
    </row>
    <row r="92" spans="1:19">
      <c r="A92" s="79" t="s">
        <v>130</v>
      </c>
      <c r="B92" s="375" t="s">
        <v>127</v>
      </c>
      <c r="C92" s="233">
        <v>61</v>
      </c>
      <c r="D92" s="235"/>
      <c r="E92" s="234">
        <v>17</v>
      </c>
      <c r="F92" s="230"/>
      <c r="G92" s="322"/>
      <c r="H92" s="230"/>
      <c r="I92" s="230"/>
      <c r="J92" s="35">
        <f t="shared" si="41"/>
        <v>78</v>
      </c>
      <c r="K92" s="362">
        <f t="shared" si="42"/>
        <v>1152900</v>
      </c>
      <c r="L92" s="294">
        <f t="shared" si="43"/>
        <v>0</v>
      </c>
      <c r="M92" s="299">
        <f t="shared" si="43"/>
        <v>261800</v>
      </c>
      <c r="N92" s="282"/>
      <c r="O92" s="282"/>
      <c r="P92" s="286">
        <f t="shared" si="46"/>
        <v>0</v>
      </c>
      <c r="Q92" s="159"/>
      <c r="R92" s="4">
        <f t="shared" si="44"/>
        <v>1414700</v>
      </c>
      <c r="S92" s="4">
        <f t="shared" si="45"/>
        <v>603252</v>
      </c>
    </row>
    <row r="93" spans="1:19">
      <c r="A93" s="79" t="s">
        <v>132</v>
      </c>
      <c r="B93" s="375" t="s">
        <v>127</v>
      </c>
      <c r="C93" s="233">
        <v>56</v>
      </c>
      <c r="D93" s="235"/>
      <c r="E93" s="234">
        <v>10</v>
      </c>
      <c r="F93" s="230"/>
      <c r="G93" s="322"/>
      <c r="H93" s="230"/>
      <c r="I93" s="230"/>
      <c r="J93" s="35">
        <f t="shared" si="41"/>
        <v>66</v>
      </c>
      <c r="K93" s="362">
        <f t="shared" si="42"/>
        <v>1058400</v>
      </c>
      <c r="L93" s="294">
        <f t="shared" si="43"/>
        <v>0</v>
      </c>
      <c r="M93" s="299">
        <f t="shared" si="43"/>
        <v>154000</v>
      </c>
      <c r="N93" s="282"/>
      <c r="O93" s="282"/>
      <c r="P93" s="286">
        <f t="shared" si="46"/>
        <v>0</v>
      </c>
      <c r="Q93" s="159"/>
      <c r="R93" s="4">
        <f t="shared" si="44"/>
        <v>1212400</v>
      </c>
      <c r="S93" s="4">
        <f t="shared" si="45"/>
        <v>510444</v>
      </c>
    </row>
    <row r="94" spans="1:19">
      <c r="A94" s="79" t="s">
        <v>133</v>
      </c>
      <c r="B94" s="375" t="s">
        <v>134</v>
      </c>
      <c r="C94" s="233">
        <v>70</v>
      </c>
      <c r="D94" s="235"/>
      <c r="E94" s="531">
        <v>17</v>
      </c>
      <c r="F94" s="230">
        <v>693</v>
      </c>
      <c r="G94" s="322"/>
      <c r="H94" s="236"/>
      <c r="I94" s="242"/>
      <c r="J94" s="35">
        <f t="shared" si="41"/>
        <v>780</v>
      </c>
      <c r="K94" s="362">
        <f>C94*8400</f>
        <v>588000</v>
      </c>
      <c r="L94" s="294">
        <f>D94*6600</f>
        <v>0</v>
      </c>
      <c r="M94" s="299">
        <f>E94*6600</f>
        <v>112200</v>
      </c>
      <c r="N94" s="282">
        <f>F94*6720</f>
        <v>4656960</v>
      </c>
      <c r="O94" s="282"/>
      <c r="P94" s="282"/>
      <c r="Q94" s="159"/>
      <c r="R94" s="4">
        <f>SUM(K94:Q94)</f>
        <v>5357160</v>
      </c>
      <c r="S94" s="4">
        <f>J94*2880</f>
        <v>2246400</v>
      </c>
    </row>
    <row r="95" spans="1:19">
      <c r="A95" s="79" t="s">
        <v>135</v>
      </c>
      <c r="B95" s="375" t="s">
        <v>134</v>
      </c>
      <c r="C95" s="233">
        <v>94</v>
      </c>
      <c r="D95" s="235"/>
      <c r="E95" s="234">
        <v>70</v>
      </c>
      <c r="F95" s="230">
        <v>432</v>
      </c>
      <c r="G95" s="322"/>
      <c r="H95" s="236"/>
      <c r="I95" s="330"/>
      <c r="J95" s="35">
        <f t="shared" si="41"/>
        <v>596</v>
      </c>
      <c r="K95" s="362">
        <f t="shared" ref="K95:K99" si="47">C95*8400</f>
        <v>789600</v>
      </c>
      <c r="L95" s="294">
        <f t="shared" ref="L95:M99" si="48">D95*6600</f>
        <v>0</v>
      </c>
      <c r="M95" s="299">
        <f t="shared" si="48"/>
        <v>462000</v>
      </c>
      <c r="N95" s="282">
        <f t="shared" ref="N95:N99" si="49">F95*6720</f>
        <v>2903040</v>
      </c>
      <c r="O95" s="282"/>
      <c r="P95" s="282"/>
      <c r="Q95" s="159"/>
      <c r="R95" s="4">
        <f>SUM(K95:Q95)</f>
        <v>4154640</v>
      </c>
      <c r="S95" s="4">
        <f t="shared" ref="S95:S99" si="50">J95*2880</f>
        <v>1716480</v>
      </c>
    </row>
    <row r="96" spans="1:19">
      <c r="A96" s="79" t="s">
        <v>136</v>
      </c>
      <c r="B96" s="375" t="s">
        <v>134</v>
      </c>
      <c r="C96" s="233">
        <v>113</v>
      </c>
      <c r="D96" s="235"/>
      <c r="E96" s="234">
        <v>26</v>
      </c>
      <c r="F96" s="230">
        <v>522</v>
      </c>
      <c r="G96" s="322"/>
      <c r="H96" s="236"/>
      <c r="I96" s="242"/>
      <c r="J96" s="35">
        <f t="shared" si="41"/>
        <v>661</v>
      </c>
      <c r="K96" s="362">
        <f t="shared" si="47"/>
        <v>949200</v>
      </c>
      <c r="L96" s="294">
        <f t="shared" si="48"/>
        <v>0</v>
      </c>
      <c r="M96" s="299">
        <f t="shared" si="48"/>
        <v>171600</v>
      </c>
      <c r="N96" s="282">
        <f t="shared" si="49"/>
        <v>3507840</v>
      </c>
      <c r="O96" s="282"/>
      <c r="P96" s="282"/>
      <c r="Q96" s="159"/>
      <c r="R96" s="4">
        <f t="shared" si="44"/>
        <v>4628640</v>
      </c>
      <c r="S96" s="4">
        <f t="shared" si="50"/>
        <v>1903680</v>
      </c>
    </row>
    <row r="97" spans="1:19">
      <c r="A97" s="79" t="s">
        <v>138</v>
      </c>
      <c r="B97" s="375" t="s">
        <v>134</v>
      </c>
      <c r="C97" s="233">
        <v>39</v>
      </c>
      <c r="D97" s="235"/>
      <c r="E97" s="234">
        <v>7</v>
      </c>
      <c r="F97" s="230">
        <v>513</v>
      </c>
      <c r="G97" s="322"/>
      <c r="H97" s="236"/>
      <c r="I97" s="242"/>
      <c r="J97" s="35">
        <f t="shared" si="41"/>
        <v>559</v>
      </c>
      <c r="K97" s="362">
        <f t="shared" si="47"/>
        <v>327600</v>
      </c>
      <c r="L97" s="294">
        <f t="shared" si="48"/>
        <v>0</v>
      </c>
      <c r="M97" s="299">
        <f t="shared" si="48"/>
        <v>46200</v>
      </c>
      <c r="N97" s="282">
        <f t="shared" si="49"/>
        <v>3447360</v>
      </c>
      <c r="O97" s="282"/>
      <c r="P97" s="282"/>
      <c r="Q97" s="159"/>
      <c r="R97" s="4">
        <f t="shared" si="44"/>
        <v>3821160</v>
      </c>
      <c r="S97" s="4">
        <f t="shared" si="50"/>
        <v>1609920</v>
      </c>
    </row>
    <row r="98" spans="1:19">
      <c r="A98" s="79" t="s">
        <v>137</v>
      </c>
      <c r="B98" s="375" t="s">
        <v>134</v>
      </c>
      <c r="C98" s="233">
        <v>76</v>
      </c>
      <c r="D98" s="235"/>
      <c r="E98" s="234">
        <v>16</v>
      </c>
      <c r="F98" s="230"/>
      <c r="G98" s="322"/>
      <c r="H98" s="236"/>
      <c r="I98" s="330"/>
      <c r="J98" s="35">
        <f t="shared" si="41"/>
        <v>92</v>
      </c>
      <c r="K98" s="362">
        <f t="shared" si="47"/>
        <v>638400</v>
      </c>
      <c r="L98" s="294">
        <f t="shared" si="48"/>
        <v>0</v>
      </c>
      <c r="M98" s="299">
        <f t="shared" si="48"/>
        <v>105600</v>
      </c>
      <c r="N98" s="282">
        <f t="shared" si="49"/>
        <v>0</v>
      </c>
      <c r="O98" s="282"/>
      <c r="P98" s="282"/>
      <c r="Q98" s="159"/>
      <c r="R98" s="4">
        <f t="shared" si="44"/>
        <v>744000</v>
      </c>
      <c r="S98" s="4">
        <f t="shared" si="50"/>
        <v>264960</v>
      </c>
    </row>
    <row r="99" spans="1:19">
      <c r="A99" s="423" t="s">
        <v>139</v>
      </c>
      <c r="B99" s="379" t="s">
        <v>134</v>
      </c>
      <c r="C99" s="311">
        <v>53</v>
      </c>
      <c r="D99" s="335"/>
      <c r="E99" s="336">
        <v>15</v>
      </c>
      <c r="F99" s="424"/>
      <c r="G99" s="337"/>
      <c r="H99" s="338"/>
      <c r="I99" s="425"/>
      <c r="J99" s="66">
        <f t="shared" si="41"/>
        <v>68</v>
      </c>
      <c r="K99" s="362">
        <f t="shared" si="47"/>
        <v>445200</v>
      </c>
      <c r="L99" s="294">
        <f t="shared" si="48"/>
        <v>0</v>
      </c>
      <c r="M99" s="299">
        <f t="shared" si="48"/>
        <v>99000</v>
      </c>
      <c r="N99" s="282">
        <f t="shared" si="49"/>
        <v>0</v>
      </c>
      <c r="O99" s="282"/>
      <c r="P99" s="282"/>
      <c r="Q99" s="159"/>
      <c r="R99" s="4">
        <f t="shared" si="44"/>
        <v>544200</v>
      </c>
      <c r="S99" s="4">
        <f t="shared" si="50"/>
        <v>195840</v>
      </c>
    </row>
    <row r="100" spans="1:19" s="24" customFormat="1">
      <c r="A100" s="81" t="s">
        <v>560</v>
      </c>
      <c r="B100" s="375"/>
      <c r="C100" s="233">
        <f>SUM(C88:C99)</f>
        <v>1008</v>
      </c>
      <c r="D100" s="235">
        <f>SUM(D88:D99)</f>
        <v>0</v>
      </c>
      <c r="E100" s="234">
        <f>SUM(E88:E99)</f>
        <v>223</v>
      </c>
      <c r="F100" s="230">
        <f t="shared" ref="F100:I100" si="51">SUM(F88:F93)</f>
        <v>0</v>
      </c>
      <c r="G100" s="230">
        <f t="shared" si="51"/>
        <v>0</v>
      </c>
      <c r="H100" s="230">
        <f t="shared" si="51"/>
        <v>0</v>
      </c>
      <c r="I100" s="422">
        <f t="shared" si="51"/>
        <v>0</v>
      </c>
      <c r="J100" s="422">
        <f>SUM(J88:J93)</f>
        <v>635</v>
      </c>
      <c r="K100" s="426">
        <f>SUM(K88:K93)</f>
        <v>10640700</v>
      </c>
      <c r="L100" s="431">
        <f t="shared" ref="L100:Q100" si="52">SUM(L88:L93)</f>
        <v>0</v>
      </c>
      <c r="M100" s="433">
        <f t="shared" si="52"/>
        <v>1108800</v>
      </c>
      <c r="N100" s="435">
        <f t="shared" si="52"/>
        <v>0</v>
      </c>
      <c r="O100" s="435">
        <f t="shared" si="52"/>
        <v>0</v>
      </c>
      <c r="P100" s="435">
        <f t="shared" si="52"/>
        <v>0</v>
      </c>
      <c r="Q100" s="437">
        <f t="shared" si="52"/>
        <v>0</v>
      </c>
      <c r="R100" s="427"/>
      <c r="S100" s="427"/>
    </row>
    <row r="101" spans="1:19">
      <c r="A101" s="81" t="s">
        <v>140</v>
      </c>
      <c r="B101" s="73"/>
      <c r="C101" s="35">
        <f>SUM(C94:C99)</f>
        <v>445</v>
      </c>
      <c r="D101" s="32">
        <f>SUM(D94:D99)</f>
        <v>0</v>
      </c>
      <c r="E101" s="33">
        <f>SUM(E94:E99)</f>
        <v>151</v>
      </c>
      <c r="F101" s="191">
        <f>SUM(F94:F99)</f>
        <v>2160</v>
      </c>
      <c r="G101" s="191"/>
      <c r="H101" s="191">
        <f>SUM(H94:H99)</f>
        <v>0</v>
      </c>
      <c r="I101" s="41">
        <f>SUM(I88:I93)</f>
        <v>0</v>
      </c>
      <c r="J101" s="438">
        <f>SUM(J94:J99)</f>
        <v>2756</v>
      </c>
      <c r="K101" s="428">
        <f>SUM(K94:K99)</f>
        <v>3738000</v>
      </c>
      <c r="L101" s="432">
        <f>SUM(L94:L99)</f>
        <v>0</v>
      </c>
      <c r="M101" s="434">
        <f t="shared" ref="M101:P101" si="53">SUM(M94:M99)</f>
        <v>996600</v>
      </c>
      <c r="N101" s="436">
        <f t="shared" si="53"/>
        <v>14515200</v>
      </c>
      <c r="O101" s="436">
        <f t="shared" si="53"/>
        <v>0</v>
      </c>
      <c r="P101" s="436">
        <f t="shared" si="53"/>
        <v>0</v>
      </c>
      <c r="Q101" s="429"/>
      <c r="R101" s="430"/>
      <c r="S101" s="430"/>
    </row>
    <row r="102" spans="1:19" s="24" customFormat="1">
      <c r="B102" s="74"/>
      <c r="C102" s="74"/>
      <c r="D102" s="9"/>
      <c r="E102" s="10"/>
      <c r="F102" s="12"/>
      <c r="G102" s="12"/>
      <c r="H102" s="192"/>
      <c r="I102" s="12"/>
      <c r="J102" s="13" t="s">
        <v>6</v>
      </c>
      <c r="K102" s="443">
        <f t="shared" ref="K102:S102" si="54">SUM(K88:K99)</f>
        <v>14378700</v>
      </c>
      <c r="L102" s="456">
        <f t="shared" si="54"/>
        <v>0</v>
      </c>
      <c r="M102" s="445">
        <f t="shared" si="54"/>
        <v>2105400</v>
      </c>
      <c r="N102" s="446">
        <f t="shared" si="54"/>
        <v>14515200</v>
      </c>
      <c r="O102" s="446">
        <f t="shared" si="54"/>
        <v>0</v>
      </c>
      <c r="P102" s="446">
        <f t="shared" si="54"/>
        <v>0</v>
      </c>
      <c r="Q102" s="446">
        <f t="shared" si="54"/>
        <v>0</v>
      </c>
      <c r="R102" s="447">
        <f t="shared" si="54"/>
        <v>30999300</v>
      </c>
      <c r="S102" s="448">
        <f t="shared" si="54"/>
        <v>12848370</v>
      </c>
    </row>
    <row r="103" spans="1:19" s="24" customFormat="1">
      <c r="B103" s="74"/>
      <c r="C103" s="74" t="s">
        <v>2</v>
      </c>
      <c r="D103" s="9" t="s">
        <v>3</v>
      </c>
      <c r="E103" s="10" t="s">
        <v>4</v>
      </c>
      <c r="F103" s="12" t="s">
        <v>5</v>
      </c>
      <c r="G103" s="12"/>
      <c r="H103" s="192"/>
      <c r="I103" s="12"/>
      <c r="J103" s="13"/>
      <c r="K103" s="458"/>
      <c r="L103" s="459"/>
      <c r="M103" s="460"/>
      <c r="N103" s="461"/>
      <c r="O103" s="461"/>
      <c r="P103" s="461"/>
      <c r="Q103" s="461"/>
      <c r="R103" s="462"/>
      <c r="S103" s="462"/>
    </row>
    <row r="104" spans="1:19">
      <c r="C104" s="14"/>
      <c r="D104" s="388" t="s">
        <v>142</v>
      </c>
      <c r="E104" s="15" t="s">
        <v>143</v>
      </c>
      <c r="F104" s="20" t="s">
        <v>765</v>
      </c>
      <c r="G104" s="75"/>
      <c r="H104" s="204"/>
      <c r="I104" s="76"/>
      <c r="J104" s="76"/>
      <c r="K104" s="181"/>
      <c r="P104" s="210"/>
    </row>
    <row r="105" spans="1:19">
      <c r="C105" s="314"/>
      <c r="D105" s="388" t="s">
        <v>144</v>
      </c>
      <c r="E105" s="15" t="s">
        <v>145</v>
      </c>
      <c r="F105" s="20" t="s">
        <v>777</v>
      </c>
      <c r="G105" s="75" t="s">
        <v>374</v>
      </c>
      <c r="H105" s="205"/>
      <c r="I105" s="78"/>
      <c r="J105" s="78"/>
      <c r="P105" s="210"/>
    </row>
    <row r="106" spans="1:19">
      <c r="A106" s="24" t="s">
        <v>146</v>
      </c>
      <c r="C106" s="25"/>
      <c r="D106" s="389" t="s">
        <v>85</v>
      </c>
      <c r="E106" s="19" t="s">
        <v>86</v>
      </c>
      <c r="F106" s="75"/>
      <c r="G106" s="77"/>
      <c r="H106" s="205"/>
      <c r="I106" s="78"/>
      <c r="J106" s="78"/>
      <c r="K106" s="219" t="s">
        <v>2</v>
      </c>
      <c r="L106" s="664" t="s">
        <v>734</v>
      </c>
      <c r="M106" s="664"/>
      <c r="N106" s="348" t="s">
        <v>16</v>
      </c>
      <c r="O106" s="348" t="s">
        <v>782</v>
      </c>
      <c r="P106" s="348" t="s">
        <v>464</v>
      </c>
      <c r="Q106" s="220"/>
      <c r="R106" s="220" t="s">
        <v>18</v>
      </c>
      <c r="S106" s="221" t="s">
        <v>19</v>
      </c>
    </row>
    <row r="107" spans="1:19">
      <c r="A107" s="79" t="s">
        <v>147</v>
      </c>
      <c r="B107" s="375" t="s">
        <v>148</v>
      </c>
      <c r="C107" s="240"/>
      <c r="D107" s="235"/>
      <c r="E107" s="256"/>
      <c r="F107" s="230"/>
      <c r="G107" s="241"/>
      <c r="H107" s="236"/>
      <c r="I107" s="35"/>
      <c r="J107" s="35">
        <f t="shared" ref="J107:J118" si="55">SUM(C107:I107)</f>
        <v>0</v>
      </c>
      <c r="K107" s="254">
        <f t="shared" ref="K107:M112" si="56">C107*12000</f>
        <v>0</v>
      </c>
      <c r="L107" s="294">
        <f t="shared" si="56"/>
        <v>0</v>
      </c>
      <c r="M107" s="299">
        <f>E107*12000</f>
        <v>0</v>
      </c>
      <c r="N107" s="282"/>
      <c r="O107" s="282"/>
      <c r="P107" s="282"/>
      <c r="Q107" s="285"/>
      <c r="R107" s="4">
        <f>SUM(K107:Q107)</f>
        <v>0</v>
      </c>
      <c r="S107" s="4">
        <f>J107*5967</f>
        <v>0</v>
      </c>
    </row>
    <row r="108" spans="1:19">
      <c r="A108" s="228" t="s">
        <v>149</v>
      </c>
      <c r="B108" s="357" t="s">
        <v>148</v>
      </c>
      <c r="C108" s="240"/>
      <c r="D108" s="235"/>
      <c r="E108" s="256"/>
      <c r="F108" s="230"/>
      <c r="G108" s="231"/>
      <c r="H108" s="236"/>
      <c r="I108" s="41"/>
      <c r="J108" s="35">
        <f t="shared" si="55"/>
        <v>0</v>
      </c>
      <c r="K108" s="254">
        <f t="shared" si="56"/>
        <v>0</v>
      </c>
      <c r="L108" s="294">
        <f t="shared" si="56"/>
        <v>0</v>
      </c>
      <c r="M108" s="299">
        <f t="shared" si="56"/>
        <v>0</v>
      </c>
      <c r="N108" s="282"/>
      <c r="O108" s="282"/>
      <c r="P108" s="282"/>
      <c r="Q108" s="285"/>
      <c r="R108" s="4">
        <f t="shared" ref="R108:R118" si="57">SUM(K108:Q108)</f>
        <v>0</v>
      </c>
      <c r="S108" s="4">
        <f t="shared" ref="S108:S112" si="58">J108*5967</f>
        <v>0</v>
      </c>
    </row>
    <row r="109" spans="1:19">
      <c r="A109" s="79" t="s">
        <v>150</v>
      </c>
      <c r="B109" s="375" t="s">
        <v>148</v>
      </c>
      <c r="C109" s="239"/>
      <c r="D109" s="235"/>
      <c r="E109" s="256"/>
      <c r="F109" s="230"/>
      <c r="G109" s="231"/>
      <c r="H109" s="236"/>
      <c r="I109" s="35"/>
      <c r="J109" s="35">
        <f t="shared" si="55"/>
        <v>0</v>
      </c>
      <c r="K109" s="254">
        <f t="shared" si="56"/>
        <v>0</v>
      </c>
      <c r="L109" s="294">
        <f t="shared" si="56"/>
        <v>0</v>
      </c>
      <c r="M109" s="299">
        <f t="shared" si="56"/>
        <v>0</v>
      </c>
      <c r="N109" s="282"/>
      <c r="O109" s="282"/>
      <c r="P109" s="282"/>
      <c r="Q109" s="285"/>
      <c r="R109" s="4">
        <f t="shared" si="57"/>
        <v>0</v>
      </c>
      <c r="S109" s="4">
        <f t="shared" si="58"/>
        <v>0</v>
      </c>
    </row>
    <row r="110" spans="1:19">
      <c r="A110" s="79" t="s">
        <v>152</v>
      </c>
      <c r="B110" s="375" t="s">
        <v>148</v>
      </c>
      <c r="C110" s="240"/>
      <c r="D110" s="235"/>
      <c r="E110" s="256"/>
      <c r="F110" s="230"/>
      <c r="G110" s="231"/>
      <c r="H110" s="236"/>
      <c r="I110" s="35"/>
      <c r="J110" s="35">
        <f t="shared" si="55"/>
        <v>0</v>
      </c>
      <c r="K110" s="254">
        <f>C110*12000</f>
        <v>0</v>
      </c>
      <c r="L110" s="294">
        <f>D110*12000</f>
        <v>0</v>
      </c>
      <c r="M110" s="299">
        <f t="shared" si="56"/>
        <v>0</v>
      </c>
      <c r="N110" s="282"/>
      <c r="O110" s="282"/>
      <c r="P110" s="282"/>
      <c r="Q110" s="285"/>
      <c r="R110" s="4">
        <f t="shared" si="57"/>
        <v>0</v>
      </c>
      <c r="S110" s="4">
        <f t="shared" si="58"/>
        <v>0</v>
      </c>
    </row>
    <row r="111" spans="1:19">
      <c r="A111" s="79" t="s">
        <v>151</v>
      </c>
      <c r="B111" s="375" t="s">
        <v>148</v>
      </c>
      <c r="C111" s="240">
        <v>26</v>
      </c>
      <c r="D111" s="235"/>
      <c r="E111" s="256"/>
      <c r="F111" s="230"/>
      <c r="G111" s="231"/>
      <c r="H111" s="236"/>
      <c r="I111" s="35"/>
      <c r="J111" s="35">
        <f t="shared" si="55"/>
        <v>26</v>
      </c>
      <c r="K111" s="254">
        <f t="shared" ref="K111:L112" si="59">C111*12000</f>
        <v>312000</v>
      </c>
      <c r="L111" s="294">
        <f t="shared" si="59"/>
        <v>0</v>
      </c>
      <c r="M111" s="299">
        <f t="shared" si="56"/>
        <v>0</v>
      </c>
      <c r="N111" s="282"/>
      <c r="O111" s="282"/>
      <c r="P111" s="282"/>
      <c r="Q111" s="285"/>
      <c r="R111" s="4">
        <f t="shared" si="57"/>
        <v>312000</v>
      </c>
      <c r="S111" s="4">
        <f t="shared" si="58"/>
        <v>155142</v>
      </c>
    </row>
    <row r="112" spans="1:19">
      <c r="A112" s="79" t="s">
        <v>153</v>
      </c>
      <c r="B112" s="375" t="s">
        <v>148</v>
      </c>
      <c r="C112" s="240">
        <v>12</v>
      </c>
      <c r="D112" s="235"/>
      <c r="E112" s="256"/>
      <c r="F112" s="230"/>
      <c r="G112" s="231"/>
      <c r="H112" s="236"/>
      <c r="I112" s="35"/>
      <c r="J112" s="35">
        <f t="shared" si="55"/>
        <v>12</v>
      </c>
      <c r="K112" s="254">
        <f t="shared" si="59"/>
        <v>144000</v>
      </c>
      <c r="L112" s="294">
        <f t="shared" si="59"/>
        <v>0</v>
      </c>
      <c r="M112" s="299">
        <f t="shared" si="56"/>
        <v>0</v>
      </c>
      <c r="N112" s="282"/>
      <c r="O112" s="282"/>
      <c r="P112" s="282"/>
      <c r="Q112" s="285"/>
      <c r="R112" s="4">
        <f t="shared" si="57"/>
        <v>144000</v>
      </c>
      <c r="S112" s="4">
        <f t="shared" si="58"/>
        <v>71604</v>
      </c>
    </row>
    <row r="113" spans="1:19">
      <c r="A113" s="79" t="s">
        <v>154</v>
      </c>
      <c r="B113" s="375" t="s">
        <v>155</v>
      </c>
      <c r="C113" s="35">
        <v>3</v>
      </c>
      <c r="D113" s="235"/>
      <c r="E113" s="256"/>
      <c r="F113" s="230">
        <v>4</v>
      </c>
      <c r="G113" s="231"/>
      <c r="H113" s="236"/>
      <c r="I113" s="35"/>
      <c r="J113" s="35">
        <f t="shared" si="55"/>
        <v>7</v>
      </c>
      <c r="K113" s="362">
        <f>C113*47000</f>
        <v>141000</v>
      </c>
      <c r="L113" s="294">
        <f>D113*35200</f>
        <v>0</v>
      </c>
      <c r="M113" s="299">
        <f>E113*35200</f>
        <v>0</v>
      </c>
      <c r="N113" s="282">
        <f>F113*23500</f>
        <v>94000</v>
      </c>
      <c r="O113" s="282"/>
      <c r="P113" s="282"/>
      <c r="Q113" s="285"/>
      <c r="R113" s="4">
        <f t="shared" si="57"/>
        <v>235000</v>
      </c>
      <c r="S113" s="4">
        <f>J113*15480</f>
        <v>108360</v>
      </c>
    </row>
    <row r="114" spans="1:19">
      <c r="A114" s="79" t="s">
        <v>156</v>
      </c>
      <c r="B114" s="375" t="s">
        <v>778</v>
      </c>
      <c r="C114" s="240"/>
      <c r="D114" s="235"/>
      <c r="E114" s="256"/>
      <c r="F114" s="230">
        <v>15</v>
      </c>
      <c r="G114" s="231"/>
      <c r="H114" s="236"/>
      <c r="I114" s="35"/>
      <c r="J114" s="35">
        <f t="shared" si="55"/>
        <v>15</v>
      </c>
      <c r="K114" s="362">
        <f t="shared" ref="K114:K118" si="60">C114*47000</f>
        <v>0</v>
      </c>
      <c r="L114" s="294">
        <f t="shared" ref="L114:M118" si="61">D114*35200</f>
        <v>0</v>
      </c>
      <c r="M114" s="299">
        <f t="shared" si="61"/>
        <v>0</v>
      </c>
      <c r="N114" s="282">
        <f>F114*23500</f>
        <v>352500</v>
      </c>
      <c r="O114" s="282">
        <f>G114*22500</f>
        <v>0</v>
      </c>
      <c r="P114" s="282"/>
      <c r="Q114" s="285"/>
      <c r="R114" s="4">
        <f t="shared" si="57"/>
        <v>352500</v>
      </c>
      <c r="S114" s="4">
        <f t="shared" ref="S114:S118" si="62">J114*15480</f>
        <v>232200</v>
      </c>
    </row>
    <row r="115" spans="1:19">
      <c r="A115" s="79" t="s">
        <v>157</v>
      </c>
      <c r="B115" s="375" t="s">
        <v>779</v>
      </c>
      <c r="C115" s="240"/>
      <c r="D115" s="235"/>
      <c r="E115" s="256"/>
      <c r="F115" s="230">
        <v>20</v>
      </c>
      <c r="G115" s="231"/>
      <c r="H115" s="236"/>
      <c r="I115" s="35"/>
      <c r="J115" s="35">
        <f t="shared" si="55"/>
        <v>20</v>
      </c>
      <c r="K115" s="362">
        <f t="shared" si="60"/>
        <v>0</v>
      </c>
      <c r="L115" s="294">
        <f t="shared" si="61"/>
        <v>0</v>
      </c>
      <c r="M115" s="299">
        <f t="shared" si="61"/>
        <v>0</v>
      </c>
      <c r="N115" s="282">
        <f t="shared" ref="N115:N118" si="63">F115*23500</f>
        <v>470000</v>
      </c>
      <c r="O115" s="282">
        <f>G115*22500</f>
        <v>0</v>
      </c>
      <c r="P115" s="282"/>
      <c r="Q115" s="285"/>
      <c r="R115" s="4">
        <f t="shared" si="57"/>
        <v>470000</v>
      </c>
      <c r="S115" s="4">
        <f t="shared" si="62"/>
        <v>309600</v>
      </c>
    </row>
    <row r="116" spans="1:19">
      <c r="A116" s="79" t="s">
        <v>159</v>
      </c>
      <c r="B116" s="375" t="s">
        <v>780</v>
      </c>
      <c r="C116" s="240"/>
      <c r="D116" s="235"/>
      <c r="E116" s="256"/>
      <c r="F116" s="230">
        <v>11</v>
      </c>
      <c r="G116" s="230">
        <v>3</v>
      </c>
      <c r="H116" s="236"/>
      <c r="I116" s="35"/>
      <c r="J116" s="35">
        <f t="shared" si="55"/>
        <v>14</v>
      </c>
      <c r="K116" s="362">
        <f t="shared" si="60"/>
        <v>0</v>
      </c>
      <c r="L116" s="294">
        <f t="shared" si="61"/>
        <v>0</v>
      </c>
      <c r="M116" s="299">
        <f t="shared" si="61"/>
        <v>0</v>
      </c>
      <c r="N116" s="282">
        <f t="shared" si="63"/>
        <v>258500</v>
      </c>
      <c r="O116" s="282">
        <f>G116*23500</f>
        <v>70500</v>
      </c>
      <c r="P116" s="282"/>
      <c r="Q116" s="285"/>
      <c r="R116" s="4">
        <f t="shared" si="57"/>
        <v>329000</v>
      </c>
      <c r="S116" s="4">
        <f t="shared" si="62"/>
        <v>216720</v>
      </c>
    </row>
    <row r="117" spans="1:19">
      <c r="A117" s="79" t="s">
        <v>158</v>
      </c>
      <c r="B117" s="375" t="s">
        <v>155</v>
      </c>
      <c r="C117" s="240"/>
      <c r="D117" s="235"/>
      <c r="E117" s="256"/>
      <c r="F117" s="230">
        <v>8</v>
      </c>
      <c r="G117" s="230">
        <v>2</v>
      </c>
      <c r="H117" s="236"/>
      <c r="I117" s="35"/>
      <c r="J117" s="35">
        <f t="shared" si="55"/>
        <v>10</v>
      </c>
      <c r="K117" s="362">
        <f t="shared" si="60"/>
        <v>0</v>
      </c>
      <c r="L117" s="294">
        <f t="shared" si="61"/>
        <v>0</v>
      </c>
      <c r="M117" s="299">
        <f t="shared" si="61"/>
        <v>0</v>
      </c>
      <c r="N117" s="282">
        <f t="shared" si="63"/>
        <v>188000</v>
      </c>
      <c r="O117" s="282">
        <f>G117*23500</f>
        <v>47000</v>
      </c>
      <c r="P117" s="282"/>
      <c r="Q117" s="285"/>
      <c r="R117" s="4">
        <f t="shared" si="57"/>
        <v>235000</v>
      </c>
      <c r="S117" s="4">
        <f t="shared" si="62"/>
        <v>154800</v>
      </c>
    </row>
    <row r="118" spans="1:19">
      <c r="A118" s="79" t="s">
        <v>160</v>
      </c>
      <c r="B118" s="375" t="s">
        <v>781</v>
      </c>
      <c r="C118" s="237">
        <v>1</v>
      </c>
      <c r="D118" s="235"/>
      <c r="E118" s="234"/>
      <c r="F118" s="230">
        <v>7</v>
      </c>
      <c r="G118" s="230"/>
      <c r="H118" s="197"/>
      <c r="I118" s="35"/>
      <c r="J118" s="35">
        <f t="shared" si="55"/>
        <v>8</v>
      </c>
      <c r="K118" s="362">
        <f t="shared" si="60"/>
        <v>47000</v>
      </c>
      <c r="L118" s="294">
        <f t="shared" si="61"/>
        <v>0</v>
      </c>
      <c r="M118" s="299">
        <f t="shared" si="61"/>
        <v>0</v>
      </c>
      <c r="N118" s="282">
        <f t="shared" si="63"/>
        <v>164500</v>
      </c>
      <c r="O118" s="282"/>
      <c r="P118" s="282"/>
      <c r="Q118" s="285"/>
      <c r="R118" s="4">
        <f t="shared" si="57"/>
        <v>211500</v>
      </c>
      <c r="S118" s="4">
        <f t="shared" si="62"/>
        <v>123840</v>
      </c>
    </row>
    <row r="119" spans="1:19">
      <c r="A119" s="81"/>
      <c r="B119" s="29"/>
      <c r="C119" s="35"/>
      <c r="D119" s="32"/>
      <c r="E119" s="33"/>
      <c r="F119" s="191"/>
      <c r="G119" s="191"/>
      <c r="H119" s="191"/>
      <c r="I119" s="191"/>
      <c r="J119" s="35"/>
      <c r="L119" s="294"/>
      <c r="M119" s="299"/>
      <c r="N119" s="282"/>
      <c r="O119" s="282"/>
      <c r="P119" s="282"/>
      <c r="Q119" s="285"/>
    </row>
    <row r="120" spans="1:19" s="24" customFormat="1">
      <c r="B120" s="13"/>
      <c r="C120" s="74"/>
      <c r="D120" s="82"/>
      <c r="E120" s="83"/>
      <c r="F120" s="84"/>
      <c r="G120" s="84"/>
      <c r="H120" s="206"/>
      <c r="I120" s="84"/>
      <c r="J120" s="85" t="s">
        <v>6</v>
      </c>
      <c r="K120" s="443">
        <f t="shared" ref="K120:S120" si="64">SUM(K107:K119)</f>
        <v>644000</v>
      </c>
      <c r="L120" s="456">
        <f t="shared" si="64"/>
        <v>0</v>
      </c>
      <c r="M120" s="445">
        <f t="shared" si="64"/>
        <v>0</v>
      </c>
      <c r="N120" s="446">
        <f t="shared" si="64"/>
        <v>1527500</v>
      </c>
      <c r="O120" s="446">
        <f t="shared" si="64"/>
        <v>117500</v>
      </c>
      <c r="P120" s="446">
        <f t="shared" si="64"/>
        <v>0</v>
      </c>
      <c r="Q120" s="465">
        <f t="shared" si="64"/>
        <v>0</v>
      </c>
      <c r="R120" s="447">
        <f t="shared" si="64"/>
        <v>2289000</v>
      </c>
      <c r="S120" s="448">
        <f t="shared" si="64"/>
        <v>1372266</v>
      </c>
    </row>
    <row r="121" spans="1:19" s="24" customFormat="1">
      <c r="B121" s="13"/>
      <c r="C121" s="74" t="s">
        <v>2</v>
      </c>
      <c r="D121" s="82" t="s">
        <v>3</v>
      </c>
      <c r="E121" s="83" t="s">
        <v>4</v>
      </c>
      <c r="F121" s="84" t="s">
        <v>5</v>
      </c>
      <c r="G121" s="84"/>
      <c r="H121" s="206"/>
      <c r="I121" s="84"/>
      <c r="J121" s="85"/>
      <c r="K121" s="253"/>
      <c r="L121" s="421"/>
      <c r="M121" s="463"/>
      <c r="N121" s="284"/>
      <c r="O121" s="284"/>
      <c r="P121" s="284"/>
      <c r="Q121" s="305"/>
      <c r="R121" s="464"/>
      <c r="S121" s="464"/>
    </row>
    <row r="122" spans="1:19">
      <c r="A122" s="24" t="s">
        <v>161</v>
      </c>
      <c r="B122" s="86"/>
      <c r="D122" s="55" t="s">
        <v>162</v>
      </c>
      <c r="E122" s="15" t="s">
        <v>163</v>
      </c>
      <c r="F122" s="45"/>
      <c r="G122" s="45"/>
      <c r="H122" s="199"/>
      <c r="I122" s="35"/>
      <c r="J122" s="35"/>
      <c r="K122" s="580" t="s">
        <v>2</v>
      </c>
      <c r="L122" s="664" t="s">
        <v>734</v>
      </c>
      <c r="M122" s="664"/>
      <c r="N122" s="581" t="s">
        <v>16</v>
      </c>
      <c r="O122" s="581" t="s">
        <v>557</v>
      </c>
      <c r="P122" s="581" t="s">
        <v>464</v>
      </c>
      <c r="Q122" s="582"/>
      <c r="R122" s="582" t="s">
        <v>18</v>
      </c>
      <c r="S122" s="583" t="s">
        <v>19</v>
      </c>
    </row>
    <row r="123" spans="1:19">
      <c r="A123" s="29" t="s">
        <v>164</v>
      </c>
      <c r="B123" s="375" t="s">
        <v>165</v>
      </c>
      <c r="C123" s="237">
        <v>2</v>
      </c>
      <c r="D123" s="235"/>
      <c r="E123" s="234"/>
      <c r="F123" s="230"/>
      <c r="G123" s="230"/>
      <c r="H123" s="197"/>
      <c r="I123" s="35"/>
      <c r="J123" s="35">
        <f>SUM(C123:I123)</f>
        <v>2</v>
      </c>
      <c r="K123" s="288">
        <f>C123*100800</f>
        <v>201600</v>
      </c>
      <c r="L123" s="294">
        <f>D123*86900</f>
        <v>0</v>
      </c>
      <c r="M123" s="299">
        <f>E123*86900</f>
        <v>0</v>
      </c>
      <c r="N123" s="282"/>
      <c r="O123" s="282"/>
      <c r="P123" s="282"/>
      <c r="R123" s="4">
        <f>SUM(K123:Q123)</f>
        <v>201600</v>
      </c>
      <c r="S123" s="4">
        <f>J123*36064</f>
        <v>72128</v>
      </c>
    </row>
    <row r="124" spans="1:19">
      <c r="A124" s="29" t="s">
        <v>166</v>
      </c>
      <c r="B124" s="375" t="s">
        <v>165</v>
      </c>
      <c r="C124" s="237">
        <v>3</v>
      </c>
      <c r="D124" s="235"/>
      <c r="E124" s="234"/>
      <c r="F124" s="230"/>
      <c r="G124" s="230"/>
      <c r="H124" s="197"/>
      <c r="I124" s="35"/>
      <c r="J124" s="35">
        <f>SUM(C124:I124)</f>
        <v>3</v>
      </c>
      <c r="K124" s="288">
        <f t="shared" ref="K124:K126" si="65">C124*100800</f>
        <v>302400</v>
      </c>
      <c r="L124" s="294">
        <f t="shared" ref="L124:M126" si="66">D124*86900</f>
        <v>0</v>
      </c>
      <c r="M124" s="299">
        <f t="shared" si="66"/>
        <v>0</v>
      </c>
      <c r="N124" s="282"/>
      <c r="O124" s="282"/>
      <c r="P124" s="282"/>
      <c r="R124" s="4">
        <f t="shared" ref="R124:R126" si="67">SUM(K124:Q124)</f>
        <v>302400</v>
      </c>
      <c r="S124" s="4">
        <f t="shared" ref="S124:S126" si="68">J124*36064</f>
        <v>108192</v>
      </c>
    </row>
    <row r="125" spans="1:19">
      <c r="A125" s="29" t="s">
        <v>167</v>
      </c>
      <c r="B125" s="375" t="s">
        <v>165</v>
      </c>
      <c r="C125" s="233">
        <v>3</v>
      </c>
      <c r="D125" s="235"/>
      <c r="E125" s="234"/>
      <c r="F125" s="230"/>
      <c r="G125" s="230"/>
      <c r="H125" s="197"/>
      <c r="I125" s="35"/>
      <c r="J125" s="35">
        <f>SUM(C125:I125)</f>
        <v>3</v>
      </c>
      <c r="K125" s="288">
        <f t="shared" si="65"/>
        <v>302400</v>
      </c>
      <c r="L125" s="294">
        <f t="shared" si="66"/>
        <v>0</v>
      </c>
      <c r="M125" s="299">
        <f t="shared" si="66"/>
        <v>0</v>
      </c>
      <c r="N125" s="282"/>
      <c r="O125" s="282"/>
      <c r="P125" s="282"/>
      <c r="R125" s="4">
        <f t="shared" si="67"/>
        <v>302400</v>
      </c>
      <c r="S125" s="4">
        <f t="shared" si="68"/>
        <v>108192</v>
      </c>
    </row>
    <row r="126" spans="1:19">
      <c r="A126" s="29" t="s">
        <v>168</v>
      </c>
      <c r="B126" s="375" t="s">
        <v>165</v>
      </c>
      <c r="C126" s="237"/>
      <c r="D126" s="235"/>
      <c r="E126" s="234"/>
      <c r="F126" s="230"/>
      <c r="G126" s="230"/>
      <c r="H126" s="197"/>
      <c r="I126" s="35"/>
      <c r="J126" s="35">
        <f>SUM(C126:I126)</f>
        <v>0</v>
      </c>
      <c r="K126" s="288">
        <f t="shared" si="65"/>
        <v>0</v>
      </c>
      <c r="L126" s="294">
        <f t="shared" si="66"/>
        <v>0</v>
      </c>
      <c r="M126" s="299">
        <f t="shared" si="66"/>
        <v>0</v>
      </c>
      <c r="N126" s="282"/>
      <c r="O126" s="282"/>
      <c r="P126" s="282"/>
      <c r="R126" s="4">
        <f t="shared" si="67"/>
        <v>0</v>
      </c>
      <c r="S126" s="4">
        <f t="shared" si="68"/>
        <v>0</v>
      </c>
    </row>
    <row r="127" spans="1:19" s="24" customFormat="1">
      <c r="B127" s="74"/>
      <c r="C127" s="74"/>
      <c r="D127" s="82" t="s">
        <v>3</v>
      </c>
      <c r="E127" s="83" t="s">
        <v>4</v>
      </c>
      <c r="F127" s="84" t="s">
        <v>5</v>
      </c>
      <c r="G127" s="84"/>
      <c r="H127" s="206"/>
      <c r="I127" s="84"/>
      <c r="J127" s="74" t="s">
        <v>6</v>
      </c>
      <c r="K127" s="443">
        <f>SUM(K123:K126)</f>
        <v>806400</v>
      </c>
      <c r="L127" s="456">
        <f t="shared" ref="L127:Q127" si="69">SUM(L123:L126)</f>
        <v>0</v>
      </c>
      <c r="M127" s="445">
        <f t="shared" si="69"/>
        <v>0</v>
      </c>
      <c r="N127" s="446">
        <f t="shared" si="69"/>
        <v>0</v>
      </c>
      <c r="O127" s="446">
        <f t="shared" si="69"/>
        <v>0</v>
      </c>
      <c r="P127" s="446">
        <f t="shared" si="69"/>
        <v>0</v>
      </c>
      <c r="Q127" s="443">
        <f t="shared" si="69"/>
        <v>0</v>
      </c>
      <c r="R127" s="447">
        <f>SUM(R123:R126)</f>
        <v>806400</v>
      </c>
      <c r="S127" s="448">
        <f>SUM(S123:S126)</f>
        <v>288512</v>
      </c>
    </row>
    <row r="128" spans="1:19">
      <c r="A128" s="24" t="s">
        <v>169</v>
      </c>
      <c r="B128" s="2" t="s">
        <v>2</v>
      </c>
      <c r="C128" s="87"/>
      <c r="D128" s="88" t="s">
        <v>170</v>
      </c>
      <c r="E128" s="89" t="s">
        <v>171</v>
      </c>
      <c r="F128" s="90" t="s">
        <v>370</v>
      </c>
      <c r="G128" s="73"/>
      <c r="H128" s="195"/>
      <c r="I128" s="73"/>
      <c r="J128" s="74"/>
      <c r="K128" s="219" t="s">
        <v>2</v>
      </c>
      <c r="L128" s="664" t="s">
        <v>734</v>
      </c>
      <c r="M128" s="664"/>
      <c r="N128" s="348" t="s">
        <v>16</v>
      </c>
      <c r="O128" s="348" t="s">
        <v>557</v>
      </c>
      <c r="P128" s="348" t="s">
        <v>464</v>
      </c>
      <c r="Q128" s="220"/>
      <c r="R128" s="220" t="s">
        <v>18</v>
      </c>
      <c r="S128" s="221" t="s">
        <v>19</v>
      </c>
    </row>
    <row r="129" spans="1:19">
      <c r="A129" s="129" t="s">
        <v>172</v>
      </c>
      <c r="B129" s="87"/>
      <c r="C129" s="35"/>
      <c r="D129" s="32"/>
      <c r="E129" s="33"/>
      <c r="F129" s="230"/>
      <c r="G129" s="241"/>
      <c r="H129" s="195"/>
      <c r="I129" s="73"/>
      <c r="J129" s="35">
        <f>SUM(C129:I129)</f>
        <v>0</v>
      </c>
      <c r="L129" s="173"/>
      <c r="M129" s="299"/>
      <c r="N129" s="282">
        <f>F129*39000</f>
        <v>0</v>
      </c>
      <c r="P129" s="210"/>
      <c r="R129" s="4">
        <f>SUM(K129:Q129)</f>
        <v>0</v>
      </c>
      <c r="S129" s="4">
        <f>J129*22255</f>
        <v>0</v>
      </c>
    </row>
    <row r="130" spans="1:19">
      <c r="A130" s="129" t="s">
        <v>173</v>
      </c>
      <c r="B130" s="87"/>
      <c r="C130" s="35"/>
      <c r="D130" s="32"/>
      <c r="E130" s="33"/>
      <c r="F130" s="230"/>
      <c r="G130" s="241"/>
      <c r="H130" s="195"/>
      <c r="I130" s="73"/>
      <c r="J130" s="35">
        <f>SUM(C130:I130)</f>
        <v>0</v>
      </c>
      <c r="L130" s="173"/>
      <c r="M130" s="299"/>
      <c r="N130" s="282">
        <f>F130*39000</f>
        <v>0</v>
      </c>
      <c r="P130" s="210"/>
      <c r="R130" s="4">
        <f t="shared" ref="R130:R132" si="70">SUM(K130:Q130)</f>
        <v>0</v>
      </c>
      <c r="S130" s="4">
        <f>J130*32062</f>
        <v>0</v>
      </c>
    </row>
    <row r="131" spans="1:19">
      <c r="A131" s="129" t="s">
        <v>174</v>
      </c>
      <c r="B131" s="87"/>
      <c r="C131" s="35"/>
      <c r="D131" s="32"/>
      <c r="E131" s="33"/>
      <c r="F131" s="230"/>
      <c r="G131" s="241"/>
      <c r="H131" s="195"/>
      <c r="I131" s="73"/>
      <c r="J131" s="35">
        <f>SUM(C131:I131)</f>
        <v>0</v>
      </c>
      <c r="L131" s="173"/>
      <c r="M131" s="299"/>
      <c r="N131" s="282">
        <f>F131*39000</f>
        <v>0</v>
      </c>
      <c r="P131" s="210"/>
      <c r="R131" s="4">
        <f t="shared" si="70"/>
        <v>0</v>
      </c>
      <c r="S131" s="4">
        <f>J131*29799</f>
        <v>0</v>
      </c>
    </row>
    <row r="132" spans="1:19">
      <c r="A132" s="129" t="s">
        <v>175</v>
      </c>
      <c r="B132" s="87"/>
      <c r="C132" s="35"/>
      <c r="D132" s="32"/>
      <c r="E132" s="33"/>
      <c r="F132" s="230"/>
      <c r="G132" s="241"/>
      <c r="H132" s="195"/>
      <c r="I132" s="73"/>
      <c r="J132" s="35">
        <f>SUM(C132:I132)</f>
        <v>0</v>
      </c>
      <c r="L132" s="173"/>
      <c r="M132" s="299"/>
      <c r="N132" s="282">
        <f>F132*39000</f>
        <v>0</v>
      </c>
      <c r="P132" s="210"/>
      <c r="R132" s="4">
        <f t="shared" si="70"/>
        <v>0</v>
      </c>
      <c r="S132" s="4">
        <f>J132*32062</f>
        <v>0</v>
      </c>
    </row>
    <row r="133" spans="1:19" s="24" customFormat="1">
      <c r="B133" s="74"/>
      <c r="C133" s="74"/>
      <c r="D133" s="9"/>
      <c r="E133" s="10"/>
      <c r="F133" s="12"/>
      <c r="G133" s="12"/>
      <c r="H133" s="192"/>
      <c r="I133" s="84"/>
      <c r="J133" s="13" t="s">
        <v>6</v>
      </c>
      <c r="K133" s="443">
        <f t="shared" ref="K133:S133" si="71">SUM(K129:K132)</f>
        <v>0</v>
      </c>
      <c r="L133" s="444">
        <f t="shared" si="71"/>
        <v>0</v>
      </c>
      <c r="M133" s="445">
        <f t="shared" si="71"/>
        <v>0</v>
      </c>
      <c r="N133" s="446">
        <f t="shared" si="71"/>
        <v>0</v>
      </c>
      <c r="O133" s="446">
        <f t="shared" si="71"/>
        <v>0</v>
      </c>
      <c r="P133" s="443">
        <f t="shared" si="71"/>
        <v>0</v>
      </c>
      <c r="Q133" s="443">
        <f t="shared" si="71"/>
        <v>0</v>
      </c>
      <c r="R133" s="447">
        <f t="shared" si="71"/>
        <v>0</v>
      </c>
      <c r="S133" s="448">
        <f t="shared" si="71"/>
        <v>0</v>
      </c>
    </row>
    <row r="134" spans="1:19" s="24" customFormat="1">
      <c r="B134" s="74"/>
      <c r="C134" s="74" t="s">
        <v>2</v>
      </c>
      <c r="D134" s="9" t="s">
        <v>3</v>
      </c>
      <c r="E134" s="10" t="s">
        <v>4</v>
      </c>
      <c r="F134" s="12" t="s">
        <v>5</v>
      </c>
      <c r="G134" s="12"/>
      <c r="H134" s="192"/>
      <c r="I134" s="92"/>
      <c r="J134" s="13"/>
      <c r="K134" s="253"/>
      <c r="L134" s="466"/>
      <c r="M134" s="463"/>
      <c r="N134" s="284"/>
      <c r="O134" s="284"/>
      <c r="P134" s="253"/>
      <c r="Q134" s="253"/>
      <c r="R134" s="464"/>
      <c r="S134" s="464"/>
    </row>
    <row r="135" spans="1:19">
      <c r="C135" s="1"/>
      <c r="D135" s="55" t="s">
        <v>176</v>
      </c>
      <c r="E135" s="15" t="s">
        <v>437</v>
      </c>
      <c r="F135" s="84"/>
      <c r="G135" s="12"/>
      <c r="H135" s="192"/>
      <c r="I135" s="92"/>
      <c r="J135" s="13"/>
      <c r="L135" s="173"/>
      <c r="M135" s="299"/>
      <c r="P135" s="210"/>
    </row>
    <row r="136" spans="1:19">
      <c r="A136" s="24" t="s">
        <v>177</v>
      </c>
      <c r="B136" s="93"/>
      <c r="C136" s="94"/>
      <c r="D136" s="55" t="s">
        <v>178</v>
      </c>
      <c r="E136" s="15" t="s">
        <v>179</v>
      </c>
      <c r="F136" s="45"/>
      <c r="G136" s="22"/>
      <c r="H136" s="193"/>
      <c r="I136" s="66"/>
      <c r="J136" s="66"/>
      <c r="K136" s="219" t="s">
        <v>2</v>
      </c>
      <c r="L136" s="664" t="s">
        <v>734</v>
      </c>
      <c r="M136" s="664"/>
      <c r="N136" s="348" t="s">
        <v>16</v>
      </c>
      <c r="O136" s="348" t="s">
        <v>557</v>
      </c>
      <c r="P136" s="348" t="s">
        <v>464</v>
      </c>
      <c r="Q136" s="419"/>
      <c r="R136" s="220" t="s">
        <v>18</v>
      </c>
      <c r="S136" s="221" t="s">
        <v>19</v>
      </c>
    </row>
    <row r="137" spans="1:19">
      <c r="A137" s="24"/>
      <c r="B137" s="365"/>
      <c r="C137" s="94"/>
      <c r="D137" s="55"/>
      <c r="E137" s="15" t="s">
        <v>504</v>
      </c>
      <c r="F137" s="45"/>
      <c r="G137" s="22"/>
      <c r="H137" s="193"/>
      <c r="I137" s="66"/>
      <c r="J137" s="66"/>
      <c r="K137" s="28"/>
      <c r="L137" s="296"/>
      <c r="M137" s="301"/>
      <c r="N137" s="286"/>
      <c r="O137" s="286"/>
      <c r="P137" s="286"/>
      <c r="Q137" s="279"/>
      <c r="R137" s="5"/>
    </row>
    <row r="138" spans="1:19">
      <c r="A138" s="95" t="s">
        <v>180</v>
      </c>
      <c r="B138" s="67" t="s">
        <v>110</v>
      </c>
      <c r="C138" s="312">
        <v>7</v>
      </c>
      <c r="D138" s="235"/>
      <c r="E138" s="234"/>
      <c r="F138" s="34"/>
      <c r="G138" s="34"/>
      <c r="H138" s="195"/>
      <c r="I138" s="41"/>
      <c r="J138" s="35">
        <f>SUM(C138:I138)</f>
        <v>7</v>
      </c>
      <c r="K138" s="254">
        <f>C138*134000</f>
        <v>938000</v>
      </c>
      <c r="L138" s="173">
        <f>D138*106700</f>
        <v>0</v>
      </c>
      <c r="M138" s="299">
        <f>E138*106700</f>
        <v>0</v>
      </c>
      <c r="N138" s="282"/>
      <c r="O138" s="282"/>
      <c r="P138" s="282"/>
      <c r="Q138" s="279"/>
      <c r="R138" s="4">
        <f>SUM(K138:Q138)</f>
        <v>938000</v>
      </c>
      <c r="S138" s="4">
        <f>J138*59055</f>
        <v>413385</v>
      </c>
    </row>
    <row r="139" spans="1:19">
      <c r="A139" s="95" t="s">
        <v>181</v>
      </c>
      <c r="B139" s="67" t="s">
        <v>115</v>
      </c>
      <c r="C139" s="312"/>
      <c r="D139" s="235"/>
      <c r="E139" s="234"/>
      <c r="F139" s="34"/>
      <c r="G139" s="34"/>
      <c r="H139" s="195"/>
      <c r="I139" s="41"/>
      <c r="J139" s="35">
        <f>SUM(C139:I139)</f>
        <v>0</v>
      </c>
      <c r="K139" s="254">
        <f>C139*134000</f>
        <v>0</v>
      </c>
      <c r="L139" s="173">
        <f>D139*106700</f>
        <v>0</v>
      </c>
      <c r="M139" s="299">
        <f>E139*106700</f>
        <v>0</v>
      </c>
      <c r="N139" s="282"/>
      <c r="O139" s="282"/>
      <c r="P139" s="282"/>
      <c r="Q139" s="279"/>
      <c r="R139" s="4">
        <f t="shared" ref="R139:R140" si="72">SUM(K139:Q139)</f>
        <v>0</v>
      </c>
      <c r="S139" s="4">
        <f>J139*40000</f>
        <v>0</v>
      </c>
    </row>
    <row r="140" spans="1:19">
      <c r="A140" s="555" t="s">
        <v>493</v>
      </c>
      <c r="B140" s="556" t="s">
        <v>494</v>
      </c>
      <c r="C140" s="559"/>
      <c r="D140" s="235"/>
      <c r="E140" s="234"/>
      <c r="F140" s="191"/>
      <c r="G140" s="34"/>
      <c r="H140" s="195"/>
      <c r="I140" s="41"/>
      <c r="J140" s="35">
        <f>SUM(C140:I140)</f>
        <v>0</v>
      </c>
      <c r="K140" s="268">
        <f>C140*89600</f>
        <v>0</v>
      </c>
      <c r="L140" s="173">
        <f>D140*89600</f>
        <v>0</v>
      </c>
      <c r="M140" s="299">
        <f>E140*89600</f>
        <v>0</v>
      </c>
      <c r="N140" s="282">
        <f>F140*89600</f>
        <v>0</v>
      </c>
      <c r="O140" s="282"/>
      <c r="P140" s="282"/>
      <c r="Q140" s="279"/>
      <c r="R140" s="4">
        <f t="shared" si="72"/>
        <v>0</v>
      </c>
      <c r="S140" s="4">
        <f>J140*55173</f>
        <v>0</v>
      </c>
    </row>
    <row r="141" spans="1:19">
      <c r="A141" s="96"/>
      <c r="D141" s="97"/>
      <c r="E141" s="98"/>
      <c r="F141" s="99"/>
      <c r="G141" s="100"/>
      <c r="H141" s="198"/>
      <c r="I141" s="72"/>
      <c r="J141" s="72" t="s">
        <v>6</v>
      </c>
      <c r="K141" s="443">
        <f>SUM(K137:K140)</f>
        <v>938000</v>
      </c>
      <c r="L141" s="444">
        <f t="shared" ref="L141:S141" si="73">SUM(L137:L140)</f>
        <v>0</v>
      </c>
      <c r="M141" s="445">
        <f t="shared" si="73"/>
        <v>0</v>
      </c>
      <c r="N141" s="446">
        <f t="shared" si="73"/>
        <v>0</v>
      </c>
      <c r="O141" s="446">
        <f t="shared" si="73"/>
        <v>0</v>
      </c>
      <c r="P141" s="446">
        <f t="shared" si="73"/>
        <v>0</v>
      </c>
      <c r="Q141" s="446">
        <f t="shared" si="73"/>
        <v>0</v>
      </c>
      <c r="R141" s="447">
        <f t="shared" si="73"/>
        <v>938000</v>
      </c>
      <c r="S141" s="448">
        <f t="shared" si="73"/>
        <v>413385</v>
      </c>
    </row>
    <row r="142" spans="1:19" s="24" customFormat="1">
      <c r="B142" s="74"/>
      <c r="C142" s="31"/>
      <c r="D142" s="588" t="s">
        <v>3</v>
      </c>
      <c r="E142" s="589" t="s">
        <v>4</v>
      </c>
      <c r="F142" s="579" t="s">
        <v>5</v>
      </c>
      <c r="G142" s="579"/>
      <c r="H142" s="590"/>
      <c r="I142" s="84" t="s">
        <v>368</v>
      </c>
      <c r="J142" s="85"/>
      <c r="K142" s="253"/>
      <c r="L142" s="466"/>
      <c r="M142" s="463"/>
      <c r="N142" s="284"/>
      <c r="O142" s="284"/>
      <c r="P142" s="284"/>
      <c r="Q142" s="284"/>
      <c r="R142" s="464"/>
      <c r="S142" s="464"/>
    </row>
    <row r="143" spans="1:19">
      <c r="A143" s="24"/>
      <c r="C143" s="584"/>
      <c r="D143" s="584" t="s">
        <v>359</v>
      </c>
      <c r="E143" s="585" t="s">
        <v>184</v>
      </c>
      <c r="F143" s="586"/>
      <c r="G143" s="108"/>
      <c r="H143" s="587"/>
      <c r="I143" s="108"/>
      <c r="J143" s="107"/>
      <c r="L143" s="173"/>
      <c r="P143" s="210"/>
    </row>
    <row r="144" spans="1:19">
      <c r="A144" s="24"/>
      <c r="C144" s="104" t="s">
        <v>345</v>
      </c>
      <c r="D144" s="394" t="s">
        <v>182</v>
      </c>
      <c r="E144" s="15" t="s">
        <v>183</v>
      </c>
      <c r="F144" s="20" t="s">
        <v>515</v>
      </c>
      <c r="G144" s="84" t="s">
        <v>374</v>
      </c>
      <c r="H144" s="195"/>
      <c r="I144" s="73"/>
      <c r="J144" s="102"/>
      <c r="L144" s="173"/>
      <c r="P144" s="210"/>
    </row>
    <row r="145" spans="1:19">
      <c r="A145" s="24"/>
      <c r="C145" s="104" t="s">
        <v>187</v>
      </c>
      <c r="D145" s="394" t="s">
        <v>188</v>
      </c>
      <c r="E145" s="15" t="s">
        <v>189</v>
      </c>
      <c r="F145" s="45" t="s">
        <v>185</v>
      </c>
      <c r="G145" s="101" t="s">
        <v>561</v>
      </c>
      <c r="H145" s="207"/>
      <c r="I145" s="84"/>
      <c r="J145" s="102"/>
      <c r="L145" s="173"/>
      <c r="P145" s="210"/>
    </row>
    <row r="146" spans="1:19" ht="24">
      <c r="A146" s="24" t="s">
        <v>186</v>
      </c>
      <c r="C146" s="104" t="s">
        <v>190</v>
      </c>
      <c r="D146" s="394" t="s">
        <v>191</v>
      </c>
      <c r="E146" s="15" t="s">
        <v>192</v>
      </c>
      <c r="F146" s="20" t="s">
        <v>14</v>
      </c>
      <c r="G146" s="26" t="s">
        <v>15</v>
      </c>
      <c r="H146" s="195"/>
      <c r="I146" s="20"/>
      <c r="J146" s="102"/>
      <c r="L146" s="173"/>
      <c r="P146" s="210"/>
    </row>
    <row r="147" spans="1:19">
      <c r="A147" s="24"/>
      <c r="C147" s="104" t="s">
        <v>193</v>
      </c>
      <c r="D147" s="394" t="s">
        <v>194</v>
      </c>
      <c r="E147" s="15" t="s">
        <v>195</v>
      </c>
      <c r="F147" s="20"/>
      <c r="G147" s="292"/>
      <c r="H147" s="195"/>
      <c r="I147" s="109"/>
      <c r="J147" s="124"/>
      <c r="L147" s="173"/>
      <c r="P147" s="210"/>
    </row>
    <row r="148" spans="1:19">
      <c r="A148" s="24"/>
      <c r="B148" s="104"/>
      <c r="C148" s="104" t="s">
        <v>196</v>
      </c>
      <c r="D148" s="55" t="s">
        <v>142</v>
      </c>
      <c r="E148" s="15" t="s">
        <v>143</v>
      </c>
      <c r="F148" s="20"/>
      <c r="G148" s="147"/>
      <c r="H148" s="195"/>
      <c r="I148" s="20"/>
      <c r="J148" s="124"/>
      <c r="L148" s="173"/>
      <c r="P148" s="210"/>
    </row>
    <row r="149" spans="1:19">
      <c r="A149" s="24"/>
      <c r="B149" s="1" t="s">
        <v>2</v>
      </c>
      <c r="C149" s="552"/>
      <c r="D149" s="553"/>
      <c r="E149" s="553"/>
      <c r="F149" s="106"/>
      <c r="G149" s="107"/>
      <c r="H149" s="202"/>
      <c r="I149" s="107"/>
      <c r="J149" s="108"/>
      <c r="K149" s="591" t="s">
        <v>2</v>
      </c>
      <c r="L149" s="664" t="s">
        <v>734</v>
      </c>
      <c r="M149" s="664"/>
      <c r="N149" s="348" t="s">
        <v>16</v>
      </c>
      <c r="O149" s="348" t="s">
        <v>557</v>
      </c>
      <c r="P149" s="348" t="s">
        <v>464</v>
      </c>
      <c r="Q149" s="348" t="s">
        <v>17</v>
      </c>
      <c r="R149" s="220" t="s">
        <v>18</v>
      </c>
      <c r="S149" s="221" t="s">
        <v>19</v>
      </c>
    </row>
    <row r="150" spans="1:19">
      <c r="A150" s="79" t="s">
        <v>197</v>
      </c>
      <c r="B150" s="375" t="s">
        <v>716</v>
      </c>
      <c r="C150" s="233">
        <v>492</v>
      </c>
      <c r="D150" s="366"/>
      <c r="E150" s="339">
        <v>108</v>
      </c>
      <c r="F150" s="230"/>
      <c r="G150" s="231"/>
      <c r="H150" s="236"/>
      <c r="I150" s="242"/>
      <c r="J150" s="35">
        <f t="shared" ref="J150:J158" si="74">SUM(C150:I150)</f>
        <v>600</v>
      </c>
      <c r="K150" s="254">
        <f>C150*10400</f>
        <v>5116800</v>
      </c>
      <c r="L150" s="173">
        <f>D150*9000</f>
        <v>0</v>
      </c>
      <c r="M150" s="299">
        <f>E150*9000</f>
        <v>972000</v>
      </c>
      <c r="N150" s="282"/>
      <c r="O150" s="282"/>
      <c r="P150" s="282"/>
      <c r="Q150" s="286"/>
      <c r="R150" s="4">
        <f>SUM(K150:Q150)</f>
        <v>6088800</v>
      </c>
      <c r="S150" s="4">
        <f>J150*5400</f>
        <v>3240000</v>
      </c>
    </row>
    <row r="151" spans="1:19">
      <c r="A151" s="79" t="s">
        <v>198</v>
      </c>
      <c r="B151" s="375" t="s">
        <v>199</v>
      </c>
      <c r="C151" s="233">
        <v>286</v>
      </c>
      <c r="D151" s="235"/>
      <c r="E151" s="234">
        <v>72</v>
      </c>
      <c r="F151" s="230">
        <v>1</v>
      </c>
      <c r="G151" s="242"/>
      <c r="H151" s="236"/>
      <c r="I151" s="230"/>
      <c r="J151" s="35">
        <f t="shared" si="74"/>
        <v>359</v>
      </c>
      <c r="K151" s="254">
        <f>C151*14700</f>
        <v>4204200</v>
      </c>
      <c r="L151" s="173">
        <f>D151*12900</f>
        <v>0</v>
      </c>
      <c r="M151" s="299">
        <f>E151*12900</f>
        <v>928800</v>
      </c>
      <c r="N151" s="282"/>
      <c r="O151" s="282">
        <f>F151*11760</f>
        <v>11760</v>
      </c>
      <c r="P151" s="282"/>
      <c r="Q151" s="286"/>
      <c r="R151" s="4">
        <f t="shared" ref="R151:R158" si="75">SUM(K151:Q151)</f>
        <v>5144760</v>
      </c>
      <c r="S151" s="4">
        <f>J151*7140</f>
        <v>2563260</v>
      </c>
    </row>
    <row r="152" spans="1:19">
      <c r="A152" s="79" t="s">
        <v>200</v>
      </c>
      <c r="B152" s="373"/>
      <c r="C152" s="261"/>
      <c r="D152" s="340"/>
      <c r="E152" s="341"/>
      <c r="F152" s="230"/>
      <c r="G152" s="231"/>
      <c r="H152" s="236"/>
      <c r="I152" s="230"/>
      <c r="J152" s="35">
        <f t="shared" si="74"/>
        <v>0</v>
      </c>
      <c r="K152" s="181">
        <f>C152*4500</f>
        <v>0</v>
      </c>
      <c r="L152" s="173">
        <f>D152*4500</f>
        <v>0</v>
      </c>
      <c r="M152" s="299">
        <f>E152*4500</f>
        <v>0</v>
      </c>
      <c r="N152" s="282">
        <f>F152*4200</f>
        <v>0</v>
      </c>
      <c r="O152" s="282"/>
      <c r="P152" s="282"/>
      <c r="Q152" s="286"/>
      <c r="R152" s="4">
        <f t="shared" si="75"/>
        <v>0</v>
      </c>
      <c r="S152" s="4">
        <f>J152*1984</f>
        <v>0</v>
      </c>
    </row>
    <row r="153" spans="1:19">
      <c r="A153" s="79" t="s">
        <v>201</v>
      </c>
      <c r="B153" s="375" t="s">
        <v>202</v>
      </c>
      <c r="C153" s="233">
        <v>6</v>
      </c>
      <c r="D153" s="235"/>
      <c r="E153" s="234"/>
      <c r="F153" s="230"/>
      <c r="G153" s="231"/>
      <c r="H153" s="236"/>
      <c r="I153" s="230"/>
      <c r="J153" s="35">
        <f t="shared" si="74"/>
        <v>6</v>
      </c>
      <c r="K153" s="254">
        <f>C153*14700</f>
        <v>88200</v>
      </c>
      <c r="L153" s="173">
        <f>D153*11000</f>
        <v>0</v>
      </c>
      <c r="M153" s="299">
        <f>E153*11000</f>
        <v>0</v>
      </c>
      <c r="N153" s="282"/>
      <c r="O153" s="282"/>
      <c r="P153" s="282"/>
      <c r="Q153" s="286"/>
      <c r="R153" s="4">
        <f t="shared" si="75"/>
        <v>88200</v>
      </c>
      <c r="S153" s="4">
        <f>J153*4658</f>
        <v>27948</v>
      </c>
    </row>
    <row r="154" spans="1:19">
      <c r="A154" s="79" t="s">
        <v>203</v>
      </c>
      <c r="B154" s="375" t="s">
        <v>512</v>
      </c>
      <c r="C154" s="233">
        <v>81</v>
      </c>
      <c r="D154" s="235"/>
      <c r="E154" s="234"/>
      <c r="F154" s="230"/>
      <c r="G154" s="231"/>
      <c r="H154" s="236"/>
      <c r="I154" s="230"/>
      <c r="J154" s="35">
        <f t="shared" si="74"/>
        <v>81</v>
      </c>
      <c r="K154" s="254">
        <f>C154*26400</f>
        <v>2138400</v>
      </c>
      <c r="L154" s="173">
        <f>D154*18500</f>
        <v>0</v>
      </c>
      <c r="M154" s="299">
        <f>E154*18500</f>
        <v>0</v>
      </c>
      <c r="N154" s="282"/>
      <c r="O154" s="282"/>
      <c r="P154" s="282"/>
      <c r="Q154" s="286"/>
      <c r="R154" s="4">
        <f t="shared" si="75"/>
        <v>2138400</v>
      </c>
      <c r="S154" s="4">
        <f>J154*6653</f>
        <v>538893</v>
      </c>
    </row>
    <row r="155" spans="1:19">
      <c r="A155" s="79" t="s">
        <v>204</v>
      </c>
      <c r="B155" s="375" t="s">
        <v>409</v>
      </c>
      <c r="C155" s="233">
        <v>22</v>
      </c>
      <c r="D155" s="235"/>
      <c r="E155" s="234"/>
      <c r="F155" s="230"/>
      <c r="G155" s="231"/>
      <c r="H155" s="236"/>
      <c r="I155" s="230"/>
      <c r="J155" s="35">
        <f t="shared" si="74"/>
        <v>22</v>
      </c>
      <c r="K155" s="254">
        <f>C155*23100</f>
        <v>508200</v>
      </c>
      <c r="L155" s="173">
        <f>D155*17000</f>
        <v>0</v>
      </c>
      <c r="M155" s="299">
        <f>E155*17000</f>
        <v>0</v>
      </c>
      <c r="N155" s="282"/>
      <c r="O155" s="282"/>
      <c r="P155" s="282"/>
      <c r="Q155" s="286"/>
      <c r="R155" s="4">
        <f t="shared" si="75"/>
        <v>508200</v>
      </c>
      <c r="S155" s="4">
        <f>J155*8415</f>
        <v>185130</v>
      </c>
    </row>
    <row r="156" spans="1:19">
      <c r="A156" s="109" t="s">
        <v>205</v>
      </c>
      <c r="B156" s="45" t="s">
        <v>206</v>
      </c>
      <c r="C156" s="215"/>
      <c r="D156" s="235"/>
      <c r="E156" s="234">
        <v>36</v>
      </c>
      <c r="F156" s="230">
        <v>81</v>
      </c>
      <c r="G156" s="231"/>
      <c r="H156" s="236"/>
      <c r="I156" s="230"/>
      <c r="J156" s="35">
        <f t="shared" si="74"/>
        <v>117</v>
      </c>
      <c r="K156" s="284">
        <f>C156*21000</f>
        <v>0</v>
      </c>
      <c r="L156" s="173">
        <f>D156*15200</f>
        <v>0</v>
      </c>
      <c r="M156" s="299">
        <f>E156*15200</f>
        <v>547200</v>
      </c>
      <c r="N156" s="282">
        <f>F156*19640</f>
        <v>1590840</v>
      </c>
      <c r="O156" s="282"/>
      <c r="P156" s="282"/>
      <c r="Q156" s="286"/>
      <c r="R156" s="4">
        <f t="shared" si="75"/>
        <v>2138040</v>
      </c>
      <c r="S156" s="4">
        <f>J156*8415</f>
        <v>984555</v>
      </c>
    </row>
    <row r="157" spans="1:19">
      <c r="A157" s="115" t="s">
        <v>207</v>
      </c>
      <c r="B157" s="375" t="s">
        <v>208</v>
      </c>
      <c r="C157" s="237"/>
      <c r="D157" s="235"/>
      <c r="E157" s="234"/>
      <c r="F157" s="230"/>
      <c r="G157" s="231"/>
      <c r="H157" s="236"/>
      <c r="I157" s="230"/>
      <c r="J157" s="35">
        <f t="shared" si="74"/>
        <v>0</v>
      </c>
      <c r="K157" s="254">
        <f>C157*14700</f>
        <v>0</v>
      </c>
      <c r="L157" s="173">
        <f>D157*11000</f>
        <v>0</v>
      </c>
      <c r="M157" s="299">
        <f>E157*11000</f>
        <v>0</v>
      </c>
      <c r="N157" s="282"/>
      <c r="O157" s="282"/>
      <c r="P157" s="282"/>
      <c r="Q157" s="286"/>
      <c r="R157" s="4">
        <f t="shared" si="75"/>
        <v>0</v>
      </c>
      <c r="S157" s="4">
        <f>J157*5590</f>
        <v>0</v>
      </c>
    </row>
    <row r="158" spans="1:19">
      <c r="A158" s="115" t="s">
        <v>209</v>
      </c>
      <c r="B158" s="375" t="s">
        <v>210</v>
      </c>
      <c r="C158" s="237">
        <v>5</v>
      </c>
      <c r="D158" s="235"/>
      <c r="E158" s="234"/>
      <c r="F158" s="230"/>
      <c r="G158" s="231"/>
      <c r="H158" s="236"/>
      <c r="I158" s="230"/>
      <c r="J158" s="35">
        <f t="shared" si="74"/>
        <v>5</v>
      </c>
      <c r="K158" s="254">
        <f>C158*17500</f>
        <v>87500</v>
      </c>
      <c r="L158" s="173">
        <f>D158*17500</f>
        <v>0</v>
      </c>
      <c r="M158" s="299">
        <f>E158*17500</f>
        <v>0</v>
      </c>
      <c r="N158" s="282"/>
      <c r="O158" s="282"/>
      <c r="P158" s="282"/>
      <c r="Q158" s="286"/>
      <c r="R158" s="4">
        <f t="shared" si="75"/>
        <v>87500</v>
      </c>
      <c r="S158" s="4">
        <f>J158*7123</f>
        <v>35615</v>
      </c>
    </row>
    <row r="159" spans="1:19" s="24" customFormat="1">
      <c r="A159" s="468" t="s">
        <v>633</v>
      </c>
      <c r="B159" s="88" t="s">
        <v>431</v>
      </c>
      <c r="C159" s="560" t="s">
        <v>570</v>
      </c>
      <c r="D159" s="313" t="s">
        <v>418</v>
      </c>
      <c r="E159" s="89" t="s">
        <v>212</v>
      </c>
      <c r="F159" s="357"/>
      <c r="G159" s="357"/>
      <c r="H159" s="358"/>
      <c r="I159" s="92" t="s">
        <v>141</v>
      </c>
      <c r="J159" s="58" t="s">
        <v>6</v>
      </c>
      <c r="K159" s="443">
        <f t="shared" ref="K159:S159" si="76">SUM(K150:K158)</f>
        <v>12143300</v>
      </c>
      <c r="L159" s="444">
        <f t="shared" si="76"/>
        <v>0</v>
      </c>
      <c r="M159" s="445">
        <f t="shared" si="76"/>
        <v>2448000</v>
      </c>
      <c r="N159" s="443">
        <f t="shared" si="76"/>
        <v>1590840</v>
      </c>
      <c r="O159" s="446">
        <f t="shared" si="76"/>
        <v>11760</v>
      </c>
      <c r="P159" s="446">
        <f t="shared" si="76"/>
        <v>0</v>
      </c>
      <c r="Q159" s="446">
        <f t="shared" si="76"/>
        <v>0</v>
      </c>
      <c r="R159" s="447">
        <f t="shared" si="76"/>
        <v>16193900</v>
      </c>
      <c r="S159" s="448">
        <f t="shared" si="76"/>
        <v>7575401</v>
      </c>
    </row>
    <row r="160" spans="1:19">
      <c r="A160" s="469" t="s">
        <v>562</v>
      </c>
      <c r="B160" s="55" t="s">
        <v>214</v>
      </c>
      <c r="C160" s="388" t="s">
        <v>635</v>
      </c>
      <c r="D160" s="88" t="s">
        <v>219</v>
      </c>
      <c r="E160" s="390"/>
      <c r="F160" s="20" t="s">
        <v>10</v>
      </c>
      <c r="G160" s="392" t="s">
        <v>11</v>
      </c>
      <c r="H160" s="20"/>
      <c r="I160" s="558"/>
      <c r="J160" s="353"/>
      <c r="K160" s="391"/>
      <c r="P160" s="210"/>
    </row>
    <row r="161" spans="1:19">
      <c r="A161" s="469" t="s">
        <v>413</v>
      </c>
      <c r="B161" s="88" t="s">
        <v>417</v>
      </c>
      <c r="C161" s="560" t="s">
        <v>636</v>
      </c>
      <c r="D161" s="88" t="s">
        <v>402</v>
      </c>
      <c r="E161" s="391" t="s">
        <v>407</v>
      </c>
      <c r="F161" s="20"/>
      <c r="G161" s="392"/>
      <c r="H161" s="20"/>
      <c r="I161" s="543"/>
      <c r="J161" s="395"/>
      <c r="K161" s="391"/>
      <c r="P161" s="210"/>
    </row>
    <row r="162" spans="1:19">
      <c r="A162" s="468" t="s">
        <v>719</v>
      </c>
      <c r="B162" s="88" t="s">
        <v>718</v>
      </c>
      <c r="C162" s="468" t="s">
        <v>572</v>
      </c>
      <c r="D162" s="55" t="s">
        <v>213</v>
      </c>
      <c r="E162" s="391" t="s">
        <v>516</v>
      </c>
      <c r="F162" s="20"/>
      <c r="G162" s="392"/>
      <c r="H162" s="20"/>
      <c r="I162" s="558"/>
      <c r="J162" s="107"/>
      <c r="K162" s="391"/>
      <c r="L162" s="142"/>
      <c r="P162" s="210"/>
    </row>
    <row r="163" spans="1:19">
      <c r="A163" s="469" t="s">
        <v>563</v>
      </c>
      <c r="B163" s="88" t="s">
        <v>365</v>
      </c>
      <c r="C163" s="560" t="s">
        <v>406</v>
      </c>
      <c r="D163" s="88" t="s">
        <v>405</v>
      </c>
      <c r="E163" s="391" t="s">
        <v>517</v>
      </c>
      <c r="F163" s="20"/>
      <c r="G163" s="533"/>
      <c r="H163" s="20"/>
      <c r="I163" s="157"/>
      <c r="J163" s="473"/>
      <c r="K163" s="391"/>
      <c r="L163" s="313"/>
      <c r="P163" s="210"/>
    </row>
    <row r="164" spans="1:19">
      <c r="A164" s="469" t="s">
        <v>564</v>
      </c>
      <c r="B164" s="88" t="s">
        <v>411</v>
      </c>
      <c r="C164" s="560" t="s">
        <v>498</v>
      </c>
      <c r="D164" s="88" t="s">
        <v>216</v>
      </c>
      <c r="E164" s="391" t="s">
        <v>518</v>
      </c>
      <c r="F164" s="20" t="s">
        <v>770</v>
      </c>
      <c r="G164" s="542" t="s">
        <v>771</v>
      </c>
      <c r="H164" s="20"/>
      <c r="I164" s="20"/>
      <c r="J164" s="112"/>
      <c r="K164" s="470"/>
      <c r="L164" s="313"/>
      <c r="P164" s="210"/>
    </row>
    <row r="165" spans="1:19" ht="24">
      <c r="A165" s="469" t="s">
        <v>427</v>
      </c>
      <c r="B165" s="88" t="s">
        <v>434</v>
      </c>
      <c r="C165" s="88" t="s">
        <v>569</v>
      </c>
      <c r="D165" s="88" t="s">
        <v>215</v>
      </c>
      <c r="E165" s="391" t="s">
        <v>642</v>
      </c>
      <c r="F165" s="20" t="s">
        <v>768</v>
      </c>
      <c r="G165" s="565" t="s">
        <v>769</v>
      </c>
      <c r="H165" s="20"/>
      <c r="I165" s="45" t="s">
        <v>0</v>
      </c>
      <c r="J165" s="473" t="s">
        <v>624</v>
      </c>
      <c r="K165" s="470"/>
      <c r="L165" s="142"/>
      <c r="P165" s="210"/>
    </row>
    <row r="166" spans="1:19" ht="24">
      <c r="A166" s="469" t="s">
        <v>565</v>
      </c>
      <c r="B166" s="88" t="s">
        <v>455</v>
      </c>
      <c r="C166" s="88" t="s">
        <v>422</v>
      </c>
      <c r="D166" s="88" t="s">
        <v>433</v>
      </c>
      <c r="E166" s="391" t="s">
        <v>643</v>
      </c>
      <c r="F166" s="20" t="s">
        <v>723</v>
      </c>
      <c r="G166" s="576" t="s">
        <v>724</v>
      </c>
      <c r="H166" s="575"/>
      <c r="I166" s="577"/>
      <c r="J166" s="45"/>
      <c r="K166" s="471"/>
      <c r="P166" s="210"/>
    </row>
    <row r="167" spans="1:19" ht="24">
      <c r="A167" s="469" t="s">
        <v>463</v>
      </c>
      <c r="B167" s="88" t="s">
        <v>462</v>
      </c>
      <c r="C167" s="562" t="s">
        <v>423</v>
      </c>
      <c r="D167" s="88" t="s">
        <v>432</v>
      </c>
      <c r="E167" s="391" t="s">
        <v>641</v>
      </c>
      <c r="F167" s="20" t="s">
        <v>595</v>
      </c>
      <c r="G167" s="578" t="s">
        <v>722</v>
      </c>
      <c r="H167" s="20"/>
      <c r="I167" s="308"/>
      <c r="J167" s="124" t="s">
        <v>368</v>
      </c>
      <c r="K167" s="22"/>
      <c r="P167" s="210"/>
    </row>
    <row r="168" spans="1:19">
      <c r="A168" s="469" t="s">
        <v>634</v>
      </c>
      <c r="B168" s="88" t="s">
        <v>218</v>
      </c>
      <c r="C168" s="563" t="s">
        <v>567</v>
      </c>
      <c r="D168" s="88" t="s">
        <v>502</v>
      </c>
      <c r="E168" s="391" t="s">
        <v>759</v>
      </c>
      <c r="F168" s="20" t="s">
        <v>475</v>
      </c>
      <c r="G168" s="471" t="s">
        <v>766</v>
      </c>
      <c r="H168" s="90" t="s">
        <v>242</v>
      </c>
      <c r="I168" s="467" t="s">
        <v>574</v>
      </c>
      <c r="J168" s="124"/>
      <c r="K168" s="22"/>
      <c r="P168" s="210"/>
    </row>
    <row r="169" spans="1:19">
      <c r="A169" s="469" t="s">
        <v>571</v>
      </c>
      <c r="B169" s="88" t="s">
        <v>566</v>
      </c>
      <c r="C169" s="88" t="s">
        <v>568</v>
      </c>
      <c r="D169" s="88" t="s">
        <v>220</v>
      </c>
      <c r="E169" s="391" t="s">
        <v>760</v>
      </c>
      <c r="F169" s="90"/>
      <c r="G169" s="557"/>
      <c r="H169" s="22"/>
      <c r="I169" s="308"/>
      <c r="J169" s="124"/>
      <c r="K169" s="472"/>
      <c r="P169" s="210"/>
    </row>
    <row r="170" spans="1:19">
      <c r="A170" s="468" t="s">
        <v>459</v>
      </c>
      <c r="B170" s="88" t="s">
        <v>461</v>
      </c>
      <c r="C170" s="561"/>
      <c r="D170" s="88"/>
      <c r="E170" s="313"/>
      <c r="F170" s="20"/>
      <c r="G170" s="393"/>
      <c r="H170" s="193"/>
      <c r="I170" s="535" t="s">
        <v>408</v>
      </c>
      <c r="J170" s="52" t="s">
        <v>368</v>
      </c>
      <c r="K170" s="474" t="s">
        <v>380</v>
      </c>
      <c r="L170" s="664" t="s">
        <v>734</v>
      </c>
      <c r="M170" s="664"/>
      <c r="N170" s="348" t="s">
        <v>465</v>
      </c>
      <c r="O170" s="549" t="s">
        <v>630</v>
      </c>
      <c r="P170" s="348" t="s">
        <v>464</v>
      </c>
      <c r="Q170" s="549" t="s">
        <v>631</v>
      </c>
      <c r="R170" s="220" t="s">
        <v>18</v>
      </c>
      <c r="S170" s="221" t="s">
        <v>19</v>
      </c>
    </row>
    <row r="171" spans="1:19">
      <c r="A171" s="24" t="s">
        <v>217</v>
      </c>
      <c r="B171" s="357"/>
      <c r="C171" s="233"/>
      <c r="D171" s="235"/>
      <c r="E171" s="241"/>
      <c r="F171" s="342"/>
      <c r="G171" s="241"/>
      <c r="H171" s="343"/>
      <c r="I171" s="232"/>
      <c r="J171" s="35"/>
      <c r="K171" s="28"/>
      <c r="L171" s="295"/>
      <c r="M171" s="299"/>
      <c r="N171" s="286"/>
      <c r="O171" s="286"/>
      <c r="P171" s="286"/>
      <c r="Q171" s="279"/>
      <c r="R171" s="5"/>
    </row>
    <row r="172" spans="1:19">
      <c r="A172" s="79" t="s">
        <v>424</v>
      </c>
      <c r="B172" s="375" t="s">
        <v>425</v>
      </c>
      <c r="C172" s="233">
        <v>3</v>
      </c>
      <c r="D172" s="235">
        <v>2</v>
      </c>
      <c r="E172" s="234"/>
      <c r="F172" s="342"/>
      <c r="G172" s="241"/>
      <c r="H172" s="343"/>
      <c r="I172" s="232"/>
      <c r="J172" s="35">
        <f>SUM(C172:I172)</f>
        <v>5</v>
      </c>
      <c r="K172" s="363">
        <f>C172*12800</f>
        <v>38400</v>
      </c>
      <c r="L172" s="295">
        <f>D172*9600</f>
        <v>19200</v>
      </c>
      <c r="M172" s="299">
        <f>E172*9600</f>
        <v>0</v>
      </c>
      <c r="N172" s="286"/>
      <c r="O172" s="286"/>
      <c r="P172" s="286"/>
      <c r="Q172" s="279"/>
      <c r="R172" s="5">
        <f>SUM(K172:Q172)</f>
        <v>57600</v>
      </c>
      <c r="S172" s="4">
        <f>J172*3857</f>
        <v>19285</v>
      </c>
    </row>
    <row r="173" spans="1:19">
      <c r="A173" s="79" t="s">
        <v>714</v>
      </c>
      <c r="B173" s="375" t="s">
        <v>717</v>
      </c>
      <c r="C173" s="233">
        <v>1</v>
      </c>
      <c r="D173" s="235">
        <v>1</v>
      </c>
      <c r="E173" s="234"/>
      <c r="F173" s="342"/>
      <c r="G173" s="241"/>
      <c r="H173" s="343"/>
      <c r="I173" s="232"/>
      <c r="J173" s="35">
        <f>SUM(C173:I173)</f>
        <v>2</v>
      </c>
      <c r="K173" s="363">
        <f>C173*36000</f>
        <v>36000</v>
      </c>
      <c r="L173" s="295">
        <f>D173*33000</f>
        <v>33000</v>
      </c>
      <c r="M173" s="299">
        <f>E173*33000</f>
        <v>0</v>
      </c>
      <c r="N173" s="286"/>
      <c r="O173" s="286"/>
      <c r="P173" s="286"/>
      <c r="Q173" s="279"/>
      <c r="R173" s="5">
        <f>SUM(K173:Q173)</f>
        <v>69000</v>
      </c>
      <c r="S173" s="4">
        <f>J173*8619</f>
        <v>17238</v>
      </c>
    </row>
    <row r="174" spans="1:19">
      <c r="A174" s="115" t="s">
        <v>221</v>
      </c>
      <c r="B174" s="375" t="s">
        <v>222</v>
      </c>
      <c r="C174" s="233">
        <v>150</v>
      </c>
      <c r="D174" s="235">
        <v>47</v>
      </c>
      <c r="E174" s="234"/>
      <c r="F174" s="215"/>
      <c r="G174" s="230"/>
      <c r="H174" s="230"/>
      <c r="I174" s="230"/>
      <c r="J174" s="35">
        <f t="shared" ref="J174:J222" si="77">SUM(C174:I174)</f>
        <v>197</v>
      </c>
      <c r="K174" s="254">
        <f>C174*28800</f>
        <v>4320000</v>
      </c>
      <c r="L174" s="294">
        <f>D174*26400</f>
        <v>1240800</v>
      </c>
      <c r="M174" s="299">
        <f>E174*26400</f>
        <v>0</v>
      </c>
      <c r="N174" s="282"/>
      <c r="O174" s="282"/>
      <c r="P174" s="282">
        <f>F174*28800</f>
        <v>0</v>
      </c>
      <c r="Q174" s="279"/>
      <c r="R174" s="5">
        <f t="shared" ref="R174:R222" si="78">SUM(K174:Q174)</f>
        <v>5560800</v>
      </c>
      <c r="S174" s="4">
        <f>J174*6704</f>
        <v>1320688</v>
      </c>
    </row>
    <row r="175" spans="1:19">
      <c r="A175" s="115" t="s">
        <v>413</v>
      </c>
      <c r="B175" s="375" t="s">
        <v>414</v>
      </c>
      <c r="C175" s="233">
        <v>98</v>
      </c>
      <c r="D175" s="235">
        <v>54</v>
      </c>
      <c r="E175" s="234"/>
      <c r="F175" s="238"/>
      <c r="G175" s="242"/>
      <c r="H175" s="230"/>
      <c r="I175" s="242"/>
      <c r="J175" s="35">
        <f t="shared" si="77"/>
        <v>152</v>
      </c>
      <c r="K175" s="254">
        <f>C175*16000</f>
        <v>1568000</v>
      </c>
      <c r="L175" s="294">
        <f>D175*11200</f>
        <v>604800</v>
      </c>
      <c r="M175" s="299">
        <f>E175*11200</f>
        <v>0</v>
      </c>
      <c r="N175" s="282"/>
      <c r="O175" s="286"/>
      <c r="P175" s="282"/>
      <c r="Q175" s="279"/>
      <c r="R175" s="5">
        <f t="shared" si="78"/>
        <v>2172800</v>
      </c>
      <c r="S175" s="4">
        <f>J175*3489</f>
        <v>530328</v>
      </c>
    </row>
    <row r="176" spans="1:19">
      <c r="A176" s="227" t="s">
        <v>223</v>
      </c>
      <c r="B176" s="376" t="s">
        <v>224</v>
      </c>
      <c r="C176" s="233">
        <v>13</v>
      </c>
      <c r="D176" s="235">
        <v>44</v>
      </c>
      <c r="E176" s="234"/>
      <c r="F176" s="215"/>
      <c r="G176" s="231"/>
      <c r="H176" s="236"/>
      <c r="I176" s="230"/>
      <c r="J176" s="35">
        <f t="shared" si="77"/>
        <v>57</v>
      </c>
      <c r="K176" s="254">
        <f>C176*16800</f>
        <v>218400</v>
      </c>
      <c r="L176" s="294">
        <f>D176*12800</f>
        <v>563200</v>
      </c>
      <c r="M176" s="299">
        <f>E176*12800</f>
        <v>0</v>
      </c>
      <c r="N176" s="282"/>
      <c r="O176" s="282"/>
      <c r="P176" s="282"/>
      <c r="Q176" s="279"/>
      <c r="R176" s="5">
        <f t="shared" si="78"/>
        <v>781600</v>
      </c>
      <c r="S176" s="4">
        <f>J176*3075</f>
        <v>175275</v>
      </c>
    </row>
    <row r="177" spans="1:19">
      <c r="A177" s="227" t="s">
        <v>410</v>
      </c>
      <c r="B177" s="682" t="s">
        <v>430</v>
      </c>
      <c r="C177" s="233">
        <v>26</v>
      </c>
      <c r="D177" s="235">
        <v>11</v>
      </c>
      <c r="E177" s="234"/>
      <c r="F177" s="215"/>
      <c r="G177" s="231"/>
      <c r="H177" s="236"/>
      <c r="I177" s="242"/>
      <c r="J177" s="35">
        <f t="shared" si="77"/>
        <v>37</v>
      </c>
      <c r="K177" s="254">
        <f>C177*36800</f>
        <v>956800</v>
      </c>
      <c r="L177" s="294">
        <f>D177*27200</f>
        <v>299200</v>
      </c>
      <c r="M177" s="299">
        <f>E177*27200</f>
        <v>0</v>
      </c>
      <c r="N177" s="282"/>
      <c r="O177" s="282"/>
      <c r="P177" s="282"/>
      <c r="Q177" s="279"/>
      <c r="R177" s="5">
        <f t="shared" si="78"/>
        <v>1256000</v>
      </c>
      <c r="S177" s="4">
        <f>J177*6040</f>
        <v>223480</v>
      </c>
    </row>
    <row r="178" spans="1:19">
      <c r="A178" s="227" t="s">
        <v>426</v>
      </c>
      <c r="B178" s="683"/>
      <c r="C178" s="233">
        <v>3</v>
      </c>
      <c r="D178" s="235"/>
      <c r="E178" s="234"/>
      <c r="F178" s="215"/>
      <c r="G178" s="231"/>
      <c r="H178" s="236"/>
      <c r="I178" s="242"/>
      <c r="J178" s="35">
        <f t="shared" si="77"/>
        <v>3</v>
      </c>
      <c r="K178" s="254">
        <f>C178*16000</f>
        <v>48000</v>
      </c>
      <c r="L178" s="294">
        <f>D178*12800</f>
        <v>0</v>
      </c>
      <c r="M178" s="299">
        <f>E178*12800</f>
        <v>0</v>
      </c>
      <c r="N178" s="282"/>
      <c r="O178" s="282"/>
      <c r="P178" s="282"/>
      <c r="Q178" s="279"/>
      <c r="R178" s="5">
        <f t="shared" si="78"/>
        <v>48000</v>
      </c>
      <c r="S178" s="4">
        <f>J178*4212</f>
        <v>12636</v>
      </c>
    </row>
    <row r="179" spans="1:19">
      <c r="A179" s="227" t="s">
        <v>427</v>
      </c>
      <c r="B179" s="376" t="s">
        <v>429</v>
      </c>
      <c r="C179" s="233">
        <v>2</v>
      </c>
      <c r="D179" s="235"/>
      <c r="E179" s="234"/>
      <c r="F179" s="215"/>
      <c r="G179" s="231"/>
      <c r="H179" s="236"/>
      <c r="I179" s="230"/>
      <c r="J179" s="35">
        <f t="shared" si="77"/>
        <v>2</v>
      </c>
      <c r="K179" s="254">
        <f>C179*28000</f>
        <v>56000</v>
      </c>
      <c r="L179" s="294">
        <f>D179*19600</f>
        <v>0</v>
      </c>
      <c r="M179" s="299">
        <f>E179*19600</f>
        <v>0</v>
      </c>
      <c r="N179" s="282"/>
      <c r="O179" s="282"/>
      <c r="P179" s="282"/>
      <c r="Q179" s="279"/>
      <c r="R179" s="5">
        <f t="shared" si="78"/>
        <v>56000</v>
      </c>
      <c r="S179" s="4">
        <f>J179*6097</f>
        <v>12194</v>
      </c>
    </row>
    <row r="180" spans="1:19">
      <c r="A180" s="227" t="s">
        <v>439</v>
      </c>
      <c r="B180" s="376" t="s">
        <v>440</v>
      </c>
      <c r="C180" s="233">
        <v>7</v>
      </c>
      <c r="D180" s="235">
        <v>7</v>
      </c>
      <c r="E180" s="234"/>
      <c r="F180" s="215"/>
      <c r="G180" s="231"/>
      <c r="H180" s="236"/>
      <c r="I180" s="230"/>
      <c r="J180" s="35">
        <f t="shared" si="77"/>
        <v>14</v>
      </c>
      <c r="K180" s="254">
        <f>C180*31000</f>
        <v>217000</v>
      </c>
      <c r="L180" s="294">
        <f>D180*19800</f>
        <v>138600</v>
      </c>
      <c r="M180" s="299">
        <f>E180*19800</f>
        <v>0</v>
      </c>
      <c r="N180" s="282"/>
      <c r="O180" s="282"/>
      <c r="P180" s="282"/>
      <c r="Q180" s="279"/>
      <c r="R180" s="5">
        <f t="shared" si="78"/>
        <v>355600</v>
      </c>
      <c r="S180" s="4">
        <f>J180*6612</f>
        <v>92568</v>
      </c>
    </row>
    <row r="181" spans="1:19" s="567" customFormat="1">
      <c r="A181" s="346" t="s">
        <v>441</v>
      </c>
      <c r="B181" s="376" t="s">
        <v>227</v>
      </c>
      <c r="C181" s="233">
        <v>6</v>
      </c>
      <c r="D181" s="235">
        <v>3</v>
      </c>
      <c r="E181" s="330"/>
      <c r="F181" s="242"/>
      <c r="G181" s="330"/>
      <c r="H181" s="242"/>
      <c r="I181" s="242"/>
      <c r="J181" s="218">
        <f t="shared" si="77"/>
        <v>9</v>
      </c>
      <c r="K181" s="364">
        <f>C181*27200</f>
        <v>163200</v>
      </c>
      <c r="L181" s="294">
        <f>D181*20000</f>
        <v>60000</v>
      </c>
      <c r="M181" s="299">
        <f>E181*20000</f>
        <v>0</v>
      </c>
      <c r="N181" s="282"/>
      <c r="O181" s="282"/>
      <c r="P181" s="282"/>
      <c r="Q181" s="279"/>
      <c r="R181" s="573">
        <f t="shared" si="78"/>
        <v>223200</v>
      </c>
      <c r="S181" s="529">
        <f>J181*4582</f>
        <v>41238</v>
      </c>
    </row>
    <row r="182" spans="1:19">
      <c r="A182" s="115" t="s">
        <v>225</v>
      </c>
      <c r="B182" s="547" t="s">
        <v>226</v>
      </c>
      <c r="C182" s="233">
        <v>17</v>
      </c>
      <c r="D182" s="235">
        <v>9</v>
      </c>
      <c r="E182" s="259"/>
      <c r="F182" s="230"/>
      <c r="G182" s="231"/>
      <c r="H182" s="230"/>
      <c r="I182" s="230"/>
      <c r="J182" s="35">
        <f t="shared" si="77"/>
        <v>26</v>
      </c>
      <c r="K182" s="254">
        <f>C182*16000</f>
        <v>272000</v>
      </c>
      <c r="L182" s="294">
        <f>D182*12000</f>
        <v>108000</v>
      </c>
      <c r="M182" s="299">
        <f>E182*19200</f>
        <v>0</v>
      </c>
      <c r="N182" s="282"/>
      <c r="O182" s="282"/>
      <c r="P182" s="282"/>
      <c r="Q182" s="279"/>
      <c r="R182" s="5">
        <f t="shared" si="78"/>
        <v>380000</v>
      </c>
      <c r="S182" s="4">
        <f>J182*3501</f>
        <v>91026</v>
      </c>
    </row>
    <row r="183" spans="1:19">
      <c r="A183" s="115" t="s">
        <v>470</v>
      </c>
      <c r="B183" s="547" t="s">
        <v>471</v>
      </c>
      <c r="C183" s="233">
        <v>11</v>
      </c>
      <c r="D183" s="255"/>
      <c r="E183" s="232"/>
      <c r="F183" s="230"/>
      <c r="G183" s="231"/>
      <c r="H183" s="230"/>
      <c r="I183" s="230"/>
      <c r="J183" s="35">
        <f t="shared" si="77"/>
        <v>11</v>
      </c>
      <c r="K183" s="254">
        <f>C183*19000</f>
        <v>209000</v>
      </c>
      <c r="L183" s="294">
        <f>D183*13000</f>
        <v>0</v>
      </c>
      <c r="M183" s="299">
        <f>E183*13000</f>
        <v>0</v>
      </c>
      <c r="N183" s="282"/>
      <c r="O183" s="282"/>
      <c r="P183" s="282"/>
      <c r="Q183" s="279"/>
      <c r="R183" s="5">
        <f t="shared" si="78"/>
        <v>209000</v>
      </c>
      <c r="S183" s="4">
        <f>J183*3677</f>
        <v>40447</v>
      </c>
    </row>
    <row r="184" spans="1:19">
      <c r="A184" s="346" t="s">
        <v>459</v>
      </c>
      <c r="B184" s="376" t="s">
        <v>460</v>
      </c>
      <c r="C184" s="239"/>
      <c r="D184" s="235"/>
      <c r="E184" s="234"/>
      <c r="F184" s="230"/>
      <c r="G184" s="322"/>
      <c r="H184" s="230"/>
      <c r="I184" s="242"/>
      <c r="J184" s="35">
        <f t="shared" si="77"/>
        <v>0</v>
      </c>
      <c r="K184" s="254">
        <f>C184*16000</f>
        <v>0</v>
      </c>
      <c r="L184" s="294">
        <f>D184*12000</f>
        <v>0</v>
      </c>
      <c r="M184" s="299">
        <f>E184*12000</f>
        <v>0</v>
      </c>
      <c r="N184" s="282"/>
      <c r="O184" s="282"/>
      <c r="P184" s="282"/>
      <c r="Q184" s="279"/>
      <c r="R184" s="5">
        <f t="shared" si="78"/>
        <v>0</v>
      </c>
      <c r="S184" s="4">
        <f>J184*4716</f>
        <v>0</v>
      </c>
    </row>
    <row r="185" spans="1:19" s="307" customFormat="1">
      <c r="A185" s="306" t="s">
        <v>416</v>
      </c>
      <c r="B185" s="375" t="s">
        <v>415</v>
      </c>
      <c r="C185" s="344">
        <v>1</v>
      </c>
      <c r="D185" s="235"/>
      <c r="E185" s="234"/>
      <c r="F185" s="230"/>
      <c r="G185" s="322"/>
      <c r="H185" s="230"/>
      <c r="I185" s="257"/>
      <c r="J185" s="35">
        <f t="shared" si="77"/>
        <v>1</v>
      </c>
      <c r="K185" s="254">
        <f>C185*26880</f>
        <v>26880</v>
      </c>
      <c r="L185" s="294">
        <f>D185*26400</f>
        <v>0</v>
      </c>
      <c r="M185" s="299">
        <f>E185*26400</f>
        <v>0</v>
      </c>
      <c r="N185" s="282"/>
      <c r="O185" s="282"/>
      <c r="P185" s="282">
        <f>H185*26880</f>
        <v>0</v>
      </c>
      <c r="Q185" s="279"/>
      <c r="R185" s="5">
        <f t="shared" si="78"/>
        <v>26880</v>
      </c>
      <c r="S185" s="4">
        <f>J185*8712</f>
        <v>8712</v>
      </c>
    </row>
    <row r="186" spans="1:19">
      <c r="A186" s="115" t="s">
        <v>228</v>
      </c>
      <c r="B186" s="375" t="s">
        <v>229</v>
      </c>
      <c r="C186" s="239">
        <v>9</v>
      </c>
      <c r="D186" s="235">
        <v>7</v>
      </c>
      <c r="E186" s="232"/>
      <c r="F186" s="230"/>
      <c r="G186" s="322"/>
      <c r="H186" s="230"/>
      <c r="I186" s="242"/>
      <c r="J186" s="35">
        <f t="shared" si="77"/>
        <v>16</v>
      </c>
      <c r="K186" s="254">
        <f>C186*30400</f>
        <v>273600</v>
      </c>
      <c r="L186" s="294">
        <f>D186*25600</f>
        <v>179200</v>
      </c>
      <c r="M186" s="299">
        <f>E186*25600</f>
        <v>0</v>
      </c>
      <c r="N186" s="282"/>
      <c r="O186" s="282"/>
      <c r="P186" s="282"/>
      <c r="Q186" s="279"/>
      <c r="R186" s="5">
        <f t="shared" si="78"/>
        <v>452800</v>
      </c>
      <c r="S186" s="4">
        <f>J186*5760</f>
        <v>92160</v>
      </c>
    </row>
    <row r="187" spans="1:19">
      <c r="A187" s="115" t="s">
        <v>397</v>
      </c>
      <c r="B187" s="375" t="s">
        <v>398</v>
      </c>
      <c r="C187" s="239">
        <v>34</v>
      </c>
      <c r="D187" s="235">
        <v>3</v>
      </c>
      <c r="E187" s="232"/>
      <c r="F187" s="230"/>
      <c r="G187" s="322"/>
      <c r="H187" s="230"/>
      <c r="I187" s="242"/>
      <c r="J187" s="35">
        <f t="shared" si="77"/>
        <v>37</v>
      </c>
      <c r="K187" s="254">
        <f>C187*17600</f>
        <v>598400</v>
      </c>
      <c r="L187" s="294">
        <f>D187*14400</f>
        <v>43200</v>
      </c>
      <c r="M187" s="302">
        <f>E187*14400</f>
        <v>0</v>
      </c>
      <c r="N187" s="284"/>
      <c r="O187" s="282"/>
      <c r="P187" s="282"/>
      <c r="Q187" s="279"/>
      <c r="R187" s="5">
        <f t="shared" si="78"/>
        <v>641600</v>
      </c>
      <c r="S187" s="4">
        <f>J187*3867</f>
        <v>143079</v>
      </c>
    </row>
    <row r="188" spans="1:19">
      <c r="A188" s="115" t="s">
        <v>435</v>
      </c>
      <c r="B188" s="375" t="s">
        <v>230</v>
      </c>
      <c r="C188" s="233"/>
      <c r="D188" s="235"/>
      <c r="E188" s="232"/>
      <c r="F188" s="230"/>
      <c r="G188" s="322"/>
      <c r="H188" s="230"/>
      <c r="I188" s="230"/>
      <c r="J188" s="35">
        <f t="shared" si="77"/>
        <v>0</v>
      </c>
      <c r="K188" s="254">
        <f>C188*64800</f>
        <v>0</v>
      </c>
      <c r="L188" s="294">
        <f>D188*51840</f>
        <v>0</v>
      </c>
      <c r="M188" s="299">
        <f>E188*51840</f>
        <v>0</v>
      </c>
      <c r="N188" s="282">
        <f>F188*45360</f>
        <v>0</v>
      </c>
      <c r="O188" s="282"/>
      <c r="P188" s="282">
        <f>H188*45360</f>
        <v>0</v>
      </c>
      <c r="Q188" s="279"/>
      <c r="R188" s="5">
        <f t="shared" si="78"/>
        <v>0</v>
      </c>
      <c r="S188" s="4">
        <f>J188*20308</f>
        <v>0</v>
      </c>
    </row>
    <row r="189" spans="1:19">
      <c r="A189" s="227" t="s">
        <v>403</v>
      </c>
      <c r="B189" s="375" t="s">
        <v>404</v>
      </c>
      <c r="C189" s="233">
        <v>282</v>
      </c>
      <c r="D189" s="235">
        <v>20</v>
      </c>
      <c r="E189" s="234">
        <v>72</v>
      </c>
      <c r="F189" s="230"/>
      <c r="G189" s="230"/>
      <c r="H189" s="230">
        <v>447</v>
      </c>
      <c r="I189" s="230"/>
      <c r="J189" s="35">
        <f t="shared" si="77"/>
        <v>821</v>
      </c>
      <c r="K189" s="254">
        <f>C189*11000</f>
        <v>3102000</v>
      </c>
      <c r="L189" s="294">
        <f>D189*9900</f>
        <v>198000</v>
      </c>
      <c r="M189" s="299">
        <f>E189*8800</f>
        <v>633600</v>
      </c>
      <c r="N189" s="282"/>
      <c r="O189" s="282">
        <f>F189*11000</f>
        <v>0</v>
      </c>
      <c r="P189" s="282">
        <f>H189*11000</f>
        <v>4917000</v>
      </c>
      <c r="Q189" s="279"/>
      <c r="R189" s="5">
        <f t="shared" si="78"/>
        <v>8850600</v>
      </c>
      <c r="S189" s="4">
        <f>J189*2006</f>
        <v>1646926</v>
      </c>
    </row>
    <row r="190" spans="1:19">
      <c r="A190" s="115" t="s">
        <v>498</v>
      </c>
      <c r="B190" s="375" t="s">
        <v>231</v>
      </c>
      <c r="C190" s="233">
        <v>12</v>
      </c>
      <c r="D190" s="235">
        <v>2</v>
      </c>
      <c r="E190" s="232"/>
      <c r="F190" s="215">
        <v>4</v>
      </c>
      <c r="G190" s="242"/>
      <c r="H190" s="230"/>
      <c r="I190" s="238"/>
      <c r="J190" s="35">
        <f t="shared" si="77"/>
        <v>18</v>
      </c>
      <c r="K190" s="254">
        <f>C190*16000</f>
        <v>192000</v>
      </c>
      <c r="L190" s="294">
        <f>D190*12000</f>
        <v>24000</v>
      </c>
      <c r="M190" s="299">
        <f>E190*12000</f>
        <v>0</v>
      </c>
      <c r="N190" s="282"/>
      <c r="O190" s="282">
        <f>F190*12800</f>
        <v>51200</v>
      </c>
      <c r="P190" s="282"/>
      <c r="Q190" s="279"/>
      <c r="R190" s="5">
        <f t="shared" si="78"/>
        <v>267200</v>
      </c>
      <c r="S190" s="4">
        <f>J190*2144</f>
        <v>38592</v>
      </c>
    </row>
    <row r="191" spans="1:19">
      <c r="A191" s="224" t="s">
        <v>232</v>
      </c>
      <c r="B191" s="90" t="s">
        <v>233</v>
      </c>
      <c r="C191" s="230">
        <v>200</v>
      </c>
      <c r="D191" s="235">
        <v>100</v>
      </c>
      <c r="E191" s="259"/>
      <c r="F191" s="230">
        <v>20</v>
      </c>
      <c r="G191" s="230"/>
      <c r="H191" s="230"/>
      <c r="I191" s="238"/>
      <c r="J191" s="35">
        <f t="shared" si="77"/>
        <v>320</v>
      </c>
      <c r="K191" s="284">
        <f>C191*1800</f>
        <v>360000</v>
      </c>
      <c r="L191" s="294">
        <f>D191*1600</f>
        <v>160000</v>
      </c>
      <c r="M191" s="299">
        <f>E191*1600</f>
        <v>0</v>
      </c>
      <c r="N191" s="282"/>
      <c r="O191" s="282">
        <f>F191*1600</f>
        <v>32000</v>
      </c>
      <c r="P191" s="282"/>
      <c r="Q191" s="279"/>
      <c r="R191" s="5">
        <f t="shared" si="78"/>
        <v>552000</v>
      </c>
      <c r="S191" s="4">
        <f>J191*818</f>
        <v>261760</v>
      </c>
    </row>
    <row r="192" spans="1:19">
      <c r="A192" s="115" t="s">
        <v>234</v>
      </c>
      <c r="B192" s="375" t="s">
        <v>233</v>
      </c>
      <c r="C192" s="233">
        <v>100</v>
      </c>
      <c r="D192" s="235"/>
      <c r="E192" s="259"/>
      <c r="F192" s="230"/>
      <c r="G192" s="230"/>
      <c r="H192" s="230"/>
      <c r="I192" s="215"/>
      <c r="J192" s="35">
        <f t="shared" si="77"/>
        <v>100</v>
      </c>
      <c r="K192" s="254">
        <f>C192*2000</f>
        <v>200000</v>
      </c>
      <c r="L192" s="294">
        <f>D192*1600</f>
        <v>0</v>
      </c>
      <c r="M192" s="299">
        <f>E192*1600</f>
        <v>0</v>
      </c>
      <c r="N192" s="282"/>
      <c r="O192" s="282">
        <f>F192*1600</f>
        <v>0</v>
      </c>
      <c r="P192" s="282"/>
      <c r="Q192" s="279"/>
      <c r="R192" s="5">
        <f t="shared" si="78"/>
        <v>200000</v>
      </c>
      <c r="S192" s="4">
        <f>J192*863</f>
        <v>86300</v>
      </c>
    </row>
    <row r="193" spans="1:19">
      <c r="A193" s="115" t="s">
        <v>767</v>
      </c>
      <c r="B193" s="375" t="s">
        <v>773</v>
      </c>
      <c r="C193" s="233">
        <v>5</v>
      </c>
      <c r="D193" s="235"/>
      <c r="E193" s="259"/>
      <c r="F193" s="230"/>
      <c r="G193" s="230"/>
      <c r="H193" s="230"/>
      <c r="I193" s="238">
        <v>166</v>
      </c>
      <c r="J193" s="35">
        <f t="shared" si="77"/>
        <v>171</v>
      </c>
      <c r="K193" s="254">
        <f>C193*24000</f>
        <v>120000</v>
      </c>
      <c r="L193" s="294"/>
      <c r="M193" s="299">
        <f>E193*18000</f>
        <v>0</v>
      </c>
      <c r="N193" s="282"/>
      <c r="O193" s="282"/>
      <c r="P193" s="282"/>
      <c r="Q193" s="279"/>
      <c r="R193" s="5">
        <f>SUM(K193:Q193)</f>
        <v>120000</v>
      </c>
      <c r="S193" s="4">
        <f>J193*3816</f>
        <v>652536</v>
      </c>
    </row>
    <row r="194" spans="1:19">
      <c r="A194" s="115" t="s">
        <v>422</v>
      </c>
      <c r="B194" s="375" t="s">
        <v>645</v>
      </c>
      <c r="C194" s="233">
        <v>45</v>
      </c>
      <c r="D194" s="235"/>
      <c r="E194" s="234"/>
      <c r="F194" s="230"/>
      <c r="G194" s="230"/>
      <c r="H194" s="230"/>
      <c r="I194" s="238">
        <v>199</v>
      </c>
      <c r="J194" s="35">
        <f t="shared" si="77"/>
        <v>244</v>
      </c>
      <c r="K194" s="254">
        <f>C194*19200</f>
        <v>864000</v>
      </c>
      <c r="L194" s="294">
        <f>D194*21000</f>
        <v>0</v>
      </c>
      <c r="M194" s="299">
        <f>E194*11000</f>
        <v>0</v>
      </c>
      <c r="N194" s="282"/>
      <c r="O194" s="282">
        <f>G194*19200</f>
        <v>0</v>
      </c>
      <c r="P194" s="282"/>
      <c r="Q194" s="279"/>
      <c r="R194" s="5">
        <f t="shared" si="78"/>
        <v>864000</v>
      </c>
      <c r="S194" s="4">
        <f>J194*4062</f>
        <v>991128</v>
      </c>
    </row>
    <row r="195" spans="1:19">
      <c r="A195" s="115" t="s">
        <v>423</v>
      </c>
      <c r="B195" s="375" t="s">
        <v>428</v>
      </c>
      <c r="C195" s="233"/>
      <c r="D195" s="235"/>
      <c r="E195" s="234"/>
      <c r="F195" s="230"/>
      <c r="G195" s="230"/>
      <c r="H195" s="230"/>
      <c r="I195" s="215"/>
      <c r="J195" s="35">
        <f t="shared" si="77"/>
        <v>0</v>
      </c>
      <c r="K195" s="254">
        <f>C195*24000</f>
        <v>0</v>
      </c>
      <c r="L195" s="294">
        <f>D195*21000</f>
        <v>0</v>
      </c>
      <c r="M195" s="299">
        <f>E195*21000</f>
        <v>0</v>
      </c>
      <c r="N195" s="282"/>
      <c r="O195" s="282">
        <f>G195*19200</f>
        <v>0</v>
      </c>
      <c r="P195" s="282"/>
      <c r="Q195" s="279"/>
      <c r="R195" s="5">
        <f t="shared" si="78"/>
        <v>0</v>
      </c>
      <c r="S195" s="4">
        <f>J195*7146</f>
        <v>0</v>
      </c>
    </row>
    <row r="196" spans="1:19">
      <c r="A196" s="115" t="s">
        <v>638</v>
      </c>
      <c r="B196" s="375" t="s">
        <v>640</v>
      </c>
      <c r="C196" s="233"/>
      <c r="D196" s="235"/>
      <c r="E196" s="234"/>
      <c r="F196" s="230"/>
      <c r="G196" s="230"/>
      <c r="H196" s="230"/>
      <c r="I196" s="215"/>
      <c r="J196" s="35">
        <f t="shared" si="77"/>
        <v>0</v>
      </c>
      <c r="K196" s="254">
        <f>C196*19200</f>
        <v>0</v>
      </c>
      <c r="L196" s="294"/>
      <c r="M196" s="299">
        <f>E196*11000</f>
        <v>0</v>
      </c>
      <c r="N196" s="282"/>
      <c r="O196" s="282"/>
      <c r="P196" s="282"/>
      <c r="Q196" s="279"/>
      <c r="R196" s="5">
        <f t="shared" si="78"/>
        <v>0</v>
      </c>
      <c r="S196" s="4">
        <f>J196*4314</f>
        <v>0</v>
      </c>
    </row>
    <row r="197" spans="1:19">
      <c r="A197" s="115" t="s">
        <v>639</v>
      </c>
      <c r="B197" s="375" t="s">
        <v>644</v>
      </c>
      <c r="C197" s="233">
        <v>1</v>
      </c>
      <c r="D197" s="235"/>
      <c r="E197" s="234"/>
      <c r="F197" s="230"/>
      <c r="G197" s="230"/>
      <c r="H197" s="230"/>
      <c r="I197" s="238"/>
      <c r="J197" s="35">
        <f t="shared" si="77"/>
        <v>1</v>
      </c>
      <c r="K197" s="254">
        <f>C197*9000</f>
        <v>9000</v>
      </c>
      <c r="L197" s="294"/>
      <c r="M197" s="299">
        <f>E197*6600</f>
        <v>0</v>
      </c>
      <c r="N197" s="282"/>
      <c r="O197" s="282"/>
      <c r="P197" s="282"/>
      <c r="Q197" s="279"/>
      <c r="R197" s="5">
        <f t="shared" si="78"/>
        <v>9000</v>
      </c>
      <c r="S197" s="4">
        <f>J197*3131</f>
        <v>3131</v>
      </c>
    </row>
    <row r="198" spans="1:19">
      <c r="A198" s="115" t="s">
        <v>648</v>
      </c>
      <c r="B198" s="375" t="s">
        <v>647</v>
      </c>
      <c r="C198" s="233"/>
      <c r="D198" s="235"/>
      <c r="E198" s="234"/>
      <c r="F198" s="230"/>
      <c r="G198" s="230"/>
      <c r="H198" s="230"/>
      <c r="I198" s="238"/>
      <c r="J198" s="35">
        <f t="shared" si="77"/>
        <v>0</v>
      </c>
      <c r="K198" s="254">
        <f>C198*5500</f>
        <v>0</v>
      </c>
      <c r="L198" s="254">
        <f>D198*5500</f>
        <v>0</v>
      </c>
      <c r="M198" s="299">
        <f>E198*5500</f>
        <v>0</v>
      </c>
      <c r="N198" s="282"/>
      <c r="O198" s="282"/>
      <c r="P198" s="282"/>
      <c r="Q198" s="279"/>
      <c r="R198" s="5">
        <f t="shared" si="78"/>
        <v>0</v>
      </c>
      <c r="S198" s="4">
        <f>J198*2426</f>
        <v>0</v>
      </c>
    </row>
    <row r="199" spans="1:19">
      <c r="A199" s="115" t="s">
        <v>649</v>
      </c>
      <c r="B199" s="375" t="s">
        <v>650</v>
      </c>
      <c r="C199" s="233"/>
      <c r="D199" s="235"/>
      <c r="E199" s="234"/>
      <c r="F199" s="230"/>
      <c r="G199" s="230"/>
      <c r="H199" s="230"/>
      <c r="I199" s="238"/>
      <c r="J199" s="35">
        <f t="shared" si="77"/>
        <v>0</v>
      </c>
      <c r="K199" s="254">
        <f>C199*14500</f>
        <v>0</v>
      </c>
      <c r="L199" s="254">
        <f>D199*14500</f>
        <v>0</v>
      </c>
      <c r="M199" s="299">
        <f>E199*12100</f>
        <v>0</v>
      </c>
      <c r="N199" s="282"/>
      <c r="O199" s="282"/>
      <c r="P199" s="282"/>
      <c r="Q199" s="279"/>
      <c r="R199" s="5">
        <f>SUM(K199:Q199)</f>
        <v>0</v>
      </c>
      <c r="S199" s="4">
        <f>J199*5557</f>
        <v>0</v>
      </c>
    </row>
    <row r="200" spans="1:19" s="3" customFormat="1">
      <c r="A200" s="115" t="s">
        <v>499</v>
      </c>
      <c r="B200" s="678" t="s">
        <v>501</v>
      </c>
      <c r="C200" s="233">
        <v>4</v>
      </c>
      <c r="D200" s="235"/>
      <c r="E200" s="234"/>
      <c r="F200" s="230">
        <v>60</v>
      </c>
      <c r="G200" s="230"/>
      <c r="H200" s="230"/>
      <c r="I200" s="238"/>
      <c r="J200" s="35">
        <f t="shared" si="77"/>
        <v>64</v>
      </c>
      <c r="K200" s="254">
        <f>C200*12000</f>
        <v>48000</v>
      </c>
      <c r="L200" s="294">
        <f>D200*9900</f>
        <v>0</v>
      </c>
      <c r="M200" s="299">
        <f>E200*9900</f>
        <v>0</v>
      </c>
      <c r="N200" s="282"/>
      <c r="O200" s="282">
        <f>F200*7200</f>
        <v>432000</v>
      </c>
      <c r="P200" s="282"/>
      <c r="Q200" s="279"/>
      <c r="R200" s="5">
        <f t="shared" si="78"/>
        <v>480000</v>
      </c>
      <c r="S200" s="4">
        <f>J200*2633</f>
        <v>168512</v>
      </c>
    </row>
    <row r="201" spans="1:19" s="3" customFormat="1">
      <c r="A201" s="227" t="s">
        <v>500</v>
      </c>
      <c r="B201" s="680"/>
      <c r="C201" s="233">
        <v>4</v>
      </c>
      <c r="D201" s="235">
        <v>10</v>
      </c>
      <c r="E201" s="234"/>
      <c r="F201" s="230">
        <v>30</v>
      </c>
      <c r="G201" s="322"/>
      <c r="H201" s="230"/>
      <c r="I201" s="238"/>
      <c r="J201" s="35">
        <f t="shared" si="77"/>
        <v>44</v>
      </c>
      <c r="K201" s="3">
        <f>C201*14000</f>
        <v>56000</v>
      </c>
      <c r="L201" s="294">
        <f>D201*11600</f>
        <v>116000</v>
      </c>
      <c r="M201" s="299">
        <f>E201*11600</f>
        <v>0</v>
      </c>
      <c r="N201" s="282"/>
      <c r="O201" s="282">
        <f>F201*8400</f>
        <v>252000</v>
      </c>
      <c r="P201" s="282"/>
      <c r="Q201" s="279"/>
      <c r="R201" s="5">
        <f t="shared" si="78"/>
        <v>424000</v>
      </c>
      <c r="S201" s="4">
        <f>J201*3569</f>
        <v>157036</v>
      </c>
    </row>
    <row r="202" spans="1:19" s="3" customFormat="1">
      <c r="A202" s="227" t="s">
        <v>754</v>
      </c>
      <c r="B202" s="375" t="s">
        <v>756</v>
      </c>
      <c r="C202" s="233"/>
      <c r="D202" s="235"/>
      <c r="E202" s="234">
        <v>2</v>
      </c>
      <c r="F202" s="230"/>
      <c r="G202" s="322"/>
      <c r="H202" s="230"/>
      <c r="I202" s="238"/>
      <c r="J202" s="35">
        <f t="shared" si="77"/>
        <v>2</v>
      </c>
      <c r="K202" s="3">
        <f>C202*28000</f>
        <v>0</v>
      </c>
      <c r="L202" s="294"/>
      <c r="M202" s="299">
        <f>E202*22400</f>
        <v>44800</v>
      </c>
      <c r="N202" s="282"/>
      <c r="O202" s="282"/>
      <c r="P202" s="282"/>
      <c r="Q202" s="279"/>
      <c r="R202" s="5">
        <f t="shared" si="78"/>
        <v>44800</v>
      </c>
      <c r="S202" s="4">
        <f>J202*4618</f>
        <v>9236</v>
      </c>
    </row>
    <row r="203" spans="1:19" s="3" customFormat="1">
      <c r="A203" s="227" t="s">
        <v>755</v>
      </c>
      <c r="B203" s="375" t="s">
        <v>757</v>
      </c>
      <c r="C203" s="233">
        <v>3</v>
      </c>
      <c r="D203" s="235"/>
      <c r="E203" s="234">
        <v>2</v>
      </c>
      <c r="F203" s="230"/>
      <c r="G203" s="322"/>
      <c r="H203" s="230"/>
      <c r="I203" s="238"/>
      <c r="J203" s="35">
        <f t="shared" si="77"/>
        <v>5</v>
      </c>
      <c r="K203" s="3">
        <f>C203*27000</f>
        <v>81000</v>
      </c>
      <c r="L203" s="294"/>
      <c r="M203" s="299">
        <f>E203*21600</f>
        <v>43200</v>
      </c>
      <c r="N203" s="282"/>
      <c r="O203" s="282"/>
      <c r="P203" s="282"/>
      <c r="Q203" s="279"/>
      <c r="R203" s="5">
        <f t="shared" si="78"/>
        <v>124200</v>
      </c>
      <c r="S203" s="4">
        <f>J203*4063</f>
        <v>20315</v>
      </c>
    </row>
    <row r="204" spans="1:19" s="3" customFormat="1">
      <c r="A204" s="115" t="s">
        <v>235</v>
      </c>
      <c r="B204" s="678" t="s">
        <v>236</v>
      </c>
      <c r="C204" s="233">
        <v>45</v>
      </c>
      <c r="D204" s="235"/>
      <c r="E204" s="259"/>
      <c r="F204" s="215">
        <v>4</v>
      </c>
      <c r="G204" s="230"/>
      <c r="H204" s="230"/>
      <c r="I204" s="230">
        <v>2</v>
      </c>
      <c r="J204" s="35">
        <f t="shared" si="77"/>
        <v>51</v>
      </c>
      <c r="K204" s="254">
        <f>C204*6600</f>
        <v>297000</v>
      </c>
      <c r="L204" s="294"/>
      <c r="M204" s="299">
        <f>E204*5500</f>
        <v>0</v>
      </c>
      <c r="N204" s="282"/>
      <c r="O204" s="282">
        <f>F204*5300</f>
        <v>21200</v>
      </c>
      <c r="P204" s="282"/>
      <c r="Q204" s="286">
        <f>I204*4620</f>
        <v>9240</v>
      </c>
      <c r="R204" s="5">
        <f t="shared" si="78"/>
        <v>327440</v>
      </c>
      <c r="S204" s="4">
        <f>J204*2573</f>
        <v>131223</v>
      </c>
    </row>
    <row r="205" spans="1:19" s="3" customFormat="1">
      <c r="A205" s="115" t="s">
        <v>237</v>
      </c>
      <c r="B205" s="680"/>
      <c r="C205" s="233">
        <v>37</v>
      </c>
      <c r="D205" s="235"/>
      <c r="E205" s="259"/>
      <c r="F205" s="215">
        <v>4</v>
      </c>
      <c r="G205" s="230"/>
      <c r="H205" s="230"/>
      <c r="I205" s="230">
        <v>2</v>
      </c>
      <c r="J205" s="35">
        <f t="shared" si="77"/>
        <v>43</v>
      </c>
      <c r="K205" s="254">
        <f>C205*6600</f>
        <v>244200</v>
      </c>
      <c r="L205" s="294"/>
      <c r="M205" s="299">
        <f>E205*5500</f>
        <v>0</v>
      </c>
      <c r="N205" s="282"/>
      <c r="O205" s="282">
        <f>F205*5300</f>
        <v>21200</v>
      </c>
      <c r="P205" s="282"/>
      <c r="Q205" s="286">
        <f>I205*4620</f>
        <v>9240</v>
      </c>
      <c r="R205" s="5">
        <f t="shared" si="78"/>
        <v>274640</v>
      </c>
      <c r="S205" s="4">
        <f>J205*3222</f>
        <v>138546</v>
      </c>
    </row>
    <row r="206" spans="1:19" s="3" customFormat="1">
      <c r="A206" s="115" t="s">
        <v>238</v>
      </c>
      <c r="B206" s="373"/>
      <c r="C206" s="237"/>
      <c r="D206" s="235"/>
      <c r="E206" s="234"/>
      <c r="F206" s="230"/>
      <c r="G206" s="322"/>
      <c r="H206" s="230"/>
      <c r="I206" s="351"/>
      <c r="J206" s="35">
        <f t="shared" si="77"/>
        <v>0</v>
      </c>
      <c r="L206" s="294"/>
      <c r="M206" s="299">
        <f>E206*180000</f>
        <v>0</v>
      </c>
      <c r="N206" s="282"/>
      <c r="O206" s="282"/>
      <c r="P206" s="282"/>
      <c r="Q206" s="279"/>
      <c r="R206" s="5">
        <f t="shared" si="78"/>
        <v>0</v>
      </c>
      <c r="S206" s="4">
        <f>J206*63000</f>
        <v>0</v>
      </c>
    </row>
    <row r="207" spans="1:19" s="3" customFormat="1">
      <c r="A207" s="115" t="s">
        <v>239</v>
      </c>
      <c r="B207" s="373"/>
      <c r="C207" s="35"/>
      <c r="D207" s="32"/>
      <c r="E207" s="234"/>
      <c r="F207" s="34"/>
      <c r="G207" s="34"/>
      <c r="H207" s="191"/>
      <c r="I207" s="80"/>
      <c r="J207" s="35">
        <f t="shared" si="77"/>
        <v>0</v>
      </c>
      <c r="L207" s="294"/>
      <c r="M207" s="299">
        <f>E207*180000</f>
        <v>0</v>
      </c>
      <c r="N207" s="282"/>
      <c r="O207" s="282"/>
      <c r="P207" s="282"/>
      <c r="Q207" s="279"/>
      <c r="R207" s="5">
        <f t="shared" si="78"/>
        <v>0</v>
      </c>
      <c r="S207" s="4">
        <f>J207*90000</f>
        <v>0</v>
      </c>
    </row>
    <row r="208" spans="1:19" s="3" customFormat="1">
      <c r="A208" s="115" t="s">
        <v>523</v>
      </c>
      <c r="B208" s="375" t="s">
        <v>554</v>
      </c>
      <c r="C208" s="237">
        <v>96</v>
      </c>
      <c r="D208" s="235"/>
      <c r="E208" s="234">
        <v>17</v>
      </c>
      <c r="F208" s="242"/>
      <c r="G208" s="230"/>
      <c r="H208" s="230"/>
      <c r="I208" s="238"/>
      <c r="J208" s="35">
        <f>SUM(C208:I208)</f>
        <v>113</v>
      </c>
      <c r="K208" s="3">
        <f>C208*16500</f>
        <v>1584000</v>
      </c>
      <c r="L208" s="294"/>
      <c r="M208" s="299">
        <f>E208*12500</f>
        <v>212500</v>
      </c>
      <c r="N208" s="282"/>
      <c r="O208" s="282"/>
      <c r="P208" s="282"/>
      <c r="Q208" s="286"/>
      <c r="R208" s="5">
        <f>SUM(K208:Q208)</f>
        <v>1796500</v>
      </c>
      <c r="S208" s="4">
        <f>J208*3069</f>
        <v>346797</v>
      </c>
    </row>
    <row r="209" spans="1:19" s="3" customFormat="1">
      <c r="A209" s="115" t="s">
        <v>522</v>
      </c>
      <c r="B209" s="375" t="s">
        <v>555</v>
      </c>
      <c r="C209" s="237">
        <v>35</v>
      </c>
      <c r="D209" s="235"/>
      <c r="E209" s="234">
        <v>12</v>
      </c>
      <c r="F209" s="230"/>
      <c r="G209" s="322"/>
      <c r="H209" s="230"/>
      <c r="I209" s="238"/>
      <c r="J209" s="35">
        <f t="shared" ref="J209:J219" si="79">SUM(C209:I209)</f>
        <v>47</v>
      </c>
      <c r="K209" s="3">
        <f>C209*18000</f>
        <v>630000</v>
      </c>
      <c r="L209" s="294"/>
      <c r="M209" s="299">
        <f>E209*13200</f>
        <v>158400</v>
      </c>
      <c r="N209" s="282">
        <f>F209*18000</f>
        <v>0</v>
      </c>
      <c r="O209" s="282"/>
      <c r="P209" s="282"/>
      <c r="Q209" s="279"/>
      <c r="R209" s="5">
        <f t="shared" si="78"/>
        <v>788400</v>
      </c>
      <c r="S209" s="4">
        <f>J209*3147</f>
        <v>147909</v>
      </c>
    </row>
    <row r="210" spans="1:19" s="3" customFormat="1">
      <c r="A210" s="115" t="s">
        <v>524</v>
      </c>
      <c r="B210" s="375" t="s">
        <v>556</v>
      </c>
      <c r="C210" s="237">
        <v>3</v>
      </c>
      <c r="D210" s="235"/>
      <c r="E210" s="234">
        <v>8</v>
      </c>
      <c r="F210" s="230"/>
      <c r="G210" s="230">
        <v>10</v>
      </c>
      <c r="H210" s="230"/>
      <c r="I210" s="238"/>
      <c r="J210" s="35">
        <f t="shared" si="79"/>
        <v>21</v>
      </c>
      <c r="K210" s="3">
        <f>C210*12000</f>
        <v>36000</v>
      </c>
      <c r="L210" s="294"/>
      <c r="M210" s="299">
        <f>E210*9600</f>
        <v>76800</v>
      </c>
      <c r="N210" s="282">
        <f>F210*12000</f>
        <v>0</v>
      </c>
      <c r="O210" s="282">
        <f>G210*9600</f>
        <v>96000</v>
      </c>
      <c r="P210" s="282"/>
      <c r="Q210" s="279"/>
      <c r="R210" s="5">
        <f t="shared" si="78"/>
        <v>208800</v>
      </c>
      <c r="S210" s="4">
        <f>J210*2740</f>
        <v>57540</v>
      </c>
    </row>
    <row r="211" spans="1:19" s="3" customFormat="1">
      <c r="A211" s="115" t="s">
        <v>583</v>
      </c>
      <c r="B211" s="375" t="s">
        <v>586</v>
      </c>
      <c r="C211" s="237">
        <v>2</v>
      </c>
      <c r="D211" s="235"/>
      <c r="E211" s="234"/>
      <c r="F211" s="230"/>
      <c r="G211" s="322"/>
      <c r="H211" s="230"/>
      <c r="I211" s="238"/>
      <c r="J211" s="35">
        <f t="shared" si="79"/>
        <v>2</v>
      </c>
      <c r="K211" s="3">
        <f>C211*28000</f>
        <v>56000</v>
      </c>
      <c r="L211" s="294"/>
      <c r="M211" s="299"/>
      <c r="N211" s="282">
        <f>F211*19600</f>
        <v>0</v>
      </c>
      <c r="O211" s="282"/>
      <c r="P211" s="282">
        <f>H211*22400</f>
        <v>0</v>
      </c>
      <c r="Q211" s="279"/>
      <c r="R211" s="5">
        <f>SUM(K211:Q211)</f>
        <v>56000</v>
      </c>
      <c r="S211" s="4">
        <f>J211*6493</f>
        <v>12986</v>
      </c>
    </row>
    <row r="212" spans="1:19" s="3" customFormat="1">
      <c r="A212" s="115" t="s">
        <v>584</v>
      </c>
      <c r="B212" s="375" t="s">
        <v>587</v>
      </c>
      <c r="C212" s="35">
        <v>4</v>
      </c>
      <c r="D212" s="235"/>
      <c r="E212" s="234"/>
      <c r="F212" s="230"/>
      <c r="G212" s="322"/>
      <c r="H212" s="230"/>
      <c r="I212" s="238"/>
      <c r="J212" s="35">
        <f t="shared" si="79"/>
        <v>4</v>
      </c>
      <c r="K212" s="3">
        <f>C212*28000</f>
        <v>112000</v>
      </c>
      <c r="L212" s="294"/>
      <c r="M212" s="299"/>
      <c r="N212" s="282">
        <f>F212*19600</f>
        <v>0</v>
      </c>
      <c r="O212" s="282"/>
      <c r="P212" s="282">
        <f>H212*22400</f>
        <v>0</v>
      </c>
      <c r="Q212" s="279"/>
      <c r="R212" s="5">
        <f>SUM(K212:Q212)</f>
        <v>112000</v>
      </c>
      <c r="S212" s="4">
        <f>J212*6900</f>
        <v>27600</v>
      </c>
    </row>
    <row r="213" spans="1:19" s="3" customFormat="1">
      <c r="A213" s="115" t="s">
        <v>585</v>
      </c>
      <c r="B213" s="375" t="s">
        <v>588</v>
      </c>
      <c r="C213" s="237"/>
      <c r="D213" s="235"/>
      <c r="E213" s="234"/>
      <c r="F213" s="230"/>
      <c r="G213" s="322"/>
      <c r="H213" s="230"/>
      <c r="I213" s="238"/>
      <c r="J213" s="35">
        <f t="shared" si="79"/>
        <v>0</v>
      </c>
      <c r="K213" s="3">
        <f>C213*22000</f>
        <v>0</v>
      </c>
      <c r="L213" s="294"/>
      <c r="M213" s="299"/>
      <c r="N213" s="282">
        <f>F213*17100</f>
        <v>0</v>
      </c>
      <c r="O213" s="282"/>
      <c r="P213" s="282"/>
      <c r="Q213" s="279"/>
      <c r="R213" s="5">
        <f t="shared" si="78"/>
        <v>0</v>
      </c>
      <c r="S213" s="4">
        <f>J213*2573</f>
        <v>0</v>
      </c>
    </row>
    <row r="214" spans="1:19" s="3" customFormat="1" ht="24">
      <c r="A214" s="115" t="s">
        <v>589</v>
      </c>
      <c r="B214" s="532" t="s">
        <v>622</v>
      </c>
      <c r="C214" s="237"/>
      <c r="D214" s="235"/>
      <c r="E214" s="234"/>
      <c r="F214" s="230">
        <v>1</v>
      </c>
      <c r="G214" s="322"/>
      <c r="H214" s="230"/>
      <c r="I214" s="351"/>
      <c r="J214" s="35">
        <f t="shared" si="79"/>
        <v>1</v>
      </c>
      <c r="K214" s="3">
        <f>C214*22000</f>
        <v>0</v>
      </c>
      <c r="L214" s="294"/>
      <c r="M214" s="299"/>
      <c r="N214" s="282">
        <f>F214*17600</f>
        <v>17600</v>
      </c>
      <c r="O214" s="282"/>
      <c r="P214" s="282"/>
      <c r="Q214" s="279"/>
      <c r="R214" s="5">
        <f>SUM(K214:Q214)</f>
        <v>17600</v>
      </c>
      <c r="S214" s="4">
        <f>J214*4950</f>
        <v>4950</v>
      </c>
    </row>
    <row r="215" spans="1:19" s="3" customFormat="1" ht="16.5" customHeight="1">
      <c r="A215" s="115" t="s">
        <v>519</v>
      </c>
      <c r="B215" s="684" t="s">
        <v>590</v>
      </c>
      <c r="C215" s="237">
        <v>7</v>
      </c>
      <c r="D215" s="235"/>
      <c r="E215" s="234"/>
      <c r="F215" s="230"/>
      <c r="G215" s="322"/>
      <c r="H215" s="230">
        <v>2</v>
      </c>
      <c r="I215" s="238"/>
      <c r="J215" s="35">
        <f t="shared" si="79"/>
        <v>9</v>
      </c>
      <c r="K215" s="3">
        <f>C215*12000</f>
        <v>84000</v>
      </c>
      <c r="L215" s="294"/>
      <c r="M215" s="299">
        <f>E215*12000</f>
        <v>0</v>
      </c>
      <c r="N215" s="282">
        <f>F215*9600</f>
        <v>0</v>
      </c>
      <c r="O215" s="282"/>
      <c r="P215" s="282">
        <f>H215*12000</f>
        <v>24000</v>
      </c>
      <c r="Q215" s="279"/>
      <c r="R215" s="5">
        <f t="shared" si="78"/>
        <v>108000</v>
      </c>
      <c r="S215" s="4">
        <f>J215*2645</f>
        <v>23805</v>
      </c>
    </row>
    <row r="216" spans="1:19" s="3" customFormat="1">
      <c r="A216" s="115" t="s">
        <v>529</v>
      </c>
      <c r="B216" s="685"/>
      <c r="C216" s="237"/>
      <c r="D216" s="235"/>
      <c r="E216" s="234"/>
      <c r="F216" s="230"/>
      <c r="G216" s="322"/>
      <c r="H216" s="230"/>
      <c r="I216" s="238"/>
      <c r="J216" s="35">
        <f t="shared" si="79"/>
        <v>0</v>
      </c>
      <c r="K216" s="3">
        <f>C216*48000</f>
        <v>0</v>
      </c>
      <c r="L216" s="294"/>
      <c r="M216" s="299">
        <f>E216*48000</f>
        <v>0</v>
      </c>
      <c r="N216" s="282">
        <f>F216*38400</f>
        <v>0</v>
      </c>
      <c r="O216" s="282"/>
      <c r="P216" s="282"/>
      <c r="Q216" s="279"/>
      <c r="R216" s="5">
        <f t="shared" si="78"/>
        <v>0</v>
      </c>
      <c r="S216" s="4">
        <f>J216*5981</f>
        <v>0</v>
      </c>
    </row>
    <row r="217" spans="1:19" ht="16.5" customHeight="1">
      <c r="A217" s="115" t="s">
        <v>520</v>
      </c>
      <c r="B217" s="684" t="s">
        <v>591</v>
      </c>
      <c r="C217" s="257">
        <v>11</v>
      </c>
      <c r="D217" s="235"/>
      <c r="E217" s="234"/>
      <c r="F217" s="230"/>
      <c r="G217" s="322"/>
      <c r="H217" s="230">
        <v>2</v>
      </c>
      <c r="I217" s="351"/>
      <c r="J217" s="35">
        <f t="shared" si="79"/>
        <v>13</v>
      </c>
      <c r="K217" s="3">
        <f>C217*12000</f>
        <v>132000</v>
      </c>
      <c r="L217" s="294"/>
      <c r="M217" s="299">
        <f>E217*12000</f>
        <v>0</v>
      </c>
      <c r="N217" s="282">
        <f>F217*9600</f>
        <v>0</v>
      </c>
      <c r="O217" s="282"/>
      <c r="P217" s="282">
        <f>H217*12000</f>
        <v>24000</v>
      </c>
      <c r="Q217" s="279"/>
      <c r="R217" s="5">
        <f t="shared" si="78"/>
        <v>156000</v>
      </c>
      <c r="S217" s="4">
        <f>J217*2718</f>
        <v>35334</v>
      </c>
    </row>
    <row r="218" spans="1:19">
      <c r="A218" s="115" t="s">
        <v>528</v>
      </c>
      <c r="B218" s="685"/>
      <c r="C218" s="237"/>
      <c r="D218" s="235"/>
      <c r="E218" s="234"/>
      <c r="F218" s="230"/>
      <c r="G218" s="322"/>
      <c r="H218" s="230"/>
      <c r="I218" s="351"/>
      <c r="J218" s="35">
        <f t="shared" si="79"/>
        <v>0</v>
      </c>
      <c r="K218" s="3">
        <f>C218*48000</f>
        <v>0</v>
      </c>
      <c r="L218" s="294"/>
      <c r="M218" s="299">
        <f>E218*48000</f>
        <v>0</v>
      </c>
      <c r="N218" s="282">
        <f>F218*38400</f>
        <v>0</v>
      </c>
      <c r="O218" s="282"/>
      <c r="P218" s="282"/>
      <c r="Q218" s="279"/>
      <c r="R218" s="5">
        <f t="shared" si="78"/>
        <v>0</v>
      </c>
      <c r="S218" s="4">
        <f>J218*6197</f>
        <v>0</v>
      </c>
    </row>
    <row r="219" spans="1:19" ht="24">
      <c r="A219" s="115" t="s">
        <v>521</v>
      </c>
      <c r="B219" s="532" t="s">
        <v>592</v>
      </c>
      <c r="C219" s="237">
        <v>2</v>
      </c>
      <c r="D219" s="235"/>
      <c r="E219" s="234"/>
      <c r="F219" s="230">
        <v>2</v>
      </c>
      <c r="G219" s="322"/>
      <c r="H219" s="242">
        <v>2</v>
      </c>
      <c r="I219" s="238"/>
      <c r="J219" s="35">
        <f t="shared" si="79"/>
        <v>6</v>
      </c>
      <c r="K219" s="3">
        <f>C219*18000</f>
        <v>36000</v>
      </c>
      <c r="L219" s="294"/>
      <c r="M219" s="299"/>
      <c r="N219" s="282">
        <f>F219*14400</f>
        <v>28800</v>
      </c>
      <c r="O219" s="282"/>
      <c r="P219" s="282"/>
      <c r="Q219" s="279"/>
      <c r="R219" s="5">
        <f t="shared" si="78"/>
        <v>64800</v>
      </c>
      <c r="S219" s="4">
        <f>J219*3129</f>
        <v>18774</v>
      </c>
    </row>
    <row r="220" spans="1:19" ht="16.5" customHeight="1">
      <c r="A220" s="115" t="s">
        <v>525</v>
      </c>
      <c r="B220" s="684" t="s">
        <v>593</v>
      </c>
      <c r="C220" s="257">
        <v>13</v>
      </c>
      <c r="D220" s="235"/>
      <c r="E220" s="234"/>
      <c r="F220" s="230"/>
      <c r="G220" s="322"/>
      <c r="H220" s="230"/>
      <c r="I220" s="238"/>
      <c r="J220" s="35">
        <f t="shared" si="77"/>
        <v>13</v>
      </c>
      <c r="K220" s="3">
        <f>C220*18000</f>
        <v>234000</v>
      </c>
      <c r="L220" s="294"/>
      <c r="M220" s="299">
        <f>E220*18000</f>
        <v>0</v>
      </c>
      <c r="N220" s="282">
        <f>F220*14400</f>
        <v>0</v>
      </c>
      <c r="O220" s="282"/>
      <c r="P220" s="282">
        <f>H220*18000</f>
        <v>0</v>
      </c>
      <c r="Q220" s="279"/>
      <c r="R220" s="5">
        <f t="shared" si="78"/>
        <v>234000</v>
      </c>
      <c r="S220" s="4">
        <f>J220*2748</f>
        <v>35724</v>
      </c>
    </row>
    <row r="221" spans="1:19">
      <c r="A221" s="115" t="s">
        <v>526</v>
      </c>
      <c r="B221" s="686"/>
      <c r="C221" s="257">
        <v>9</v>
      </c>
      <c r="D221" s="235"/>
      <c r="E221" s="234"/>
      <c r="F221" s="230"/>
      <c r="G221" s="322"/>
      <c r="H221" s="230"/>
      <c r="I221" s="351"/>
      <c r="J221" s="35">
        <f t="shared" si="77"/>
        <v>9</v>
      </c>
      <c r="K221" s="3">
        <f>C221*36000</f>
        <v>324000</v>
      </c>
      <c r="L221" s="294"/>
      <c r="M221" s="299">
        <f>E221*36000</f>
        <v>0</v>
      </c>
      <c r="N221" s="282">
        <f>F221*28800</f>
        <v>0</v>
      </c>
      <c r="O221" s="282"/>
      <c r="P221" s="282">
        <f>H221*36000</f>
        <v>0</v>
      </c>
      <c r="Q221" s="279"/>
      <c r="R221" s="5">
        <f t="shared" si="78"/>
        <v>324000</v>
      </c>
      <c r="S221" s="4">
        <f>J221*4960</f>
        <v>44640</v>
      </c>
    </row>
    <row r="222" spans="1:19">
      <c r="A222" s="115" t="s">
        <v>527</v>
      </c>
      <c r="B222" s="685"/>
      <c r="C222" s="539"/>
      <c r="D222" s="32"/>
      <c r="E222" s="234"/>
      <c r="F222" s="191"/>
      <c r="G222" s="34"/>
      <c r="H222" s="191"/>
      <c r="I222" s="80"/>
      <c r="J222" s="35">
        <f t="shared" si="77"/>
        <v>0</v>
      </c>
      <c r="K222" s="3">
        <f>C222*90000</f>
        <v>0</v>
      </c>
      <c r="L222" s="294"/>
      <c r="M222" s="299">
        <f>E222*90000</f>
        <v>0</v>
      </c>
      <c r="N222" s="282">
        <f>F222*72000</f>
        <v>0</v>
      </c>
      <c r="O222" s="282"/>
      <c r="P222" s="282"/>
      <c r="Q222" s="279"/>
      <c r="R222" s="5">
        <f t="shared" si="78"/>
        <v>0</v>
      </c>
      <c r="S222" s="4">
        <f>J222*14800</f>
        <v>0</v>
      </c>
    </row>
    <row r="223" spans="1:19" s="24" customFormat="1">
      <c r="B223" s="74"/>
      <c r="C223" s="74"/>
      <c r="D223" s="116"/>
      <c r="E223" s="10"/>
      <c r="F223" s="10"/>
      <c r="G223" s="11"/>
      <c r="H223" s="192"/>
      <c r="I223" s="12" t="s">
        <v>5</v>
      </c>
      <c r="J223" s="117" t="s">
        <v>6</v>
      </c>
      <c r="K223" s="118">
        <f t="shared" ref="K223:S223" si="80">SUM(K171:K222)</f>
        <v>17802880</v>
      </c>
      <c r="L223" s="297">
        <f t="shared" si="80"/>
        <v>3787200</v>
      </c>
      <c r="M223" s="303">
        <f t="shared" si="80"/>
        <v>1169300</v>
      </c>
      <c r="N223" s="280">
        <f t="shared" si="80"/>
        <v>46400</v>
      </c>
      <c r="O223" s="280">
        <f t="shared" si="80"/>
        <v>905600</v>
      </c>
      <c r="P223" s="280">
        <f t="shared" si="80"/>
        <v>4965000</v>
      </c>
      <c r="Q223" s="118">
        <f t="shared" si="80"/>
        <v>18480</v>
      </c>
      <c r="R223" s="119">
        <f t="shared" si="80"/>
        <v>28694860</v>
      </c>
      <c r="S223" s="119">
        <f t="shared" si="80"/>
        <v>7881654</v>
      </c>
    </row>
    <row r="224" spans="1:19" s="244" customFormat="1">
      <c r="B224" s="245"/>
      <c r="C224" s="245"/>
      <c r="D224" s="116" t="s">
        <v>573</v>
      </c>
      <c r="E224" s="475"/>
      <c r="F224" s="475"/>
      <c r="G224" s="476"/>
      <c r="H224" s="477"/>
      <c r="I224" s="478"/>
      <c r="J224" s="479"/>
      <c r="K224" s="248"/>
      <c r="L224" s="318"/>
      <c r="M224" s="480"/>
      <c r="N224" s="319"/>
      <c r="O224" s="319"/>
      <c r="P224" s="319"/>
      <c r="Q224" s="248"/>
      <c r="R224" s="249"/>
      <c r="S224" s="249"/>
    </row>
    <row r="225" spans="1:19" ht="24">
      <c r="A225" s="120" t="s">
        <v>240</v>
      </c>
      <c r="C225" s="121" t="s">
        <v>737</v>
      </c>
      <c r="D225" s="668"/>
      <c r="E225" s="313"/>
      <c r="F225" s="10" t="s">
        <v>456</v>
      </c>
      <c r="G225" s="15" t="s">
        <v>241</v>
      </c>
      <c r="H225" s="16"/>
      <c r="I225" s="125"/>
      <c r="J225" s="107"/>
      <c r="K225" s="181"/>
      <c r="P225" s="210"/>
    </row>
    <row r="226" spans="1:19" ht="17.25" customHeight="1">
      <c r="A226" s="120"/>
      <c r="C226" s="592" t="s">
        <v>736</v>
      </c>
      <c r="D226" s="669"/>
      <c r="E226" s="398"/>
      <c r="F226" s="397"/>
      <c r="G226" s="20"/>
      <c r="H226" s="544"/>
      <c r="I226" s="534"/>
      <c r="J226" s="20"/>
      <c r="K226" s="414"/>
      <c r="P226" s="210"/>
    </row>
    <row r="227" spans="1:19" ht="21.75" customHeight="1">
      <c r="A227" s="120"/>
      <c r="C227" s="592" t="s">
        <v>739</v>
      </c>
      <c r="D227" s="669"/>
      <c r="E227" s="398"/>
      <c r="F227" s="396" t="s">
        <v>243</v>
      </c>
      <c r="G227" s="566"/>
      <c r="H227" s="20" t="s">
        <v>637</v>
      </c>
      <c r="I227" s="534"/>
      <c r="J227" s="320"/>
      <c r="K227" s="321"/>
      <c r="P227" s="210"/>
    </row>
    <row r="228" spans="1:19" ht="24">
      <c r="B228" s="2" t="s">
        <v>2</v>
      </c>
      <c r="C228" s="563" t="s">
        <v>735</v>
      </c>
      <c r="D228" s="398"/>
      <c r="E228" s="595" t="s">
        <v>503</v>
      </c>
      <c r="F228" s="208"/>
      <c r="G228" s="399" t="s">
        <v>720</v>
      </c>
      <c r="H228" s="20" t="s">
        <v>599</v>
      </c>
      <c r="I228" s="575" t="s">
        <v>725</v>
      </c>
      <c r="J228" s="124"/>
      <c r="K228" s="219" t="s">
        <v>2</v>
      </c>
      <c r="L228" s="664" t="s">
        <v>743</v>
      </c>
      <c r="M228" s="664"/>
      <c r="N228" s="664"/>
      <c r="O228" s="316"/>
      <c r="P228" s="481"/>
      <c r="Q228" s="278" t="s">
        <v>731</v>
      </c>
      <c r="R228" s="220" t="s">
        <v>18</v>
      </c>
      <c r="S228" s="221" t="s">
        <v>19</v>
      </c>
    </row>
    <row r="229" spans="1:19">
      <c r="A229" s="29" t="s">
        <v>245</v>
      </c>
      <c r="B229" s="374" t="s">
        <v>246</v>
      </c>
      <c r="C229" s="233">
        <v>85</v>
      </c>
      <c r="D229" s="235"/>
      <c r="E229" s="234"/>
      <c r="F229" s="234">
        <v>5</v>
      </c>
      <c r="G229" s="235"/>
      <c r="H229" s="230">
        <v>238</v>
      </c>
      <c r="I229" s="352">
        <v>126</v>
      </c>
      <c r="J229" s="35">
        <f>SUM(C229:I229)</f>
        <v>454</v>
      </c>
      <c r="K229" s="254">
        <f>C229*12000</f>
        <v>1020000</v>
      </c>
      <c r="L229" s="294">
        <f>D229*9900</f>
        <v>0</v>
      </c>
      <c r="M229" s="302">
        <f>F229*9900</f>
        <v>49500</v>
      </c>
      <c r="N229" s="299"/>
      <c r="O229" s="287"/>
      <c r="P229" s="482"/>
      <c r="Q229" s="279">
        <f>H229*12000</f>
        <v>2856000</v>
      </c>
      <c r="R229" s="4">
        <f>SUM(K229:Q229)</f>
        <v>3925500</v>
      </c>
      <c r="S229" s="4">
        <f>J229*2723</f>
        <v>1236242</v>
      </c>
    </row>
    <row r="230" spans="1:19">
      <c r="A230" s="29" t="s">
        <v>247</v>
      </c>
      <c r="B230" s="374" t="s">
        <v>248</v>
      </c>
      <c r="C230" s="233">
        <v>127</v>
      </c>
      <c r="D230" s="235"/>
      <c r="E230" s="234"/>
      <c r="F230" s="234">
        <v>60</v>
      </c>
      <c r="G230" s="229"/>
      <c r="H230" s="230"/>
      <c r="I230" s="36"/>
      <c r="J230" s="35">
        <f>SUM(C230:I230)</f>
        <v>187</v>
      </c>
      <c r="K230" s="254">
        <f>C230*22000</f>
        <v>2794000</v>
      </c>
      <c r="L230" s="294">
        <f>D230*18000</f>
        <v>0</v>
      </c>
      <c r="M230" s="302">
        <f>F230*18000</f>
        <v>1080000</v>
      </c>
      <c r="N230" s="299"/>
      <c r="O230" s="287"/>
      <c r="P230" s="482"/>
      <c r="Q230" s="279">
        <f>H230*22000</f>
        <v>0</v>
      </c>
      <c r="R230" s="4">
        <f t="shared" ref="R230:R232" si="81">SUM(K230:Q230)</f>
        <v>3874000</v>
      </c>
      <c r="S230" s="4">
        <f>J230*2338</f>
        <v>437206</v>
      </c>
    </row>
    <row r="231" spans="1:19">
      <c r="A231" s="29" t="s">
        <v>249</v>
      </c>
      <c r="B231" s="374" t="s">
        <v>250</v>
      </c>
      <c r="C231" s="239">
        <v>29</v>
      </c>
      <c r="D231" s="255"/>
      <c r="E231" s="234"/>
      <c r="F231" s="234">
        <v>13</v>
      </c>
      <c r="G231" s="229"/>
      <c r="H231" s="230"/>
      <c r="I231" s="352"/>
      <c r="J231" s="35">
        <f>SUM(C231:I231)</f>
        <v>42</v>
      </c>
      <c r="K231" s="254">
        <f>C231*16500</f>
        <v>478500</v>
      </c>
      <c r="L231" s="294">
        <f>D231*13200</f>
        <v>0</v>
      </c>
      <c r="M231" s="302">
        <f>F231*13200</f>
        <v>171600</v>
      </c>
      <c r="N231" s="299"/>
      <c r="O231" s="287"/>
      <c r="P231" s="482"/>
      <c r="Q231" s="279">
        <f>H231*13200</f>
        <v>0</v>
      </c>
      <c r="R231" s="4">
        <f t="shared" si="81"/>
        <v>650100</v>
      </c>
      <c r="S231" s="4">
        <f>J231*2598</f>
        <v>109116</v>
      </c>
    </row>
    <row r="232" spans="1:19">
      <c r="A232" s="29" t="s">
        <v>495</v>
      </c>
      <c r="B232" s="374" t="s">
        <v>497</v>
      </c>
      <c r="C232" s="239">
        <v>27</v>
      </c>
      <c r="D232" s="255"/>
      <c r="E232" s="234">
        <v>30</v>
      </c>
      <c r="F232" s="234"/>
      <c r="G232" s="229"/>
      <c r="H232" s="230"/>
      <c r="I232" s="352"/>
      <c r="J232" s="35">
        <f>SUM(C232:I232)</f>
        <v>57</v>
      </c>
      <c r="K232" s="254">
        <f>C232*16000</f>
        <v>432000</v>
      </c>
      <c r="L232" s="294">
        <f>D232*13100</f>
        <v>0</v>
      </c>
      <c r="M232" s="302">
        <f>E232*13100</f>
        <v>393000</v>
      </c>
      <c r="N232" s="299"/>
      <c r="O232" s="287"/>
      <c r="P232" s="482"/>
      <c r="Q232" s="279">
        <f>G232*16000</f>
        <v>0</v>
      </c>
      <c r="R232" s="4">
        <f t="shared" si="81"/>
        <v>825000</v>
      </c>
      <c r="S232" s="4">
        <f>J232*4740</f>
        <v>270180</v>
      </c>
    </row>
    <row r="233" spans="1:19" s="24" customFormat="1" ht="40.5">
      <c r="B233" s="2" t="s">
        <v>2</v>
      </c>
      <c r="C233" s="74"/>
      <c r="D233" s="113" t="s">
        <v>211</v>
      </c>
      <c r="E233" s="347" t="s">
        <v>244</v>
      </c>
      <c r="F233" s="123"/>
      <c r="G233" s="123"/>
      <c r="H233" s="20"/>
      <c r="I233" s="125" t="s">
        <v>395</v>
      </c>
      <c r="J233" s="58" t="s">
        <v>6</v>
      </c>
      <c r="K233" s="118">
        <f t="shared" ref="K233:S233" si="82">SUM(K229:K232)</f>
        <v>4724500</v>
      </c>
      <c r="L233" s="297">
        <f t="shared" si="82"/>
        <v>0</v>
      </c>
      <c r="M233" s="118">
        <f t="shared" si="82"/>
        <v>1694100</v>
      </c>
      <c r="N233" s="303">
        <f t="shared" si="82"/>
        <v>0</v>
      </c>
      <c r="O233" s="280">
        <f t="shared" si="82"/>
        <v>0</v>
      </c>
      <c r="P233" s="280">
        <f t="shared" si="82"/>
        <v>0</v>
      </c>
      <c r="Q233" s="118">
        <f t="shared" si="82"/>
        <v>2856000</v>
      </c>
      <c r="R233" s="119">
        <f t="shared" si="82"/>
        <v>9274600</v>
      </c>
      <c r="S233" s="119">
        <f t="shared" si="82"/>
        <v>2052744</v>
      </c>
    </row>
    <row r="234" spans="1:19" s="24" customFormat="1">
      <c r="B234" s="2"/>
      <c r="C234" s="74"/>
      <c r="D234" s="401" t="s">
        <v>357</v>
      </c>
      <c r="E234" s="123"/>
      <c r="F234" s="123"/>
      <c r="G234" s="123"/>
      <c r="H234" s="20"/>
      <c r="I234" s="317"/>
      <c r="J234" s="117"/>
      <c r="K234" s="248"/>
      <c r="L234" s="318"/>
      <c r="M234" s="248"/>
      <c r="N234" s="248"/>
      <c r="O234" s="319"/>
      <c r="P234" s="248"/>
      <c r="Q234" s="248"/>
      <c r="R234" s="249"/>
      <c r="S234" s="249"/>
    </row>
    <row r="235" spans="1:19">
      <c r="A235" s="74" t="s">
        <v>364</v>
      </c>
      <c r="B235" s="126"/>
      <c r="C235" s="100"/>
      <c r="D235" s="390" t="s">
        <v>251</v>
      </c>
      <c r="E235" s="113"/>
      <c r="F235" s="127"/>
      <c r="G235" s="209"/>
      <c r="H235" s="20" t="s">
        <v>17</v>
      </c>
      <c r="I235" s="20"/>
      <c r="J235" s="108"/>
      <c r="K235" s="28" t="s">
        <v>2</v>
      </c>
      <c r="L235" s="665" t="s">
        <v>744</v>
      </c>
      <c r="M235" s="665"/>
      <c r="N235" s="286" t="s">
        <v>465</v>
      </c>
      <c r="O235" s="286" t="s">
        <v>557</v>
      </c>
      <c r="P235" s="484" t="s">
        <v>464</v>
      </c>
      <c r="Q235" s="286"/>
      <c r="R235" s="5" t="s">
        <v>18</v>
      </c>
      <c r="S235" s="4" t="s">
        <v>19</v>
      </c>
    </row>
    <row r="236" spans="1:19">
      <c r="A236" s="128" t="s">
        <v>253</v>
      </c>
      <c r="B236" s="377" t="s">
        <v>254</v>
      </c>
      <c r="C236" s="237"/>
      <c r="D236" s="32"/>
      <c r="E236" s="33"/>
      <c r="F236" s="191"/>
      <c r="G236" s="197"/>
      <c r="H236" s="36"/>
      <c r="I236" s="191"/>
      <c r="J236" s="35">
        <f>SUM(C236:I236)</f>
        <v>0</v>
      </c>
      <c r="K236" s="3">
        <f>C236*7000</f>
        <v>0</v>
      </c>
      <c r="L236" s="294"/>
      <c r="M236" s="299">
        <f>E236*0</f>
        <v>0</v>
      </c>
      <c r="N236" s="282"/>
      <c r="O236" s="282">
        <f>H236*1680</f>
        <v>0</v>
      </c>
      <c r="P236" s="485"/>
      <c r="Q236" s="286"/>
      <c r="R236" s="4">
        <f>SUM(K236:Q236)</f>
        <v>0</v>
      </c>
      <c r="S236" s="4">
        <f>J236*1957</f>
        <v>0</v>
      </c>
    </row>
    <row r="237" spans="1:19">
      <c r="A237" s="129" t="s">
        <v>255</v>
      </c>
      <c r="B237" s="378" t="s">
        <v>254</v>
      </c>
      <c r="C237" s="215"/>
      <c r="D237" s="32"/>
      <c r="E237" s="33"/>
      <c r="F237" s="191"/>
      <c r="G237" s="197"/>
      <c r="H237" s="36"/>
      <c r="I237" s="191"/>
      <c r="J237" s="35">
        <f>SUM(C237:I237)</f>
        <v>0</v>
      </c>
      <c r="K237" s="284">
        <f>C237*7800</f>
        <v>0</v>
      </c>
      <c r="L237" s="294"/>
      <c r="M237" s="299">
        <f>E237*0</f>
        <v>0</v>
      </c>
      <c r="N237" s="282"/>
      <c r="O237" s="282">
        <f>H237*1680</f>
        <v>0</v>
      </c>
      <c r="P237" s="485"/>
      <c r="Q237" s="286"/>
      <c r="R237" s="4">
        <f t="shared" ref="R237:R238" si="83">SUM(K237:Q237)</f>
        <v>0</v>
      </c>
      <c r="S237" s="4">
        <f>J237*10200</f>
        <v>0</v>
      </c>
    </row>
    <row r="238" spans="1:19">
      <c r="A238" s="128" t="s">
        <v>256</v>
      </c>
      <c r="B238" s="374" t="s">
        <v>252</v>
      </c>
      <c r="C238" s="237">
        <v>60</v>
      </c>
      <c r="D238" s="235"/>
      <c r="E238" s="33"/>
      <c r="F238" s="191"/>
      <c r="G238" s="197"/>
      <c r="H238" s="191"/>
      <c r="I238" s="36"/>
      <c r="J238" s="35">
        <f>SUM(C238:I238)</f>
        <v>60</v>
      </c>
      <c r="K238" s="254">
        <f>C238*600</f>
        <v>36000</v>
      </c>
      <c r="L238" s="294">
        <f>D238*600</f>
        <v>0</v>
      </c>
      <c r="M238" s="299">
        <f>E238*600</f>
        <v>0</v>
      </c>
      <c r="N238" s="282"/>
      <c r="O238" s="282">
        <f>H238*1680</f>
        <v>0</v>
      </c>
      <c r="P238" s="485"/>
      <c r="Q238" s="286"/>
      <c r="R238" s="4">
        <f t="shared" si="83"/>
        <v>36000</v>
      </c>
      <c r="S238" s="4">
        <f>J238*480</f>
        <v>28800</v>
      </c>
    </row>
    <row r="239" spans="1:19" s="24" customFormat="1" ht="27">
      <c r="B239" s="74"/>
      <c r="C239" s="74"/>
      <c r="D239" s="55" t="s">
        <v>573</v>
      </c>
      <c r="E239" s="125" t="s">
        <v>458</v>
      </c>
      <c r="F239" s="130" t="s">
        <v>741</v>
      </c>
      <c r="G239" s="10" t="s">
        <v>456</v>
      </c>
      <c r="H239" s="130"/>
      <c r="I239" s="131" t="s">
        <v>257</v>
      </c>
      <c r="J239" s="58" t="s">
        <v>6</v>
      </c>
      <c r="K239" s="118">
        <f t="shared" ref="K239:S239" si="84">SUM(K236:K238)</f>
        <v>36000</v>
      </c>
      <c r="L239" s="297">
        <f t="shared" si="84"/>
        <v>0</v>
      </c>
      <c r="M239" s="304">
        <f t="shared" si="84"/>
        <v>0</v>
      </c>
      <c r="N239" s="280">
        <f t="shared" si="84"/>
        <v>0</v>
      </c>
      <c r="O239" s="280">
        <f t="shared" si="84"/>
        <v>0</v>
      </c>
      <c r="P239" s="280">
        <f t="shared" si="84"/>
        <v>0</v>
      </c>
      <c r="Q239" s="280">
        <f t="shared" si="84"/>
        <v>0</v>
      </c>
      <c r="R239" s="119">
        <f t="shared" si="84"/>
        <v>36000</v>
      </c>
      <c r="S239" s="119">
        <f t="shared" si="84"/>
        <v>28800</v>
      </c>
    </row>
    <row r="240" spans="1:19">
      <c r="C240" s="592" t="s">
        <v>738</v>
      </c>
      <c r="D240" s="404" t="s">
        <v>457</v>
      </c>
      <c r="E240" s="400" t="s">
        <v>375</v>
      </c>
      <c r="F240" s="399" t="s">
        <v>244</v>
      </c>
      <c r="G240" s="396" t="s">
        <v>243</v>
      </c>
      <c r="H240" s="103"/>
      <c r="I240" s="103" t="s">
        <v>360</v>
      </c>
      <c r="J240" s="107"/>
      <c r="P240" s="210"/>
    </row>
    <row r="241" spans="1:19">
      <c r="D241" s="404"/>
      <c r="E241" s="402" t="s">
        <v>242</v>
      </c>
      <c r="F241" s="402"/>
      <c r="G241" s="405"/>
      <c r="H241" s="399"/>
      <c r="I241" s="400"/>
      <c r="J241" s="124"/>
      <c r="P241" s="210"/>
    </row>
    <row r="242" spans="1:19">
      <c r="D242" s="88"/>
      <c r="E242" s="403" t="s">
        <v>185</v>
      </c>
      <c r="F242" s="400"/>
      <c r="G242" s="209"/>
      <c r="H242" s="132"/>
      <c r="I242" s="132"/>
      <c r="J242" s="124" t="s">
        <v>368</v>
      </c>
      <c r="P242" s="210"/>
    </row>
    <row r="243" spans="1:19">
      <c r="A243" s="74"/>
      <c r="D243" s="133"/>
      <c r="E243" s="402" t="s">
        <v>511</v>
      </c>
      <c r="F243" s="402" t="s">
        <v>508</v>
      </c>
      <c r="G243" s="209"/>
      <c r="H243" s="122"/>
      <c r="I243" s="536" t="s">
        <v>412</v>
      </c>
      <c r="J243" s="102"/>
      <c r="P243" s="210"/>
    </row>
    <row r="244" spans="1:19">
      <c r="C244" s="2" t="s">
        <v>2</v>
      </c>
      <c r="D244" s="134"/>
      <c r="E244" s="108"/>
      <c r="F244" s="350"/>
      <c r="G244" s="206"/>
      <c r="H244" s="109"/>
      <c r="I244" s="64"/>
      <c r="J244" s="108"/>
      <c r="K244" s="28" t="s">
        <v>2</v>
      </c>
      <c r="L244" s="597" t="s">
        <v>742</v>
      </c>
      <c r="M244" s="285" t="s">
        <v>482</v>
      </c>
      <c r="N244" s="596" t="s">
        <v>740</v>
      </c>
      <c r="O244" s="315"/>
      <c r="P244" s="293" t="s">
        <v>257</v>
      </c>
      <c r="Q244" s="293"/>
      <c r="R244" s="28" t="s">
        <v>18</v>
      </c>
      <c r="S244" s="4" t="s">
        <v>19</v>
      </c>
    </row>
    <row r="245" spans="1:19">
      <c r="A245" s="79" t="s">
        <v>258</v>
      </c>
      <c r="B245" s="374" t="s">
        <v>259</v>
      </c>
      <c r="C245" s="233">
        <v>200</v>
      </c>
      <c r="D245" s="235"/>
      <c r="E245" s="215">
        <v>2000</v>
      </c>
      <c r="F245" s="234">
        <v>400</v>
      </c>
      <c r="G245" s="234"/>
      <c r="H245" s="234"/>
      <c r="I245" s="234"/>
      <c r="J245" s="35">
        <f>SUM(C245:I245)+I244</f>
        <v>2600</v>
      </c>
      <c r="K245" s="254">
        <f>C245*1750</f>
        <v>350000</v>
      </c>
      <c r="L245" s="294">
        <f>D245*1750</f>
        <v>0</v>
      </c>
      <c r="M245" s="283">
        <f>E245*1400</f>
        <v>2800000</v>
      </c>
      <c r="N245" s="299">
        <f>F245*1400</f>
        <v>560000</v>
      </c>
      <c r="O245" s="315">
        <f>G245*1750</f>
        <v>0</v>
      </c>
      <c r="P245" s="299">
        <f>H245*1200</f>
        <v>0</v>
      </c>
      <c r="Q245" s="299"/>
      <c r="R245" s="3">
        <f>SUM(K245:Q245)</f>
        <v>3710000</v>
      </c>
      <c r="S245" s="3">
        <f>J245*289</f>
        <v>751400</v>
      </c>
    </row>
    <row r="246" spans="1:19">
      <c r="A246" s="128" t="s">
        <v>260</v>
      </c>
      <c r="B246" s="374" t="s">
        <v>492</v>
      </c>
      <c r="C246" s="237">
        <v>90</v>
      </c>
      <c r="D246" s="235"/>
      <c r="E246" s="215">
        <v>2300</v>
      </c>
      <c r="F246" s="234">
        <v>300</v>
      </c>
      <c r="G246" s="234"/>
      <c r="H246" s="234"/>
      <c r="I246" s="242"/>
      <c r="J246" s="35">
        <f>SUM(C246:I246)</f>
        <v>2690</v>
      </c>
      <c r="K246" s="254">
        <f>C246*1750</f>
        <v>157500</v>
      </c>
      <c r="L246" s="294">
        <f>D246*1750</f>
        <v>0</v>
      </c>
      <c r="M246" s="283">
        <f>E246*1400</f>
        <v>3220000</v>
      </c>
      <c r="N246" s="299">
        <f>F246*1400</f>
        <v>420000</v>
      </c>
      <c r="O246" s="315">
        <f>G246*1750</f>
        <v>0</v>
      </c>
      <c r="P246" s="299">
        <f>H246*1200</f>
        <v>0</v>
      </c>
      <c r="Q246" s="299"/>
      <c r="R246" s="3">
        <f t="shared" ref="R246" si="85">SUM(I246:Q246)</f>
        <v>3800190</v>
      </c>
      <c r="S246" s="3">
        <f>J246*305</f>
        <v>820450</v>
      </c>
    </row>
    <row r="247" spans="1:19" s="24" customFormat="1">
      <c r="B247" s="74"/>
      <c r="C247" s="486"/>
      <c r="D247" s="486"/>
      <c r="E247" s="273"/>
      <c r="F247" s="272"/>
      <c r="G247" s="272"/>
      <c r="H247" s="272"/>
      <c r="I247" s="84" t="s">
        <v>141</v>
      </c>
      <c r="J247" s="58" t="s">
        <v>6</v>
      </c>
      <c r="K247" s="118">
        <f t="shared" ref="K247:S247" si="86">SUM(K245:K246)</f>
        <v>507500</v>
      </c>
      <c r="L247" s="297">
        <f t="shared" si="86"/>
        <v>0</v>
      </c>
      <c r="M247" s="118">
        <f t="shared" si="86"/>
        <v>6020000</v>
      </c>
      <c r="N247" s="118">
        <f t="shared" si="86"/>
        <v>980000</v>
      </c>
      <c r="O247" s="303">
        <f t="shared" si="86"/>
        <v>0</v>
      </c>
      <c r="P247" s="118">
        <f t="shared" si="86"/>
        <v>0</v>
      </c>
      <c r="Q247" s="118">
        <f t="shared" si="86"/>
        <v>0</v>
      </c>
      <c r="R247" s="135">
        <f t="shared" si="86"/>
        <v>7510190</v>
      </c>
      <c r="S247" s="136">
        <f t="shared" si="86"/>
        <v>1571850</v>
      </c>
    </row>
    <row r="248" spans="1:19" s="24" customFormat="1">
      <c r="B248" s="74"/>
      <c r="C248" s="74"/>
      <c r="D248" s="142"/>
      <c r="E248" s="143"/>
      <c r="F248" s="22"/>
      <c r="G248" s="26"/>
      <c r="H248" s="144"/>
      <c r="I248" s="22"/>
      <c r="J248" s="22"/>
      <c r="K248" s="492"/>
      <c r="L248" s="492"/>
      <c r="M248" s="493"/>
      <c r="N248" s="493"/>
      <c r="O248" s="494"/>
      <c r="P248" s="495"/>
      <c r="Q248" s="496"/>
      <c r="R248" s="492"/>
      <c r="S248" s="497"/>
    </row>
    <row r="249" spans="1:19" s="24" customFormat="1">
      <c r="B249" s="74"/>
      <c r="C249" s="74"/>
      <c r="D249" s="607" t="s">
        <v>262</v>
      </c>
      <c r="E249" s="143" t="s">
        <v>4</v>
      </c>
      <c r="F249" s="498" t="s">
        <v>263</v>
      </c>
      <c r="G249" s="12" t="s">
        <v>264</v>
      </c>
      <c r="H249" s="144"/>
      <c r="I249" s="498"/>
      <c r="J249" s="499" t="s">
        <v>465</v>
      </c>
      <c r="K249" s="492"/>
      <c r="L249" s="492"/>
      <c r="M249" s="493"/>
      <c r="N249" s="493"/>
      <c r="O249" s="494"/>
      <c r="P249" s="495"/>
      <c r="Q249" s="496"/>
      <c r="R249" s="492"/>
      <c r="S249" s="497"/>
    </row>
    <row r="250" spans="1:19" s="244" customFormat="1" ht="24">
      <c r="B250" s="245"/>
      <c r="C250" s="245"/>
      <c r="D250" s="406" t="s">
        <v>265</v>
      </c>
      <c r="E250" s="19" t="s">
        <v>266</v>
      </c>
      <c r="F250" s="20" t="s">
        <v>14</v>
      </c>
      <c r="G250" s="26" t="s">
        <v>15</v>
      </c>
      <c r="H250" s="491"/>
      <c r="I250" s="20" t="s">
        <v>0</v>
      </c>
      <c r="J250" s="77" t="s">
        <v>1</v>
      </c>
      <c r="K250" s="492"/>
      <c r="L250" s="492"/>
      <c r="M250" s="493"/>
      <c r="N250" s="493"/>
      <c r="O250" s="494"/>
      <c r="P250" s="495"/>
      <c r="Q250" s="496"/>
      <c r="R250" s="492"/>
      <c r="S250" s="497"/>
    </row>
    <row r="251" spans="1:19">
      <c r="A251" s="24" t="s">
        <v>267</v>
      </c>
      <c r="C251" s="2" t="s">
        <v>2</v>
      </c>
      <c r="D251" s="406" t="s">
        <v>268</v>
      </c>
      <c r="E251" s="91"/>
      <c r="F251" s="20" t="s">
        <v>10</v>
      </c>
      <c r="G251" s="110" t="s">
        <v>11</v>
      </c>
      <c r="I251" s="102"/>
      <c r="J251" s="140"/>
      <c r="K251" s="219" t="s">
        <v>2</v>
      </c>
      <c r="L251" s="664" t="s">
        <v>733</v>
      </c>
      <c r="M251" s="664"/>
      <c r="N251" s="419"/>
      <c r="O251" s="419" t="s">
        <v>748</v>
      </c>
      <c r="P251" s="594"/>
      <c r="Q251" s="278" t="s">
        <v>557</v>
      </c>
      <c r="R251" s="220" t="s">
        <v>18</v>
      </c>
      <c r="S251" s="593" t="s">
        <v>19</v>
      </c>
    </row>
    <row r="252" spans="1:19">
      <c r="A252" s="79" t="s">
        <v>270</v>
      </c>
      <c r="B252" s="548" t="s">
        <v>269</v>
      </c>
      <c r="C252" s="233">
        <v>31</v>
      </c>
      <c r="D252" s="235"/>
      <c r="E252" s="234">
        <v>3</v>
      </c>
      <c r="F252" s="215">
        <v>1</v>
      </c>
      <c r="G252" s="242" t="s">
        <v>789</v>
      </c>
      <c r="H252" s="231"/>
      <c r="I252" s="230"/>
      <c r="J252" s="35">
        <f t="shared" ref="J252:J258" si="87">SUM(C252:I252)</f>
        <v>35</v>
      </c>
      <c r="K252" s="254">
        <f>C252*204000</f>
        <v>6324000</v>
      </c>
      <c r="L252" s="294">
        <f>D252*176000</f>
        <v>0</v>
      </c>
      <c r="M252" s="299">
        <f>E252*176000</f>
        <v>528000</v>
      </c>
      <c r="N252" s="276"/>
      <c r="O252" s="276">
        <f>F252*163200</f>
        <v>163200</v>
      </c>
      <c r="P252" s="210"/>
      <c r="Q252" s="279"/>
      <c r="R252" s="4">
        <f t="shared" ref="R252:R258" si="88">SUM(K252:Q252)</f>
        <v>7015200</v>
      </c>
      <c r="S252" s="4">
        <f>J252*55000</f>
        <v>1925000</v>
      </c>
    </row>
    <row r="253" spans="1:19">
      <c r="A253" s="79" t="s">
        <v>271</v>
      </c>
      <c r="B253" s="548" t="s">
        <v>269</v>
      </c>
      <c r="C253" s="233">
        <v>20</v>
      </c>
      <c r="D253" s="235"/>
      <c r="E253" s="234"/>
      <c r="F253" s="215">
        <v>4</v>
      </c>
      <c r="G253" s="242">
        <v>1</v>
      </c>
      <c r="H253" s="231"/>
      <c r="I253" s="215">
        <v>2</v>
      </c>
      <c r="J253" s="35">
        <f t="shared" si="87"/>
        <v>27</v>
      </c>
      <c r="K253" s="254">
        <f>C253*46200</f>
        <v>924000</v>
      </c>
      <c r="L253" s="294">
        <f>D253*44000</f>
        <v>0</v>
      </c>
      <c r="M253" s="299">
        <f>E253*44000</f>
        <v>0</v>
      </c>
      <c r="N253" s="276"/>
      <c r="O253" s="276">
        <f>F253*36920</f>
        <v>147680</v>
      </c>
      <c r="P253" s="210"/>
      <c r="Q253" s="279">
        <f>I253*30800</f>
        <v>61600</v>
      </c>
      <c r="R253" s="4">
        <f t="shared" si="88"/>
        <v>1133280</v>
      </c>
      <c r="S253" s="4">
        <f>J253*13500</f>
        <v>364500</v>
      </c>
    </row>
    <row r="254" spans="1:19">
      <c r="A254" s="79" t="s">
        <v>272</v>
      </c>
      <c r="B254" s="377" t="s">
        <v>273</v>
      </c>
      <c r="C254" s="233">
        <v>22</v>
      </c>
      <c r="D254" s="235"/>
      <c r="E254" s="234">
        <v>7</v>
      </c>
      <c r="F254" s="229"/>
      <c r="G254" s="236"/>
      <c r="H254" s="231"/>
      <c r="I254" s="231"/>
      <c r="J254" s="35">
        <f t="shared" si="87"/>
        <v>29</v>
      </c>
      <c r="K254" s="254">
        <f>C254*21000</f>
        <v>462000</v>
      </c>
      <c r="L254" s="294">
        <f>D254*15400</f>
        <v>0</v>
      </c>
      <c r="M254" s="299">
        <f>E254*15400</f>
        <v>107800</v>
      </c>
      <c r="N254" s="276"/>
      <c r="P254" s="210"/>
      <c r="Q254" s="279"/>
      <c r="R254" s="4">
        <f t="shared" si="88"/>
        <v>569800</v>
      </c>
      <c r="S254" s="4">
        <f>J254*4500</f>
        <v>130500</v>
      </c>
    </row>
    <row r="255" spans="1:19">
      <c r="A255" s="128" t="s">
        <v>274</v>
      </c>
      <c r="B255" s="377" t="s">
        <v>273</v>
      </c>
      <c r="C255" s="233">
        <v>29</v>
      </c>
      <c r="D255" s="235"/>
      <c r="E255" s="234">
        <v>3</v>
      </c>
      <c r="F255" s="230"/>
      <c r="G255" s="236"/>
      <c r="H255" s="231"/>
      <c r="I255" s="231"/>
      <c r="J255" s="35">
        <f t="shared" si="87"/>
        <v>32</v>
      </c>
      <c r="K255" s="254">
        <f>C255*21000</f>
        <v>609000</v>
      </c>
      <c r="L255" s="294">
        <f>D255*15400</f>
        <v>0</v>
      </c>
      <c r="M255" s="299">
        <f>E255*15400</f>
        <v>46200</v>
      </c>
      <c r="N255" s="276"/>
      <c r="P255" s="210"/>
      <c r="Q255" s="279"/>
      <c r="R255" s="4">
        <f t="shared" si="88"/>
        <v>655200</v>
      </c>
      <c r="S255" s="4">
        <f>J255*4700</f>
        <v>150400</v>
      </c>
    </row>
    <row r="256" spans="1:19">
      <c r="A256" s="128" t="s">
        <v>275</v>
      </c>
      <c r="B256" s="377" t="s">
        <v>273</v>
      </c>
      <c r="C256" s="233">
        <v>3</v>
      </c>
      <c r="D256" s="235"/>
      <c r="E256" s="234"/>
      <c r="F256" s="230"/>
      <c r="G256" s="236"/>
      <c r="H256" s="231"/>
      <c r="I256" s="230"/>
      <c r="J256" s="35">
        <f t="shared" si="87"/>
        <v>3</v>
      </c>
      <c r="K256" s="254">
        <f>C256*10400</f>
        <v>31200</v>
      </c>
      <c r="L256" s="294">
        <f>D256*10400</f>
        <v>0</v>
      </c>
      <c r="M256" s="299">
        <f>E256*10400</f>
        <v>0</v>
      </c>
      <c r="N256" s="276"/>
      <c r="P256" s="210"/>
      <c r="Q256" s="279"/>
      <c r="R256" s="4">
        <f t="shared" si="88"/>
        <v>31200</v>
      </c>
      <c r="S256" s="4">
        <f>J256*2700</f>
        <v>8100</v>
      </c>
    </row>
    <row r="257" spans="1:19">
      <c r="A257" s="79" t="s">
        <v>276</v>
      </c>
      <c r="B257" s="377" t="s">
        <v>277</v>
      </c>
      <c r="C257" s="237"/>
      <c r="D257" s="235"/>
      <c r="E257" s="234"/>
      <c r="F257" s="230"/>
      <c r="G257" s="236"/>
      <c r="H257" s="231"/>
      <c r="I257" s="231"/>
      <c r="J257" s="35">
        <f t="shared" si="87"/>
        <v>0</v>
      </c>
      <c r="K257" s="3">
        <f>C257*150000</f>
        <v>0</v>
      </c>
      <c r="L257" s="294">
        <f>D257*120000</f>
        <v>0</v>
      </c>
      <c r="M257" s="299">
        <f>E257*120000</f>
        <v>0</v>
      </c>
      <c r="N257" s="276"/>
      <c r="P257" s="210"/>
      <c r="Q257" s="279"/>
      <c r="R257" s="4">
        <f t="shared" si="88"/>
        <v>0</v>
      </c>
      <c r="S257" s="4">
        <f>J257*79000</f>
        <v>0</v>
      </c>
    </row>
    <row r="258" spans="1:19">
      <c r="A258" s="109" t="s">
        <v>278</v>
      </c>
      <c r="B258" s="378" t="s">
        <v>254</v>
      </c>
      <c r="C258" s="230"/>
      <c r="D258" s="32"/>
      <c r="E258" s="33"/>
      <c r="F258" s="191"/>
      <c r="G258" s="197"/>
      <c r="H258" s="80"/>
      <c r="I258" s="80"/>
      <c r="J258" s="35">
        <f t="shared" si="87"/>
        <v>0</v>
      </c>
      <c r="K258" s="268">
        <f>C258*12000</f>
        <v>0</v>
      </c>
      <c r="L258" s="294"/>
      <c r="M258" s="299"/>
      <c r="N258" s="276"/>
      <c r="P258" s="210"/>
      <c r="Q258" s="279">
        <f>F258*12000</f>
        <v>0</v>
      </c>
      <c r="R258" s="4">
        <f t="shared" si="88"/>
        <v>0</v>
      </c>
      <c r="S258" s="4">
        <f>J258*8230</f>
        <v>0</v>
      </c>
    </row>
    <row r="259" spans="1:19" s="244" customFormat="1">
      <c r="B259" s="245"/>
      <c r="C259" s="486"/>
      <c r="D259" s="475"/>
      <c r="E259" s="487"/>
      <c r="F259" s="488"/>
      <c r="G259" s="488"/>
      <c r="H259" s="488"/>
      <c r="I259" s="246"/>
      <c r="J259" s="247"/>
      <c r="K259" s="248"/>
      <c r="L259" s="318"/>
      <c r="M259" s="248"/>
      <c r="N259" s="248"/>
      <c r="O259" s="480"/>
      <c r="P259" s="248"/>
      <c r="Q259" s="248"/>
      <c r="R259" s="248"/>
      <c r="S259" s="252"/>
    </row>
    <row r="260" spans="1:19" s="24" customFormat="1">
      <c r="B260" s="74"/>
      <c r="C260" s="74"/>
      <c r="D260" s="9" t="s">
        <v>3</v>
      </c>
      <c r="E260" s="10"/>
      <c r="F260" s="12"/>
      <c r="G260" s="12"/>
      <c r="H260" s="12"/>
      <c r="I260" s="12"/>
      <c r="J260" s="117" t="s">
        <v>6</v>
      </c>
      <c r="K260" s="145">
        <f>SUM(K252:K259)</f>
        <v>8350200</v>
      </c>
      <c r="L260" s="145">
        <f t="shared" ref="L260:R260" si="89">SUM(L252:L259)</f>
        <v>0</v>
      </c>
      <c r="M260" s="145">
        <f t="shared" si="89"/>
        <v>682000</v>
      </c>
      <c r="N260" s="145">
        <f t="shared" si="89"/>
        <v>0</v>
      </c>
      <c r="O260" s="145">
        <f t="shared" si="89"/>
        <v>310880</v>
      </c>
      <c r="P260" s="145">
        <f t="shared" si="89"/>
        <v>0</v>
      </c>
      <c r="Q260" s="145">
        <f t="shared" si="89"/>
        <v>61600</v>
      </c>
      <c r="R260" s="145">
        <f t="shared" si="89"/>
        <v>9404680</v>
      </c>
      <c r="S260" s="145">
        <f>SUM(S252:S259)</f>
        <v>2578500</v>
      </c>
    </row>
    <row r="261" spans="1:19">
      <c r="C261" s="104" t="s">
        <v>347</v>
      </c>
      <c r="D261" s="55" t="s">
        <v>279</v>
      </c>
      <c r="E261" s="10" t="s">
        <v>4</v>
      </c>
      <c r="F261" s="12" t="s">
        <v>5</v>
      </c>
      <c r="G261" s="12"/>
      <c r="H261" s="12"/>
      <c r="I261" s="12" t="s">
        <v>261</v>
      </c>
      <c r="J261" s="110"/>
      <c r="P261" s="210"/>
    </row>
    <row r="262" spans="1:19">
      <c r="A262" s="74" t="s">
        <v>281</v>
      </c>
      <c r="C262" s="104" t="s">
        <v>282</v>
      </c>
      <c r="D262" s="55" t="s">
        <v>283</v>
      </c>
      <c r="E262" s="15" t="s">
        <v>280</v>
      </c>
      <c r="F262" s="20"/>
      <c r="G262" s="110"/>
      <c r="H262" s="137"/>
      <c r="I262" s="20" t="s">
        <v>10</v>
      </c>
      <c r="J262" s="110" t="s">
        <v>11</v>
      </c>
      <c r="P262" s="210"/>
    </row>
    <row r="263" spans="1:19" ht="24">
      <c r="C263" s="106" t="s">
        <v>282</v>
      </c>
      <c r="D263" s="105" t="s">
        <v>286</v>
      </c>
      <c r="E263" s="15" t="s">
        <v>284</v>
      </c>
      <c r="F263" s="19" t="s">
        <v>729</v>
      </c>
      <c r="G263" s="146"/>
      <c r="H263" s="146"/>
      <c r="I263" s="20" t="s">
        <v>14</v>
      </c>
      <c r="J263" s="26" t="s">
        <v>15</v>
      </c>
      <c r="P263" s="210"/>
    </row>
    <row r="264" spans="1:19">
      <c r="C264" s="106" t="s">
        <v>285</v>
      </c>
      <c r="D264" s="545"/>
      <c r="E264" s="19" t="s">
        <v>287</v>
      </c>
      <c r="F264" s="19" t="s">
        <v>772</v>
      </c>
      <c r="G264" s="146"/>
      <c r="H264" s="146"/>
      <c r="I264" s="20"/>
      <c r="J264" s="309"/>
      <c r="P264" s="210"/>
    </row>
    <row r="265" spans="1:19">
      <c r="A265" s="148"/>
      <c r="B265" s="2" t="s">
        <v>2</v>
      </c>
      <c r="C265" s="104" t="s">
        <v>350</v>
      </c>
      <c r="D265" s="105" t="s">
        <v>268</v>
      </c>
      <c r="E265" s="19" t="s">
        <v>728</v>
      </c>
      <c r="F265" s="20"/>
      <c r="G265" s="26"/>
      <c r="H265" s="146"/>
      <c r="I265" s="124" t="s">
        <v>408</v>
      </c>
      <c r="J265" s="140"/>
      <c r="K265" s="219" t="s">
        <v>2</v>
      </c>
      <c r="L265" s="664" t="s">
        <v>733</v>
      </c>
      <c r="M265" s="664"/>
      <c r="N265" s="348" t="s">
        <v>559</v>
      </c>
      <c r="O265" s="348" t="s">
        <v>557</v>
      </c>
      <c r="P265" s="348" t="s">
        <v>464</v>
      </c>
      <c r="Q265" s="220"/>
      <c r="R265" s="220" t="s">
        <v>18</v>
      </c>
      <c r="S265" s="593" t="s">
        <v>19</v>
      </c>
    </row>
    <row r="266" spans="1:19" s="3" customFormat="1">
      <c r="A266" s="115" t="s">
        <v>288</v>
      </c>
      <c r="B266" s="684" t="s">
        <v>289</v>
      </c>
      <c r="C266" s="237">
        <v>14</v>
      </c>
      <c r="D266" s="235"/>
      <c r="E266" s="234">
        <v>12</v>
      </c>
      <c r="F266" s="230"/>
      <c r="G266" s="236"/>
      <c r="H266" s="231"/>
      <c r="I266" s="230"/>
      <c r="J266" s="35">
        <f t="shared" ref="J266:J294" si="90">SUM(C266:I266)</f>
        <v>26</v>
      </c>
      <c r="K266" s="254">
        <f>C266*25000</f>
        <v>350000</v>
      </c>
      <c r="L266" s="294">
        <f>D266*22000</f>
        <v>0</v>
      </c>
      <c r="M266" s="299">
        <f>E266*22000</f>
        <v>264000</v>
      </c>
      <c r="N266" s="282">
        <f>F266*10000</f>
        <v>0</v>
      </c>
      <c r="O266" s="282"/>
      <c r="P266" s="282"/>
      <c r="Q266" s="5"/>
      <c r="R266" s="4">
        <f>SUM(K266:Q266)</f>
        <v>614000</v>
      </c>
      <c r="S266" s="4">
        <f>J266*15400</f>
        <v>400400</v>
      </c>
    </row>
    <row r="267" spans="1:19" s="3" customFormat="1">
      <c r="A267" s="115" t="s">
        <v>290</v>
      </c>
      <c r="B267" s="685"/>
      <c r="C267" s="233">
        <v>52</v>
      </c>
      <c r="D267" s="235"/>
      <c r="E267" s="234"/>
      <c r="F267" s="230"/>
      <c r="G267" s="236"/>
      <c r="H267" s="231"/>
      <c r="I267" s="242"/>
      <c r="J267" s="35">
        <f t="shared" si="90"/>
        <v>52</v>
      </c>
      <c r="K267" s="254">
        <f>C267*12000</f>
        <v>624000</v>
      </c>
      <c r="L267" s="294">
        <f>D267*12000</f>
        <v>0</v>
      </c>
      <c r="M267" s="299">
        <f>E267*12000</f>
        <v>0</v>
      </c>
      <c r="N267" s="282"/>
      <c r="O267" s="282"/>
      <c r="P267" s="282"/>
      <c r="Q267" s="5"/>
      <c r="R267" s="4">
        <f t="shared" ref="R267:R304" si="91">SUM(K267:Q267)</f>
        <v>624000</v>
      </c>
      <c r="S267" s="4">
        <f>J267*7150</f>
        <v>371800</v>
      </c>
    </row>
    <row r="268" spans="1:19" s="3" customFormat="1">
      <c r="A268" s="115" t="s">
        <v>291</v>
      </c>
      <c r="B268" s="369" t="s">
        <v>510</v>
      </c>
      <c r="C268" s="233">
        <v>34</v>
      </c>
      <c r="D268" s="235"/>
      <c r="E268" s="234">
        <v>5</v>
      </c>
      <c r="F268" s="229"/>
      <c r="G268" s="236"/>
      <c r="H268" s="231"/>
      <c r="I268" s="230"/>
      <c r="J268" s="35">
        <f t="shared" si="90"/>
        <v>39</v>
      </c>
      <c r="K268" s="254">
        <f>C268*22000</f>
        <v>748000</v>
      </c>
      <c r="L268" s="294">
        <f>D268*22000</f>
        <v>0</v>
      </c>
      <c r="M268" s="299">
        <f>E268*15000</f>
        <v>75000</v>
      </c>
      <c r="N268" s="282"/>
      <c r="O268" s="282"/>
      <c r="P268" s="282"/>
      <c r="Q268" s="5"/>
      <c r="R268" s="4">
        <f t="shared" si="91"/>
        <v>823000</v>
      </c>
      <c r="S268" s="4">
        <f>J268*10835</f>
        <v>422565</v>
      </c>
    </row>
    <row r="269" spans="1:19" s="3" customFormat="1">
      <c r="A269" s="115" t="s">
        <v>292</v>
      </c>
      <c r="B269" s="370" t="s">
        <v>293</v>
      </c>
      <c r="C269" s="233">
        <v>17</v>
      </c>
      <c r="D269" s="235"/>
      <c r="E269" s="234">
        <v>10</v>
      </c>
      <c r="F269" s="230"/>
      <c r="G269" s="236"/>
      <c r="H269" s="231"/>
      <c r="I269" s="242"/>
      <c r="J269" s="35">
        <f t="shared" si="90"/>
        <v>27</v>
      </c>
      <c r="K269" s="254">
        <f>C269*22000</f>
        <v>374000</v>
      </c>
      <c r="L269" s="294">
        <f>D269*22000</f>
        <v>0</v>
      </c>
      <c r="M269" s="299">
        <f>E269*22000</f>
        <v>220000</v>
      </c>
      <c r="N269" s="282"/>
      <c r="O269" s="282"/>
      <c r="P269" s="282"/>
      <c r="Q269" s="5"/>
      <c r="R269" s="4">
        <f t="shared" si="91"/>
        <v>594000</v>
      </c>
      <c r="S269" s="4">
        <f>J269*9361</f>
        <v>252747</v>
      </c>
    </row>
    <row r="270" spans="1:19" s="3" customFormat="1">
      <c r="A270" s="115" t="s">
        <v>294</v>
      </c>
      <c r="B270" s="370" t="s">
        <v>295</v>
      </c>
      <c r="C270" s="257">
        <v>22</v>
      </c>
      <c r="D270" s="235"/>
      <c r="E270" s="234">
        <v>19</v>
      </c>
      <c r="F270" s="230"/>
      <c r="G270" s="236"/>
      <c r="H270" s="231"/>
      <c r="I270" s="215">
        <v>1</v>
      </c>
      <c r="J270" s="35">
        <f t="shared" si="90"/>
        <v>42</v>
      </c>
      <c r="K270" s="254">
        <f>C270*18000</f>
        <v>396000</v>
      </c>
      <c r="L270" s="294">
        <f>D270*15000</f>
        <v>0</v>
      </c>
      <c r="M270" s="299">
        <f>E270*15000</f>
        <v>285000</v>
      </c>
      <c r="N270" s="282"/>
      <c r="O270" s="282">
        <f>I270*14400</f>
        <v>14400</v>
      </c>
      <c r="P270" s="282"/>
      <c r="Q270" s="286"/>
      <c r="R270" s="4">
        <f t="shared" si="91"/>
        <v>695400</v>
      </c>
      <c r="S270" s="4">
        <f>J270*4238</f>
        <v>177996</v>
      </c>
    </row>
    <row r="271" spans="1:19" s="3" customFormat="1">
      <c r="A271" s="115" t="s">
        <v>296</v>
      </c>
      <c r="B271" s="370" t="s">
        <v>297</v>
      </c>
      <c r="C271" s="237">
        <v>14</v>
      </c>
      <c r="D271" s="235"/>
      <c r="E271" s="234">
        <v>1</v>
      </c>
      <c r="F271" s="230"/>
      <c r="G271" s="236"/>
      <c r="H271" s="231"/>
      <c r="I271" s="215"/>
      <c r="J271" s="35">
        <f t="shared" si="90"/>
        <v>15</v>
      </c>
      <c r="K271" s="254">
        <f>C271*15000</f>
        <v>210000</v>
      </c>
      <c r="L271" s="294">
        <f>D271*11600</f>
        <v>0</v>
      </c>
      <c r="M271" s="299">
        <f>E271*11600</f>
        <v>11600</v>
      </c>
      <c r="N271" s="282"/>
      <c r="O271" s="282"/>
      <c r="P271" s="282"/>
      <c r="Q271" s="5"/>
      <c r="R271" s="4">
        <f t="shared" si="91"/>
        <v>221600</v>
      </c>
      <c r="S271" s="4">
        <f>J271*3719</f>
        <v>55785</v>
      </c>
    </row>
    <row r="272" spans="1:19" s="3" customFormat="1">
      <c r="A272" s="115" t="s">
        <v>348</v>
      </c>
      <c r="B272" s="383" t="s">
        <v>349</v>
      </c>
      <c r="C272" s="237">
        <v>4</v>
      </c>
      <c r="D272" s="235"/>
      <c r="E272" s="234"/>
      <c r="F272" s="230"/>
      <c r="G272" s="236"/>
      <c r="H272" s="231"/>
      <c r="I272" s="215"/>
      <c r="J272" s="35">
        <f t="shared" si="90"/>
        <v>4</v>
      </c>
      <c r="K272" s="254">
        <f>C272*33000</f>
        <v>132000</v>
      </c>
      <c r="L272" s="294">
        <f>D272*33000</f>
        <v>0</v>
      </c>
      <c r="M272" s="302">
        <f>E272*33000</f>
        <v>0</v>
      </c>
      <c r="N272" s="284"/>
      <c r="O272" s="284"/>
      <c r="P272" s="284"/>
      <c r="Q272" s="5"/>
      <c r="R272" s="4">
        <f t="shared" si="91"/>
        <v>132000</v>
      </c>
      <c r="S272" s="4">
        <f>J272*16500</f>
        <v>66000</v>
      </c>
    </row>
    <row r="273" spans="1:19" s="3" customFormat="1">
      <c r="A273" s="211" t="s">
        <v>362</v>
      </c>
      <c r="B273" s="383" t="s">
        <v>366</v>
      </c>
      <c r="C273" s="237"/>
      <c r="D273" s="235"/>
      <c r="E273" s="234"/>
      <c r="F273" s="230"/>
      <c r="G273" s="236"/>
      <c r="H273" s="231"/>
      <c r="I273" s="215"/>
      <c r="J273" s="35">
        <f t="shared" si="90"/>
        <v>0</v>
      </c>
      <c r="K273" s="3">
        <f>C273*77000</f>
        <v>0</v>
      </c>
      <c r="L273" s="294">
        <f>D273*77000</f>
        <v>0</v>
      </c>
      <c r="M273" s="302">
        <f>E273*77000</f>
        <v>0</v>
      </c>
      <c r="N273" s="284"/>
      <c r="O273" s="284"/>
      <c r="P273" s="284"/>
      <c r="Q273" s="286"/>
      <c r="R273" s="4">
        <f t="shared" si="91"/>
        <v>0</v>
      </c>
      <c r="S273" s="4">
        <f>J273*38500</f>
        <v>0</v>
      </c>
    </row>
    <row r="274" spans="1:19" s="3" customFormat="1" ht="21.75" customHeight="1">
      <c r="A274" s="149" t="s">
        <v>300</v>
      </c>
      <c r="B274" s="383" t="s">
        <v>351</v>
      </c>
      <c r="C274" s="233">
        <v>159</v>
      </c>
      <c r="D274" s="235"/>
      <c r="E274" s="234"/>
      <c r="F274" s="230"/>
      <c r="G274" s="236"/>
      <c r="H274" s="231"/>
      <c r="I274" s="214"/>
      <c r="J274" s="35">
        <f t="shared" si="90"/>
        <v>159</v>
      </c>
      <c r="K274" s="364">
        <f>C274*2500</f>
        <v>397500</v>
      </c>
      <c r="L274" s="294"/>
      <c r="M274" s="299"/>
      <c r="N274" s="282"/>
      <c r="O274" s="282"/>
      <c r="P274" s="282"/>
      <c r="Q274" s="286"/>
      <c r="R274" s="4">
        <f t="shared" si="91"/>
        <v>397500</v>
      </c>
      <c r="S274" s="4">
        <f>J274*1070</f>
        <v>170130</v>
      </c>
    </row>
    <row r="275" spans="1:19" s="3" customFormat="1">
      <c r="A275" s="150" t="s">
        <v>301</v>
      </c>
      <c r="B275" s="371" t="s">
        <v>371</v>
      </c>
      <c r="C275" s="215">
        <v>700</v>
      </c>
      <c r="D275" s="235"/>
      <c r="E275" s="234">
        <v>100</v>
      </c>
      <c r="F275" s="230"/>
      <c r="G275" s="236"/>
      <c r="H275" s="231"/>
      <c r="I275" s="215">
        <v>1</v>
      </c>
      <c r="J275" s="35">
        <f t="shared" si="90"/>
        <v>801</v>
      </c>
      <c r="K275" s="284">
        <f>C275*1700</f>
        <v>1190000</v>
      </c>
      <c r="L275" s="294">
        <f>D275*1700</f>
        <v>0</v>
      </c>
      <c r="M275" s="299">
        <f>E275*1700</f>
        <v>170000</v>
      </c>
      <c r="N275" s="282"/>
      <c r="O275" s="282">
        <f>I275*2000</f>
        <v>2000</v>
      </c>
      <c r="P275" s="282"/>
      <c r="Q275" s="286"/>
      <c r="R275" s="4">
        <f t="shared" si="91"/>
        <v>1362000</v>
      </c>
      <c r="S275" s="4">
        <f>J275*1070</f>
        <v>857070</v>
      </c>
    </row>
    <row r="276" spans="1:19" s="3" customFormat="1">
      <c r="A276" s="151" t="s">
        <v>303</v>
      </c>
      <c r="B276" s="383" t="s">
        <v>304</v>
      </c>
      <c r="C276" s="239">
        <v>66</v>
      </c>
      <c r="D276" s="235"/>
      <c r="E276" s="234"/>
      <c r="F276" s="230"/>
      <c r="G276" s="236"/>
      <c r="H276" s="231"/>
      <c r="I276" s="215"/>
      <c r="J276" s="35">
        <f t="shared" si="90"/>
        <v>66</v>
      </c>
      <c r="K276" s="364">
        <f>C276*2500</f>
        <v>165000</v>
      </c>
      <c r="L276" s="294"/>
      <c r="M276" s="299">
        <f t="shared" ref="M276" si="92">E276*1500</f>
        <v>0</v>
      </c>
      <c r="N276" s="282"/>
      <c r="O276" s="282"/>
      <c r="P276" s="282"/>
      <c r="Q276" s="5"/>
      <c r="R276" s="4">
        <f t="shared" si="91"/>
        <v>165000</v>
      </c>
      <c r="S276" s="4">
        <f>J276*495</f>
        <v>32670</v>
      </c>
    </row>
    <row r="277" spans="1:19" s="3" customFormat="1">
      <c r="A277" s="152" t="s">
        <v>305</v>
      </c>
      <c r="B277" s="372" t="s">
        <v>302</v>
      </c>
      <c r="C277" s="215">
        <v>100</v>
      </c>
      <c r="D277" s="235"/>
      <c r="E277" s="234"/>
      <c r="F277" s="230"/>
      <c r="G277" s="236"/>
      <c r="H277" s="231"/>
      <c r="I277" s="215"/>
      <c r="J277" s="35">
        <f t="shared" si="90"/>
        <v>100</v>
      </c>
      <c r="K277" s="284">
        <f>C277*1700</f>
        <v>170000</v>
      </c>
      <c r="L277" s="294">
        <f>D277*1700</f>
        <v>0</v>
      </c>
      <c r="M277" s="299">
        <f>E277*1700</f>
        <v>0</v>
      </c>
      <c r="N277" s="282"/>
      <c r="O277" s="282">
        <f>I277*2000</f>
        <v>0</v>
      </c>
      <c r="P277" s="282"/>
      <c r="Q277" s="5"/>
      <c r="R277" s="4">
        <f t="shared" si="91"/>
        <v>170000</v>
      </c>
      <c r="S277" s="4">
        <f>J277*495</f>
        <v>49500</v>
      </c>
    </row>
    <row r="278" spans="1:19" s="3" customFormat="1">
      <c r="A278" s="153" t="s">
        <v>306</v>
      </c>
      <c r="B278" s="384" t="s">
        <v>307</v>
      </c>
      <c r="C278" s="239">
        <v>185</v>
      </c>
      <c r="D278" s="235"/>
      <c r="E278" s="234"/>
      <c r="F278" s="230"/>
      <c r="G278" s="236"/>
      <c r="H278" s="231"/>
      <c r="I278" s="214"/>
      <c r="J278" s="35">
        <f t="shared" si="90"/>
        <v>185</v>
      </c>
      <c r="K278" s="364">
        <f>C278*2500</f>
        <v>462500</v>
      </c>
      <c r="L278" s="294"/>
      <c r="M278" s="299"/>
      <c r="N278" s="282"/>
      <c r="O278" s="282"/>
      <c r="P278" s="282"/>
      <c r="Q278" s="286"/>
      <c r="R278" s="4">
        <f t="shared" si="91"/>
        <v>462500</v>
      </c>
      <c r="S278" s="4">
        <f>J278*310</f>
        <v>57350</v>
      </c>
    </row>
    <row r="279" spans="1:19" s="3" customFormat="1">
      <c r="A279" s="154" t="s">
        <v>308</v>
      </c>
      <c r="B279" s="372" t="s">
        <v>302</v>
      </c>
      <c r="C279" s="215">
        <v>100</v>
      </c>
      <c r="D279" s="235"/>
      <c r="E279" s="234"/>
      <c r="F279" s="229"/>
      <c r="G279" s="236"/>
      <c r="H279" s="231"/>
      <c r="I279" s="215">
        <v>5</v>
      </c>
      <c r="J279" s="35">
        <f t="shared" si="90"/>
        <v>105</v>
      </c>
      <c r="K279" s="284">
        <f>C279*1700</f>
        <v>170000</v>
      </c>
      <c r="L279" s="294">
        <f>D279*1700</f>
        <v>0</v>
      </c>
      <c r="M279" s="299">
        <f>E279*1700</f>
        <v>0</v>
      </c>
      <c r="N279" s="282"/>
      <c r="O279" s="282">
        <f>I279*2000</f>
        <v>10000</v>
      </c>
      <c r="P279" s="282"/>
      <c r="Q279" s="286"/>
      <c r="R279" s="4">
        <f t="shared" si="91"/>
        <v>180000</v>
      </c>
      <c r="S279" s="4">
        <f>J279*310</f>
        <v>32550</v>
      </c>
    </row>
    <row r="280" spans="1:19" s="3" customFormat="1">
      <c r="A280" s="260" t="s">
        <v>377</v>
      </c>
      <c r="B280" s="666" t="s">
        <v>378</v>
      </c>
      <c r="C280" s="239">
        <v>6</v>
      </c>
      <c r="D280" s="235"/>
      <c r="E280" s="234">
        <v>1</v>
      </c>
      <c r="F280" s="233"/>
      <c r="G280" s="233"/>
      <c r="H280" s="242"/>
      <c r="I280" s="215">
        <v>1</v>
      </c>
      <c r="J280" s="35">
        <f t="shared" si="90"/>
        <v>8</v>
      </c>
      <c r="K280" s="254">
        <f>C280*18900</f>
        <v>113400</v>
      </c>
      <c r="L280" s="294">
        <f>D280*15400</f>
        <v>0</v>
      </c>
      <c r="M280" s="302">
        <f>E280*15400</f>
        <v>15400</v>
      </c>
      <c r="N280" s="284"/>
      <c r="O280" s="551">
        <f>I280*15120</f>
        <v>15120</v>
      </c>
      <c r="P280" s="284"/>
      <c r="Q280" s="284"/>
      <c r="R280" s="4">
        <f t="shared" si="91"/>
        <v>143920</v>
      </c>
      <c r="S280" s="4">
        <f>J280*4794</f>
        <v>38352</v>
      </c>
    </row>
    <row r="281" spans="1:19" s="3" customFormat="1">
      <c r="A281" s="155" t="s">
        <v>379</v>
      </c>
      <c r="B281" s="667"/>
      <c r="C281" s="239"/>
      <c r="D281" s="235"/>
      <c r="E281" s="234"/>
      <c r="F281" s="229"/>
      <c r="G281" s="236"/>
      <c r="H281" s="231"/>
      <c r="I281" s="215"/>
      <c r="J281" s="35">
        <f t="shared" si="90"/>
        <v>0</v>
      </c>
      <c r="K281" s="3">
        <f>C281*11000</f>
        <v>0</v>
      </c>
      <c r="L281" s="294">
        <f>D281*7000</f>
        <v>0</v>
      </c>
      <c r="M281" s="299">
        <f>E281*7000</f>
        <v>0</v>
      </c>
      <c r="N281" s="282"/>
      <c r="O281" s="282"/>
      <c r="P281" s="282"/>
      <c r="Q281" s="5"/>
      <c r="R281" s="4">
        <f t="shared" si="91"/>
        <v>0</v>
      </c>
      <c r="S281" s="4">
        <f>J281*1200</f>
        <v>0</v>
      </c>
    </row>
    <row r="282" spans="1:19">
      <c r="A282" s="115" t="s">
        <v>787</v>
      </c>
      <c r="B282" s="383" t="s">
        <v>299</v>
      </c>
      <c r="C282" s="237">
        <v>3</v>
      </c>
      <c r="D282" s="235"/>
      <c r="E282" s="234">
        <v>1</v>
      </c>
      <c r="F282" s="230"/>
      <c r="G282" s="236"/>
      <c r="H282" s="231"/>
      <c r="I282" s="238"/>
      <c r="J282" s="35">
        <f t="shared" si="90"/>
        <v>4</v>
      </c>
      <c r="K282" s="254">
        <f>C282*25000</f>
        <v>75000</v>
      </c>
      <c r="L282" s="294">
        <f>D282*20000</f>
        <v>0</v>
      </c>
      <c r="M282" s="299">
        <f>E282*20000</f>
        <v>20000</v>
      </c>
      <c r="N282" s="282"/>
      <c r="O282" s="282"/>
      <c r="P282" s="282"/>
      <c r="R282" s="4">
        <f t="shared" si="91"/>
        <v>95000</v>
      </c>
      <c r="S282" s="4">
        <f>J282*12400</f>
        <v>49600</v>
      </c>
    </row>
    <row r="283" spans="1:19">
      <c r="A283" s="155" t="s">
        <v>312</v>
      </c>
      <c r="B283" s="666" t="s">
        <v>393</v>
      </c>
      <c r="C283" s="237">
        <v>1</v>
      </c>
      <c r="D283" s="235"/>
      <c r="E283" s="234">
        <v>2</v>
      </c>
      <c r="F283" s="237"/>
      <c r="G283" s="236"/>
      <c r="H283" s="241"/>
      <c r="I283" s="237"/>
      <c r="J283" s="35">
        <f t="shared" si="90"/>
        <v>3</v>
      </c>
      <c r="K283" s="254">
        <f>C283*40000</f>
        <v>40000</v>
      </c>
      <c r="L283" s="294">
        <f>D283*40000</f>
        <v>0</v>
      </c>
      <c r="M283" s="299">
        <f>E283*38000</f>
        <v>76000</v>
      </c>
      <c r="N283" s="282"/>
      <c r="O283" s="550"/>
      <c r="P283" s="282"/>
      <c r="R283" s="4">
        <f t="shared" si="91"/>
        <v>116000</v>
      </c>
      <c r="S283" s="4">
        <f>J283*26400</f>
        <v>79200</v>
      </c>
    </row>
    <row r="284" spans="1:19">
      <c r="A284" s="155" t="s">
        <v>313</v>
      </c>
      <c r="B284" s="670"/>
      <c r="C284" s="237"/>
      <c r="D284" s="235"/>
      <c r="E284" s="234"/>
      <c r="F284" s="237"/>
      <c r="G284" s="236"/>
      <c r="H284" s="241"/>
      <c r="I284" s="237"/>
      <c r="J284" s="35">
        <f t="shared" si="90"/>
        <v>0</v>
      </c>
      <c r="K284" s="254">
        <f>C284*22000</f>
        <v>0</v>
      </c>
      <c r="L284" s="294">
        <f>D284*22000</f>
        <v>0</v>
      </c>
      <c r="M284" s="299">
        <f>E284*18000</f>
        <v>0</v>
      </c>
      <c r="N284" s="282"/>
      <c r="O284" s="282"/>
      <c r="P284" s="282"/>
      <c r="R284" s="4">
        <f t="shared" si="91"/>
        <v>0</v>
      </c>
      <c r="S284" s="4">
        <f>J284*11000</f>
        <v>0</v>
      </c>
    </row>
    <row r="285" spans="1:19">
      <c r="A285" s="155" t="s">
        <v>314</v>
      </c>
      <c r="B285" s="667"/>
      <c r="C285" s="237"/>
      <c r="D285" s="235"/>
      <c r="E285" s="234">
        <v>10</v>
      </c>
      <c r="F285" s="237"/>
      <c r="G285" s="236"/>
      <c r="H285" s="241"/>
      <c r="I285" s="237"/>
      <c r="J285" s="35">
        <f t="shared" si="90"/>
        <v>10</v>
      </c>
      <c r="K285" s="3">
        <f>C285*4000</f>
        <v>0</v>
      </c>
      <c r="L285" s="294">
        <f>D285*4000</f>
        <v>0</v>
      </c>
      <c r="M285" s="299">
        <f>E285*3000</f>
        <v>30000</v>
      </c>
      <c r="N285" s="282"/>
      <c r="O285" s="282"/>
      <c r="P285" s="282"/>
      <c r="R285" s="4">
        <f t="shared" si="91"/>
        <v>30000</v>
      </c>
      <c r="S285" s="4">
        <f>J285*1760</f>
        <v>17600</v>
      </c>
    </row>
    <row r="286" spans="1:19">
      <c r="A286" s="155" t="s">
        <v>315</v>
      </c>
      <c r="B286" s="385" t="s">
        <v>316</v>
      </c>
      <c r="C286" s="233">
        <v>2</v>
      </c>
      <c r="D286" s="237"/>
      <c r="E286" s="234"/>
      <c r="F286" s="237"/>
      <c r="G286" s="236"/>
      <c r="H286" s="241"/>
      <c r="I286" s="237"/>
      <c r="J286" s="35">
        <f t="shared" si="90"/>
        <v>2</v>
      </c>
      <c r="K286" s="254">
        <f>C286*25000</f>
        <v>50000</v>
      </c>
      <c r="L286" s="294">
        <f>D286*25000</f>
        <v>0</v>
      </c>
      <c r="M286" s="299">
        <f>E286*25000</f>
        <v>0</v>
      </c>
      <c r="N286" s="282"/>
      <c r="O286" s="282"/>
      <c r="P286" s="282"/>
      <c r="R286" s="4">
        <f t="shared" si="91"/>
        <v>50000</v>
      </c>
      <c r="S286" s="4">
        <f>J286*18000</f>
        <v>36000</v>
      </c>
    </row>
    <row r="287" spans="1:19">
      <c r="A287" s="155" t="s">
        <v>317</v>
      </c>
      <c r="B287" s="385" t="s">
        <v>399</v>
      </c>
      <c r="C287" s="237">
        <v>1</v>
      </c>
      <c r="D287" s="235"/>
      <c r="E287" s="234"/>
      <c r="F287" s="237"/>
      <c r="G287" s="236"/>
      <c r="H287" s="241"/>
      <c r="I287" s="237"/>
      <c r="J287" s="35">
        <f t="shared" si="90"/>
        <v>1</v>
      </c>
      <c r="K287" s="254">
        <f>C287*5000</f>
        <v>5000</v>
      </c>
      <c r="L287" s="294">
        <f>D287*5000</f>
        <v>0</v>
      </c>
      <c r="M287" s="299">
        <f>E287*4500</f>
        <v>0</v>
      </c>
      <c r="N287" s="282"/>
      <c r="O287" s="282"/>
      <c r="P287" s="282"/>
      <c r="R287" s="4">
        <f t="shared" si="91"/>
        <v>5000</v>
      </c>
      <c r="S287" s="4">
        <f>J287*1800</f>
        <v>1800</v>
      </c>
    </row>
    <row r="288" spans="1:19">
      <c r="A288" s="128" t="s">
        <v>783</v>
      </c>
      <c r="B288" s="156"/>
      <c r="C288" s="237"/>
      <c r="D288" s="235"/>
      <c r="E288" s="234"/>
      <c r="F288" s="237"/>
      <c r="G288" s="236"/>
      <c r="H288" s="241"/>
      <c r="I288" s="242"/>
      <c r="J288" s="35">
        <f t="shared" si="90"/>
        <v>0</v>
      </c>
      <c r="K288" s="254">
        <f>C288*27000</f>
        <v>0</v>
      </c>
      <c r="L288" s="294">
        <f>D288*20000</f>
        <v>0</v>
      </c>
      <c r="M288" s="299">
        <f>E288*20000</f>
        <v>0</v>
      </c>
      <c r="N288" s="282"/>
      <c r="O288" s="282"/>
      <c r="P288" s="282"/>
      <c r="R288" s="4">
        <f t="shared" si="91"/>
        <v>0</v>
      </c>
      <c r="S288" s="4">
        <f>J288*14850</f>
        <v>0</v>
      </c>
    </row>
    <row r="289" spans="1:19">
      <c r="A289" s="155" t="s">
        <v>318</v>
      </c>
      <c r="B289" s="373"/>
      <c r="C289" s="237"/>
      <c r="D289" s="235"/>
      <c r="E289" s="234"/>
      <c r="F289" s="237"/>
      <c r="G289" s="236"/>
      <c r="H289" s="241"/>
      <c r="I289" s="237"/>
      <c r="J289" s="35">
        <f t="shared" si="90"/>
        <v>0</v>
      </c>
      <c r="K289" s="3">
        <f>C289*4000</f>
        <v>0</v>
      </c>
      <c r="L289" s="294">
        <f>D289*4000</f>
        <v>0</v>
      </c>
      <c r="M289" s="299">
        <f>E289*4000</f>
        <v>0</v>
      </c>
      <c r="N289" s="282"/>
      <c r="O289" s="282"/>
      <c r="P289" s="282"/>
      <c r="R289" s="4">
        <f t="shared" si="91"/>
        <v>0</v>
      </c>
      <c r="S289" s="4">
        <f>J289*2600</f>
        <v>0</v>
      </c>
    </row>
    <row r="290" spans="1:19">
      <c r="A290" s="155" t="s">
        <v>353</v>
      </c>
      <c r="B290" s="385" t="s">
        <v>352</v>
      </c>
      <c r="C290" s="233">
        <v>92</v>
      </c>
      <c r="D290" s="235"/>
      <c r="E290" s="234"/>
      <c r="F290" s="237"/>
      <c r="G290" s="236"/>
      <c r="H290" s="241"/>
      <c r="I290" s="230"/>
      <c r="J290" s="35">
        <f t="shared" si="90"/>
        <v>92</v>
      </c>
      <c r="K290" s="3">
        <f>C290*3900</f>
        <v>358800</v>
      </c>
      <c r="L290" s="294">
        <f>D290*3900</f>
        <v>0</v>
      </c>
      <c r="M290" s="299">
        <f>E290*3900</f>
        <v>0</v>
      </c>
      <c r="N290" s="282"/>
      <c r="O290" s="282"/>
      <c r="P290" s="282"/>
      <c r="R290" s="4">
        <f t="shared" si="91"/>
        <v>358800</v>
      </c>
      <c r="S290" s="4">
        <f>J290*3000</f>
        <v>276000</v>
      </c>
    </row>
    <row r="291" spans="1:19">
      <c r="A291" s="155" t="s">
        <v>651</v>
      </c>
      <c r="B291" s="385" t="s">
        <v>654</v>
      </c>
      <c r="C291" s="233">
        <v>4</v>
      </c>
      <c r="D291" s="235"/>
      <c r="E291" s="234"/>
      <c r="F291" s="237"/>
      <c r="G291" s="236"/>
      <c r="H291" s="241"/>
      <c r="I291" s="230"/>
      <c r="J291" s="35">
        <f t="shared" si="90"/>
        <v>4</v>
      </c>
      <c r="K291" s="3">
        <f>C291*6600</f>
        <v>26400</v>
      </c>
      <c r="L291" s="294">
        <f>D291*6600</f>
        <v>0</v>
      </c>
      <c r="M291" s="299">
        <f>E291*6600</f>
        <v>0</v>
      </c>
      <c r="N291" s="282"/>
      <c r="O291" s="282"/>
      <c r="P291" s="282"/>
      <c r="R291" s="4">
        <f t="shared" si="91"/>
        <v>26400</v>
      </c>
      <c r="S291" s="4">
        <f>J291*4400</f>
        <v>17600</v>
      </c>
    </row>
    <row r="292" spans="1:19">
      <c r="A292" s="155" t="s">
        <v>319</v>
      </c>
      <c r="B292" s="373"/>
      <c r="C292" s="237"/>
      <c r="D292" s="235"/>
      <c r="E292" s="234"/>
      <c r="F292" s="237"/>
      <c r="G292" s="236"/>
      <c r="H292" s="241"/>
      <c r="I292" s="241"/>
      <c r="J292" s="35">
        <f t="shared" si="90"/>
        <v>0</v>
      </c>
      <c r="K292" s="3">
        <f>C292*25000</f>
        <v>0</v>
      </c>
      <c r="L292" s="294">
        <f>D292*20000</f>
        <v>0</v>
      </c>
      <c r="M292" s="299">
        <f>E292*20000</f>
        <v>0</v>
      </c>
      <c r="N292" s="282"/>
      <c r="O292" s="282"/>
      <c r="P292" s="282"/>
      <c r="R292" s="4">
        <f t="shared" si="91"/>
        <v>0</v>
      </c>
      <c r="S292" s="4">
        <f>J292*8800</f>
        <v>0</v>
      </c>
    </row>
    <row r="293" spans="1:19">
      <c r="A293" s="155" t="s">
        <v>446</v>
      </c>
      <c r="B293" s="370" t="s">
        <v>448</v>
      </c>
      <c r="C293" s="237"/>
      <c r="D293" s="235"/>
      <c r="E293" s="234"/>
      <c r="F293" s="237"/>
      <c r="G293" s="236"/>
      <c r="H293" s="241"/>
      <c r="I293" s="241"/>
      <c r="J293" s="35">
        <f t="shared" si="90"/>
        <v>0</v>
      </c>
      <c r="K293" s="254">
        <f>C293*15000</f>
        <v>0</v>
      </c>
      <c r="L293" s="294">
        <f>D293*10000</f>
        <v>0</v>
      </c>
      <c r="M293" s="299">
        <f>E293*10000</f>
        <v>0</v>
      </c>
      <c r="N293" s="282"/>
      <c r="O293" s="282"/>
      <c r="P293" s="282"/>
      <c r="R293" s="4">
        <f t="shared" si="91"/>
        <v>0</v>
      </c>
      <c r="S293" s="4">
        <f>J293*4000</f>
        <v>0</v>
      </c>
    </row>
    <row r="294" spans="1:19">
      <c r="A294" s="155" t="s">
        <v>447</v>
      </c>
      <c r="B294" s="370" t="s">
        <v>449</v>
      </c>
      <c r="C294" s="237">
        <v>1</v>
      </c>
      <c r="D294" s="235"/>
      <c r="E294" s="234"/>
      <c r="F294" s="237"/>
      <c r="G294" s="236"/>
      <c r="H294" s="241"/>
      <c r="I294" s="241"/>
      <c r="J294" s="35">
        <f t="shared" si="90"/>
        <v>1</v>
      </c>
      <c r="K294" s="254">
        <f>C294*15000</f>
        <v>15000</v>
      </c>
      <c r="L294" s="294">
        <f>D294*10000</f>
        <v>0</v>
      </c>
      <c r="M294" s="299">
        <f>E294*10000</f>
        <v>0</v>
      </c>
      <c r="N294" s="282"/>
      <c r="O294" s="282"/>
      <c r="P294" s="282"/>
      <c r="R294" s="4">
        <f t="shared" si="91"/>
        <v>15000</v>
      </c>
      <c r="S294" s="4">
        <f>J294*4000</f>
        <v>4000</v>
      </c>
    </row>
    <row r="295" spans="1:19" s="161" customFormat="1">
      <c r="A295" s="128" t="s">
        <v>320</v>
      </c>
      <c r="B295" s="385" t="s">
        <v>321</v>
      </c>
      <c r="C295" s="237">
        <v>1</v>
      </c>
      <c r="D295" s="237"/>
      <c r="E295" s="234"/>
      <c r="F295" s="237"/>
      <c r="G295" s="236"/>
      <c r="H295" s="243"/>
      <c r="I295" s="243"/>
      <c r="J295" s="35">
        <f t="shared" ref="J295:J333" si="93">SUM(C295:I295)</f>
        <v>1</v>
      </c>
      <c r="K295" s="364">
        <f>C295*30000</f>
        <v>30000</v>
      </c>
      <c r="L295" s="294">
        <f>D295*25000</f>
        <v>0</v>
      </c>
      <c r="M295" s="299">
        <f>E295*25000</f>
        <v>0</v>
      </c>
      <c r="N295" s="282"/>
      <c r="O295" s="282"/>
      <c r="P295" s="282"/>
      <c r="Q295" s="160"/>
      <c r="R295" s="4">
        <f t="shared" si="91"/>
        <v>30000</v>
      </c>
      <c r="S295" s="4">
        <f>J295*16500</f>
        <v>16500</v>
      </c>
    </row>
    <row r="296" spans="1:19">
      <c r="A296" s="128" t="s">
        <v>322</v>
      </c>
      <c r="B296" s="385" t="s">
        <v>323</v>
      </c>
      <c r="C296" s="237"/>
      <c r="D296" s="237"/>
      <c r="E296" s="234"/>
      <c r="F296" s="237"/>
      <c r="G296" s="236"/>
      <c r="H296" s="241"/>
      <c r="I296" s="241"/>
      <c r="J296" s="35">
        <f t="shared" si="93"/>
        <v>0</v>
      </c>
      <c r="K296" s="3">
        <f>C296*24000</f>
        <v>0</v>
      </c>
      <c r="L296" s="294">
        <f>D296*20000</f>
        <v>0</v>
      </c>
      <c r="M296" s="299">
        <f>E296*18000</f>
        <v>0</v>
      </c>
      <c r="N296" s="282"/>
      <c r="O296" s="282"/>
      <c r="P296" s="282"/>
      <c r="R296" s="4">
        <f t="shared" si="91"/>
        <v>0</v>
      </c>
      <c r="S296" s="4">
        <f>J296*9945</f>
        <v>0</v>
      </c>
    </row>
    <row r="297" spans="1:19">
      <c r="A297" t="s">
        <v>364</v>
      </c>
      <c r="B297" s="666" t="s">
        <v>316</v>
      </c>
      <c r="C297" s="237"/>
      <c r="D297" s="235"/>
      <c r="E297" s="234"/>
      <c r="F297" s="230"/>
      <c r="G297" s="236"/>
      <c r="H297" s="231"/>
      <c r="I297" s="215"/>
      <c r="J297" s="35">
        <f t="shared" si="93"/>
        <v>0</v>
      </c>
      <c r="K297" s="3">
        <f>C297*25000</f>
        <v>0</v>
      </c>
      <c r="L297" s="294">
        <f>D297*25000</f>
        <v>0</v>
      </c>
      <c r="M297" s="299">
        <f>E297*25000</f>
        <v>0</v>
      </c>
      <c r="N297" s="282"/>
      <c r="O297" s="282"/>
      <c r="P297" s="282"/>
      <c r="R297" s="4">
        <f t="shared" si="91"/>
        <v>0</v>
      </c>
      <c r="S297" s="4">
        <f>J297*18000</f>
        <v>0</v>
      </c>
    </row>
    <row r="298" spans="1:19">
      <c r="A298" s="128" t="s">
        <v>324</v>
      </c>
      <c r="B298" s="670"/>
      <c r="C298" s="237"/>
      <c r="D298" s="237"/>
      <c r="E298" s="234"/>
      <c r="F298" s="237"/>
      <c r="G298" s="236"/>
      <c r="H298" s="241"/>
      <c r="I298" s="241"/>
      <c r="J298" s="35">
        <f t="shared" si="93"/>
        <v>0</v>
      </c>
      <c r="K298" s="254">
        <f>C298*10000</f>
        <v>0</v>
      </c>
      <c r="L298" s="294"/>
      <c r="M298" s="299"/>
      <c r="N298" s="282"/>
      <c r="O298" s="282"/>
      <c r="P298" s="282"/>
      <c r="R298" s="4">
        <f t="shared" si="91"/>
        <v>0</v>
      </c>
      <c r="S298" s="4">
        <f>J298*9000</f>
        <v>0</v>
      </c>
    </row>
    <row r="299" spans="1:19">
      <c r="A299" s="128" t="s">
        <v>325</v>
      </c>
      <c r="B299" s="670"/>
      <c r="C299" s="237"/>
      <c r="D299" s="237"/>
      <c r="E299" s="234"/>
      <c r="F299" s="237"/>
      <c r="G299" s="236"/>
      <c r="H299" s="241"/>
      <c r="I299" s="241"/>
      <c r="J299" s="35">
        <f t="shared" si="93"/>
        <v>0</v>
      </c>
      <c r="K299" s="3">
        <f>C299*24000</f>
        <v>0</v>
      </c>
      <c r="L299" s="294"/>
      <c r="M299" s="299"/>
      <c r="N299" s="282"/>
      <c r="O299" s="282"/>
      <c r="P299" s="282"/>
      <c r="R299" s="4">
        <f t="shared" si="91"/>
        <v>0</v>
      </c>
      <c r="S299" s="4">
        <f>J299*18000</f>
        <v>0</v>
      </c>
    </row>
    <row r="300" spans="1:19">
      <c r="A300" s="128" t="s">
        <v>326</v>
      </c>
      <c r="B300" s="667"/>
      <c r="C300" s="237">
        <v>1</v>
      </c>
      <c r="D300" s="237"/>
      <c r="E300" s="234"/>
      <c r="F300" s="237"/>
      <c r="G300" s="236"/>
      <c r="H300" s="241"/>
      <c r="I300" s="241"/>
      <c r="J300" s="35">
        <f t="shared" si="93"/>
        <v>1</v>
      </c>
      <c r="K300" s="3">
        <f>C300*7000</f>
        <v>7000</v>
      </c>
      <c r="L300" s="294">
        <f>D300*7000</f>
        <v>0</v>
      </c>
      <c r="M300" s="299">
        <f>E300*7000</f>
        <v>0</v>
      </c>
      <c r="N300" s="282"/>
      <c r="O300" s="282"/>
      <c r="P300" s="282"/>
      <c r="R300" s="4">
        <f t="shared" si="91"/>
        <v>7000</v>
      </c>
      <c r="S300" s="4">
        <f>J300*4000</f>
        <v>4000</v>
      </c>
    </row>
    <row r="301" spans="1:19">
      <c r="A301" s="128" t="s">
        <v>745</v>
      </c>
      <c r="B301" s="598"/>
      <c r="C301" s="237"/>
      <c r="D301" s="237"/>
      <c r="E301" s="234"/>
      <c r="F301" s="237"/>
      <c r="G301" s="236"/>
      <c r="H301" s="241"/>
      <c r="I301" s="241"/>
      <c r="J301" s="35">
        <f t="shared" si="93"/>
        <v>0</v>
      </c>
      <c r="K301" s="3">
        <f>C301*10000</f>
        <v>0</v>
      </c>
      <c r="L301" s="294">
        <f>D301*10000</f>
        <v>0</v>
      </c>
      <c r="M301" s="299">
        <f>E301*10000</f>
        <v>0</v>
      </c>
      <c r="N301" s="282"/>
      <c r="O301" s="282"/>
      <c r="P301" s="282"/>
      <c r="R301" s="4">
        <f t="shared" si="91"/>
        <v>0</v>
      </c>
      <c r="S301" s="4">
        <f>J301*2664</f>
        <v>0</v>
      </c>
    </row>
    <row r="302" spans="1:19">
      <c r="A302" s="128" t="s">
        <v>442</v>
      </c>
      <c r="B302" s="386" t="s">
        <v>443</v>
      </c>
      <c r="C302" s="237">
        <v>200</v>
      </c>
      <c r="D302" s="237"/>
      <c r="E302" s="234"/>
      <c r="F302" s="237"/>
      <c r="G302" s="236"/>
      <c r="H302" s="241"/>
      <c r="I302" s="242"/>
      <c r="J302" s="35">
        <f t="shared" si="93"/>
        <v>200</v>
      </c>
      <c r="K302" s="254">
        <f t="shared" ref="K302:M303" si="94">C302*200</f>
        <v>40000</v>
      </c>
      <c r="L302" s="294">
        <f t="shared" si="94"/>
        <v>0</v>
      </c>
      <c r="M302" s="299">
        <f t="shared" si="94"/>
        <v>0</v>
      </c>
      <c r="N302" s="282"/>
      <c r="O302" s="282"/>
      <c r="P302" s="282"/>
      <c r="R302" s="4">
        <f t="shared" si="91"/>
        <v>40000</v>
      </c>
      <c r="S302" s="4">
        <f>J302*110</f>
        <v>22000</v>
      </c>
    </row>
    <row r="303" spans="1:19">
      <c r="A303" s="162" t="s">
        <v>444</v>
      </c>
      <c r="B303" s="386" t="s">
        <v>445</v>
      </c>
      <c r="C303" s="237">
        <v>10</v>
      </c>
      <c r="D303" s="237"/>
      <c r="E303" s="234"/>
      <c r="F303" s="237"/>
      <c r="G303" s="236"/>
      <c r="H303" s="241"/>
      <c r="I303" s="241"/>
      <c r="J303" s="35">
        <f t="shared" si="93"/>
        <v>10</v>
      </c>
      <c r="K303" s="254">
        <f t="shared" si="94"/>
        <v>2000</v>
      </c>
      <c r="L303" s="294">
        <f t="shared" si="94"/>
        <v>0</v>
      </c>
      <c r="M303" s="299">
        <f t="shared" si="94"/>
        <v>0</v>
      </c>
      <c r="N303" s="282"/>
      <c r="O303" s="282"/>
      <c r="P303" s="282"/>
      <c r="R303" s="4">
        <f t="shared" si="91"/>
        <v>2000</v>
      </c>
      <c r="S303" s="4">
        <f>J303*110</f>
        <v>1100</v>
      </c>
    </row>
    <row r="304" spans="1:19">
      <c r="A304" s="162" t="s">
        <v>713</v>
      </c>
      <c r="B304" s="386"/>
      <c r="C304" s="237"/>
      <c r="D304" s="237"/>
      <c r="E304" s="234"/>
      <c r="F304" s="237"/>
      <c r="G304" s="236"/>
      <c r="H304" s="241"/>
      <c r="I304" s="241"/>
      <c r="J304" s="35">
        <f t="shared" si="93"/>
        <v>0</v>
      </c>
      <c r="K304" s="254"/>
      <c r="L304" s="294"/>
      <c r="M304" s="299">
        <f>E304*150</f>
        <v>0</v>
      </c>
      <c r="N304" s="282"/>
      <c r="O304" s="282"/>
      <c r="P304" s="282"/>
      <c r="R304" s="4">
        <f t="shared" si="91"/>
        <v>0</v>
      </c>
      <c r="S304" s="4">
        <f>J304*127</f>
        <v>0</v>
      </c>
    </row>
    <row r="305" spans="1:19">
      <c r="A305" s="162" t="s">
        <v>732</v>
      </c>
      <c r="B305" s="386"/>
      <c r="C305" s="237"/>
      <c r="D305" s="237"/>
      <c r="E305" s="234"/>
      <c r="F305" s="237"/>
      <c r="G305" s="236"/>
      <c r="H305" s="241"/>
      <c r="I305" s="241"/>
      <c r="J305" s="35">
        <f t="shared" si="93"/>
        <v>0</v>
      </c>
      <c r="K305" s="254"/>
      <c r="L305" s="294"/>
      <c r="M305" s="299">
        <f>E305*15000</f>
        <v>0</v>
      </c>
      <c r="N305" s="282"/>
      <c r="O305" s="282"/>
      <c r="P305" s="282"/>
      <c r="R305" s="4">
        <f>SUM(K305:Q305)</f>
        <v>0</v>
      </c>
      <c r="S305" s="4">
        <f>J305*9680</f>
        <v>0</v>
      </c>
    </row>
    <row r="306" spans="1:19">
      <c r="A306" s="128" t="s">
        <v>332</v>
      </c>
      <c r="B306" s="385" t="s">
        <v>394</v>
      </c>
      <c r="C306" s="237"/>
      <c r="D306" s="235"/>
      <c r="E306" s="234"/>
      <c r="F306" s="237"/>
      <c r="G306" s="236"/>
      <c r="H306" s="241"/>
      <c r="I306" s="241"/>
      <c r="J306" s="35">
        <f t="shared" si="93"/>
        <v>0</v>
      </c>
      <c r="K306" s="3">
        <f>C306*3000</f>
        <v>0</v>
      </c>
      <c r="L306" s="294">
        <f>D306*3000</f>
        <v>0</v>
      </c>
      <c r="M306" s="299">
        <f>E306*3000</f>
        <v>0</v>
      </c>
      <c r="N306" s="282"/>
      <c r="O306" s="282"/>
      <c r="P306" s="282"/>
      <c r="R306" s="4">
        <f t="shared" ref="R306:R333" si="95">SUM(K306:Q306)</f>
        <v>0</v>
      </c>
      <c r="S306" s="4">
        <f>J306*1320</f>
        <v>0</v>
      </c>
    </row>
    <row r="307" spans="1:19" s="3" customFormat="1">
      <c r="A307" s="155" t="s">
        <v>309</v>
      </c>
      <c r="B307" s="666" t="s">
        <v>310</v>
      </c>
      <c r="C307" s="237">
        <v>70</v>
      </c>
      <c r="D307" s="237"/>
      <c r="E307" s="234"/>
      <c r="F307" s="237"/>
      <c r="G307" s="236"/>
      <c r="H307" s="241"/>
      <c r="I307" s="240"/>
      <c r="J307" s="35">
        <f t="shared" si="93"/>
        <v>70</v>
      </c>
      <c r="K307" s="254">
        <f>C307*1100</f>
        <v>77000</v>
      </c>
      <c r="L307" s="294">
        <f>D307*850</f>
        <v>0</v>
      </c>
      <c r="M307" s="299">
        <f>E307*850</f>
        <v>0</v>
      </c>
      <c r="N307" s="282"/>
      <c r="O307" s="282"/>
      <c r="P307" s="282"/>
      <c r="Q307" s="5"/>
      <c r="R307" s="4">
        <f t="shared" si="95"/>
        <v>77000</v>
      </c>
      <c r="S307" s="4">
        <f>J307*780</f>
        <v>54600</v>
      </c>
    </row>
    <row r="308" spans="1:19" s="3" customFormat="1">
      <c r="A308" s="155" t="s">
        <v>311</v>
      </c>
      <c r="B308" s="667"/>
      <c r="C308" s="237"/>
      <c r="D308" s="237"/>
      <c r="E308" s="234"/>
      <c r="F308" s="237"/>
      <c r="G308" s="236"/>
      <c r="H308" s="241"/>
      <c r="I308" s="237"/>
      <c r="J308" s="35">
        <f t="shared" si="93"/>
        <v>0</v>
      </c>
      <c r="K308" s="254">
        <f>C308*1200</f>
        <v>0</v>
      </c>
      <c r="L308" s="294">
        <f>D308*980</f>
        <v>0</v>
      </c>
      <c r="M308" s="299">
        <f>E308*980</f>
        <v>0</v>
      </c>
      <c r="N308" s="282"/>
      <c r="O308" s="282"/>
      <c r="P308" s="282"/>
      <c r="Q308" s="5"/>
      <c r="R308" s="4">
        <f t="shared" si="95"/>
        <v>0</v>
      </c>
      <c r="S308" s="4">
        <f>J308*836</f>
        <v>0</v>
      </c>
    </row>
    <row r="309" spans="1:19" s="3" customFormat="1">
      <c r="A309" s="155" t="s">
        <v>708</v>
      </c>
      <c r="B309" s="385" t="s">
        <v>709</v>
      </c>
      <c r="C309" s="237">
        <v>40</v>
      </c>
      <c r="D309" s="237"/>
      <c r="E309" s="234"/>
      <c r="F309" s="237"/>
      <c r="G309" s="236"/>
      <c r="H309" s="241"/>
      <c r="I309" s="242"/>
      <c r="J309" s="35">
        <f t="shared" si="93"/>
        <v>40</v>
      </c>
      <c r="K309" s="254">
        <f>C309*2500</f>
        <v>100000</v>
      </c>
      <c r="L309" s="294">
        <f>D309*1100</f>
        <v>0</v>
      </c>
      <c r="M309" s="299">
        <f>E309*1100</f>
        <v>0</v>
      </c>
      <c r="N309" s="282"/>
      <c r="O309" s="282"/>
      <c r="P309" s="282"/>
      <c r="Q309" s="5"/>
      <c r="R309" s="4">
        <f t="shared" si="95"/>
        <v>100000</v>
      </c>
      <c r="S309" s="4">
        <f>J309*1628</f>
        <v>65120</v>
      </c>
    </row>
    <row r="310" spans="1:19" s="3" customFormat="1">
      <c r="A310" s="155" t="s">
        <v>450</v>
      </c>
      <c r="B310" s="671" t="s">
        <v>453</v>
      </c>
      <c r="C310" s="237"/>
      <c r="D310" s="237"/>
      <c r="E310" s="234"/>
      <c r="F310" s="237"/>
      <c r="G310" s="236"/>
      <c r="H310" s="241"/>
      <c r="I310" s="237"/>
      <c r="J310" s="35">
        <f t="shared" si="93"/>
        <v>0</v>
      </c>
      <c r="K310" s="3">
        <f t="shared" ref="K310:M312" si="96">C310*550</f>
        <v>0</v>
      </c>
      <c r="L310" s="294">
        <f t="shared" si="96"/>
        <v>0</v>
      </c>
      <c r="M310" s="299">
        <f t="shared" si="96"/>
        <v>0</v>
      </c>
      <c r="N310" s="282"/>
      <c r="O310" s="282"/>
      <c r="P310" s="282"/>
      <c r="Q310" s="5"/>
      <c r="R310" s="4">
        <f t="shared" si="95"/>
        <v>0</v>
      </c>
      <c r="S310" s="4">
        <f>J310*389</f>
        <v>0</v>
      </c>
    </row>
    <row r="311" spans="1:19" s="3" customFormat="1">
      <c r="A311" s="155" t="s">
        <v>451</v>
      </c>
      <c r="B311" s="672"/>
      <c r="C311" s="237">
        <v>10</v>
      </c>
      <c r="D311" s="237"/>
      <c r="E311" s="234"/>
      <c r="F311" s="237"/>
      <c r="G311" s="236"/>
      <c r="H311" s="241"/>
      <c r="I311" s="237"/>
      <c r="J311" s="35">
        <f t="shared" si="93"/>
        <v>10</v>
      </c>
      <c r="K311" s="3">
        <f t="shared" si="96"/>
        <v>5500</v>
      </c>
      <c r="L311" s="294">
        <f t="shared" si="96"/>
        <v>0</v>
      </c>
      <c r="M311" s="299">
        <f t="shared" si="96"/>
        <v>0</v>
      </c>
      <c r="N311" s="282"/>
      <c r="O311" s="282"/>
      <c r="P311" s="282"/>
      <c r="Q311" s="5"/>
      <c r="R311" s="4">
        <f t="shared" si="95"/>
        <v>5500</v>
      </c>
      <c r="S311" s="4">
        <f>J311*389</f>
        <v>3890</v>
      </c>
    </row>
    <row r="312" spans="1:19" s="3" customFormat="1">
      <c r="A312" s="155" t="s">
        <v>452</v>
      </c>
      <c r="B312" s="673"/>
      <c r="C312" s="237"/>
      <c r="D312" s="237"/>
      <c r="E312" s="234"/>
      <c r="F312" s="237"/>
      <c r="G312" s="236"/>
      <c r="H312" s="241"/>
      <c r="I312" s="237"/>
      <c r="J312" s="35">
        <f t="shared" si="93"/>
        <v>0</v>
      </c>
      <c r="K312" s="3">
        <f t="shared" si="96"/>
        <v>0</v>
      </c>
      <c r="L312" s="294">
        <f t="shared" si="96"/>
        <v>0</v>
      </c>
      <c r="M312" s="299">
        <f t="shared" si="96"/>
        <v>0</v>
      </c>
      <c r="N312" s="282"/>
      <c r="O312" s="282"/>
      <c r="P312" s="282"/>
      <c r="Q312" s="5"/>
      <c r="R312" s="4">
        <f t="shared" si="95"/>
        <v>0</v>
      </c>
      <c r="S312" s="4">
        <f>J312*389</f>
        <v>0</v>
      </c>
    </row>
    <row r="313" spans="1:19" s="3" customFormat="1">
      <c r="A313" s="155" t="s">
        <v>496</v>
      </c>
      <c r="B313" s="387" t="s">
        <v>507</v>
      </c>
      <c r="C313" s="237">
        <v>11</v>
      </c>
      <c r="D313" s="235"/>
      <c r="E313" s="234"/>
      <c r="F313" s="237"/>
      <c r="G313" s="236"/>
      <c r="H313" s="241"/>
      <c r="I313" s="242"/>
      <c r="J313" s="35">
        <f t="shared" si="93"/>
        <v>11</v>
      </c>
      <c r="K313" s="254">
        <f>C313*2500</f>
        <v>27500</v>
      </c>
      <c r="L313" s="294">
        <f>D313*2500</f>
        <v>0</v>
      </c>
      <c r="M313" s="299">
        <f>E313*2500</f>
        <v>0</v>
      </c>
      <c r="N313" s="282"/>
      <c r="O313" s="282"/>
      <c r="P313" s="282"/>
      <c r="Q313" s="5"/>
      <c r="R313" s="4">
        <f t="shared" si="95"/>
        <v>27500</v>
      </c>
      <c r="S313" s="4">
        <f>J313*1412</f>
        <v>15532</v>
      </c>
    </row>
    <row r="314" spans="1:19" s="3" customFormat="1">
      <c r="A314" s="155" t="s">
        <v>513</v>
      </c>
      <c r="B314" s="386" t="s">
        <v>514</v>
      </c>
      <c r="C314" s="237">
        <v>200</v>
      </c>
      <c r="D314" s="237"/>
      <c r="E314" s="234"/>
      <c r="F314" s="237"/>
      <c r="G314" s="236"/>
      <c r="H314" s="241"/>
      <c r="I314" s="242">
        <v>81</v>
      </c>
      <c r="J314" s="35">
        <f t="shared" si="93"/>
        <v>281</v>
      </c>
      <c r="K314" s="254">
        <f>C314*110</f>
        <v>22000</v>
      </c>
      <c r="L314" s="294"/>
      <c r="M314" s="299"/>
      <c r="N314" s="282"/>
      <c r="O314" s="282"/>
      <c r="P314" s="282"/>
      <c r="Q314" s="5"/>
      <c r="R314" s="4">
        <f t="shared" si="95"/>
        <v>22000</v>
      </c>
      <c r="S314" s="4">
        <f>J314*60</f>
        <v>16860</v>
      </c>
    </row>
    <row r="315" spans="1:19" s="3" customFormat="1">
      <c r="A315" s="155" t="s">
        <v>611</v>
      </c>
      <c r="B315" s="386" t="s">
        <v>604</v>
      </c>
      <c r="C315" s="237"/>
      <c r="D315" s="237"/>
      <c r="E315" s="234"/>
      <c r="F315" s="237"/>
      <c r="G315" s="236"/>
      <c r="H315" s="241"/>
      <c r="I315" s="242"/>
      <c r="J315" s="35">
        <f t="shared" si="93"/>
        <v>0</v>
      </c>
      <c r="K315" s="254">
        <f>C315*75000</f>
        <v>0</v>
      </c>
      <c r="L315" s="294"/>
      <c r="M315" s="299"/>
      <c r="N315" s="282"/>
      <c r="O315" s="282"/>
      <c r="P315" s="282"/>
      <c r="Q315" s="5"/>
      <c r="R315" s="4">
        <f t="shared" si="95"/>
        <v>0</v>
      </c>
      <c r="S315" s="4">
        <f>J315*27500</f>
        <v>0</v>
      </c>
    </row>
    <row r="316" spans="1:19" s="3" customFormat="1">
      <c r="A316" s="155" t="s">
        <v>609</v>
      </c>
      <c r="B316" s="671" t="s">
        <v>603</v>
      </c>
      <c r="C316" s="237">
        <v>1</v>
      </c>
      <c r="D316" s="237"/>
      <c r="E316" s="234"/>
      <c r="F316" s="237"/>
      <c r="G316" s="236"/>
      <c r="H316" s="241"/>
      <c r="I316" s="242"/>
      <c r="J316" s="35">
        <f t="shared" si="93"/>
        <v>1</v>
      </c>
      <c r="K316" s="254">
        <f>C316*120000</f>
        <v>120000</v>
      </c>
      <c r="L316" s="294"/>
      <c r="M316" s="299"/>
      <c r="N316" s="282"/>
      <c r="O316" s="282"/>
      <c r="P316" s="282"/>
      <c r="Q316" s="5"/>
      <c r="R316" s="4">
        <f t="shared" si="95"/>
        <v>120000</v>
      </c>
      <c r="S316" s="4">
        <f>J316*59400</f>
        <v>59400</v>
      </c>
    </row>
    <row r="317" spans="1:19" s="3" customFormat="1">
      <c r="A317" s="155" t="s">
        <v>610</v>
      </c>
      <c r="B317" s="673"/>
      <c r="C317" s="237"/>
      <c r="D317" s="237"/>
      <c r="E317" s="234"/>
      <c r="F317" s="237"/>
      <c r="G317" s="236"/>
      <c r="H317" s="241"/>
      <c r="I317" s="242"/>
      <c r="J317" s="35">
        <f t="shared" si="93"/>
        <v>0</v>
      </c>
      <c r="K317" s="254">
        <f>C317*75000</f>
        <v>0</v>
      </c>
      <c r="L317" s="294"/>
      <c r="M317" s="299"/>
      <c r="N317" s="282"/>
      <c r="O317" s="282"/>
      <c r="P317" s="282"/>
      <c r="Q317" s="5"/>
      <c r="R317" s="4">
        <f t="shared" si="95"/>
        <v>0</v>
      </c>
      <c r="S317" s="4">
        <f>J317*33000</f>
        <v>0</v>
      </c>
    </row>
    <row r="318" spans="1:19" s="3" customFormat="1">
      <c r="A318" s="155" t="s">
        <v>596</v>
      </c>
      <c r="B318" s="386" t="s">
        <v>605</v>
      </c>
      <c r="C318" s="237">
        <v>1</v>
      </c>
      <c r="D318" s="237"/>
      <c r="E318" s="234"/>
      <c r="F318" s="237"/>
      <c r="G318" s="236"/>
      <c r="H318" s="241"/>
      <c r="I318" s="242"/>
      <c r="J318" s="35">
        <f t="shared" si="93"/>
        <v>1</v>
      </c>
      <c r="K318" s="254">
        <f>C318*35000</f>
        <v>35000</v>
      </c>
      <c r="L318" s="294"/>
      <c r="M318" s="299"/>
      <c r="N318" s="282"/>
      <c r="O318" s="282"/>
      <c r="P318" s="282"/>
      <c r="Q318" s="5"/>
      <c r="R318" s="4">
        <f t="shared" si="95"/>
        <v>35000</v>
      </c>
      <c r="S318" s="4">
        <f>J318*15400</f>
        <v>15400</v>
      </c>
    </row>
    <row r="319" spans="1:19" s="3" customFormat="1">
      <c r="A319" s="155" t="s">
        <v>606</v>
      </c>
      <c r="B319" s="671" t="s">
        <v>607</v>
      </c>
      <c r="C319" s="237"/>
      <c r="D319" s="237"/>
      <c r="E319" s="234"/>
      <c r="F319" s="237"/>
      <c r="G319" s="236"/>
      <c r="H319" s="241"/>
      <c r="I319" s="242"/>
      <c r="J319" s="35">
        <f t="shared" si="93"/>
        <v>0</v>
      </c>
      <c r="K319" s="254">
        <f>C319*36000</f>
        <v>0</v>
      </c>
      <c r="L319" s="294"/>
      <c r="M319" s="299"/>
      <c r="N319" s="282"/>
      <c r="O319" s="282"/>
      <c r="P319" s="282"/>
      <c r="Q319" s="5"/>
      <c r="R319" s="4">
        <f t="shared" si="95"/>
        <v>0</v>
      </c>
      <c r="S319" s="4">
        <f>J319*12000</f>
        <v>0</v>
      </c>
    </row>
    <row r="320" spans="1:19" s="3" customFormat="1">
      <c r="A320" s="155" t="s">
        <v>608</v>
      </c>
      <c r="B320" s="673"/>
      <c r="C320" s="237"/>
      <c r="D320" s="237"/>
      <c r="E320" s="234"/>
      <c r="F320" s="237"/>
      <c r="G320" s="236"/>
      <c r="H320" s="241"/>
      <c r="I320" s="242"/>
      <c r="J320" s="35">
        <f t="shared" si="93"/>
        <v>0</v>
      </c>
      <c r="K320" s="254">
        <f>C320*81000</f>
        <v>0</v>
      </c>
      <c r="L320" s="294"/>
      <c r="M320" s="299"/>
      <c r="N320" s="282"/>
      <c r="O320" s="282"/>
      <c r="P320" s="282"/>
      <c r="Q320" s="5"/>
      <c r="R320" s="4">
        <f t="shared" si="95"/>
        <v>0</v>
      </c>
      <c r="S320" s="4">
        <f>J320*34000</f>
        <v>0</v>
      </c>
    </row>
    <row r="321" spans="1:19" s="3" customFormat="1">
      <c r="A321" s="155" t="s">
        <v>730</v>
      </c>
      <c r="B321" s="386" t="s">
        <v>602</v>
      </c>
      <c r="C321" s="237">
        <v>2</v>
      </c>
      <c r="D321" s="237"/>
      <c r="E321" s="234"/>
      <c r="F321" s="237"/>
      <c r="G321" s="236"/>
      <c r="H321" s="241"/>
      <c r="I321" s="242"/>
      <c r="J321" s="35">
        <f t="shared" si="93"/>
        <v>2</v>
      </c>
      <c r="K321" s="254">
        <f>C321*36000</f>
        <v>72000</v>
      </c>
      <c r="L321" s="294"/>
      <c r="M321" s="299"/>
      <c r="N321" s="282"/>
      <c r="O321" s="282"/>
      <c r="P321" s="282"/>
      <c r="Q321" s="5"/>
      <c r="R321" s="4">
        <f t="shared" si="95"/>
        <v>72000</v>
      </c>
      <c r="S321" s="4">
        <f>J321*12000</f>
        <v>24000</v>
      </c>
    </row>
    <row r="322" spans="1:19" s="3" customFormat="1">
      <c r="A322" s="155" t="s">
        <v>600</v>
      </c>
      <c r="B322" s="386" t="s">
        <v>601</v>
      </c>
      <c r="C322" s="237"/>
      <c r="D322" s="237"/>
      <c r="E322" s="234"/>
      <c r="F322" s="237"/>
      <c r="G322" s="236"/>
      <c r="H322" s="241"/>
      <c r="I322" s="242"/>
      <c r="J322" s="35">
        <f t="shared" si="93"/>
        <v>0</v>
      </c>
      <c r="K322" s="254">
        <f>C322*81000</f>
        <v>0</v>
      </c>
      <c r="L322" s="294"/>
      <c r="M322" s="299"/>
      <c r="N322" s="282"/>
      <c r="O322" s="282"/>
      <c r="P322" s="282"/>
      <c r="Q322" s="5"/>
      <c r="R322" s="4">
        <f t="shared" si="95"/>
        <v>0</v>
      </c>
      <c r="S322" s="4">
        <f>J322*12000</f>
        <v>0</v>
      </c>
    </row>
    <row r="323" spans="1:19" s="3" customFormat="1">
      <c r="A323" s="155" t="s">
        <v>618</v>
      </c>
      <c r="B323" s="386" t="s">
        <v>619</v>
      </c>
      <c r="C323" s="237"/>
      <c r="D323" s="237"/>
      <c r="E323" s="234"/>
      <c r="F323" s="237"/>
      <c r="G323" s="236"/>
      <c r="H323" s="241"/>
      <c r="I323" s="242"/>
      <c r="J323" s="35">
        <f t="shared" si="93"/>
        <v>0</v>
      </c>
      <c r="K323" s="254">
        <f>C323*1100</f>
        <v>0</v>
      </c>
      <c r="L323" s="294"/>
      <c r="M323" s="299"/>
      <c r="N323" s="282"/>
      <c r="O323" s="282"/>
      <c r="P323" s="282"/>
      <c r="Q323" s="5"/>
      <c r="R323" s="4">
        <f t="shared" si="95"/>
        <v>0</v>
      </c>
      <c r="S323" s="4">
        <f>J323*915</f>
        <v>0</v>
      </c>
    </row>
    <row r="324" spans="1:19">
      <c r="A324" s="155" t="s">
        <v>652</v>
      </c>
      <c r="B324" s="386" t="s">
        <v>653</v>
      </c>
      <c r="C324" s="237">
        <v>29</v>
      </c>
      <c r="D324" s="237"/>
      <c r="E324" s="234"/>
      <c r="F324" s="237"/>
      <c r="G324" s="236"/>
      <c r="H324" s="241"/>
      <c r="I324" s="242"/>
      <c r="J324" s="35">
        <f t="shared" si="93"/>
        <v>29</v>
      </c>
      <c r="K324" s="225">
        <f>C324*3000</f>
        <v>87000</v>
      </c>
      <c r="L324" s="294"/>
      <c r="M324" s="299"/>
      <c r="N324" s="282"/>
      <c r="O324" s="282"/>
      <c r="P324" s="282"/>
      <c r="R324" s="4">
        <f t="shared" si="95"/>
        <v>87000</v>
      </c>
      <c r="S324" s="4">
        <f>J324*2000</f>
        <v>58000</v>
      </c>
    </row>
    <row r="325" spans="1:19">
      <c r="A325" s="128" t="s">
        <v>327</v>
      </c>
      <c r="B325" s="385" t="s">
        <v>328</v>
      </c>
      <c r="C325" s="257">
        <v>40</v>
      </c>
      <c r="D325" s="237"/>
      <c r="E325" s="234"/>
      <c r="F325" s="237"/>
      <c r="G325" s="236"/>
      <c r="H325" s="241"/>
      <c r="I325" s="241"/>
      <c r="J325" s="35">
        <f t="shared" si="93"/>
        <v>40</v>
      </c>
      <c r="K325" s="225">
        <f>C325*1000</f>
        <v>40000</v>
      </c>
      <c r="L325" s="294">
        <f>D325*10000</f>
        <v>0</v>
      </c>
      <c r="M325" s="299">
        <f>E325*10000</f>
        <v>0</v>
      </c>
      <c r="N325" s="282"/>
      <c r="O325" s="282"/>
      <c r="P325" s="282"/>
      <c r="R325" s="4">
        <f t="shared" si="95"/>
        <v>40000</v>
      </c>
      <c r="S325" s="4">
        <f>J325*528</f>
        <v>21120</v>
      </c>
    </row>
    <row r="326" spans="1:19">
      <c r="A326" s="79" t="s">
        <v>356</v>
      </c>
      <c r="B326" s="666" t="s">
        <v>705</v>
      </c>
      <c r="C326" s="237"/>
      <c r="D326" s="237"/>
      <c r="E326" s="234"/>
      <c r="F326" s="237"/>
      <c r="G326" s="236"/>
      <c r="H326" s="241"/>
      <c r="I326" s="241"/>
      <c r="J326" s="35">
        <f t="shared" si="93"/>
        <v>0</v>
      </c>
      <c r="K326" s="3">
        <f>C326*600</f>
        <v>0</v>
      </c>
      <c r="L326" s="294">
        <f>D326*600</f>
        <v>0</v>
      </c>
      <c r="M326" s="299">
        <f>E326*600</f>
        <v>0</v>
      </c>
      <c r="N326" s="282"/>
      <c r="O326" s="282"/>
      <c r="P326" s="282"/>
      <c r="R326" s="4">
        <f t="shared" si="95"/>
        <v>0</v>
      </c>
      <c r="S326" s="4">
        <f>J326*484</f>
        <v>0</v>
      </c>
    </row>
    <row r="327" spans="1:19" s="1" customFormat="1">
      <c r="A327" s="128" t="s">
        <v>334</v>
      </c>
      <c r="B327" s="667"/>
      <c r="C327" s="237"/>
      <c r="D327" s="237"/>
      <c r="E327" s="234"/>
      <c r="F327" s="237"/>
      <c r="G327" s="236"/>
      <c r="H327" s="241"/>
      <c r="I327" s="242"/>
      <c r="J327" s="35">
        <f t="shared" si="93"/>
        <v>0</v>
      </c>
      <c r="K327" s="254">
        <f>C327*1500</f>
        <v>0</v>
      </c>
      <c r="L327" s="294">
        <f>D327*1500</f>
        <v>0</v>
      </c>
      <c r="M327" s="299">
        <f>E327*1500</f>
        <v>0</v>
      </c>
      <c r="N327" s="282"/>
      <c r="O327" s="282"/>
      <c r="P327" s="282"/>
      <c r="Q327" s="5"/>
      <c r="R327" s="4">
        <f t="shared" si="95"/>
        <v>0</v>
      </c>
      <c r="S327" s="4">
        <f>J327*1155</f>
        <v>0</v>
      </c>
    </row>
    <row r="328" spans="1:19" s="1" customFormat="1">
      <c r="A328" s="79" t="s">
        <v>330</v>
      </c>
      <c r="B328" s="385" t="s">
        <v>331</v>
      </c>
      <c r="C328" s="237"/>
      <c r="D328" s="237"/>
      <c r="E328" s="234"/>
      <c r="F328" s="237"/>
      <c r="G328" s="236"/>
      <c r="H328" s="241"/>
      <c r="I328" s="241"/>
      <c r="J328" s="35">
        <f t="shared" si="93"/>
        <v>0</v>
      </c>
      <c r="K328" s="3">
        <f>C328*1100</f>
        <v>0</v>
      </c>
      <c r="L328" s="294">
        <f>D328*110</f>
        <v>0</v>
      </c>
      <c r="M328" s="299">
        <f>E328*110</f>
        <v>0</v>
      </c>
      <c r="N328" s="282"/>
      <c r="O328" s="282"/>
      <c r="P328" s="282"/>
      <c r="Q328" s="5"/>
      <c r="R328" s="4">
        <f t="shared" si="95"/>
        <v>0</v>
      </c>
      <c r="S328" s="4">
        <f>J328*968</f>
        <v>0</v>
      </c>
    </row>
    <row r="329" spans="1:19" s="1" customFormat="1">
      <c r="A329" s="79" t="s">
        <v>786</v>
      </c>
      <c r="B329" s="385"/>
      <c r="C329" s="237"/>
      <c r="D329" s="237"/>
      <c r="E329" s="234"/>
      <c r="F329" s="237"/>
      <c r="G329" s="236"/>
      <c r="H329" s="241"/>
      <c r="I329" s="241"/>
      <c r="J329" s="35"/>
      <c r="K329" s="3">
        <f>C329*30000</f>
        <v>0</v>
      </c>
      <c r="L329" s="294"/>
      <c r="M329" s="299"/>
      <c r="N329" s="282"/>
      <c r="O329" s="282"/>
      <c r="P329" s="282"/>
      <c r="Q329" s="5"/>
      <c r="R329" s="4">
        <f t="shared" si="95"/>
        <v>0</v>
      </c>
      <c r="S329" s="4">
        <f>J329*9600</f>
        <v>0</v>
      </c>
    </row>
    <row r="330" spans="1:19" s="1" customFormat="1">
      <c r="A330" s="79" t="s">
        <v>784</v>
      </c>
      <c r="B330" s="385"/>
      <c r="C330" s="237"/>
      <c r="D330" s="237"/>
      <c r="E330" s="234"/>
      <c r="F330" s="237"/>
      <c r="G330" s="236"/>
      <c r="H330" s="241"/>
      <c r="I330" s="241"/>
      <c r="J330" s="35"/>
      <c r="K330" s="3">
        <f>C330*55000</f>
        <v>0</v>
      </c>
      <c r="L330" s="294"/>
      <c r="M330" s="299"/>
      <c r="N330" s="282"/>
      <c r="O330" s="282"/>
      <c r="P330" s="282"/>
      <c r="Q330" s="5"/>
      <c r="R330" s="4">
        <f t="shared" si="95"/>
        <v>0</v>
      </c>
      <c r="S330" s="4">
        <f>J330*26550</f>
        <v>0</v>
      </c>
    </row>
    <row r="331" spans="1:19" s="1" customFormat="1">
      <c r="A331" s="79" t="s">
        <v>785</v>
      </c>
      <c r="B331" s="385"/>
      <c r="C331" s="237"/>
      <c r="D331" s="237"/>
      <c r="E331" s="234"/>
      <c r="F331" s="237"/>
      <c r="G331" s="236"/>
      <c r="H331" s="241"/>
      <c r="I331" s="241"/>
      <c r="J331" s="35"/>
      <c r="K331" s="3">
        <f>C331*6000</f>
        <v>0</v>
      </c>
      <c r="L331" s="294"/>
      <c r="M331" s="299"/>
      <c r="N331" s="282"/>
      <c r="O331" s="282"/>
      <c r="P331" s="282"/>
      <c r="Q331" s="5"/>
      <c r="R331" s="4">
        <f t="shared" si="95"/>
        <v>0</v>
      </c>
      <c r="S331" s="4">
        <f>J331*2910</f>
        <v>0</v>
      </c>
    </row>
    <row r="332" spans="1:19" s="1" customFormat="1">
      <c r="A332" s="608" t="s">
        <v>358</v>
      </c>
      <c r="B332" s="385" t="s">
        <v>363</v>
      </c>
      <c r="C332" s="237"/>
      <c r="D332" s="237"/>
      <c r="E332" s="234"/>
      <c r="F332" s="237"/>
      <c r="G332" s="236"/>
      <c r="H332" s="241"/>
      <c r="I332" s="241"/>
      <c r="J332" s="35">
        <f t="shared" si="93"/>
        <v>0</v>
      </c>
      <c r="K332" s="3">
        <f>C332*88000</f>
        <v>0</v>
      </c>
      <c r="L332" s="294">
        <f>D332*88000</f>
        <v>0</v>
      </c>
      <c r="M332" s="302">
        <f>E332*88000</f>
        <v>0</v>
      </c>
      <c r="N332" s="284"/>
      <c r="O332" s="282"/>
      <c r="P332" s="282"/>
      <c r="Q332" s="5"/>
      <c r="R332" s="4">
        <f t="shared" si="95"/>
        <v>0</v>
      </c>
      <c r="S332" s="4">
        <f>J332*66000</f>
        <v>0</v>
      </c>
    </row>
    <row r="333" spans="1:19" s="1" customFormat="1">
      <c r="A333" s="128" t="s">
        <v>333</v>
      </c>
      <c r="B333" s="385" t="s">
        <v>436</v>
      </c>
      <c r="C333" s="237"/>
      <c r="D333" s="235"/>
      <c r="E333" s="234"/>
      <c r="F333" s="237"/>
      <c r="G333" s="236"/>
      <c r="H333" s="241"/>
      <c r="I333" s="241"/>
      <c r="J333" s="35">
        <f t="shared" si="93"/>
        <v>0</v>
      </c>
      <c r="K333" s="254">
        <f>C333*650</f>
        <v>0</v>
      </c>
      <c r="L333" s="294">
        <f>D333*650</f>
        <v>0</v>
      </c>
      <c r="M333" s="299">
        <f>E333*650</f>
        <v>0</v>
      </c>
      <c r="N333" s="282"/>
      <c r="O333" s="282"/>
      <c r="P333" s="282"/>
      <c r="Q333" s="5"/>
      <c r="R333" s="4">
        <f t="shared" si="95"/>
        <v>0</v>
      </c>
      <c r="S333" s="4">
        <f>J333*517</f>
        <v>0</v>
      </c>
    </row>
    <row r="334" spans="1:19" s="1" customFormat="1">
      <c r="A334"/>
      <c r="C334" s="2"/>
      <c r="K334" s="145">
        <f>SUM(K266:K333)</f>
        <v>6737600</v>
      </c>
      <c r="L334" s="298">
        <f>SUM(L266:L333)</f>
        <v>0</v>
      </c>
      <c r="M334" s="298">
        <f t="shared" ref="M334:S334" si="97">SUM(M266:M333)</f>
        <v>1167000</v>
      </c>
      <c r="N334" s="298">
        <f t="shared" si="97"/>
        <v>0</v>
      </c>
      <c r="O334" s="298">
        <f t="shared" si="97"/>
        <v>41520</v>
      </c>
      <c r="P334" s="298">
        <f t="shared" si="97"/>
        <v>0</v>
      </c>
      <c r="Q334" s="298">
        <f t="shared" si="97"/>
        <v>0</v>
      </c>
      <c r="R334" s="298">
        <f t="shared" si="97"/>
        <v>7946120</v>
      </c>
      <c r="S334" s="298">
        <f t="shared" si="97"/>
        <v>3844237</v>
      </c>
    </row>
    <row r="335" spans="1:19" s="244" customFormat="1">
      <c r="B335" s="245"/>
      <c r="C335" s="113"/>
      <c r="D335" s="274"/>
      <c r="E335" s="407"/>
      <c r="F335" s="272"/>
      <c r="G335" s="272"/>
      <c r="H335" s="272"/>
      <c r="I335" s="246"/>
      <c r="J335" s="247"/>
      <c r="K335" s="248"/>
      <c r="L335" s="248"/>
      <c r="M335" s="249"/>
      <c r="N335" s="249"/>
      <c r="O335" s="281"/>
      <c r="P335" s="250"/>
      <c r="Q335" s="251"/>
      <c r="R335" s="249"/>
      <c r="S335" s="249"/>
    </row>
    <row r="336" spans="1:19" s="244" customFormat="1">
      <c r="B336" s="245"/>
      <c r="C336" s="271"/>
      <c r="D336" s="274"/>
      <c r="E336" s="407"/>
      <c r="F336" s="272"/>
      <c r="G336" s="272"/>
      <c r="H336" s="272"/>
      <c r="I336" s="246"/>
      <c r="J336" s="247"/>
      <c r="K336" s="248"/>
      <c r="L336" s="248"/>
      <c r="M336" s="249"/>
      <c r="N336" s="249"/>
      <c r="O336" s="281"/>
      <c r="P336" s="250"/>
      <c r="Q336" s="251"/>
      <c r="R336" s="249"/>
      <c r="S336" s="249"/>
    </row>
    <row r="337" spans="1:19" s="244" customFormat="1">
      <c r="B337" s="245"/>
      <c r="C337" s="409" t="s">
        <v>380</v>
      </c>
      <c r="D337" s="409"/>
      <c r="E337" s="489" t="s">
        <v>382</v>
      </c>
      <c r="F337" s="272"/>
      <c r="G337" s="272"/>
      <c r="H337" s="272"/>
      <c r="I337" s="246"/>
      <c r="J337" s="247"/>
      <c r="K337" s="248"/>
      <c r="L337" s="248"/>
      <c r="M337" s="249"/>
      <c r="N337" s="249"/>
      <c r="O337" s="281"/>
      <c r="P337" s="250"/>
      <c r="Q337" s="251"/>
      <c r="R337" s="249"/>
      <c r="S337" s="249"/>
    </row>
    <row r="338" spans="1:19">
      <c r="D338" s="410"/>
      <c r="E338" s="408"/>
      <c r="F338" s="272"/>
      <c r="G338" s="272"/>
      <c r="H338" s="138"/>
      <c r="I338" s="138"/>
      <c r="J338" s="139"/>
      <c r="P338" s="210"/>
    </row>
    <row r="339" spans="1:19">
      <c r="A339" s="74" t="s">
        <v>483</v>
      </c>
      <c r="D339" s="410"/>
      <c r="E339" s="408"/>
      <c r="F339" s="272"/>
      <c r="G339" s="272"/>
      <c r="I339" s="20"/>
      <c r="J339" s="140"/>
      <c r="P339" s="210"/>
    </row>
    <row r="340" spans="1:19" ht="48">
      <c r="A340" s="111" t="s">
        <v>632</v>
      </c>
      <c r="B340" s="554" t="s">
        <v>711</v>
      </c>
      <c r="C340" s="410"/>
      <c r="D340" s="275"/>
      <c r="E340" s="408"/>
      <c r="F340" s="272"/>
      <c r="G340" s="272"/>
      <c r="H340" s="141"/>
      <c r="I340" s="141" t="s">
        <v>261</v>
      </c>
      <c r="J340" s="140"/>
      <c r="K340" s="28" t="s">
        <v>2</v>
      </c>
      <c r="L340" s="301"/>
      <c r="M340" s="301" t="s">
        <v>382</v>
      </c>
      <c r="N340" s="301"/>
      <c r="O340" s="279"/>
      <c r="P340" s="483"/>
      <c r="R340" s="28" t="s">
        <v>18</v>
      </c>
      <c r="S340" s="4" t="s">
        <v>19</v>
      </c>
    </row>
    <row r="341" spans="1:19" s="1" customFormat="1">
      <c r="A341" s="356" t="s">
        <v>558</v>
      </c>
      <c r="B341" s="374"/>
      <c r="C341" s="237"/>
      <c r="D341" s="234"/>
      <c r="E341" s="242"/>
      <c r="F341" s="230"/>
      <c r="G341" s="345"/>
      <c r="H341" s="80"/>
      <c r="I341" s="64"/>
      <c r="J341" s="35">
        <f t="shared" ref="J341:J382" si="98">SUM(B341:I341)</f>
        <v>0</v>
      </c>
      <c r="K341" s="3">
        <f>C341*4400</f>
        <v>0</v>
      </c>
      <c r="L341" s="302"/>
      <c r="M341" s="299"/>
      <c r="N341" s="283"/>
      <c r="O341" s="276"/>
      <c r="P341" s="482"/>
      <c r="Q341" s="5"/>
      <c r="R341" s="3">
        <f t="shared" ref="R341:R494" si="99">SUM(K341:Q341)</f>
        <v>0</v>
      </c>
      <c r="S341" s="3">
        <f>J341*1340</f>
        <v>0</v>
      </c>
    </row>
    <row r="342" spans="1:19" s="1" customFormat="1">
      <c r="A342" s="356" t="s">
        <v>655</v>
      </c>
      <c r="B342" s="568"/>
      <c r="C342" s="237"/>
      <c r="D342" s="234"/>
      <c r="E342" s="242"/>
      <c r="F342" s="230"/>
      <c r="G342" s="345"/>
      <c r="H342" s="80"/>
      <c r="I342" s="64"/>
      <c r="J342" s="35">
        <f t="shared" si="98"/>
        <v>0</v>
      </c>
      <c r="K342" s="3"/>
      <c r="L342" s="302"/>
      <c r="M342" s="299"/>
      <c r="N342" s="283"/>
      <c r="O342" s="276"/>
      <c r="P342" s="482"/>
      <c r="Q342" s="5"/>
      <c r="R342" s="3">
        <f t="shared" si="99"/>
        <v>0</v>
      </c>
      <c r="S342" s="3">
        <f>J342*1349</f>
        <v>0</v>
      </c>
    </row>
    <row r="343" spans="1:19" s="1" customFormat="1">
      <c r="A343" s="356" t="s">
        <v>685</v>
      </c>
      <c r="B343" s="568"/>
      <c r="C343" s="237"/>
      <c r="D343" s="234"/>
      <c r="E343" s="242"/>
      <c r="F343" s="230"/>
      <c r="G343" s="345"/>
      <c r="H343" s="80"/>
      <c r="I343" s="64"/>
      <c r="J343" s="35">
        <f t="shared" si="98"/>
        <v>0</v>
      </c>
      <c r="K343" s="3">
        <f>C343*60000</f>
        <v>0</v>
      </c>
      <c r="L343" s="302"/>
      <c r="M343" s="299"/>
      <c r="N343" s="283">
        <f>F343*54000</f>
        <v>0</v>
      </c>
      <c r="O343" s="276"/>
      <c r="P343" s="482"/>
      <c r="Q343" s="5"/>
      <c r="R343" s="3">
        <f t="shared" si="99"/>
        <v>0</v>
      </c>
      <c r="S343" s="3">
        <f>J343*5060</f>
        <v>0</v>
      </c>
    </row>
    <row r="344" spans="1:19" s="1" customFormat="1" ht="16.5" customHeight="1">
      <c r="A344" s="356" t="s">
        <v>658</v>
      </c>
      <c r="B344" s="674" t="s">
        <v>774</v>
      </c>
      <c r="C344" s="218">
        <v>1</v>
      </c>
      <c r="D344" s="234"/>
      <c r="E344" s="234"/>
      <c r="F344" s="191"/>
      <c r="G344" s="345"/>
      <c r="H344" s="80"/>
      <c r="I344" s="114"/>
      <c r="J344" s="35">
        <f t="shared" si="98"/>
        <v>1</v>
      </c>
      <c r="K344" s="3">
        <f>C344*VLOOKUP(A344,[1]오일단가!$A:$S,16,0)</f>
        <v>10000</v>
      </c>
      <c r="L344" s="302"/>
      <c r="M344" s="299"/>
      <c r="N344" s="283">
        <f>F344*VLOOKUP(A344,[1]오일단가!$A:$S,17,0)</f>
        <v>0</v>
      </c>
      <c r="O344" s="276"/>
      <c r="P344" s="482"/>
      <c r="Q344" s="5"/>
      <c r="R344" s="3">
        <f>SUM(K344:Q344)</f>
        <v>10000</v>
      </c>
      <c r="S344" s="3">
        <f>J344*2850</f>
        <v>2850</v>
      </c>
    </row>
    <row r="345" spans="1:19" s="1" customFormat="1" ht="16.5" customHeight="1">
      <c r="A345" s="356" t="s">
        <v>697</v>
      </c>
      <c r="B345" s="675"/>
      <c r="C345" s="218">
        <v>1</v>
      </c>
      <c r="D345" s="234"/>
      <c r="E345" s="234"/>
      <c r="F345" s="191"/>
      <c r="G345" s="345"/>
      <c r="H345" s="80"/>
      <c r="I345" s="114"/>
      <c r="J345" s="35">
        <f t="shared" si="98"/>
        <v>1</v>
      </c>
      <c r="K345" s="3">
        <f>C345*17000</f>
        <v>17000</v>
      </c>
      <c r="L345" s="302"/>
      <c r="M345" s="299"/>
      <c r="N345" s="283">
        <f>F345*15000</f>
        <v>0</v>
      </c>
      <c r="O345" s="276"/>
      <c r="P345" s="482"/>
      <c r="Q345" s="5"/>
      <c r="R345" s="3">
        <f t="shared" ref="R345:R356" si="100">SUM(K345:Q345)</f>
        <v>17000</v>
      </c>
      <c r="S345" s="3">
        <f>J345*2670</f>
        <v>2670</v>
      </c>
    </row>
    <row r="346" spans="1:19" s="1" customFormat="1">
      <c r="A346" s="356" t="s">
        <v>659</v>
      </c>
      <c r="B346" s="675"/>
      <c r="C346" s="237"/>
      <c r="D346" s="234"/>
      <c r="E346" s="234"/>
      <c r="F346" s="230"/>
      <c r="G346" s="345"/>
      <c r="H346" s="80"/>
      <c r="I346" s="114"/>
      <c r="J346" s="35">
        <f t="shared" si="98"/>
        <v>0</v>
      </c>
      <c r="K346" s="3">
        <f>C346*VLOOKUP(A346,[1]오일단가!$A:$S,16,0)</f>
        <v>0</v>
      </c>
      <c r="L346" s="302"/>
      <c r="M346" s="299"/>
      <c r="N346" s="283">
        <f>F346*VLOOKUP(A346,[1]오일단가!$A:$S,17,0)</f>
        <v>0</v>
      </c>
      <c r="O346" s="276"/>
      <c r="P346" s="482"/>
      <c r="Q346" s="5"/>
      <c r="R346" s="3">
        <f t="shared" si="100"/>
        <v>0</v>
      </c>
      <c r="S346" s="3">
        <f>J346*2870</f>
        <v>0</v>
      </c>
    </row>
    <row r="347" spans="1:19" s="1" customFormat="1">
      <c r="A347" s="356" t="s">
        <v>686</v>
      </c>
      <c r="B347" s="675"/>
      <c r="C347" s="237">
        <v>1</v>
      </c>
      <c r="D347" s="234"/>
      <c r="E347" s="234"/>
      <c r="F347" s="230"/>
      <c r="G347" s="345"/>
      <c r="H347" s="80"/>
      <c r="I347" s="114"/>
      <c r="J347" s="35">
        <f t="shared" si="98"/>
        <v>1</v>
      </c>
      <c r="K347" s="3">
        <f>C347*16000</f>
        <v>16000</v>
      </c>
      <c r="L347" s="302"/>
      <c r="M347" s="299"/>
      <c r="N347" s="283">
        <f>F347*14000</f>
        <v>0</v>
      </c>
      <c r="O347" s="276"/>
      <c r="P347" s="482"/>
      <c r="Q347" s="5"/>
      <c r="R347" s="3">
        <f t="shared" si="100"/>
        <v>16000</v>
      </c>
      <c r="S347" s="3">
        <f>J347*2380</f>
        <v>2380</v>
      </c>
    </row>
    <row r="348" spans="1:19" s="1" customFormat="1">
      <c r="A348" s="354" t="s">
        <v>660</v>
      </c>
      <c r="B348" s="675"/>
      <c r="C348" s="233">
        <v>2</v>
      </c>
      <c r="D348" s="242"/>
      <c r="E348" s="234"/>
      <c r="F348" s="230"/>
      <c r="G348" s="345"/>
      <c r="H348" s="80"/>
      <c r="I348" s="114"/>
      <c r="J348" s="35">
        <f t="shared" si="98"/>
        <v>2</v>
      </c>
      <c r="K348" s="3">
        <f>C348*VLOOKUP(A348,[1]오일단가!$A:$S,16,0)</f>
        <v>28000</v>
      </c>
      <c r="L348" s="302"/>
      <c r="M348" s="299"/>
      <c r="N348" s="283">
        <f>F348*VLOOKUP(A348,[1]오일단가!$A:$S,17,0)</f>
        <v>0</v>
      </c>
      <c r="O348" s="276"/>
      <c r="P348" s="482"/>
      <c r="Q348" s="5"/>
      <c r="R348" s="3">
        <f t="shared" si="100"/>
        <v>28000</v>
      </c>
      <c r="S348" s="3">
        <f>J348*2440</f>
        <v>4880</v>
      </c>
    </row>
    <row r="349" spans="1:19" s="1" customFormat="1">
      <c r="A349" s="354" t="s">
        <v>532</v>
      </c>
      <c r="B349" s="675"/>
      <c r="C349" s="233"/>
      <c r="D349" s="234"/>
      <c r="E349" s="234"/>
      <c r="F349" s="230"/>
      <c r="G349" s="345"/>
      <c r="H349" s="80"/>
      <c r="I349" s="114"/>
      <c r="J349" s="35">
        <f t="shared" si="98"/>
        <v>0</v>
      </c>
      <c r="K349" s="3">
        <f>C349*VLOOKUP(A349,[1]오일단가!$A:$S,16,0)</f>
        <v>0</v>
      </c>
      <c r="L349" s="302"/>
      <c r="M349" s="299"/>
      <c r="N349" s="283">
        <f>F349*VLOOKUP(A349,[1]오일단가!$A:$S,17,0)</f>
        <v>0</v>
      </c>
      <c r="O349" s="276"/>
      <c r="P349" s="482"/>
      <c r="Q349" s="5"/>
      <c r="R349" s="3">
        <f t="shared" si="100"/>
        <v>0</v>
      </c>
      <c r="S349" s="3">
        <f>J349*2740</f>
        <v>0</v>
      </c>
    </row>
    <row r="350" spans="1:19" s="1" customFormat="1">
      <c r="A350" s="355" t="s">
        <v>661</v>
      </c>
      <c r="B350" s="675"/>
      <c r="C350" s="233"/>
      <c r="D350" s="242"/>
      <c r="E350" s="234"/>
      <c r="F350" s="230"/>
      <c r="G350" s="345"/>
      <c r="H350" s="80"/>
      <c r="I350" s="114"/>
      <c r="J350" s="35">
        <f t="shared" si="98"/>
        <v>0</v>
      </c>
      <c r="K350" s="3">
        <f>C350*20000</f>
        <v>0</v>
      </c>
      <c r="L350" s="302"/>
      <c r="M350" s="299"/>
      <c r="N350" s="283">
        <f>F350*18000</f>
        <v>0</v>
      </c>
      <c r="O350" s="276"/>
      <c r="P350" s="482"/>
      <c r="Q350" s="5"/>
      <c r="R350" s="3">
        <f t="shared" si="100"/>
        <v>0</v>
      </c>
      <c r="S350" s="3">
        <f>J350*4940</f>
        <v>0</v>
      </c>
    </row>
    <row r="351" spans="1:19" s="1" customFormat="1">
      <c r="A351" s="354" t="s">
        <v>680</v>
      </c>
      <c r="B351" s="675"/>
      <c r="C351" s="233">
        <v>11</v>
      </c>
      <c r="D351" s="242"/>
      <c r="E351" s="234"/>
      <c r="F351" s="230"/>
      <c r="G351" s="345"/>
      <c r="H351" s="80"/>
      <c r="I351" s="114"/>
      <c r="J351" s="35">
        <f t="shared" si="98"/>
        <v>11</v>
      </c>
      <c r="K351" s="3">
        <f>C351*VLOOKUP(A351,[1]오일단가!$A:$S,16,0)</f>
        <v>132000</v>
      </c>
      <c r="L351" s="302"/>
      <c r="M351" s="299"/>
      <c r="N351" s="283">
        <f>F351*VLOOKUP(A351,[1]오일단가!$A:$S,17,0)</f>
        <v>0</v>
      </c>
      <c r="O351" s="276"/>
      <c r="P351" s="482"/>
      <c r="Q351" s="5"/>
      <c r="R351" s="3">
        <f t="shared" si="100"/>
        <v>132000</v>
      </c>
      <c r="S351" s="3">
        <f>J351*2470</f>
        <v>27170</v>
      </c>
    </row>
    <row r="352" spans="1:19" s="1" customFormat="1">
      <c r="A352" s="354" t="s">
        <v>662</v>
      </c>
      <c r="B352" s="675"/>
      <c r="C352" s="233"/>
      <c r="D352" s="234"/>
      <c r="E352" s="234"/>
      <c r="F352" s="230"/>
      <c r="G352" s="345"/>
      <c r="H352" s="80"/>
      <c r="I352" s="114"/>
      <c r="J352" s="35">
        <f t="shared" si="98"/>
        <v>0</v>
      </c>
      <c r="K352" s="3">
        <f>C352*VLOOKUP(A352,[1]오일단가!$A:$S,16,0)</f>
        <v>0</v>
      </c>
      <c r="L352" s="302"/>
      <c r="M352" s="299"/>
      <c r="N352" s="283">
        <f>F352*VLOOKUP(A352,[1]오일단가!$A:$S,17,0)</f>
        <v>0</v>
      </c>
      <c r="O352" s="276"/>
      <c r="P352" s="482"/>
      <c r="Q352" s="5"/>
      <c r="R352" s="3">
        <f t="shared" si="100"/>
        <v>0</v>
      </c>
      <c r="S352" s="3">
        <f>J352*28700</f>
        <v>0</v>
      </c>
    </row>
    <row r="353" spans="1:19" s="1" customFormat="1">
      <c r="A353" s="354" t="s">
        <v>687</v>
      </c>
      <c r="B353" s="675"/>
      <c r="C353" s="233"/>
      <c r="D353" s="234"/>
      <c r="E353" s="234"/>
      <c r="F353" s="230"/>
      <c r="G353" s="345"/>
      <c r="H353" s="80"/>
      <c r="I353" s="114"/>
      <c r="J353" s="35">
        <f t="shared" si="98"/>
        <v>0</v>
      </c>
      <c r="K353" s="3">
        <f>C353*23000</f>
        <v>0</v>
      </c>
      <c r="L353" s="302"/>
      <c r="M353" s="299"/>
      <c r="N353" s="283">
        <f>F353*21000</f>
        <v>0</v>
      </c>
      <c r="O353" s="276"/>
      <c r="P353" s="482"/>
      <c r="Q353" s="5"/>
      <c r="R353" s="3">
        <f t="shared" si="100"/>
        <v>0</v>
      </c>
      <c r="S353" s="3">
        <f>J353*3170</f>
        <v>0</v>
      </c>
    </row>
    <row r="354" spans="1:19" s="1" customFormat="1">
      <c r="A354" s="354" t="s">
        <v>663</v>
      </c>
      <c r="B354" s="675"/>
      <c r="C354" s="233">
        <v>1</v>
      </c>
      <c r="D354" s="234"/>
      <c r="E354" s="234"/>
      <c r="F354" s="230"/>
      <c r="G354" s="345"/>
      <c r="H354" s="80"/>
      <c r="I354" s="114"/>
      <c r="J354" s="35">
        <f t="shared" si="98"/>
        <v>1</v>
      </c>
      <c r="K354" s="3">
        <f>C354*VLOOKUP(A354,[1]오일단가!$A:$S,16,0)</f>
        <v>7000</v>
      </c>
      <c r="L354" s="302"/>
      <c r="M354" s="299"/>
      <c r="N354" s="283">
        <f>F354*VLOOKUP(A354,[1]오일단가!$A:$S,17,0)</f>
        <v>0</v>
      </c>
      <c r="O354" s="276"/>
      <c r="P354" s="482"/>
      <c r="Q354" s="5"/>
      <c r="R354" s="3">
        <f t="shared" si="100"/>
        <v>7000</v>
      </c>
      <c r="S354" s="3">
        <f>J354*2300</f>
        <v>2300</v>
      </c>
    </row>
    <row r="355" spans="1:19" s="1" customFormat="1">
      <c r="A355" s="354" t="s">
        <v>664</v>
      </c>
      <c r="B355" s="675"/>
      <c r="C355" s="233"/>
      <c r="D355" s="234"/>
      <c r="E355" s="234"/>
      <c r="F355" s="230"/>
      <c r="G355" s="345"/>
      <c r="H355" s="80"/>
      <c r="I355" s="114"/>
      <c r="J355" s="35">
        <f t="shared" si="98"/>
        <v>0</v>
      </c>
      <c r="K355" s="3">
        <f>C355*VLOOKUP(A355,[1]오일단가!$A:$S,16,0)</f>
        <v>0</v>
      </c>
      <c r="L355" s="302"/>
      <c r="M355" s="299"/>
      <c r="N355" s="283">
        <f>F355*VLOOKUP(A355,[1]오일단가!$A:$S,17,0)</f>
        <v>0</v>
      </c>
      <c r="O355" s="276"/>
      <c r="P355" s="482"/>
      <c r="Q355" s="5"/>
      <c r="R355" s="3">
        <f t="shared" si="100"/>
        <v>0</v>
      </c>
      <c r="S355" s="3">
        <f>J355*1920</f>
        <v>0</v>
      </c>
    </row>
    <row r="356" spans="1:19" s="1" customFormat="1">
      <c r="A356" s="356" t="s">
        <v>491</v>
      </c>
      <c r="B356" s="675"/>
      <c r="C356" s="218"/>
      <c r="D356" s="234"/>
      <c r="E356" s="234"/>
      <c r="F356" s="191"/>
      <c r="G356" s="195"/>
      <c r="H356" s="80"/>
      <c r="I356" s="114"/>
      <c r="J356" s="35">
        <f t="shared" si="98"/>
        <v>0</v>
      </c>
      <c r="K356" s="3">
        <f>C356*VLOOKUP(A356,[1]오일단가!$A:$S,16,0)</f>
        <v>0</v>
      </c>
      <c r="L356" s="302"/>
      <c r="M356" s="299"/>
      <c r="N356" s="283">
        <f>F356*VLOOKUP(A356,[1]오일단가!$A:$S,17,0)</f>
        <v>0</v>
      </c>
      <c r="O356" s="276"/>
      <c r="P356" s="482"/>
      <c r="Q356" s="5"/>
      <c r="R356" s="3">
        <f t="shared" si="100"/>
        <v>0</v>
      </c>
      <c r="S356" s="3">
        <f>J356*5710</f>
        <v>0</v>
      </c>
    </row>
    <row r="357" spans="1:19" s="1" customFormat="1">
      <c r="A357" s="356" t="s">
        <v>542</v>
      </c>
      <c r="B357" s="675"/>
      <c r="C357" s="218"/>
      <c r="D357" s="234"/>
      <c r="E357" s="234"/>
      <c r="F357" s="191"/>
      <c r="G357" s="195"/>
      <c r="H357" s="80"/>
      <c r="I357" s="114"/>
      <c r="J357" s="35">
        <f t="shared" si="98"/>
        <v>0</v>
      </c>
      <c r="K357" s="3">
        <f>C357*VLOOKUP(A357,[1]오일단가!$A:$S,16,0)</f>
        <v>0</v>
      </c>
      <c r="L357" s="302"/>
      <c r="M357" s="299"/>
      <c r="N357" s="283">
        <f>F357*VLOOKUP(A357,[1]오일단가!$A:$S,17,0)</f>
        <v>0</v>
      </c>
      <c r="O357" s="276"/>
      <c r="P357" s="482"/>
      <c r="Q357" s="5"/>
      <c r="R357" s="3">
        <f t="shared" si="99"/>
        <v>0</v>
      </c>
      <c r="S357" s="3">
        <f>J357*4170</f>
        <v>0</v>
      </c>
    </row>
    <row r="358" spans="1:19" s="1" customFormat="1">
      <c r="A358" s="356" t="s">
        <v>533</v>
      </c>
      <c r="B358" s="675"/>
      <c r="C358" s="218"/>
      <c r="D358" s="234"/>
      <c r="E358" s="234"/>
      <c r="F358" s="191"/>
      <c r="G358" s="195"/>
      <c r="H358" s="80"/>
      <c r="I358" s="114"/>
      <c r="J358" s="35">
        <f t="shared" si="98"/>
        <v>0</v>
      </c>
      <c r="K358" s="3">
        <f>C358*VLOOKUP(A358,[1]오일단가!$A:$S,16,0)</f>
        <v>0</v>
      </c>
      <c r="L358" s="302"/>
      <c r="M358" s="299"/>
      <c r="N358" s="283">
        <f>F358*VLOOKUP(A358,[1]오일단가!$A:$S,17,0)</f>
        <v>0</v>
      </c>
      <c r="O358" s="276"/>
      <c r="P358" s="482"/>
      <c r="Q358" s="5"/>
      <c r="R358" s="3">
        <f t="shared" si="99"/>
        <v>0</v>
      </c>
      <c r="S358" s="3">
        <f>J358*8570</f>
        <v>0</v>
      </c>
    </row>
    <row r="359" spans="1:19" s="1" customFormat="1">
      <c r="A359" s="356" t="s">
        <v>682</v>
      </c>
      <c r="B359" s="675"/>
      <c r="C359" s="218">
        <v>1</v>
      </c>
      <c r="D359" s="234"/>
      <c r="E359" s="234"/>
      <c r="F359" s="191"/>
      <c r="G359" s="195"/>
      <c r="H359" s="80"/>
      <c r="I359" s="114"/>
      <c r="J359" s="35">
        <f t="shared" si="98"/>
        <v>1</v>
      </c>
      <c r="K359" s="3">
        <f>C359*VLOOKUP(A359,[1]오일단가!$A:$S,16,0)</f>
        <v>26000</v>
      </c>
      <c r="L359" s="302"/>
      <c r="M359" s="299"/>
      <c r="N359" s="283">
        <f>F359*VLOOKUP(A359,[1]오일단가!$A:$S,17,0)</f>
        <v>0</v>
      </c>
      <c r="O359" s="276"/>
      <c r="P359" s="482"/>
      <c r="Q359" s="5"/>
      <c r="R359" s="3">
        <f t="shared" si="99"/>
        <v>26000</v>
      </c>
      <c r="S359" s="3">
        <f>J359*2260</f>
        <v>2260</v>
      </c>
    </row>
    <row r="360" spans="1:19" s="1" customFormat="1">
      <c r="A360" s="354" t="s">
        <v>665</v>
      </c>
      <c r="B360" s="675"/>
      <c r="C360" s="233"/>
      <c r="D360" s="242"/>
      <c r="E360" s="234"/>
      <c r="F360" s="230"/>
      <c r="G360" s="345"/>
      <c r="H360" s="80"/>
      <c r="I360" s="114"/>
      <c r="J360" s="35">
        <f t="shared" si="98"/>
        <v>0</v>
      </c>
      <c r="K360" s="3">
        <f>C360*VLOOKUP(A360,[1]오일단가!$A:$S,16,0)</f>
        <v>0</v>
      </c>
      <c r="L360" s="302"/>
      <c r="M360" s="299"/>
      <c r="N360" s="283">
        <f>F360*VLOOKUP(A360,[1]오일단가!$A:$S,17,0)</f>
        <v>0</v>
      </c>
      <c r="O360" s="276"/>
      <c r="P360" s="482"/>
      <c r="Q360" s="5"/>
      <c r="R360" s="3">
        <f t="shared" si="99"/>
        <v>0</v>
      </c>
      <c r="S360" s="3">
        <f>J360*16916</f>
        <v>0</v>
      </c>
    </row>
    <row r="361" spans="1:19" s="1" customFormat="1">
      <c r="A361" s="356" t="s">
        <v>666</v>
      </c>
      <c r="B361" s="675"/>
      <c r="C361" s="218"/>
      <c r="D361" s="234"/>
      <c r="E361" s="234"/>
      <c r="F361" s="191"/>
      <c r="G361" s="195"/>
      <c r="H361" s="80"/>
      <c r="I361" s="114"/>
      <c r="J361" s="35">
        <f t="shared" si="98"/>
        <v>0</v>
      </c>
      <c r="K361" s="3">
        <f>C361*VLOOKUP(A361,[1]오일단가!$A:$S,16,0)</f>
        <v>0</v>
      </c>
      <c r="L361" s="302"/>
      <c r="M361" s="299"/>
      <c r="N361" s="283">
        <f>F361*VLOOKUP(A361,[1]오일단가!$A:$S,17,0)</f>
        <v>0</v>
      </c>
      <c r="O361" s="276"/>
      <c r="P361" s="482"/>
      <c r="Q361" s="5"/>
      <c r="R361" s="3">
        <f t="shared" si="99"/>
        <v>0</v>
      </c>
      <c r="S361" s="3">
        <f>J361*2470</f>
        <v>0</v>
      </c>
    </row>
    <row r="362" spans="1:19" s="1" customFormat="1">
      <c r="A362" s="356" t="s">
        <v>534</v>
      </c>
      <c r="B362" s="675"/>
      <c r="C362" s="218"/>
      <c r="D362" s="234"/>
      <c r="E362" s="234"/>
      <c r="F362" s="191"/>
      <c r="G362" s="195"/>
      <c r="H362" s="80"/>
      <c r="I362" s="114"/>
      <c r="J362" s="35">
        <f t="shared" si="98"/>
        <v>0</v>
      </c>
      <c r="K362" s="3">
        <f>C362*VLOOKUP(A362,[1]오일단가!$A:$S,16,0)</f>
        <v>0</v>
      </c>
      <c r="L362" s="302"/>
      <c r="M362" s="299"/>
      <c r="N362" s="283">
        <f>F362*VLOOKUP(A362,[1]오일단가!$A:$S,17,0)</f>
        <v>0</v>
      </c>
      <c r="O362" s="276"/>
      <c r="P362" s="482"/>
      <c r="Q362" s="5"/>
      <c r="R362" s="3">
        <f t="shared" si="99"/>
        <v>0</v>
      </c>
      <c r="S362" s="3">
        <f>J362*2160</f>
        <v>0</v>
      </c>
    </row>
    <row r="363" spans="1:19" s="1" customFormat="1">
      <c r="A363" s="356" t="s">
        <v>688</v>
      </c>
      <c r="B363" s="675"/>
      <c r="C363" s="218">
        <v>1</v>
      </c>
      <c r="D363" s="234"/>
      <c r="E363" s="234"/>
      <c r="F363" s="191"/>
      <c r="G363" s="195"/>
      <c r="H363" s="80"/>
      <c r="I363" s="114"/>
      <c r="J363" s="35">
        <f t="shared" si="98"/>
        <v>1</v>
      </c>
      <c r="K363" s="3">
        <f>C363*23000</f>
        <v>23000</v>
      </c>
      <c r="L363" s="302"/>
      <c r="M363" s="299"/>
      <c r="N363" s="283">
        <f>F363*21000</f>
        <v>0</v>
      </c>
      <c r="O363" s="276"/>
      <c r="P363" s="482"/>
      <c r="Q363" s="5"/>
      <c r="R363" s="3">
        <f t="shared" si="99"/>
        <v>23000</v>
      </c>
      <c r="S363" s="3">
        <f>J363*2540</f>
        <v>2540</v>
      </c>
    </row>
    <row r="364" spans="1:19" s="1" customFormat="1">
      <c r="A364" s="354" t="s">
        <v>667</v>
      </c>
      <c r="B364" s="675"/>
      <c r="C364" s="233"/>
      <c r="D364" s="234"/>
      <c r="E364" s="234"/>
      <c r="F364" s="230"/>
      <c r="G364" s="345"/>
      <c r="H364" s="80"/>
      <c r="I364" s="114"/>
      <c r="J364" s="35">
        <f t="shared" si="98"/>
        <v>0</v>
      </c>
      <c r="K364" s="3">
        <f>C364*VLOOKUP(A364,[1]오일단가!$A:$S,16,0)</f>
        <v>0</v>
      </c>
      <c r="L364" s="302"/>
      <c r="M364" s="299"/>
      <c r="N364" s="283">
        <f>F364*VLOOKUP(A364,[1]오일단가!$A:$S,17,0)</f>
        <v>0</v>
      </c>
      <c r="O364" s="276"/>
      <c r="P364" s="482"/>
      <c r="Q364" s="5"/>
      <c r="R364" s="3">
        <f t="shared" si="99"/>
        <v>0</v>
      </c>
      <c r="S364" s="3">
        <f>J364*1690</f>
        <v>0</v>
      </c>
    </row>
    <row r="365" spans="1:19" s="1" customFormat="1">
      <c r="A365" s="356" t="s">
        <v>668</v>
      </c>
      <c r="B365" s="675"/>
      <c r="C365" s="218"/>
      <c r="D365" s="234"/>
      <c r="E365" s="234"/>
      <c r="F365" s="191"/>
      <c r="G365" s="195"/>
      <c r="H365" s="80"/>
      <c r="I365" s="114"/>
      <c r="J365" s="35">
        <f t="shared" si="98"/>
        <v>0</v>
      </c>
      <c r="K365" s="3">
        <f>C365*VLOOKUP(A365,[1]오일단가!$A:$S,16,0)</f>
        <v>0</v>
      </c>
      <c r="L365" s="302"/>
      <c r="M365" s="299"/>
      <c r="N365" s="283">
        <f>F365*VLOOKUP(A365,[1]오일단가!$A:$S,17,0)</f>
        <v>0</v>
      </c>
      <c r="O365" s="276"/>
      <c r="P365" s="482"/>
      <c r="Q365" s="5"/>
      <c r="R365" s="3">
        <f t="shared" si="99"/>
        <v>0</v>
      </c>
      <c r="S365" s="3">
        <f>J365*10990</f>
        <v>0</v>
      </c>
    </row>
    <row r="366" spans="1:19" s="1" customFormat="1">
      <c r="A366" s="356" t="s">
        <v>681</v>
      </c>
      <c r="B366" s="675"/>
      <c r="C366" s="218">
        <v>1</v>
      </c>
      <c r="D366" s="234"/>
      <c r="E366" s="234"/>
      <c r="F366" s="191"/>
      <c r="G366" s="195"/>
      <c r="H366" s="80"/>
      <c r="I366" s="114"/>
      <c r="J366" s="35">
        <f t="shared" si="98"/>
        <v>1</v>
      </c>
      <c r="K366" s="3">
        <f>C366*VLOOKUP(A366,[1]오일단가!$A:$S,16,0)</f>
        <v>12000</v>
      </c>
      <c r="L366" s="302"/>
      <c r="M366" s="299"/>
      <c r="N366" s="283">
        <f>F366*VLOOKUP(A366,[1]오일단가!$A:$S,17,0)</f>
        <v>0</v>
      </c>
      <c r="O366" s="276"/>
      <c r="P366" s="482"/>
      <c r="Q366" s="5"/>
      <c r="R366" s="3">
        <f t="shared" si="99"/>
        <v>12000</v>
      </c>
      <c r="S366" s="3">
        <f>J366*2180</f>
        <v>2180</v>
      </c>
    </row>
    <row r="367" spans="1:19" s="1" customFormat="1">
      <c r="A367" s="356" t="s">
        <v>669</v>
      </c>
      <c r="B367" s="675"/>
      <c r="C367" s="218"/>
      <c r="D367" s="234"/>
      <c r="E367" s="234"/>
      <c r="F367" s="191"/>
      <c r="G367" s="195"/>
      <c r="H367" s="80"/>
      <c r="I367" s="114"/>
      <c r="J367" s="35">
        <f t="shared" si="98"/>
        <v>0</v>
      </c>
      <c r="K367" s="3">
        <f>C367*VLOOKUP(A367,[1]오일단가!$A:$S,16,0)</f>
        <v>0</v>
      </c>
      <c r="L367" s="302"/>
      <c r="M367" s="299"/>
      <c r="N367" s="283">
        <f>F367*VLOOKUP(A367,[1]오일단가!$A:$S,17,0)</f>
        <v>0</v>
      </c>
      <c r="O367" s="276"/>
      <c r="P367" s="482"/>
      <c r="Q367" s="5"/>
      <c r="R367" s="3">
        <f t="shared" si="99"/>
        <v>0</v>
      </c>
      <c r="S367" s="3">
        <f>J367*7800</f>
        <v>0</v>
      </c>
    </row>
    <row r="368" spans="1:19" s="1" customFormat="1">
      <c r="A368" s="354" t="s">
        <v>670</v>
      </c>
      <c r="B368" s="675"/>
      <c r="C368" s="233"/>
      <c r="D368" s="234"/>
      <c r="E368" s="234"/>
      <c r="F368" s="230"/>
      <c r="G368" s="345"/>
      <c r="H368" s="80"/>
      <c r="I368" s="114"/>
      <c r="J368" s="35">
        <f t="shared" si="98"/>
        <v>0</v>
      </c>
      <c r="K368" s="3">
        <f>C368*VLOOKUP(A368,[1]오일단가!$A:$S,16,0)</f>
        <v>0</v>
      </c>
      <c r="L368" s="302"/>
      <c r="M368" s="299"/>
      <c r="N368" s="283">
        <f>F368*VLOOKUP(A368,[1]오일단가!$A:$S,17,0)</f>
        <v>0</v>
      </c>
      <c r="O368" s="276"/>
      <c r="P368" s="482"/>
      <c r="Q368" s="5"/>
      <c r="R368" s="3">
        <f t="shared" si="99"/>
        <v>0</v>
      </c>
      <c r="S368" s="3">
        <f>J368*4225</f>
        <v>0</v>
      </c>
    </row>
    <row r="369" spans="1:19" s="1" customFormat="1">
      <c r="A369" s="356" t="s">
        <v>671</v>
      </c>
      <c r="B369" s="675"/>
      <c r="C369" s="218">
        <v>1</v>
      </c>
      <c r="D369" s="234"/>
      <c r="E369" s="234"/>
      <c r="F369" s="191"/>
      <c r="G369" s="195"/>
      <c r="H369" s="80"/>
      <c r="I369" s="114"/>
      <c r="J369" s="35">
        <f t="shared" si="98"/>
        <v>1</v>
      </c>
      <c r="K369" s="3">
        <f>C369*VLOOKUP(A369,[1]오일단가!$A:$S,16,0)</f>
        <v>10000</v>
      </c>
      <c r="L369" s="302"/>
      <c r="M369" s="299"/>
      <c r="N369" s="283">
        <f>F369*VLOOKUP(A369,[1]오일단가!$A:$S,17,0)</f>
        <v>0</v>
      </c>
      <c r="O369" s="276"/>
      <c r="P369" s="482"/>
      <c r="Q369" s="5"/>
      <c r="R369" s="3">
        <f t="shared" si="99"/>
        <v>10000</v>
      </c>
      <c r="S369" s="3">
        <f>J369*2652</f>
        <v>2652</v>
      </c>
    </row>
    <row r="370" spans="1:19" s="1" customFormat="1">
      <c r="A370" s="356" t="s">
        <v>535</v>
      </c>
      <c r="B370" s="675"/>
      <c r="C370" s="218">
        <v>1</v>
      </c>
      <c r="D370" s="234"/>
      <c r="E370" s="234"/>
      <c r="F370" s="191"/>
      <c r="G370" s="195"/>
      <c r="H370" s="80"/>
      <c r="I370" s="114"/>
      <c r="J370" s="35">
        <f t="shared" si="98"/>
        <v>1</v>
      </c>
      <c r="K370" s="3">
        <f>C370*VLOOKUP(A370,[1]오일단가!$A:$S,16,0)</f>
        <v>10000</v>
      </c>
      <c r="L370" s="302"/>
      <c r="M370" s="299"/>
      <c r="N370" s="283">
        <f>F370*VLOOKUP(A370,[1]오일단가!$A:$S,17,0)</f>
        <v>0</v>
      </c>
      <c r="O370" s="276"/>
      <c r="P370" s="482"/>
      <c r="Q370" s="5"/>
      <c r="R370" s="3">
        <f t="shared" si="99"/>
        <v>10000</v>
      </c>
      <c r="S370" s="3">
        <f>J370*2410</f>
        <v>2410</v>
      </c>
    </row>
    <row r="371" spans="1:19" s="1" customFormat="1">
      <c r="A371" s="356" t="s">
        <v>614</v>
      </c>
      <c r="B371" s="675"/>
      <c r="C371" s="218"/>
      <c r="D371" s="234"/>
      <c r="E371" s="234"/>
      <c r="F371" s="191"/>
      <c r="G371" s="195"/>
      <c r="H371" s="80"/>
      <c r="I371" s="114"/>
      <c r="J371" s="35">
        <f t="shared" si="98"/>
        <v>0</v>
      </c>
      <c r="K371" s="3">
        <f>C371*VLOOKUP(A371,[1]오일단가!$A:$S,16,0)</f>
        <v>0</v>
      </c>
      <c r="L371" s="302"/>
      <c r="M371" s="299"/>
      <c r="N371" s="283">
        <f>F371*VLOOKUP(A371,[1]오일단가!$A:$S,17,0)</f>
        <v>0</v>
      </c>
      <c r="O371" s="276"/>
      <c r="P371" s="482"/>
      <c r="Q371" s="5"/>
      <c r="R371" s="3">
        <f t="shared" si="99"/>
        <v>0</v>
      </c>
      <c r="S371" s="3">
        <f>J371*1820</f>
        <v>0</v>
      </c>
    </row>
    <row r="372" spans="1:19" s="1" customFormat="1">
      <c r="A372" s="354" t="s">
        <v>484</v>
      </c>
      <c r="B372" s="675"/>
      <c r="C372" s="233">
        <v>1</v>
      </c>
      <c r="D372" s="234"/>
      <c r="E372" s="234"/>
      <c r="F372" s="230"/>
      <c r="G372" s="345"/>
      <c r="H372" s="80"/>
      <c r="I372" s="114"/>
      <c r="J372" s="35">
        <f t="shared" si="98"/>
        <v>1</v>
      </c>
      <c r="K372" s="3">
        <f>C372*VLOOKUP(A372,[1]오일단가!$A:$S,16,0)</f>
        <v>19000</v>
      </c>
      <c r="L372" s="302"/>
      <c r="M372" s="299"/>
      <c r="N372" s="283">
        <f>F372*VLOOKUP(A372,[1]오일단가!$A:$S,17,0)</f>
        <v>0</v>
      </c>
      <c r="O372" s="276"/>
      <c r="P372" s="482"/>
      <c r="Q372" s="5"/>
      <c r="R372" s="3">
        <f t="shared" si="99"/>
        <v>19000</v>
      </c>
      <c r="S372" s="3">
        <f>J372*4170</f>
        <v>4170</v>
      </c>
    </row>
    <row r="373" spans="1:19" s="1" customFormat="1">
      <c r="A373" s="354" t="s">
        <v>698</v>
      </c>
      <c r="B373" s="675"/>
      <c r="C373" s="233"/>
      <c r="D373" s="234"/>
      <c r="E373" s="234"/>
      <c r="F373" s="230"/>
      <c r="G373" s="345"/>
      <c r="H373" s="80"/>
      <c r="I373" s="114"/>
      <c r="J373" s="35">
        <f t="shared" si="98"/>
        <v>0</v>
      </c>
      <c r="K373" s="3">
        <f>C373*125000</f>
        <v>0</v>
      </c>
      <c r="L373" s="302"/>
      <c r="M373" s="299"/>
      <c r="N373" s="283">
        <f>F373*113000</f>
        <v>0</v>
      </c>
      <c r="O373" s="276"/>
      <c r="P373" s="482"/>
      <c r="Q373" s="5"/>
      <c r="R373" s="3">
        <f t="shared" si="99"/>
        <v>0</v>
      </c>
      <c r="S373" s="3">
        <f>J373*9020</f>
        <v>0</v>
      </c>
    </row>
    <row r="374" spans="1:19" s="1" customFormat="1">
      <c r="A374" s="354" t="s">
        <v>689</v>
      </c>
      <c r="B374" s="675"/>
      <c r="C374" s="233"/>
      <c r="D374" s="234"/>
      <c r="E374" s="234"/>
      <c r="F374" s="230"/>
      <c r="G374" s="345"/>
      <c r="H374" s="80"/>
      <c r="I374" s="114"/>
      <c r="J374" s="35">
        <f t="shared" si="98"/>
        <v>0</v>
      </c>
      <c r="K374" s="3">
        <f>C374*110000</f>
        <v>0</v>
      </c>
      <c r="L374" s="302"/>
      <c r="M374" s="299"/>
      <c r="N374" s="283">
        <f>F374*99000</f>
        <v>0</v>
      </c>
      <c r="O374" s="276"/>
      <c r="P374" s="482"/>
      <c r="Q374" s="5"/>
      <c r="R374" s="3">
        <f t="shared" si="99"/>
        <v>0</v>
      </c>
      <c r="S374" s="3">
        <f>J374*5930</f>
        <v>0</v>
      </c>
    </row>
    <row r="375" spans="1:19" s="1" customFormat="1">
      <c r="A375" s="356" t="s">
        <v>536</v>
      </c>
      <c r="B375" s="675"/>
      <c r="C375" s="218"/>
      <c r="D375" s="234"/>
      <c r="E375" s="234"/>
      <c r="F375" s="191"/>
      <c r="G375" s="195"/>
      <c r="H375" s="80"/>
      <c r="I375" s="114"/>
      <c r="J375" s="35">
        <f t="shared" si="98"/>
        <v>0</v>
      </c>
      <c r="K375" s="3">
        <f>C375*VLOOKUP(A375,[1]오일단가!$A:$S,16,0)</f>
        <v>0</v>
      </c>
      <c r="L375" s="302"/>
      <c r="M375" s="299"/>
      <c r="N375" s="283">
        <f>F375*VLOOKUP(A375,[1]오일단가!$A:$S,17,0)</f>
        <v>0</v>
      </c>
      <c r="O375" s="276"/>
      <c r="P375" s="482"/>
      <c r="Q375" s="5"/>
      <c r="R375" s="3">
        <f t="shared" si="99"/>
        <v>0</v>
      </c>
      <c r="S375" s="3">
        <f>J375*17940</f>
        <v>0</v>
      </c>
    </row>
    <row r="376" spans="1:19" s="1" customFormat="1">
      <c r="A376" s="356" t="s">
        <v>683</v>
      </c>
      <c r="B376" s="675"/>
      <c r="C376" s="218"/>
      <c r="D376" s="234"/>
      <c r="E376" s="234"/>
      <c r="F376" s="191"/>
      <c r="G376" s="195"/>
      <c r="H376" s="80"/>
      <c r="I376" s="114"/>
      <c r="J376" s="35">
        <f t="shared" si="98"/>
        <v>0</v>
      </c>
      <c r="K376" s="3">
        <f>C376*VLOOKUP(A376,[1]오일단가!$A:$S,16,0)</f>
        <v>0</v>
      </c>
      <c r="L376" s="302"/>
      <c r="M376" s="299"/>
      <c r="N376" s="283">
        <f>F376*VLOOKUP(A376,[1]오일단가!$A:$S,17,0)</f>
        <v>0</v>
      </c>
      <c r="O376" s="276"/>
      <c r="P376" s="482"/>
      <c r="Q376" s="5"/>
      <c r="R376" s="3">
        <f t="shared" si="99"/>
        <v>0</v>
      </c>
      <c r="S376" s="3">
        <f>J376*2110</f>
        <v>0</v>
      </c>
    </row>
    <row r="377" spans="1:19" s="1" customFormat="1">
      <c r="A377" s="354" t="s">
        <v>487</v>
      </c>
      <c r="B377" s="675"/>
      <c r="C377" s="233"/>
      <c r="D377" s="234"/>
      <c r="E377" s="234"/>
      <c r="F377" s="230"/>
      <c r="G377" s="345"/>
      <c r="H377" s="80"/>
      <c r="I377" s="114"/>
      <c r="J377" s="35">
        <f t="shared" si="98"/>
        <v>0</v>
      </c>
      <c r="K377" s="3">
        <f>C377*VLOOKUP(A377,[1]오일단가!$A:$S,16,0)</f>
        <v>0</v>
      </c>
      <c r="L377" s="302"/>
      <c r="M377" s="299"/>
      <c r="N377" s="283">
        <f>F377*VLOOKUP(A377,[1]오일단가!$A:$S,17,0)</f>
        <v>0</v>
      </c>
      <c r="O377" s="276"/>
      <c r="P377" s="482"/>
      <c r="Q377" s="5"/>
      <c r="R377" s="3">
        <f t="shared" si="99"/>
        <v>0</v>
      </c>
      <c r="S377" s="3">
        <f>J377*1728</f>
        <v>0</v>
      </c>
    </row>
    <row r="378" spans="1:19" s="1" customFormat="1">
      <c r="A378" s="354" t="s">
        <v>690</v>
      </c>
      <c r="B378" s="675"/>
      <c r="C378" s="233"/>
      <c r="D378" s="234"/>
      <c r="E378" s="234"/>
      <c r="F378" s="230"/>
      <c r="G378" s="345"/>
      <c r="H378" s="80"/>
      <c r="I378" s="114"/>
      <c r="J378" s="35">
        <f t="shared" si="98"/>
        <v>0</v>
      </c>
      <c r="K378" s="3">
        <f>C378*17000</f>
        <v>0</v>
      </c>
      <c r="L378" s="302"/>
      <c r="M378" s="299"/>
      <c r="N378" s="283">
        <f>F378*15000</f>
        <v>0</v>
      </c>
      <c r="O378" s="276"/>
      <c r="P378" s="482"/>
      <c r="Q378" s="5"/>
      <c r="R378" s="3">
        <f t="shared" si="99"/>
        <v>0</v>
      </c>
      <c r="S378" s="3">
        <f>J378*2620</f>
        <v>0</v>
      </c>
    </row>
    <row r="379" spans="1:19" s="1" customFormat="1">
      <c r="A379" s="354" t="s">
        <v>488</v>
      </c>
      <c r="B379" s="675"/>
      <c r="C379" s="233"/>
      <c r="D379" s="234"/>
      <c r="E379" s="234"/>
      <c r="F379" s="230"/>
      <c r="G379" s="345"/>
      <c r="H379" s="80"/>
      <c r="I379" s="114"/>
      <c r="J379" s="35">
        <f t="shared" si="98"/>
        <v>0</v>
      </c>
      <c r="K379" s="3">
        <f>C379*VLOOKUP(A379,[1]오일단가!$A:$S,16,0)</f>
        <v>0</v>
      </c>
      <c r="L379" s="302"/>
      <c r="M379" s="299"/>
      <c r="N379" s="283">
        <f>F379*VLOOKUP(A379,[1]오일단가!$A:$S,17,0)</f>
        <v>0</v>
      </c>
      <c r="O379" s="276"/>
      <c r="P379" s="482"/>
      <c r="Q379" s="5"/>
      <c r="R379" s="3">
        <f t="shared" si="99"/>
        <v>0</v>
      </c>
      <c r="S379" s="3">
        <f>J379*1996</f>
        <v>0</v>
      </c>
    </row>
    <row r="380" spans="1:19" s="1" customFormat="1">
      <c r="A380" s="354" t="s">
        <v>613</v>
      </c>
      <c r="B380" s="675"/>
      <c r="C380" s="233"/>
      <c r="D380" s="234"/>
      <c r="E380" s="234"/>
      <c r="F380" s="230"/>
      <c r="G380" s="345"/>
      <c r="H380" s="80"/>
      <c r="I380" s="114"/>
      <c r="J380" s="35">
        <f t="shared" si="98"/>
        <v>0</v>
      </c>
      <c r="K380" s="3">
        <f>C380*VLOOKUP(A380,[1]오일단가!$A:$S,16,0)</f>
        <v>0</v>
      </c>
      <c r="L380" s="302"/>
      <c r="M380" s="299"/>
      <c r="N380" s="283">
        <f>F380*VLOOKUP(A380,[1]오일단가!$A:$S,17,0)</f>
        <v>0</v>
      </c>
      <c r="O380" s="276"/>
      <c r="P380" s="482"/>
      <c r="Q380" s="5"/>
      <c r="R380" s="3">
        <f t="shared" si="99"/>
        <v>0</v>
      </c>
      <c r="S380" s="3">
        <f>J380*2080</f>
        <v>0</v>
      </c>
    </row>
    <row r="381" spans="1:19" s="1" customFormat="1">
      <c r="A381" s="356" t="s">
        <v>489</v>
      </c>
      <c r="B381" s="675"/>
      <c r="C381" s="218"/>
      <c r="D381" s="33"/>
      <c r="E381" s="33"/>
      <c r="F381" s="191"/>
      <c r="G381" s="195"/>
      <c r="H381" s="80"/>
      <c r="I381" s="114"/>
      <c r="J381" s="35">
        <f t="shared" si="98"/>
        <v>0</v>
      </c>
      <c r="K381" s="3">
        <f>C381*VLOOKUP(A381,[1]오일단가!$A:$S,16,0)</f>
        <v>0</v>
      </c>
      <c r="L381" s="302"/>
      <c r="M381" s="299"/>
      <c r="N381" s="283">
        <f>F381*VLOOKUP(A381,[1]오일단가!$A:$S,17,0)</f>
        <v>0</v>
      </c>
      <c r="O381" s="276"/>
      <c r="P381" s="482"/>
      <c r="Q381" s="5"/>
      <c r="R381" s="3">
        <f t="shared" si="99"/>
        <v>0</v>
      </c>
      <c r="S381" s="3">
        <f>J381*5556</f>
        <v>0</v>
      </c>
    </row>
    <row r="382" spans="1:19" s="1" customFormat="1">
      <c r="A382" s="356" t="s">
        <v>672</v>
      </c>
      <c r="B382" s="675"/>
      <c r="C382" s="218">
        <v>1</v>
      </c>
      <c r="D382" s="234"/>
      <c r="E382" s="234"/>
      <c r="F382" s="191"/>
      <c r="G382" s="195"/>
      <c r="H382" s="80"/>
      <c r="I382" s="114"/>
      <c r="J382" s="35">
        <f t="shared" si="98"/>
        <v>1</v>
      </c>
      <c r="K382" s="3">
        <f>C382*VLOOKUP(A382,[1]오일단가!$A:$S,16,0)</f>
        <v>27000</v>
      </c>
      <c r="L382" s="302"/>
      <c r="M382" s="299"/>
      <c r="N382" s="283">
        <f>F382*VLOOKUP(A382,[1]오일단가!$A:$S,17,0)</f>
        <v>0</v>
      </c>
      <c r="O382" s="276"/>
      <c r="P382" s="482"/>
      <c r="Q382" s="5"/>
      <c r="R382" s="3">
        <f t="shared" si="99"/>
        <v>27000</v>
      </c>
      <c r="S382" s="3">
        <f>J382*5480</f>
        <v>5480</v>
      </c>
    </row>
    <row r="383" spans="1:19" s="1" customFormat="1">
      <c r="A383" s="354" t="s">
        <v>673</v>
      </c>
      <c r="B383" s="675"/>
      <c r="C383" s="233"/>
      <c r="D383" s="234"/>
      <c r="E383" s="234"/>
      <c r="F383" s="230"/>
      <c r="G383" s="345"/>
      <c r="H383" s="80"/>
      <c r="I383" s="114"/>
      <c r="J383" s="35">
        <f t="shared" ref="J383:J494" si="101">SUM(B383:I383)</f>
        <v>0</v>
      </c>
      <c r="K383" s="3">
        <f>C383*VLOOKUP(A383,[1]오일단가!$A:$S,16,0)</f>
        <v>0</v>
      </c>
      <c r="L383" s="302"/>
      <c r="M383" s="299"/>
      <c r="N383" s="283">
        <f>F383*VLOOKUP(A383,[1]오일단가!$A:$S,17,0)</f>
        <v>0</v>
      </c>
      <c r="O383" s="276"/>
      <c r="P383" s="482"/>
      <c r="Q383" s="5"/>
      <c r="R383" s="3">
        <f t="shared" si="99"/>
        <v>0</v>
      </c>
      <c r="S383" s="3">
        <f>J383*6700</f>
        <v>0</v>
      </c>
    </row>
    <row r="384" spans="1:19" s="1" customFormat="1">
      <c r="A384" s="356" t="s">
        <v>537</v>
      </c>
      <c r="B384" s="675"/>
      <c r="C384" s="218"/>
      <c r="D384" s="234"/>
      <c r="E384" s="234"/>
      <c r="F384" s="191"/>
      <c r="G384" s="195"/>
      <c r="H384" s="80"/>
      <c r="I384" s="114"/>
      <c r="J384" s="35">
        <f t="shared" si="101"/>
        <v>0</v>
      </c>
      <c r="K384" s="3">
        <f>C384*VLOOKUP(A384,[1]오일단가!$A:$S,16,0)</f>
        <v>0</v>
      </c>
      <c r="L384" s="302"/>
      <c r="M384" s="299"/>
      <c r="N384" s="283">
        <f>F384*VLOOKUP(A384,[1]오일단가!$A:$S,17,0)</f>
        <v>0</v>
      </c>
      <c r="O384" s="276"/>
      <c r="P384" s="482"/>
      <c r="Q384" s="5"/>
      <c r="R384" s="3">
        <f t="shared" si="99"/>
        <v>0</v>
      </c>
      <c r="S384" s="3">
        <f>J384*4225</f>
        <v>0</v>
      </c>
    </row>
    <row r="385" spans="1:19" s="1" customFormat="1">
      <c r="A385" s="356" t="s">
        <v>538</v>
      </c>
      <c r="B385" s="675"/>
      <c r="C385" s="218"/>
      <c r="D385" s="234"/>
      <c r="E385" s="234"/>
      <c r="F385" s="191"/>
      <c r="G385" s="195"/>
      <c r="H385" s="80"/>
      <c r="I385" s="114"/>
      <c r="J385" s="35">
        <f t="shared" si="101"/>
        <v>0</v>
      </c>
      <c r="K385" s="3">
        <f>C385*VLOOKUP(A385,[1]오일단가!$A:$S,16,0)</f>
        <v>0</v>
      </c>
      <c r="L385" s="302"/>
      <c r="M385" s="299"/>
      <c r="N385" s="283">
        <f>F385*VLOOKUP(A385,[1]오일단가!$A:$S,17,0)</f>
        <v>0</v>
      </c>
      <c r="O385" s="276"/>
      <c r="P385" s="482"/>
      <c r="Q385" s="5"/>
      <c r="R385" s="3">
        <f t="shared" si="99"/>
        <v>0</v>
      </c>
      <c r="S385" s="3">
        <f>J385*5380</f>
        <v>0</v>
      </c>
    </row>
    <row r="386" spans="1:19" s="1" customFormat="1">
      <c r="A386" s="356" t="s">
        <v>699</v>
      </c>
      <c r="B386" s="675"/>
      <c r="C386" s="218"/>
      <c r="D386" s="234"/>
      <c r="E386" s="234"/>
      <c r="F386" s="191"/>
      <c r="G386" s="195"/>
      <c r="H386" s="80"/>
      <c r="I386" s="114"/>
      <c r="J386" s="35">
        <f t="shared" si="101"/>
        <v>0</v>
      </c>
      <c r="K386" s="3">
        <f>C386*23000</f>
        <v>0</v>
      </c>
      <c r="L386" s="302"/>
      <c r="M386" s="299"/>
      <c r="N386" s="283">
        <f>F386*21000</f>
        <v>0</v>
      </c>
      <c r="O386" s="276"/>
      <c r="P386" s="482"/>
      <c r="Q386" s="5"/>
      <c r="R386" s="3">
        <f t="shared" si="99"/>
        <v>0</v>
      </c>
      <c r="S386" s="3">
        <f>J386*3220</f>
        <v>0</v>
      </c>
    </row>
    <row r="387" spans="1:19" s="1" customFormat="1">
      <c r="A387" s="356" t="s">
        <v>700</v>
      </c>
      <c r="B387" s="675"/>
      <c r="C387" s="218"/>
      <c r="D387" s="234"/>
      <c r="E387" s="234"/>
      <c r="F387" s="191"/>
      <c r="G387" s="195"/>
      <c r="H387" s="80"/>
      <c r="I387" s="114"/>
      <c r="J387" s="35">
        <f t="shared" si="101"/>
        <v>0</v>
      </c>
      <c r="K387" s="3">
        <f>C387*29000</f>
        <v>0</v>
      </c>
      <c r="L387" s="302"/>
      <c r="M387" s="299"/>
      <c r="N387" s="283">
        <f>F387*26000</f>
        <v>0</v>
      </c>
      <c r="O387" s="276"/>
      <c r="P387" s="482"/>
      <c r="Q387" s="5"/>
      <c r="R387" s="3">
        <f t="shared" si="99"/>
        <v>0</v>
      </c>
      <c r="S387" s="3">
        <f>J387*5340</f>
        <v>0</v>
      </c>
    </row>
    <row r="388" spans="1:19" s="1" customFormat="1">
      <c r="A388" s="356" t="s">
        <v>615</v>
      </c>
      <c r="B388" s="675"/>
      <c r="C388" s="218"/>
      <c r="D388" s="234"/>
      <c r="E388" s="234"/>
      <c r="F388" s="191"/>
      <c r="G388" s="195"/>
      <c r="H388" s="80"/>
      <c r="I388" s="114"/>
      <c r="J388" s="35">
        <f t="shared" si="101"/>
        <v>0</v>
      </c>
      <c r="K388" s="3">
        <f>C388*VLOOKUP(A388,[1]오일단가!$A:$S,16,0)</f>
        <v>0</v>
      </c>
      <c r="L388" s="302"/>
      <c r="M388" s="299"/>
      <c r="N388" s="283">
        <f>F388*VLOOKUP(A388,[1]오일단가!$A:$S,17,0)</f>
        <v>0</v>
      </c>
      <c r="O388" s="276"/>
      <c r="P388" s="482"/>
      <c r="Q388" s="5"/>
      <c r="R388" s="3">
        <f t="shared" si="99"/>
        <v>0</v>
      </c>
      <c r="S388" s="3">
        <f>J388*5600</f>
        <v>0</v>
      </c>
    </row>
    <row r="389" spans="1:19" s="1" customFormat="1">
      <c r="A389" s="356" t="s">
        <v>684</v>
      </c>
      <c r="B389" s="675"/>
      <c r="C389" s="218"/>
      <c r="D389" s="234"/>
      <c r="E389" s="234"/>
      <c r="F389" s="191"/>
      <c r="G389" s="195"/>
      <c r="H389" s="80"/>
      <c r="I389" s="114"/>
      <c r="J389" s="35">
        <f t="shared" si="101"/>
        <v>0</v>
      </c>
      <c r="K389" s="3">
        <f>C389*VLOOKUP(A389,[1]오일단가!$A:$S,16,0)</f>
        <v>0</v>
      </c>
      <c r="L389" s="302"/>
      <c r="M389" s="299"/>
      <c r="N389" s="283">
        <f>F389*VLOOKUP(A389,[1]오일단가!$A:$S,17,0)</f>
        <v>0</v>
      </c>
      <c r="O389" s="276"/>
      <c r="P389" s="482"/>
      <c r="Q389" s="5"/>
      <c r="R389" s="3">
        <f t="shared" si="99"/>
        <v>0</v>
      </c>
      <c r="S389" s="3">
        <f>J389*2570</f>
        <v>0</v>
      </c>
    </row>
    <row r="390" spans="1:19" s="1" customFormat="1">
      <c r="A390" s="356" t="s">
        <v>691</v>
      </c>
      <c r="B390" s="675"/>
      <c r="C390" s="218"/>
      <c r="D390" s="234"/>
      <c r="E390" s="234"/>
      <c r="F390" s="191"/>
      <c r="G390" s="195"/>
      <c r="H390" s="80"/>
      <c r="I390" s="114"/>
      <c r="J390" s="35">
        <f t="shared" si="101"/>
        <v>0</v>
      </c>
      <c r="K390" s="3">
        <f>C390*23000</f>
        <v>0</v>
      </c>
      <c r="L390" s="302"/>
      <c r="M390" s="299"/>
      <c r="N390" s="283">
        <f>F390*21000</f>
        <v>0</v>
      </c>
      <c r="O390" s="276"/>
      <c r="P390" s="482"/>
      <c r="Q390" s="5"/>
      <c r="R390" s="3">
        <f t="shared" si="99"/>
        <v>0</v>
      </c>
      <c r="S390" s="3">
        <f>J390*3330</f>
        <v>0</v>
      </c>
    </row>
    <row r="391" spans="1:19" s="1" customFormat="1">
      <c r="A391" s="356" t="s">
        <v>692</v>
      </c>
      <c r="B391" s="675"/>
      <c r="C391" s="218"/>
      <c r="D391" s="234"/>
      <c r="E391" s="234"/>
      <c r="F391" s="191"/>
      <c r="G391" s="195"/>
      <c r="H391" s="80"/>
      <c r="I391" s="114"/>
      <c r="J391" s="35">
        <f t="shared" si="101"/>
        <v>0</v>
      </c>
      <c r="K391" s="3">
        <f>C391*16000</f>
        <v>0</v>
      </c>
      <c r="L391" s="302"/>
      <c r="M391" s="299"/>
      <c r="N391" s="283">
        <f>F391*14000</f>
        <v>0</v>
      </c>
      <c r="O391" s="276"/>
      <c r="P391" s="482"/>
      <c r="Q391" s="5"/>
      <c r="R391" s="3">
        <f t="shared" si="99"/>
        <v>0</v>
      </c>
      <c r="S391" s="3">
        <f>J391*2090</f>
        <v>0</v>
      </c>
    </row>
    <row r="392" spans="1:19" s="1" customFormat="1">
      <c r="A392" s="356" t="s">
        <v>693</v>
      </c>
      <c r="B392" s="675"/>
      <c r="C392" s="218"/>
      <c r="D392" s="234"/>
      <c r="E392" s="234"/>
      <c r="F392" s="191"/>
      <c r="G392" s="195"/>
      <c r="H392" s="80"/>
      <c r="I392" s="114"/>
      <c r="J392" s="35">
        <f t="shared" si="101"/>
        <v>0</v>
      </c>
      <c r="K392" s="3">
        <f>C392*23000</f>
        <v>0</v>
      </c>
      <c r="L392" s="302"/>
      <c r="M392" s="299"/>
      <c r="N392" s="283">
        <f>F392*21000</f>
        <v>0</v>
      </c>
      <c r="O392" s="276"/>
      <c r="P392" s="482"/>
      <c r="Q392" s="5"/>
      <c r="R392" s="3">
        <f t="shared" si="99"/>
        <v>0</v>
      </c>
      <c r="S392" s="3">
        <f>J392*3170</f>
        <v>0</v>
      </c>
    </row>
    <row r="393" spans="1:19" s="1" customFormat="1">
      <c r="A393" s="356" t="s">
        <v>490</v>
      </c>
      <c r="B393" s="675"/>
      <c r="C393" s="218"/>
      <c r="D393" s="234"/>
      <c r="E393" s="234"/>
      <c r="F393" s="191"/>
      <c r="G393" s="195"/>
      <c r="H393" s="80"/>
      <c r="I393" s="114"/>
      <c r="J393" s="35">
        <f t="shared" si="101"/>
        <v>0</v>
      </c>
      <c r="K393" s="3">
        <f>C393*VLOOKUP(A393,[1]오일단가!$A:$S,16,0)</f>
        <v>0</v>
      </c>
      <c r="L393" s="302"/>
      <c r="M393" s="299"/>
      <c r="N393" s="283">
        <f>F393*VLOOKUP(A393,[1]오일단가!$A:$S,17,0)</f>
        <v>0</v>
      </c>
      <c r="O393" s="276"/>
      <c r="P393" s="482"/>
      <c r="Q393" s="5"/>
      <c r="R393" s="3">
        <f t="shared" si="99"/>
        <v>0</v>
      </c>
      <c r="S393" s="3">
        <f>J393*4720</f>
        <v>0</v>
      </c>
    </row>
    <row r="394" spans="1:19" s="1" customFormat="1">
      <c r="A394" s="356" t="s">
        <v>616</v>
      </c>
      <c r="B394" s="675"/>
      <c r="C394" s="218"/>
      <c r="D394" s="234"/>
      <c r="E394" s="234"/>
      <c r="F394" s="191"/>
      <c r="G394" s="195"/>
      <c r="H394" s="80"/>
      <c r="I394" s="114"/>
      <c r="J394" s="35">
        <f t="shared" si="101"/>
        <v>0</v>
      </c>
      <c r="K394" s="3">
        <f>C394*VLOOKUP(A394,[1]오일단가!$A:$S,16,0)</f>
        <v>0</v>
      </c>
      <c r="L394" s="302"/>
      <c r="M394" s="299"/>
      <c r="N394" s="283">
        <f>F394*VLOOKUP(A394,[1]오일단가!$A:$S,17,0)</f>
        <v>0</v>
      </c>
      <c r="O394" s="276"/>
      <c r="P394" s="482"/>
      <c r="Q394" s="5"/>
      <c r="R394" s="3">
        <f t="shared" si="99"/>
        <v>0</v>
      </c>
      <c r="S394" s="3">
        <f>J394*3048</f>
        <v>0</v>
      </c>
    </row>
    <row r="395" spans="1:19" s="1" customFormat="1">
      <c r="A395" s="356" t="s">
        <v>539</v>
      </c>
      <c r="B395" s="675"/>
      <c r="C395" s="218"/>
      <c r="D395" s="234"/>
      <c r="E395" s="234"/>
      <c r="F395" s="191"/>
      <c r="G395" s="195"/>
      <c r="H395" s="80"/>
      <c r="I395" s="114"/>
      <c r="J395" s="35">
        <f t="shared" si="101"/>
        <v>0</v>
      </c>
      <c r="K395" s="3">
        <f>C395*VLOOKUP(A395,[1]오일단가!$A:$S,16,0)</f>
        <v>0</v>
      </c>
      <c r="L395" s="302"/>
      <c r="M395" s="299"/>
      <c r="N395" s="283">
        <f>F395*VLOOKUP(A395,[1]오일단가!$A:$S,17,0)</f>
        <v>0</v>
      </c>
      <c r="O395" s="276"/>
      <c r="P395" s="482"/>
      <c r="Q395" s="5"/>
      <c r="R395" s="3">
        <f t="shared" si="99"/>
        <v>0</v>
      </c>
      <c r="S395" s="3">
        <f>J395*2740</f>
        <v>0</v>
      </c>
    </row>
    <row r="396" spans="1:19" s="1" customFormat="1">
      <c r="A396" s="356" t="s">
        <v>694</v>
      </c>
      <c r="B396" s="675"/>
      <c r="C396" s="218"/>
      <c r="D396" s="234"/>
      <c r="E396" s="234"/>
      <c r="F396" s="191"/>
      <c r="G396" s="195"/>
      <c r="H396" s="80"/>
      <c r="I396" s="114"/>
      <c r="J396" s="35">
        <f t="shared" si="101"/>
        <v>0</v>
      </c>
      <c r="K396" s="3">
        <f>C396*16000</f>
        <v>0</v>
      </c>
      <c r="L396" s="302"/>
      <c r="M396" s="299"/>
      <c r="N396" s="283">
        <f>F396*14000</f>
        <v>0</v>
      </c>
      <c r="O396" s="276"/>
      <c r="P396" s="482"/>
      <c r="Q396" s="5"/>
      <c r="R396" s="3">
        <f t="shared" si="99"/>
        <v>0</v>
      </c>
      <c r="S396" s="3">
        <f>J396*2160</f>
        <v>0</v>
      </c>
    </row>
    <row r="397" spans="1:19" s="1" customFormat="1">
      <c r="A397" s="354" t="s">
        <v>485</v>
      </c>
      <c r="B397" s="675"/>
      <c r="C397" s="233"/>
      <c r="D397" s="234"/>
      <c r="E397" s="234"/>
      <c r="F397" s="230"/>
      <c r="G397" s="345"/>
      <c r="H397" s="80"/>
      <c r="I397" s="114"/>
      <c r="J397" s="35">
        <f t="shared" si="101"/>
        <v>0</v>
      </c>
      <c r="K397" s="3">
        <f>C397*VLOOKUP(A397,[1]오일단가!$A:$S,16,0)</f>
        <v>0</v>
      </c>
      <c r="L397" s="302"/>
      <c r="M397" s="299"/>
      <c r="N397" s="283">
        <f>F397*VLOOKUP(A397,[1]오일단가!$A:$S,17,0)</f>
        <v>0</v>
      </c>
      <c r="O397" s="276"/>
      <c r="P397" s="482"/>
      <c r="Q397" s="5"/>
      <c r="R397" s="3">
        <f t="shared" si="99"/>
        <v>0</v>
      </c>
      <c r="S397" s="3">
        <f>J397*2060</f>
        <v>0</v>
      </c>
    </row>
    <row r="398" spans="1:19" s="1" customFormat="1">
      <c r="A398" s="356" t="s">
        <v>540</v>
      </c>
      <c r="B398" s="675"/>
      <c r="C398" s="218"/>
      <c r="D398" s="234"/>
      <c r="E398" s="234"/>
      <c r="F398" s="191"/>
      <c r="G398" s="195"/>
      <c r="H398" s="80"/>
      <c r="I398" s="114"/>
      <c r="J398" s="35">
        <f t="shared" si="101"/>
        <v>0</v>
      </c>
      <c r="K398" s="3">
        <f>C398*VLOOKUP(A398,[1]오일단가!$A:$S,16,0)</f>
        <v>0</v>
      </c>
      <c r="L398" s="302"/>
      <c r="M398" s="299"/>
      <c r="N398" s="283">
        <f>F398*VLOOKUP(A398,[1]오일단가!$A:$S,17,0)</f>
        <v>0</v>
      </c>
      <c r="O398" s="276"/>
      <c r="P398" s="482"/>
      <c r="Q398" s="5"/>
      <c r="R398" s="3">
        <f t="shared" si="99"/>
        <v>0</v>
      </c>
      <c r="S398" s="3">
        <f>J398*3730</f>
        <v>0</v>
      </c>
    </row>
    <row r="399" spans="1:19" s="1" customFormat="1">
      <c r="A399" s="356" t="s">
        <v>656</v>
      </c>
      <c r="B399" s="675"/>
      <c r="C399" s="218"/>
      <c r="D399" s="234"/>
      <c r="E399" s="234"/>
      <c r="F399" s="191"/>
      <c r="G399" s="195"/>
      <c r="H399" s="80"/>
      <c r="I399" s="114"/>
      <c r="J399" s="35">
        <f t="shared" si="101"/>
        <v>0</v>
      </c>
      <c r="K399" s="3">
        <f>C399*VLOOKUP(A399,[1]오일단가!$A:$S,16,0)</f>
        <v>0</v>
      </c>
      <c r="L399" s="302"/>
      <c r="M399" s="299"/>
      <c r="N399" s="283">
        <f>F399*VLOOKUP(A399,[1]오일단가!$A:$S,17,0)</f>
        <v>0</v>
      </c>
      <c r="O399" s="276"/>
      <c r="P399" s="482"/>
      <c r="Q399" s="5"/>
      <c r="R399" s="3">
        <f t="shared" si="99"/>
        <v>0</v>
      </c>
      <c r="S399" s="3">
        <f>J399*2360</f>
        <v>0</v>
      </c>
    </row>
    <row r="400" spans="1:19" s="1" customFormat="1">
      <c r="A400" s="354" t="s">
        <v>486</v>
      </c>
      <c r="B400" s="675"/>
      <c r="C400" s="233"/>
      <c r="D400" s="234"/>
      <c r="E400" s="234"/>
      <c r="F400" s="230"/>
      <c r="G400" s="345"/>
      <c r="H400" s="80"/>
      <c r="I400" s="114"/>
      <c r="J400" s="35">
        <f t="shared" si="101"/>
        <v>0</v>
      </c>
      <c r="K400" s="3">
        <f>C400*VLOOKUP(A400,[1]오일단가!$A:$S,16,0)</f>
        <v>0</v>
      </c>
      <c r="L400" s="302"/>
      <c r="M400" s="299"/>
      <c r="N400" s="283">
        <f>F400*VLOOKUP(A400,[1]오일단가!$A:$S,17,0)</f>
        <v>0</v>
      </c>
      <c r="O400" s="276"/>
      <c r="P400" s="482"/>
      <c r="Q400" s="5"/>
      <c r="R400" s="3">
        <f t="shared" si="99"/>
        <v>0</v>
      </c>
      <c r="S400" s="3">
        <f>J400*1790</f>
        <v>0</v>
      </c>
    </row>
    <row r="401" spans="1:19" s="1" customFormat="1">
      <c r="A401" s="356" t="s">
        <v>541</v>
      </c>
      <c r="B401" s="675"/>
      <c r="C401" s="218"/>
      <c r="D401" s="234"/>
      <c r="E401" s="234"/>
      <c r="F401" s="191"/>
      <c r="G401" s="195"/>
      <c r="H401" s="80"/>
      <c r="I401" s="114"/>
      <c r="J401" s="35">
        <f t="shared" si="101"/>
        <v>0</v>
      </c>
      <c r="K401" s="3">
        <f>C401*VLOOKUP(A401,[1]오일단가!$A:$S,16,0)</f>
        <v>0</v>
      </c>
      <c r="L401" s="302"/>
      <c r="M401" s="299"/>
      <c r="N401" s="283">
        <f>F401*VLOOKUP(A401,[1]오일단가!$A:$S,17,0)</f>
        <v>0</v>
      </c>
      <c r="O401" s="276"/>
      <c r="P401" s="482"/>
      <c r="Q401" s="5"/>
      <c r="R401" s="3">
        <f t="shared" si="99"/>
        <v>0</v>
      </c>
      <c r="S401" s="3">
        <f>J401*4060</f>
        <v>0</v>
      </c>
    </row>
    <row r="402" spans="1:19" s="1" customFormat="1">
      <c r="A402" s="356" t="s">
        <v>543</v>
      </c>
      <c r="B402" s="675"/>
      <c r="C402" s="218"/>
      <c r="D402" s="234"/>
      <c r="E402" s="234"/>
      <c r="F402" s="191"/>
      <c r="G402" s="195"/>
      <c r="H402" s="80"/>
      <c r="I402" s="114"/>
      <c r="J402" s="35">
        <f t="shared" si="101"/>
        <v>0</v>
      </c>
      <c r="K402" s="3">
        <f>C402*VLOOKUP(A402,[1]오일단가!$A:$S,16,0)</f>
        <v>0</v>
      </c>
      <c r="L402" s="302"/>
      <c r="M402" s="299"/>
      <c r="N402" s="283">
        <f>F402*VLOOKUP(A402,[1]오일단가!$A:$S,17,0)</f>
        <v>0</v>
      </c>
      <c r="O402" s="276"/>
      <c r="P402" s="482"/>
      <c r="Q402" s="5"/>
      <c r="R402" s="3">
        <f t="shared" si="99"/>
        <v>0</v>
      </c>
      <c r="S402" s="3">
        <f>J402*7690</f>
        <v>0</v>
      </c>
    </row>
    <row r="403" spans="1:19" s="1" customFormat="1">
      <c r="A403" s="356" t="s">
        <v>617</v>
      </c>
      <c r="B403" s="675"/>
      <c r="C403" s="218"/>
      <c r="D403" s="234"/>
      <c r="E403" s="234"/>
      <c r="F403" s="191"/>
      <c r="G403" s="195"/>
      <c r="H403" s="80"/>
      <c r="I403" s="114"/>
      <c r="J403" s="35">
        <f t="shared" si="101"/>
        <v>0</v>
      </c>
      <c r="K403" s="3">
        <f>C403*VLOOKUP(A403,[1]오일단가!$A:$S,16,0)</f>
        <v>0</v>
      </c>
      <c r="L403" s="302"/>
      <c r="M403" s="299"/>
      <c r="N403" s="283">
        <f>F403*VLOOKUP(A403,[1]오일단가!$A:$S,17,0)</f>
        <v>0</v>
      </c>
      <c r="O403" s="276"/>
      <c r="P403" s="482"/>
      <c r="Q403" s="5"/>
      <c r="R403" s="3">
        <f t="shared" si="99"/>
        <v>0</v>
      </c>
      <c r="S403" s="3">
        <f>J403*3730</f>
        <v>0</v>
      </c>
    </row>
    <row r="404" spans="1:19" s="1" customFormat="1">
      <c r="A404" s="356" t="s">
        <v>674</v>
      </c>
      <c r="B404" s="675"/>
      <c r="C404" s="233">
        <v>1</v>
      </c>
      <c r="D404" s="234"/>
      <c r="E404" s="234"/>
      <c r="F404" s="230"/>
      <c r="G404" s="345"/>
      <c r="H404" s="80"/>
      <c r="I404" s="114"/>
      <c r="J404" s="35">
        <f t="shared" si="101"/>
        <v>1</v>
      </c>
      <c r="K404" s="3">
        <f>C404*VLOOKUP(A404,[1]오일단가!$A:$S,16,0)</f>
        <v>24000</v>
      </c>
      <c r="L404" s="302"/>
      <c r="M404" s="299"/>
      <c r="N404" s="283">
        <f>F404*VLOOKUP(A404,[1]오일단가!$A:$S,17,0)</f>
        <v>0</v>
      </c>
      <c r="O404" s="276"/>
      <c r="P404" s="482"/>
      <c r="Q404" s="5"/>
      <c r="R404" s="3">
        <f t="shared" si="99"/>
        <v>24000</v>
      </c>
      <c r="S404" s="3">
        <f>J404*5160</f>
        <v>5160</v>
      </c>
    </row>
    <row r="405" spans="1:19" s="1" customFormat="1">
      <c r="A405" s="356" t="s">
        <v>695</v>
      </c>
      <c r="B405" s="675"/>
      <c r="C405" s="233"/>
      <c r="D405" s="234"/>
      <c r="E405" s="234"/>
      <c r="F405" s="230"/>
      <c r="G405" s="345"/>
      <c r="H405" s="80"/>
      <c r="I405" s="114"/>
      <c r="J405" s="35">
        <f t="shared" si="101"/>
        <v>0</v>
      </c>
      <c r="K405" s="3">
        <f>C405*125000</f>
        <v>0</v>
      </c>
      <c r="L405" s="302"/>
      <c r="M405" s="299"/>
      <c r="N405" s="283">
        <f>F405*113000</f>
        <v>0</v>
      </c>
      <c r="O405" s="276"/>
      <c r="P405" s="482"/>
      <c r="Q405" s="5"/>
      <c r="R405" s="3">
        <f t="shared" si="99"/>
        <v>0</v>
      </c>
      <c r="S405" s="3">
        <f>J405*3640</f>
        <v>0</v>
      </c>
    </row>
    <row r="406" spans="1:19" s="1" customFormat="1">
      <c r="A406" s="356" t="s">
        <v>696</v>
      </c>
      <c r="B406" s="675"/>
      <c r="C406" s="233"/>
      <c r="D406" s="234"/>
      <c r="E406" s="234"/>
      <c r="F406" s="230"/>
      <c r="G406" s="345"/>
      <c r="H406" s="80"/>
      <c r="I406" s="114"/>
      <c r="J406" s="35">
        <f t="shared" si="101"/>
        <v>0</v>
      </c>
      <c r="K406" s="3">
        <f>C406*23000</f>
        <v>0</v>
      </c>
      <c r="L406" s="302"/>
      <c r="M406" s="299"/>
      <c r="N406" s="283">
        <f>F406*21000</f>
        <v>0</v>
      </c>
      <c r="O406" s="276"/>
      <c r="P406" s="482"/>
      <c r="Q406" s="5"/>
      <c r="R406" s="3">
        <f t="shared" si="99"/>
        <v>0</v>
      </c>
      <c r="S406" s="3">
        <f>J406*3220</f>
        <v>0</v>
      </c>
    </row>
    <row r="407" spans="1:19" s="1" customFormat="1">
      <c r="A407" s="356" t="s">
        <v>675</v>
      </c>
      <c r="B407" s="675"/>
      <c r="C407" s="35">
        <v>1</v>
      </c>
      <c r="D407" s="234"/>
      <c r="E407" s="234"/>
      <c r="F407" s="191"/>
      <c r="G407" s="195"/>
      <c r="H407" s="80"/>
      <c r="I407" s="114"/>
      <c r="J407" s="35">
        <f t="shared" si="101"/>
        <v>1</v>
      </c>
      <c r="K407" s="3">
        <f>C407*VLOOKUP(A407,[1]오일단가!$A:$S,16,0)</f>
        <v>32000</v>
      </c>
      <c r="L407" s="302"/>
      <c r="M407" s="299"/>
      <c r="N407" s="283">
        <f>F407*VLOOKUP(A407,[1]오일단가!$A:$S,17,0)</f>
        <v>0</v>
      </c>
      <c r="O407" s="276"/>
      <c r="P407" s="482"/>
      <c r="Q407" s="5"/>
      <c r="R407" s="3">
        <f t="shared" si="99"/>
        <v>32000</v>
      </c>
      <c r="S407" s="3">
        <f>J407*8130</f>
        <v>8130</v>
      </c>
    </row>
    <row r="408" spans="1:19" s="1" customFormat="1">
      <c r="A408" s="356" t="s">
        <v>676</v>
      </c>
      <c r="B408" s="675"/>
      <c r="C408" s="35"/>
      <c r="D408" s="234"/>
      <c r="E408" s="234"/>
      <c r="F408" s="191"/>
      <c r="G408" s="195"/>
      <c r="H408" s="80"/>
      <c r="I408" s="114"/>
      <c r="J408" s="35">
        <f t="shared" si="101"/>
        <v>0</v>
      </c>
      <c r="K408" s="3">
        <f>C408*VLOOKUP(A408,[1]오일단가!$A:$S,16,0)</f>
        <v>0</v>
      </c>
      <c r="L408" s="302"/>
      <c r="M408" s="299"/>
      <c r="N408" s="283">
        <f>F408*VLOOKUP(A408,[1]오일단가!$A:$S,17,0)</f>
        <v>0</v>
      </c>
      <c r="O408" s="276"/>
      <c r="P408" s="482"/>
      <c r="Q408" s="5"/>
      <c r="R408" s="3">
        <f t="shared" si="99"/>
        <v>0</v>
      </c>
      <c r="S408" s="3">
        <f>J408*2960</f>
        <v>0</v>
      </c>
    </row>
    <row r="409" spans="1:19" s="1" customFormat="1">
      <c r="A409" s="356" t="s">
        <v>544</v>
      </c>
      <c r="B409" s="675"/>
      <c r="C409" s="35"/>
      <c r="D409" s="234"/>
      <c r="E409" s="234"/>
      <c r="F409" s="191"/>
      <c r="G409" s="195"/>
      <c r="H409" s="80"/>
      <c r="I409" s="114"/>
      <c r="J409" s="35">
        <f t="shared" si="101"/>
        <v>0</v>
      </c>
      <c r="K409" s="3">
        <f>C409*VLOOKUP(A409,[1]오일단가!$A:$S,16,0)</f>
        <v>0</v>
      </c>
      <c r="L409" s="302"/>
      <c r="M409" s="299"/>
      <c r="N409" s="283">
        <f>F409*VLOOKUP(A409,[1]오일단가!$A:$S,17,0)</f>
        <v>0</v>
      </c>
      <c r="O409" s="276"/>
      <c r="P409" s="482"/>
      <c r="Q409" s="5"/>
      <c r="R409" s="3">
        <f t="shared" si="99"/>
        <v>0</v>
      </c>
      <c r="S409" s="3">
        <f>J409*4270</f>
        <v>0</v>
      </c>
    </row>
    <row r="410" spans="1:19" s="1" customFormat="1">
      <c r="A410" s="356" t="s">
        <v>545</v>
      </c>
      <c r="B410" s="675"/>
      <c r="C410" s="35"/>
      <c r="D410" s="234"/>
      <c r="E410" s="234"/>
      <c r="F410" s="191"/>
      <c r="G410" s="195"/>
      <c r="H410" s="80"/>
      <c r="I410" s="114"/>
      <c r="J410" s="35">
        <f t="shared" si="101"/>
        <v>0</v>
      </c>
      <c r="K410" s="3">
        <f>C410*VLOOKUP(A410,[1]오일단가!$A:$S,16,0)</f>
        <v>0</v>
      </c>
      <c r="L410" s="302"/>
      <c r="M410" s="299"/>
      <c r="N410" s="283">
        <f>F410*VLOOKUP(A410,[1]오일단가!$A:$S,17,0)</f>
        <v>0</v>
      </c>
      <c r="O410" s="276"/>
      <c r="P410" s="482"/>
      <c r="Q410" s="5"/>
      <c r="R410" s="3">
        <f t="shared" si="99"/>
        <v>0</v>
      </c>
      <c r="S410" s="3">
        <f>J410*5610</f>
        <v>0</v>
      </c>
    </row>
    <row r="411" spans="1:19" s="1" customFormat="1">
      <c r="A411" s="356" t="s">
        <v>546</v>
      </c>
      <c r="B411" s="675"/>
      <c r="C411" s="35"/>
      <c r="D411" s="234"/>
      <c r="E411" s="234"/>
      <c r="F411" s="191"/>
      <c r="G411" s="195"/>
      <c r="H411" s="80"/>
      <c r="I411" s="114"/>
      <c r="J411" s="35">
        <f t="shared" si="101"/>
        <v>0</v>
      </c>
      <c r="K411" s="3">
        <f>C411*VLOOKUP(A411,[1]오일단가!$A:$S,16,0)</f>
        <v>0</v>
      </c>
      <c r="L411" s="302"/>
      <c r="M411" s="299"/>
      <c r="N411" s="283">
        <f>F411*VLOOKUP(A411,[1]오일단가!$A:$S,17,0)</f>
        <v>0</v>
      </c>
      <c r="O411" s="276"/>
      <c r="P411" s="482"/>
      <c r="Q411" s="5"/>
      <c r="R411" s="3">
        <f t="shared" si="99"/>
        <v>0</v>
      </c>
      <c r="S411" s="3">
        <f>J411*7310</f>
        <v>0</v>
      </c>
    </row>
    <row r="412" spans="1:19" s="1" customFormat="1">
      <c r="A412" s="356" t="s">
        <v>547</v>
      </c>
      <c r="B412" s="675"/>
      <c r="C412" s="35"/>
      <c r="D412" s="234"/>
      <c r="E412" s="234"/>
      <c r="F412" s="191"/>
      <c r="G412" s="195"/>
      <c r="H412" s="80"/>
      <c r="I412" s="114"/>
      <c r="J412" s="35">
        <f t="shared" si="101"/>
        <v>0</v>
      </c>
      <c r="K412" s="3">
        <f>C412*VLOOKUP(A412,[1]오일단가!$A:$S,16,0)</f>
        <v>0</v>
      </c>
      <c r="L412" s="302"/>
      <c r="M412" s="299"/>
      <c r="N412" s="283">
        <f>F412*VLOOKUP(A412,[1]오일단가!$A:$S,17,0)</f>
        <v>0</v>
      </c>
      <c r="O412" s="276"/>
      <c r="P412" s="482"/>
      <c r="Q412" s="5"/>
      <c r="R412" s="3">
        <f t="shared" si="99"/>
        <v>0</v>
      </c>
      <c r="S412" s="3">
        <f>J412*3980</f>
        <v>0</v>
      </c>
    </row>
    <row r="413" spans="1:19" s="1" customFormat="1">
      <c r="A413" s="356" t="s">
        <v>548</v>
      </c>
      <c r="B413" s="676"/>
      <c r="C413" s="35"/>
      <c r="D413" s="234"/>
      <c r="E413" s="234"/>
      <c r="F413" s="191"/>
      <c r="G413" s="195"/>
      <c r="H413" s="80"/>
      <c r="I413" s="114"/>
      <c r="J413" s="35">
        <f t="shared" si="101"/>
        <v>0</v>
      </c>
      <c r="K413" s="3">
        <f>C413*VLOOKUP(A413,[1]오일단가!$A:$S,16,0)</f>
        <v>0</v>
      </c>
      <c r="L413" s="302"/>
      <c r="M413" s="299"/>
      <c r="N413" s="283">
        <f>F413*VLOOKUP(A413,[1]오일단가!$A:$S,17,0)</f>
        <v>0</v>
      </c>
      <c r="O413" s="276"/>
      <c r="P413" s="482"/>
      <c r="Q413" s="5"/>
      <c r="R413" s="3">
        <f t="shared" si="99"/>
        <v>0</v>
      </c>
      <c r="S413" s="3">
        <f>J413*3920</f>
        <v>0</v>
      </c>
    </row>
    <row r="414" spans="1:19" s="1" customFormat="1">
      <c r="A414" s="356"/>
      <c r="B414" s="417"/>
      <c r="C414" s="35"/>
      <c r="D414" s="234"/>
      <c r="E414" s="234"/>
      <c r="F414" s="191"/>
      <c r="G414" s="195"/>
      <c r="H414" s="80"/>
      <c r="I414" s="114"/>
      <c r="J414" s="35"/>
      <c r="K414" s="3"/>
      <c r="L414" s="302"/>
      <c r="M414" s="299"/>
      <c r="N414" s="283"/>
      <c r="O414" s="276"/>
      <c r="P414" s="482"/>
      <c r="Q414" s="5"/>
      <c r="R414" s="3"/>
      <c r="S414" s="3"/>
    </row>
    <row r="415" spans="1:19" s="74" customFormat="1">
      <c r="A415" s="504" t="s">
        <v>575</v>
      </c>
      <c r="B415" s="503"/>
      <c r="C415" s="450">
        <f>SUM(C344:C414)</f>
        <v>26</v>
      </c>
      <c r="D415" s="450">
        <f t="shared" ref="D415:J415" si="102">SUM(D344:D414)</f>
        <v>0</v>
      </c>
      <c r="E415" s="450">
        <f t="shared" si="102"/>
        <v>0</v>
      </c>
      <c r="F415" s="450">
        <f t="shared" si="102"/>
        <v>0</v>
      </c>
      <c r="G415" s="450">
        <f t="shared" si="102"/>
        <v>0</v>
      </c>
      <c r="H415" s="450">
        <f t="shared" si="102"/>
        <v>0</v>
      </c>
      <c r="I415" s="450">
        <f t="shared" si="102"/>
        <v>0</v>
      </c>
      <c r="J415" s="450">
        <f t="shared" si="102"/>
        <v>26</v>
      </c>
      <c r="K415" s="457">
        <f>SUM(K341:K414)</f>
        <v>393000</v>
      </c>
      <c r="L415" s="457">
        <f t="shared" ref="L415:Q415" si="103">SUM(L341:L414)</f>
        <v>0</v>
      </c>
      <c r="M415" s="457">
        <f t="shared" si="103"/>
        <v>0</v>
      </c>
      <c r="N415" s="540">
        <f t="shared" si="103"/>
        <v>0</v>
      </c>
      <c r="O415" s="457">
        <f t="shared" si="103"/>
        <v>0</v>
      </c>
      <c r="P415" s="457">
        <f t="shared" si="103"/>
        <v>0</v>
      </c>
      <c r="Q415" s="457">
        <f t="shared" si="103"/>
        <v>0</v>
      </c>
      <c r="R415" s="457">
        <f>SUM(K415:Q415)</f>
        <v>393000</v>
      </c>
      <c r="S415" s="457">
        <f>SUM(S341:S414)</f>
        <v>77232</v>
      </c>
    </row>
    <row r="416" spans="1:19" s="245" customFormat="1">
      <c r="A416" s="570" t="s">
        <v>685</v>
      </c>
      <c r="B416" s="571"/>
      <c r="C416" s="237"/>
      <c r="D416" s="237"/>
      <c r="E416" s="237"/>
      <c r="F416" s="237"/>
      <c r="G416" s="237"/>
      <c r="H416" s="237"/>
      <c r="I416" s="237"/>
      <c r="J416" s="35">
        <f t="shared" si="101"/>
        <v>0</v>
      </c>
      <c r="K416" s="458">
        <f>C416*480000</f>
        <v>0</v>
      </c>
      <c r="L416" s="458"/>
      <c r="M416" s="458"/>
      <c r="N416" s="461">
        <f>F416*432000</f>
        <v>0</v>
      </c>
      <c r="O416" s="458"/>
      <c r="P416" s="458"/>
      <c r="Q416" s="458"/>
      <c r="R416" s="3">
        <f>SUM(K416:Q416)</f>
        <v>0</v>
      </c>
      <c r="S416" s="458">
        <f>J416*40100</f>
        <v>0</v>
      </c>
    </row>
    <row r="417" spans="1:19" s="1" customFormat="1" ht="16.5" customHeight="1">
      <c r="A417" s="356" t="s">
        <v>658</v>
      </c>
      <c r="B417" s="674" t="s">
        <v>775</v>
      </c>
      <c r="C417" s="237"/>
      <c r="D417" s="234"/>
      <c r="E417" s="234"/>
      <c r="F417" s="230"/>
      <c r="G417" s="345"/>
      <c r="H417" s="80"/>
      <c r="I417" s="114"/>
      <c r="J417" s="35">
        <f t="shared" si="101"/>
        <v>0</v>
      </c>
      <c r="K417" s="3">
        <f>C417*VLOOKUP(A417,[1]오일단가!$A:$S,13,0)</f>
        <v>0</v>
      </c>
      <c r="L417" s="302"/>
      <c r="M417" s="299"/>
      <c r="N417" s="283">
        <f>F417*VLOOKUP(A417,[1]오일단가!$A:$S,14,0)</f>
        <v>0</v>
      </c>
      <c r="O417" s="276"/>
      <c r="P417" s="482"/>
      <c r="Q417" s="5"/>
      <c r="R417" s="3">
        <f t="shared" ref="R417:R486" si="104">SUM(K417:Q417)</f>
        <v>0</v>
      </c>
      <c r="S417" s="3">
        <f>J417*18000</f>
        <v>0</v>
      </c>
    </row>
    <row r="418" spans="1:19" s="1" customFormat="1" ht="16.5" customHeight="1">
      <c r="A418" s="356" t="s">
        <v>697</v>
      </c>
      <c r="B418" s="675"/>
      <c r="C418" s="237"/>
      <c r="D418" s="234"/>
      <c r="E418" s="234"/>
      <c r="F418" s="230"/>
      <c r="G418" s="345"/>
      <c r="H418" s="80"/>
      <c r="I418" s="114"/>
      <c r="J418" s="35">
        <f t="shared" si="101"/>
        <v>0</v>
      </c>
      <c r="K418" s="3">
        <f>C418*136000</f>
        <v>0</v>
      </c>
      <c r="L418" s="302"/>
      <c r="M418" s="299"/>
      <c r="N418" s="283">
        <f>F418*122000</f>
        <v>0</v>
      </c>
      <c r="O418" s="276"/>
      <c r="P418" s="482"/>
      <c r="Q418" s="5"/>
      <c r="R418" s="3">
        <f t="shared" si="104"/>
        <v>0</v>
      </c>
      <c r="S418" s="3">
        <f>J418*16200</f>
        <v>0</v>
      </c>
    </row>
    <row r="419" spans="1:19" s="1" customFormat="1">
      <c r="A419" s="356" t="s">
        <v>659</v>
      </c>
      <c r="B419" s="675"/>
      <c r="C419" s="237"/>
      <c r="D419" s="234"/>
      <c r="E419" s="234"/>
      <c r="F419" s="230"/>
      <c r="G419" s="345"/>
      <c r="H419" s="80"/>
      <c r="I419" s="114"/>
      <c r="J419" s="35">
        <f t="shared" si="101"/>
        <v>0</v>
      </c>
      <c r="K419" s="3">
        <f>C419*VLOOKUP(A419,[1]오일단가!$A:$S,13,0)</f>
        <v>0</v>
      </c>
      <c r="L419" s="302"/>
      <c r="M419" s="299"/>
      <c r="N419" s="283">
        <f>F419*VLOOKUP(A419,[1]오일단가!$A:$S,14,0)</f>
        <v>0</v>
      </c>
      <c r="O419" s="276"/>
      <c r="P419" s="482"/>
      <c r="Q419" s="5"/>
      <c r="R419" s="3">
        <f t="shared" si="104"/>
        <v>0</v>
      </c>
      <c r="S419" s="3">
        <f>J419*18200</f>
        <v>0</v>
      </c>
    </row>
    <row r="420" spans="1:19" s="1" customFormat="1">
      <c r="A420" s="356" t="s">
        <v>686</v>
      </c>
      <c r="B420" s="675"/>
      <c r="C420" s="237"/>
      <c r="D420" s="234"/>
      <c r="E420" s="234"/>
      <c r="F420" s="230"/>
      <c r="G420" s="345"/>
      <c r="H420" s="80"/>
      <c r="I420" s="114"/>
      <c r="J420" s="35">
        <f t="shared" si="101"/>
        <v>0</v>
      </c>
      <c r="K420" s="3">
        <f>C420*128000</f>
        <v>0</v>
      </c>
      <c r="L420" s="302"/>
      <c r="M420" s="299"/>
      <c r="N420" s="283">
        <f>F420*115000</f>
        <v>0</v>
      </c>
      <c r="O420" s="276"/>
      <c r="P420" s="482"/>
      <c r="Q420" s="5"/>
      <c r="R420" s="3">
        <f t="shared" si="104"/>
        <v>0</v>
      </c>
      <c r="S420" s="3">
        <f>J420*13300</f>
        <v>0</v>
      </c>
    </row>
    <row r="421" spans="1:19" s="1" customFormat="1">
      <c r="A421" s="354" t="s">
        <v>660</v>
      </c>
      <c r="B421" s="675"/>
      <c r="C421" s="237"/>
      <c r="D421" s="242"/>
      <c r="E421" s="234"/>
      <c r="F421" s="230">
        <v>1</v>
      </c>
      <c r="G421" s="345"/>
      <c r="H421" s="80"/>
      <c r="I421" s="114"/>
      <c r="J421" s="35">
        <f t="shared" si="101"/>
        <v>1</v>
      </c>
      <c r="K421" s="3">
        <f>C421*VLOOKUP(A421,[1]오일단가!$A:$S,13,0)</f>
        <v>0</v>
      </c>
      <c r="L421" s="302"/>
      <c r="M421" s="299"/>
      <c r="N421" s="283">
        <f>F421*VLOOKUP(A421,[1]오일단가!$A:$S,14,0)</f>
        <v>79000</v>
      </c>
      <c r="O421" s="276"/>
      <c r="P421" s="482"/>
      <c r="Q421" s="5"/>
      <c r="R421" s="3">
        <f t="shared" si="104"/>
        <v>79000</v>
      </c>
      <c r="S421" s="3">
        <f>J421*13900</f>
        <v>13900</v>
      </c>
    </row>
    <row r="422" spans="1:19" s="1" customFormat="1">
      <c r="A422" s="354" t="s">
        <v>532</v>
      </c>
      <c r="B422" s="675"/>
      <c r="C422" s="237"/>
      <c r="D422" s="234"/>
      <c r="E422" s="234"/>
      <c r="F422" s="230"/>
      <c r="G422" s="345"/>
      <c r="H422" s="80"/>
      <c r="I422" s="114"/>
      <c r="J422" s="35">
        <f t="shared" si="101"/>
        <v>0</v>
      </c>
      <c r="K422" s="3">
        <f>C422*VLOOKUP(A422,[1]오일단가!$A:$S,13,0)</f>
        <v>0</v>
      </c>
      <c r="L422" s="302"/>
      <c r="M422" s="299"/>
      <c r="N422" s="283">
        <f>F422*VLOOKUP(A422,[1]오일단가!$A:$S,14,0)</f>
        <v>0</v>
      </c>
      <c r="O422" s="276"/>
      <c r="P422" s="482"/>
      <c r="Q422" s="5"/>
      <c r="R422" s="3">
        <f t="shared" si="104"/>
        <v>0</v>
      </c>
      <c r="S422" s="3">
        <f>J422*16900</f>
        <v>0</v>
      </c>
    </row>
    <row r="423" spans="1:19" s="1" customFormat="1">
      <c r="A423" s="355" t="s">
        <v>661</v>
      </c>
      <c r="B423" s="675"/>
      <c r="C423" s="237"/>
      <c r="D423" s="242"/>
      <c r="E423" s="234"/>
      <c r="F423" s="230"/>
      <c r="G423" s="345"/>
      <c r="H423" s="80"/>
      <c r="I423" s="114"/>
      <c r="J423" s="35">
        <f t="shared" si="101"/>
        <v>0</v>
      </c>
      <c r="K423" s="3">
        <f>C423*146000</f>
        <v>0</v>
      </c>
      <c r="L423" s="302"/>
      <c r="M423" s="299"/>
      <c r="N423" s="283">
        <f>F423*131000</f>
        <v>0</v>
      </c>
      <c r="O423" s="276"/>
      <c r="P423" s="482"/>
      <c r="Q423" s="5"/>
      <c r="R423" s="3">
        <f t="shared" si="104"/>
        <v>0</v>
      </c>
      <c r="S423" s="3">
        <f>J423*38900</f>
        <v>0</v>
      </c>
    </row>
    <row r="424" spans="1:19" s="1" customFormat="1">
      <c r="A424" s="354" t="s">
        <v>680</v>
      </c>
      <c r="B424" s="675"/>
      <c r="C424" s="237"/>
      <c r="D424" s="242"/>
      <c r="E424" s="234"/>
      <c r="F424" s="230"/>
      <c r="G424" s="345"/>
      <c r="H424" s="80"/>
      <c r="I424" s="114"/>
      <c r="J424" s="35">
        <f t="shared" si="101"/>
        <v>0</v>
      </c>
      <c r="K424" s="3">
        <f>C424*VLOOKUP(A424,[1]오일단가!$A:$S,13,0)</f>
        <v>0</v>
      </c>
      <c r="L424" s="302"/>
      <c r="M424" s="299"/>
      <c r="N424" s="283">
        <f>F424*VLOOKUP(A424,[1]오일단가!$A:$S,14,0)</f>
        <v>0</v>
      </c>
      <c r="O424" s="276"/>
      <c r="P424" s="482"/>
      <c r="Q424" s="5"/>
      <c r="R424" s="3">
        <f t="shared" si="104"/>
        <v>0</v>
      </c>
      <c r="S424" s="3">
        <f>J424*14200</f>
        <v>0</v>
      </c>
    </row>
    <row r="425" spans="1:19" s="1" customFormat="1">
      <c r="A425" s="354" t="s">
        <v>662</v>
      </c>
      <c r="B425" s="675"/>
      <c r="C425" s="237"/>
      <c r="D425" s="234"/>
      <c r="E425" s="234"/>
      <c r="F425" s="230"/>
      <c r="G425" s="345"/>
      <c r="H425" s="80"/>
      <c r="I425" s="114"/>
      <c r="J425" s="35">
        <f t="shared" si="101"/>
        <v>0</v>
      </c>
      <c r="K425" s="3">
        <f>C425*VLOOKUP(A425,[1]오일단가!$A:$S,13,0)</f>
        <v>0</v>
      </c>
      <c r="L425" s="302"/>
      <c r="M425" s="299"/>
      <c r="N425" s="283">
        <f>F425*VLOOKUP(A425,[1]오일단가!$A:$S,14,0)</f>
        <v>0</v>
      </c>
      <c r="O425" s="276"/>
      <c r="P425" s="482"/>
      <c r="Q425" s="5"/>
      <c r="R425" s="3">
        <f t="shared" si="104"/>
        <v>0</v>
      </c>
      <c r="S425" s="3">
        <f>J425*276500</f>
        <v>0</v>
      </c>
    </row>
    <row r="426" spans="1:19" s="1" customFormat="1">
      <c r="A426" s="354" t="s">
        <v>687</v>
      </c>
      <c r="B426" s="675"/>
      <c r="C426" s="237"/>
      <c r="D426" s="234"/>
      <c r="E426" s="234"/>
      <c r="F426" s="230"/>
      <c r="G426" s="345"/>
      <c r="H426" s="80"/>
      <c r="I426" s="114"/>
      <c r="J426" s="35">
        <f t="shared" si="101"/>
        <v>0</v>
      </c>
      <c r="K426" s="3">
        <f>C426*184000</f>
        <v>0</v>
      </c>
      <c r="L426" s="302"/>
      <c r="M426" s="299"/>
      <c r="N426" s="283">
        <f>F426*166000</f>
        <v>0</v>
      </c>
      <c r="O426" s="276"/>
      <c r="P426" s="482"/>
      <c r="Q426" s="5"/>
      <c r="R426" s="3">
        <f t="shared" si="104"/>
        <v>0</v>
      </c>
      <c r="S426" s="3">
        <f>J426*21200</f>
        <v>0</v>
      </c>
    </row>
    <row r="427" spans="1:19" s="1" customFormat="1">
      <c r="A427" s="354" t="s">
        <v>663</v>
      </c>
      <c r="B427" s="675"/>
      <c r="C427" s="237"/>
      <c r="D427" s="234"/>
      <c r="E427" s="234"/>
      <c r="F427" s="230"/>
      <c r="G427" s="345"/>
      <c r="H427" s="80"/>
      <c r="I427" s="114"/>
      <c r="J427" s="35">
        <f t="shared" si="101"/>
        <v>0</v>
      </c>
      <c r="K427" s="3">
        <f>C427*VLOOKUP(A427,[1]오일단가!$A:$S,13,0)</f>
        <v>0</v>
      </c>
      <c r="L427" s="302"/>
      <c r="M427" s="299"/>
      <c r="N427" s="283">
        <f>F427*VLOOKUP(A427,[1]오일단가!$A:$S,14,0)</f>
        <v>0</v>
      </c>
      <c r="O427" s="276"/>
      <c r="P427" s="482"/>
      <c r="Q427" s="5"/>
      <c r="R427" s="3">
        <f t="shared" si="104"/>
        <v>0</v>
      </c>
      <c r="S427" s="3">
        <f>J427*12500</f>
        <v>0</v>
      </c>
    </row>
    <row r="428" spans="1:19" s="1" customFormat="1">
      <c r="A428" s="354" t="s">
        <v>664</v>
      </c>
      <c r="B428" s="675"/>
      <c r="C428" s="237"/>
      <c r="D428" s="234"/>
      <c r="E428" s="234"/>
      <c r="F428" s="230"/>
      <c r="G428" s="345"/>
      <c r="H428" s="80"/>
      <c r="I428" s="114"/>
      <c r="J428" s="35">
        <f t="shared" si="101"/>
        <v>0</v>
      </c>
      <c r="K428" s="3">
        <f>C428*VLOOKUP(A428,[1]오일단가!$A:$S,13,0)</f>
        <v>0</v>
      </c>
      <c r="L428" s="302"/>
      <c r="M428" s="299"/>
      <c r="N428" s="283">
        <f>F428*VLOOKUP(A428,[1]오일단가!$A:$S,14,0)</f>
        <v>0</v>
      </c>
      <c r="O428" s="276"/>
      <c r="P428" s="482"/>
      <c r="Q428" s="5"/>
      <c r="R428" s="3">
        <f t="shared" si="104"/>
        <v>0</v>
      </c>
      <c r="S428" s="3">
        <f>J428*8700</f>
        <v>0</v>
      </c>
    </row>
    <row r="429" spans="1:19" s="1" customFormat="1">
      <c r="A429" s="356" t="s">
        <v>491</v>
      </c>
      <c r="B429" s="675"/>
      <c r="C429" s="35"/>
      <c r="D429" s="234"/>
      <c r="E429" s="234"/>
      <c r="F429" s="191"/>
      <c r="G429" s="195"/>
      <c r="H429" s="80"/>
      <c r="I429" s="114"/>
      <c r="J429" s="35">
        <f t="shared" si="101"/>
        <v>0</v>
      </c>
      <c r="K429" s="3">
        <f>C429*VLOOKUP(A429,[1]오일단가!$A:$S,13,0)</f>
        <v>0</v>
      </c>
      <c r="L429" s="302"/>
      <c r="M429" s="299"/>
      <c r="N429" s="283">
        <f>F429*VLOOKUP(A429,[1]오일단가!$A:$S,14,0)</f>
        <v>0</v>
      </c>
      <c r="O429" s="276"/>
      <c r="P429" s="482"/>
      <c r="Q429" s="5"/>
      <c r="R429" s="3">
        <f t="shared" si="104"/>
        <v>0</v>
      </c>
      <c r="S429" s="3">
        <f>J429*46600</f>
        <v>0</v>
      </c>
    </row>
    <row r="430" spans="1:19" s="1" customFormat="1">
      <c r="A430" s="356" t="s">
        <v>542</v>
      </c>
      <c r="B430" s="675"/>
      <c r="C430" s="35"/>
      <c r="D430" s="234"/>
      <c r="E430" s="234"/>
      <c r="F430" s="191"/>
      <c r="G430" s="195"/>
      <c r="H430" s="80"/>
      <c r="I430" s="114"/>
      <c r="J430" s="35">
        <f t="shared" si="101"/>
        <v>0</v>
      </c>
      <c r="K430" s="3">
        <f>C430*VLOOKUP(A430,[1]오일단가!$A:$S,13,0)</f>
        <v>0</v>
      </c>
      <c r="L430" s="302"/>
      <c r="M430" s="299"/>
      <c r="N430" s="283">
        <f>F430*VLOOKUP(A430,[1]오일단가!$A:$S,14,0)</f>
        <v>0</v>
      </c>
      <c r="O430" s="276"/>
      <c r="P430" s="482"/>
      <c r="Q430" s="5"/>
      <c r="R430" s="3">
        <f t="shared" si="104"/>
        <v>0</v>
      </c>
      <c r="S430" s="3">
        <f>J430*31200</f>
        <v>0</v>
      </c>
    </row>
    <row r="431" spans="1:19" s="1" customFormat="1">
      <c r="A431" s="356" t="s">
        <v>533</v>
      </c>
      <c r="B431" s="675"/>
      <c r="C431" s="35"/>
      <c r="D431" s="234"/>
      <c r="E431" s="234"/>
      <c r="F431" s="191"/>
      <c r="G431" s="195"/>
      <c r="H431" s="80"/>
      <c r="I431" s="114"/>
      <c r="J431" s="35">
        <f t="shared" si="101"/>
        <v>0</v>
      </c>
      <c r="K431" s="3">
        <f>C431*VLOOKUP(A431,[1]오일단가!$A:$S,13,0)</f>
        <v>0</v>
      </c>
      <c r="L431" s="302"/>
      <c r="M431" s="299"/>
      <c r="N431" s="283">
        <f>F431*VLOOKUP(A431,[1]오일단가!$A:$S,14,0)</f>
        <v>0</v>
      </c>
      <c r="O431" s="276"/>
      <c r="P431" s="482"/>
      <c r="Q431" s="5"/>
      <c r="R431" s="3">
        <f t="shared" si="104"/>
        <v>0</v>
      </c>
      <c r="S431" s="3">
        <f>J431*75200</f>
        <v>0</v>
      </c>
    </row>
    <row r="432" spans="1:19" s="1" customFormat="1">
      <c r="A432" s="356" t="s">
        <v>682</v>
      </c>
      <c r="B432" s="675"/>
      <c r="C432" s="35"/>
      <c r="D432" s="234"/>
      <c r="E432" s="234"/>
      <c r="F432" s="191"/>
      <c r="G432" s="195"/>
      <c r="H432" s="80"/>
      <c r="I432" s="114"/>
      <c r="J432" s="35">
        <f t="shared" si="101"/>
        <v>0</v>
      </c>
      <c r="K432" s="3">
        <f>C432*VLOOKUP(A432,[1]오일단가!$A:$S,13,0)</f>
        <v>0</v>
      </c>
      <c r="L432" s="302"/>
      <c r="M432" s="299"/>
      <c r="N432" s="283">
        <f>F432*VLOOKUP(A432,[1]오일단가!$A:$S,14,0)</f>
        <v>0</v>
      </c>
      <c r="O432" s="276"/>
      <c r="P432" s="482"/>
      <c r="Q432" s="5"/>
      <c r="R432" s="3">
        <f t="shared" si="104"/>
        <v>0</v>
      </c>
      <c r="S432" s="3">
        <f>J432*12100</f>
        <v>0</v>
      </c>
    </row>
    <row r="433" spans="1:19" s="1" customFormat="1">
      <c r="A433" s="354" t="s">
        <v>665</v>
      </c>
      <c r="B433" s="675"/>
      <c r="C433" s="237"/>
      <c r="D433" s="242"/>
      <c r="E433" s="234"/>
      <c r="F433" s="230"/>
      <c r="G433" s="345"/>
      <c r="H433" s="80"/>
      <c r="I433" s="114"/>
      <c r="J433" s="35">
        <f t="shared" si="101"/>
        <v>0</v>
      </c>
      <c r="K433" s="3">
        <f>C433*VLOOKUP(A433,[1]오일단가!$A:$S,13,0)</f>
        <v>0</v>
      </c>
      <c r="L433" s="302"/>
      <c r="M433" s="299"/>
      <c r="N433" s="283">
        <f>F433*VLOOKUP(A433,[1]오일단가!$A:$S,14,0)</f>
        <v>0</v>
      </c>
      <c r="O433" s="276"/>
      <c r="P433" s="482"/>
      <c r="Q433" s="5"/>
      <c r="R433" s="3">
        <f t="shared" si="104"/>
        <v>0</v>
      </c>
      <c r="S433" s="3">
        <f>J433*158660</f>
        <v>0</v>
      </c>
    </row>
    <row r="434" spans="1:19" s="1" customFormat="1">
      <c r="A434" s="356" t="s">
        <v>666</v>
      </c>
      <c r="B434" s="675"/>
      <c r="C434" s="35"/>
      <c r="D434" s="234"/>
      <c r="E434" s="234"/>
      <c r="F434" s="191"/>
      <c r="G434" s="195"/>
      <c r="H434" s="80"/>
      <c r="I434" s="114"/>
      <c r="J434" s="35">
        <f t="shared" si="101"/>
        <v>0</v>
      </c>
      <c r="K434" s="3">
        <f>C434*VLOOKUP(A434,[1]오일단가!$A:$S,13,0)</f>
        <v>0</v>
      </c>
      <c r="L434" s="302"/>
      <c r="M434" s="299"/>
      <c r="N434" s="283">
        <f>F434*VLOOKUP(A434,[1]오일단가!$A:$S,14,0)</f>
        <v>0</v>
      </c>
      <c r="O434" s="276"/>
      <c r="P434" s="482"/>
      <c r="Q434" s="5"/>
      <c r="R434" s="3">
        <f t="shared" si="104"/>
        <v>0</v>
      </c>
      <c r="S434" s="3">
        <f>J434*14200</f>
        <v>0</v>
      </c>
    </row>
    <row r="435" spans="1:19" s="1" customFormat="1">
      <c r="A435" s="356" t="s">
        <v>534</v>
      </c>
      <c r="B435" s="675"/>
      <c r="C435" s="35"/>
      <c r="D435" s="234"/>
      <c r="E435" s="234"/>
      <c r="F435" s="191"/>
      <c r="G435" s="195"/>
      <c r="H435" s="80"/>
      <c r="I435" s="114"/>
      <c r="J435" s="35">
        <f t="shared" si="101"/>
        <v>0</v>
      </c>
      <c r="K435" s="3">
        <f>C435*VLOOKUP(A435,[1]오일단가!$A:$S,13,0)</f>
        <v>0</v>
      </c>
      <c r="L435" s="302"/>
      <c r="M435" s="299"/>
      <c r="N435" s="283">
        <f>F435*VLOOKUP(A435,[1]오일단가!$A:$S,14,0)</f>
        <v>0</v>
      </c>
      <c r="O435" s="276"/>
      <c r="P435" s="482"/>
      <c r="Q435" s="5"/>
      <c r="R435" s="3">
        <f t="shared" si="104"/>
        <v>0</v>
      </c>
      <c r="S435" s="3">
        <f>J435*11100</f>
        <v>0</v>
      </c>
    </row>
    <row r="436" spans="1:19" s="1" customFormat="1">
      <c r="A436" s="356" t="s">
        <v>688</v>
      </c>
      <c r="B436" s="675"/>
      <c r="C436" s="35"/>
      <c r="D436" s="234"/>
      <c r="E436" s="234"/>
      <c r="F436" s="191"/>
      <c r="G436" s="195"/>
      <c r="H436" s="80"/>
      <c r="I436" s="114"/>
      <c r="J436" s="35">
        <f t="shared" si="101"/>
        <v>0</v>
      </c>
      <c r="K436" s="3">
        <f>C436*184000</f>
        <v>0</v>
      </c>
      <c r="L436" s="302"/>
      <c r="M436" s="299"/>
      <c r="N436" s="283">
        <f>F436*166000</f>
        <v>0</v>
      </c>
      <c r="O436" s="276"/>
      <c r="P436" s="482"/>
      <c r="Q436" s="5"/>
      <c r="R436" s="3">
        <f t="shared" si="104"/>
        <v>0</v>
      </c>
      <c r="S436" s="3">
        <f>J436*14900</f>
        <v>0</v>
      </c>
    </row>
    <row r="437" spans="1:19" s="1" customFormat="1">
      <c r="A437" s="354" t="s">
        <v>667</v>
      </c>
      <c r="B437" s="675"/>
      <c r="C437" s="237"/>
      <c r="D437" s="234"/>
      <c r="E437" s="234"/>
      <c r="F437" s="230"/>
      <c r="G437" s="345"/>
      <c r="H437" s="80"/>
      <c r="I437" s="114"/>
      <c r="J437" s="35">
        <f t="shared" si="101"/>
        <v>0</v>
      </c>
      <c r="K437" s="3">
        <f>C437*VLOOKUP(A437,[1]오일단가!$A:$S,13,0)</f>
        <v>0</v>
      </c>
      <c r="L437" s="302"/>
      <c r="M437" s="299"/>
      <c r="N437" s="283">
        <f>F437*VLOOKUP(A437,[1]오일단가!$A:$S,14,0)</f>
        <v>0</v>
      </c>
      <c r="O437" s="276"/>
      <c r="P437" s="482"/>
      <c r="Q437" s="5"/>
      <c r="R437" s="3">
        <f t="shared" si="104"/>
        <v>0</v>
      </c>
      <c r="S437" s="3">
        <f>J437*6400</f>
        <v>0</v>
      </c>
    </row>
    <row r="438" spans="1:19" s="1" customFormat="1">
      <c r="A438" s="356" t="s">
        <v>668</v>
      </c>
      <c r="B438" s="675"/>
      <c r="C438" s="35"/>
      <c r="D438" s="234"/>
      <c r="E438" s="234"/>
      <c r="F438" s="191"/>
      <c r="G438" s="195"/>
      <c r="H438" s="80"/>
      <c r="I438" s="114"/>
      <c r="J438" s="35">
        <f t="shared" si="101"/>
        <v>0</v>
      </c>
      <c r="K438" s="3">
        <f>C438*VLOOKUP(A438,[1]오일단가!$A:$S,13,0)</f>
        <v>0</v>
      </c>
      <c r="L438" s="302"/>
      <c r="M438" s="299"/>
      <c r="N438" s="283">
        <f>F438*VLOOKUP(A438,[1]오일단가!$A:$S,14,0)</f>
        <v>0</v>
      </c>
      <c r="O438" s="276"/>
      <c r="P438" s="482"/>
      <c r="Q438" s="5"/>
      <c r="R438" s="3">
        <f t="shared" si="104"/>
        <v>0</v>
      </c>
      <c r="S438" s="3">
        <f>J438*99400</f>
        <v>0</v>
      </c>
    </row>
    <row r="439" spans="1:19" s="1" customFormat="1">
      <c r="A439" s="356" t="s">
        <v>681</v>
      </c>
      <c r="B439" s="675"/>
      <c r="C439" s="35"/>
      <c r="D439" s="234"/>
      <c r="E439" s="234"/>
      <c r="F439" s="191"/>
      <c r="G439" s="195"/>
      <c r="H439" s="80"/>
      <c r="I439" s="114"/>
      <c r="J439" s="35">
        <f t="shared" si="101"/>
        <v>0</v>
      </c>
      <c r="K439" s="3">
        <f>C439*VLOOKUP(A439,[1]오일단가!$A:$S,13,0)</f>
        <v>0</v>
      </c>
      <c r="L439" s="302"/>
      <c r="M439" s="299"/>
      <c r="N439" s="283">
        <f>F439*VLOOKUP(A439,[1]오일단가!$A:$S,14,0)</f>
        <v>0</v>
      </c>
      <c r="O439" s="276"/>
      <c r="P439" s="482"/>
      <c r="Q439" s="5"/>
      <c r="R439" s="3">
        <f t="shared" si="104"/>
        <v>0</v>
      </c>
      <c r="S439" s="3">
        <f>J439*11300</f>
        <v>0</v>
      </c>
    </row>
    <row r="440" spans="1:19" s="1" customFormat="1">
      <c r="A440" s="356" t="s">
        <v>669</v>
      </c>
      <c r="B440" s="675"/>
      <c r="C440" s="35"/>
      <c r="D440" s="234"/>
      <c r="E440" s="234"/>
      <c r="F440" s="191"/>
      <c r="G440" s="195"/>
      <c r="H440" s="80"/>
      <c r="I440" s="114"/>
      <c r="J440" s="35">
        <f t="shared" si="101"/>
        <v>0</v>
      </c>
      <c r="K440" s="3">
        <f>C440*VLOOKUP(A440,[1]오일단가!$A:$S,13,0)</f>
        <v>0</v>
      </c>
      <c r="L440" s="302"/>
      <c r="M440" s="299"/>
      <c r="N440" s="283">
        <f>F440*VLOOKUP(A440,[1]오일단가!$A:$S,14,0)</f>
        <v>0</v>
      </c>
      <c r="O440" s="276"/>
      <c r="P440" s="482"/>
      <c r="Q440" s="5"/>
      <c r="R440" s="3">
        <f t="shared" si="104"/>
        <v>0</v>
      </c>
      <c r="S440" s="3">
        <f>J440*67500</f>
        <v>0</v>
      </c>
    </row>
    <row r="441" spans="1:19" s="1" customFormat="1">
      <c r="A441" s="354" t="s">
        <v>670</v>
      </c>
      <c r="B441" s="675"/>
      <c r="C441" s="237"/>
      <c r="D441" s="234"/>
      <c r="E441" s="234"/>
      <c r="F441" s="230"/>
      <c r="G441" s="345"/>
      <c r="H441" s="80"/>
      <c r="I441" s="114"/>
      <c r="J441" s="35">
        <f t="shared" si="101"/>
        <v>0</v>
      </c>
      <c r="K441" s="3">
        <f>C441*VLOOKUP(A441,[1]오일단가!$A:$S,13,0)</f>
        <v>0</v>
      </c>
      <c r="L441" s="302"/>
      <c r="M441" s="299"/>
      <c r="N441" s="283">
        <f>F441*VLOOKUP(A441,[1]오일단가!$A:$S,14,0)</f>
        <v>0</v>
      </c>
      <c r="O441" s="276"/>
      <c r="P441" s="482"/>
      <c r="Q441" s="5"/>
      <c r="R441" s="3">
        <f t="shared" si="104"/>
        <v>0</v>
      </c>
      <c r="S441" s="3">
        <f>J441*31750</f>
        <v>0</v>
      </c>
    </row>
    <row r="442" spans="1:19" s="1" customFormat="1">
      <c r="A442" s="356" t="s">
        <v>671</v>
      </c>
      <c r="B442" s="675"/>
      <c r="C442" s="35"/>
      <c r="D442" s="234"/>
      <c r="E442" s="234"/>
      <c r="F442" s="191"/>
      <c r="G442" s="195"/>
      <c r="H442" s="80"/>
      <c r="I442" s="114"/>
      <c r="J442" s="35">
        <f t="shared" si="101"/>
        <v>0</v>
      </c>
      <c r="K442" s="3">
        <f>C442*VLOOKUP(A442,[1]오일단가!$A:$S,13,0)</f>
        <v>0</v>
      </c>
      <c r="L442" s="302"/>
      <c r="M442" s="299"/>
      <c r="N442" s="283">
        <f>F442*VLOOKUP(A442,[1]오일단가!$A:$S,14,0)</f>
        <v>0</v>
      </c>
      <c r="O442" s="276"/>
      <c r="P442" s="482"/>
      <c r="Q442" s="5"/>
      <c r="R442" s="3">
        <f t="shared" si="104"/>
        <v>0</v>
      </c>
      <c r="S442" s="3">
        <f>J442*16020</f>
        <v>0</v>
      </c>
    </row>
    <row r="443" spans="1:19" s="1" customFormat="1">
      <c r="A443" s="356" t="s">
        <v>535</v>
      </c>
      <c r="B443" s="675"/>
      <c r="C443" s="35"/>
      <c r="D443" s="234"/>
      <c r="E443" s="234"/>
      <c r="F443" s="191"/>
      <c r="G443" s="195"/>
      <c r="H443" s="80"/>
      <c r="I443" s="114"/>
      <c r="J443" s="35">
        <f t="shared" si="101"/>
        <v>0</v>
      </c>
      <c r="K443" s="3">
        <f>C443*VLOOKUP(A443,[1]오일단가!$A:$S,13,0)</f>
        <v>0</v>
      </c>
      <c r="L443" s="302"/>
      <c r="M443" s="299"/>
      <c r="N443" s="283">
        <f>F443*VLOOKUP(A443,[1]오일단가!$A:$S,14,0)</f>
        <v>0</v>
      </c>
      <c r="O443" s="276"/>
      <c r="P443" s="482"/>
      <c r="Q443" s="5"/>
      <c r="R443" s="3">
        <f t="shared" si="104"/>
        <v>0</v>
      </c>
      <c r="S443" s="3">
        <f>J443*13600</f>
        <v>0</v>
      </c>
    </row>
    <row r="444" spans="1:19" s="1" customFormat="1">
      <c r="A444" s="356" t="s">
        <v>677</v>
      </c>
      <c r="B444" s="675"/>
      <c r="C444" s="35"/>
      <c r="D444" s="234"/>
      <c r="E444" s="234"/>
      <c r="F444" s="191"/>
      <c r="G444" s="195"/>
      <c r="H444" s="80"/>
      <c r="I444" s="114"/>
      <c r="J444" s="35">
        <f t="shared" si="101"/>
        <v>0</v>
      </c>
      <c r="K444" s="3">
        <f>C444*VLOOKUP(A444,[1]오일단가!$A:$S,13,0)</f>
        <v>0</v>
      </c>
      <c r="L444" s="302"/>
      <c r="M444" s="299"/>
      <c r="N444" s="283">
        <f>F444*VLOOKUP(A444,[1]오일단가!$A:$S,14,0)</f>
        <v>0</v>
      </c>
      <c r="O444" s="276"/>
      <c r="P444" s="482"/>
      <c r="Q444" s="5"/>
      <c r="R444" s="3">
        <f t="shared" si="104"/>
        <v>0</v>
      </c>
      <c r="S444" s="3">
        <f>J444*13600</f>
        <v>0</v>
      </c>
    </row>
    <row r="445" spans="1:19" s="1" customFormat="1">
      <c r="A445" s="354" t="s">
        <v>484</v>
      </c>
      <c r="B445" s="675"/>
      <c r="C445" s="237"/>
      <c r="D445" s="234"/>
      <c r="E445" s="234"/>
      <c r="F445" s="230"/>
      <c r="G445" s="345"/>
      <c r="H445" s="80"/>
      <c r="I445" s="114"/>
      <c r="J445" s="35">
        <f t="shared" si="101"/>
        <v>0</v>
      </c>
      <c r="K445" s="3">
        <f>C445*VLOOKUP(A445,[1]오일단가!$A:$S,13,0)</f>
        <v>0</v>
      </c>
      <c r="L445" s="302"/>
      <c r="M445" s="299"/>
      <c r="N445" s="283">
        <f>F445*VLOOKUP(A445,[1]오일단가!$A:$S,14,0)</f>
        <v>0</v>
      </c>
      <c r="O445" s="276"/>
      <c r="P445" s="482"/>
      <c r="Q445" s="5"/>
      <c r="R445" s="3">
        <f t="shared" si="104"/>
        <v>0</v>
      </c>
      <c r="S445" s="3">
        <f>J445*31200</f>
        <v>0</v>
      </c>
    </row>
    <row r="446" spans="1:19" s="1" customFormat="1">
      <c r="A446" s="354" t="s">
        <v>689</v>
      </c>
      <c r="B446" s="675"/>
      <c r="C446" s="237"/>
      <c r="D446" s="234"/>
      <c r="E446" s="234"/>
      <c r="F446" s="230"/>
      <c r="G446" s="345"/>
      <c r="H446" s="80"/>
      <c r="I446" s="114"/>
      <c r="J446" s="35">
        <f t="shared" si="101"/>
        <v>0</v>
      </c>
      <c r="K446" s="3">
        <f>C446*880000</f>
        <v>0</v>
      </c>
      <c r="L446" s="302"/>
      <c r="M446" s="299"/>
      <c r="N446" s="283">
        <f>F446*792000</f>
        <v>0</v>
      </c>
      <c r="O446" s="276"/>
      <c r="P446" s="482"/>
      <c r="Q446" s="5"/>
      <c r="R446" s="3">
        <f t="shared" si="104"/>
        <v>0</v>
      </c>
      <c r="S446" s="3">
        <f>J446*48800</f>
        <v>0</v>
      </c>
    </row>
    <row r="447" spans="1:19" s="1" customFormat="1">
      <c r="A447" s="354" t="s">
        <v>698</v>
      </c>
      <c r="B447" s="675"/>
      <c r="C447" s="237"/>
      <c r="D447" s="234"/>
      <c r="E447" s="234"/>
      <c r="F447" s="230"/>
      <c r="G447" s="345"/>
      <c r="H447" s="80"/>
      <c r="I447" s="114"/>
      <c r="J447" s="35">
        <f t="shared" si="101"/>
        <v>0</v>
      </c>
      <c r="K447" s="3">
        <f>C447*1000000</f>
        <v>0</v>
      </c>
      <c r="L447" s="302"/>
      <c r="M447" s="299"/>
      <c r="N447" s="283">
        <f>F447*900000</f>
        <v>0</v>
      </c>
      <c r="O447" s="276"/>
      <c r="P447" s="482"/>
      <c r="Q447" s="5"/>
      <c r="R447" s="3">
        <f t="shared" si="104"/>
        <v>0</v>
      </c>
      <c r="S447" s="3">
        <f>J447*79700</f>
        <v>0</v>
      </c>
    </row>
    <row r="448" spans="1:19" s="1" customFormat="1">
      <c r="A448" s="356" t="s">
        <v>536</v>
      </c>
      <c r="B448" s="675"/>
      <c r="C448" s="35"/>
      <c r="D448" s="234"/>
      <c r="E448" s="234"/>
      <c r="F448" s="191"/>
      <c r="G448" s="195"/>
      <c r="H448" s="80"/>
      <c r="I448" s="114"/>
      <c r="J448" s="35">
        <f t="shared" si="101"/>
        <v>0</v>
      </c>
      <c r="K448" s="3">
        <f>C448*VLOOKUP(A448,[1]오일단가!$A:$S,13,0)</f>
        <v>0</v>
      </c>
      <c r="L448" s="302"/>
      <c r="M448" s="299"/>
      <c r="N448" s="283">
        <f>F448*VLOOKUP(A448,[1]오일단가!$A:$S,14,0)</f>
        <v>0</v>
      </c>
      <c r="O448" s="276"/>
      <c r="P448" s="482"/>
      <c r="Q448" s="5"/>
      <c r="R448" s="3">
        <f t="shared" si="104"/>
        <v>0</v>
      </c>
      <c r="S448" s="3">
        <f>J448*168900</f>
        <v>0</v>
      </c>
    </row>
    <row r="449" spans="1:19" s="1" customFormat="1">
      <c r="A449" s="356" t="s">
        <v>683</v>
      </c>
      <c r="B449" s="675"/>
      <c r="C449" s="35"/>
      <c r="D449" s="234"/>
      <c r="E449" s="234"/>
      <c r="F449" s="191"/>
      <c r="G449" s="195"/>
      <c r="H449" s="80"/>
      <c r="I449" s="114"/>
      <c r="J449" s="35">
        <f t="shared" si="101"/>
        <v>0</v>
      </c>
      <c r="K449" s="3">
        <f>C449*VLOOKUP(A449,[1]오일단가!$A:$S,13,0)</f>
        <v>0</v>
      </c>
      <c r="L449" s="302"/>
      <c r="M449" s="299"/>
      <c r="N449" s="283">
        <f>F449*VLOOKUP(A449,[1]오일단가!$A:$S,14,0)</f>
        <v>0</v>
      </c>
      <c r="O449" s="276"/>
      <c r="P449" s="482"/>
      <c r="Q449" s="5"/>
      <c r="R449" s="3">
        <f t="shared" si="104"/>
        <v>0</v>
      </c>
      <c r="S449" s="3">
        <f>J449*10600</f>
        <v>0</v>
      </c>
    </row>
    <row r="450" spans="1:19" s="1" customFormat="1">
      <c r="A450" s="354" t="s">
        <v>487</v>
      </c>
      <c r="B450" s="675"/>
      <c r="C450" s="237"/>
      <c r="D450" s="234"/>
      <c r="E450" s="234"/>
      <c r="F450" s="230"/>
      <c r="G450" s="345"/>
      <c r="H450" s="80"/>
      <c r="I450" s="114"/>
      <c r="J450" s="35">
        <f t="shared" si="101"/>
        <v>0</v>
      </c>
      <c r="K450" s="3">
        <f>C450*VLOOKUP(A450,[1]오일단가!$A:$S,13,0)</f>
        <v>0</v>
      </c>
      <c r="L450" s="302"/>
      <c r="M450" s="299"/>
      <c r="N450" s="283">
        <f>F450*VLOOKUP(A450,[1]오일단가!$A:$S,14,0)</f>
        <v>0</v>
      </c>
      <c r="O450" s="276"/>
      <c r="P450" s="482"/>
      <c r="Q450" s="5"/>
      <c r="R450" s="3">
        <f t="shared" si="104"/>
        <v>0</v>
      </c>
      <c r="S450" s="3">
        <f>J450*6780</f>
        <v>0</v>
      </c>
    </row>
    <row r="451" spans="1:19" s="1" customFormat="1">
      <c r="A451" s="354" t="s">
        <v>690</v>
      </c>
      <c r="B451" s="675"/>
      <c r="C451" s="237"/>
      <c r="D451" s="234"/>
      <c r="E451" s="234"/>
      <c r="F451" s="230"/>
      <c r="G451" s="345"/>
      <c r="H451" s="80"/>
      <c r="I451" s="114"/>
      <c r="J451" s="35">
        <f t="shared" si="101"/>
        <v>0</v>
      </c>
      <c r="K451" s="3">
        <f>C451*136000</f>
        <v>0</v>
      </c>
      <c r="L451" s="302"/>
      <c r="M451" s="299"/>
      <c r="N451" s="283">
        <f>F451*122000</f>
        <v>0</v>
      </c>
      <c r="O451" s="276"/>
      <c r="P451" s="482"/>
      <c r="Q451" s="5"/>
      <c r="R451" s="3">
        <f t="shared" si="104"/>
        <v>0</v>
      </c>
      <c r="S451" s="3">
        <f>J451*15700</f>
        <v>0</v>
      </c>
    </row>
    <row r="452" spans="1:19" s="1" customFormat="1">
      <c r="A452" s="354" t="s">
        <v>488</v>
      </c>
      <c r="B452" s="675"/>
      <c r="C452" s="237"/>
      <c r="D452" s="234"/>
      <c r="E452" s="234"/>
      <c r="F452" s="230"/>
      <c r="G452" s="345"/>
      <c r="H452" s="80"/>
      <c r="I452" s="114"/>
      <c r="J452" s="35">
        <f t="shared" si="101"/>
        <v>0</v>
      </c>
      <c r="K452" s="3">
        <f>C452*VLOOKUP(A452,[1]오일단가!$A:$S,13,0)</f>
        <v>0</v>
      </c>
      <c r="L452" s="302"/>
      <c r="M452" s="299"/>
      <c r="N452" s="283">
        <f>F452*VLOOKUP(A452,[1]오일단가!$A:$S,14,0)</f>
        <v>0</v>
      </c>
      <c r="O452" s="276"/>
      <c r="P452" s="482"/>
      <c r="Q452" s="5"/>
      <c r="R452" s="3">
        <f t="shared" si="104"/>
        <v>0</v>
      </c>
      <c r="S452" s="3">
        <f>J452*9459</f>
        <v>0</v>
      </c>
    </row>
    <row r="453" spans="1:19" s="1" customFormat="1">
      <c r="A453" s="354" t="s">
        <v>678</v>
      </c>
      <c r="B453" s="675"/>
      <c r="C453" s="237"/>
      <c r="D453" s="234"/>
      <c r="E453" s="234"/>
      <c r="F453" s="191"/>
      <c r="G453" s="195"/>
      <c r="H453" s="80"/>
      <c r="I453" s="114"/>
      <c r="J453" s="35">
        <f t="shared" si="101"/>
        <v>0</v>
      </c>
      <c r="K453" s="3">
        <f>C453*VLOOKUP(A453,[1]오일단가!$A:$S,13,0)</f>
        <v>0</v>
      </c>
      <c r="L453" s="302"/>
      <c r="M453" s="299"/>
      <c r="N453" s="283">
        <f>F453*VLOOKUP(A453,[1]오일단가!$A:$S,14,0)</f>
        <v>0</v>
      </c>
      <c r="O453" s="276"/>
      <c r="P453" s="482"/>
      <c r="Q453" s="5"/>
      <c r="R453" s="3">
        <f t="shared" si="104"/>
        <v>0</v>
      </c>
      <c r="S453" s="3">
        <f>J453*13600</f>
        <v>0</v>
      </c>
    </row>
    <row r="454" spans="1:19" s="1" customFormat="1">
      <c r="A454" s="356" t="s">
        <v>489</v>
      </c>
      <c r="B454" s="675"/>
      <c r="C454" s="35"/>
      <c r="D454" s="33"/>
      <c r="E454" s="33"/>
      <c r="F454" s="191"/>
      <c r="G454" s="195"/>
      <c r="H454" s="80"/>
      <c r="I454" s="114"/>
      <c r="J454" s="35">
        <f t="shared" si="101"/>
        <v>0</v>
      </c>
      <c r="K454" s="3">
        <f>C454*VLOOKUP(A454,[1]오일단가!$A:$S,13,0)</f>
        <v>0</v>
      </c>
      <c r="L454" s="302"/>
      <c r="M454" s="299"/>
      <c r="N454" s="283">
        <f>F454*VLOOKUP(A454,[1]오일단가!$A:$S,14,0)</f>
        <v>0</v>
      </c>
      <c r="O454" s="276"/>
      <c r="P454" s="482"/>
      <c r="Q454" s="5"/>
      <c r="R454" s="3">
        <f t="shared" si="104"/>
        <v>0</v>
      </c>
      <c r="S454" s="3">
        <f>J454*45060</f>
        <v>0</v>
      </c>
    </row>
    <row r="455" spans="1:19" s="1" customFormat="1">
      <c r="A455" s="356" t="s">
        <v>672</v>
      </c>
      <c r="B455" s="675"/>
      <c r="C455" s="35"/>
      <c r="D455" s="234"/>
      <c r="E455" s="234"/>
      <c r="F455" s="191"/>
      <c r="G455" s="195"/>
      <c r="H455" s="80"/>
      <c r="I455" s="114"/>
      <c r="J455" s="35">
        <f t="shared" si="101"/>
        <v>0</v>
      </c>
      <c r="K455" s="3">
        <f>C455*VLOOKUP(A455,[1]오일단가!$A:$S,13,0)</f>
        <v>0</v>
      </c>
      <c r="L455" s="302"/>
      <c r="M455" s="299"/>
      <c r="N455" s="283">
        <f>F455*VLOOKUP(A455,[1]오일단가!$A:$S,14,0)</f>
        <v>0</v>
      </c>
      <c r="O455" s="276"/>
      <c r="P455" s="482"/>
      <c r="Q455" s="5"/>
      <c r="R455" s="3">
        <f t="shared" si="104"/>
        <v>0</v>
      </c>
      <c r="S455" s="3">
        <f>J455*44300</f>
        <v>0</v>
      </c>
    </row>
    <row r="456" spans="1:19" s="1" customFormat="1">
      <c r="A456" s="354" t="s">
        <v>673</v>
      </c>
      <c r="B456" s="675"/>
      <c r="C456" s="237"/>
      <c r="D456" s="234"/>
      <c r="E456" s="234"/>
      <c r="F456" s="230"/>
      <c r="G456" s="345"/>
      <c r="H456" s="80"/>
      <c r="I456" s="114"/>
      <c r="J456" s="35">
        <f t="shared" si="101"/>
        <v>0</v>
      </c>
      <c r="K456" s="3">
        <f>C456*VLOOKUP(A456,[1]오일단가!$A:$S,13,0)</f>
        <v>0</v>
      </c>
      <c r="L456" s="302"/>
      <c r="M456" s="299"/>
      <c r="N456" s="283">
        <f>F456*VLOOKUP(A456,[1]오일단가!$A:$S,14,0)</f>
        <v>0</v>
      </c>
      <c r="O456" s="276"/>
      <c r="P456" s="482"/>
      <c r="Q456" s="5"/>
      <c r="R456" s="3">
        <f t="shared" si="104"/>
        <v>0</v>
      </c>
      <c r="S456" s="3">
        <f>J456*56500</f>
        <v>0</v>
      </c>
    </row>
    <row r="457" spans="1:19" s="1" customFormat="1">
      <c r="A457" s="356" t="s">
        <v>537</v>
      </c>
      <c r="B457" s="675"/>
      <c r="C457" s="35"/>
      <c r="D457" s="234"/>
      <c r="E457" s="234"/>
      <c r="F457" s="191"/>
      <c r="G457" s="195"/>
      <c r="H457" s="80"/>
      <c r="I457" s="114"/>
      <c r="J457" s="35">
        <f t="shared" si="101"/>
        <v>0</v>
      </c>
      <c r="K457" s="3">
        <f>C457*VLOOKUP(A457,[1]오일단가!$A:$S,13,0)</f>
        <v>0</v>
      </c>
      <c r="L457" s="302"/>
      <c r="M457" s="299"/>
      <c r="N457" s="283">
        <f>F457*VLOOKUP(A457,[1]오일단가!$A:$S,14,0)</f>
        <v>0</v>
      </c>
      <c r="O457" s="276"/>
      <c r="P457" s="482"/>
      <c r="Q457" s="5"/>
      <c r="R457" s="3">
        <f t="shared" si="104"/>
        <v>0</v>
      </c>
      <c r="S457" s="3">
        <f>J457*31750</f>
        <v>0</v>
      </c>
    </row>
    <row r="458" spans="1:19" s="1" customFormat="1">
      <c r="A458" s="356" t="s">
        <v>538</v>
      </c>
      <c r="B458" s="675"/>
      <c r="C458" s="35"/>
      <c r="D458" s="234"/>
      <c r="E458" s="234"/>
      <c r="F458" s="191"/>
      <c r="G458" s="195"/>
      <c r="H458" s="80"/>
      <c r="I458" s="114"/>
      <c r="J458" s="35">
        <f t="shared" si="101"/>
        <v>0</v>
      </c>
      <c r="K458" s="3">
        <f>C458*VLOOKUP(A458,[1]오일단가!$A:$S,13,0)</f>
        <v>0</v>
      </c>
      <c r="L458" s="302"/>
      <c r="M458" s="299"/>
      <c r="N458" s="283">
        <f>F458*VLOOKUP(A458,[1]오일단가!$A:$S,14,0)</f>
        <v>0</v>
      </c>
      <c r="O458" s="276"/>
      <c r="P458" s="482"/>
      <c r="Q458" s="5"/>
      <c r="R458" s="3">
        <f t="shared" si="104"/>
        <v>0</v>
      </c>
      <c r="S458" s="3">
        <f>J458*43300</f>
        <v>0</v>
      </c>
    </row>
    <row r="459" spans="1:19" s="1" customFormat="1">
      <c r="A459" s="356" t="s">
        <v>699</v>
      </c>
      <c r="B459" s="675"/>
      <c r="C459" s="35"/>
      <c r="D459" s="234"/>
      <c r="E459" s="234"/>
      <c r="F459" s="191"/>
      <c r="G459" s="195"/>
      <c r="H459" s="80"/>
      <c r="I459" s="114"/>
      <c r="J459" s="35">
        <f t="shared" si="101"/>
        <v>0</v>
      </c>
      <c r="K459" s="3">
        <f>C459*184000</f>
        <v>0</v>
      </c>
      <c r="L459" s="302"/>
      <c r="M459" s="299"/>
      <c r="N459" s="283">
        <f>F459*166000</f>
        <v>0</v>
      </c>
      <c r="O459" s="276"/>
      <c r="P459" s="482"/>
      <c r="Q459" s="5"/>
      <c r="R459" s="3">
        <f t="shared" si="104"/>
        <v>0</v>
      </c>
      <c r="S459" s="3">
        <f>J459*21700</f>
        <v>0</v>
      </c>
    </row>
    <row r="460" spans="1:19" s="1" customFormat="1">
      <c r="A460" s="356" t="s">
        <v>700</v>
      </c>
      <c r="B460" s="675"/>
      <c r="C460" s="35"/>
      <c r="D460" s="234"/>
      <c r="E460" s="234"/>
      <c r="F460" s="191"/>
      <c r="G460" s="195"/>
      <c r="H460" s="80"/>
      <c r="I460" s="114"/>
      <c r="J460" s="35">
        <f t="shared" si="101"/>
        <v>0</v>
      </c>
      <c r="K460" s="3">
        <f>C460*228000</f>
        <v>0</v>
      </c>
      <c r="L460" s="302"/>
      <c r="M460" s="299"/>
      <c r="N460" s="283">
        <f>F460*205000</f>
        <v>0</v>
      </c>
      <c r="O460" s="276"/>
      <c r="P460" s="482"/>
      <c r="Q460" s="5"/>
      <c r="R460" s="3">
        <f t="shared" si="104"/>
        <v>0</v>
      </c>
      <c r="S460" s="3">
        <f>J460*42900</f>
        <v>0</v>
      </c>
    </row>
    <row r="461" spans="1:19" s="1" customFormat="1">
      <c r="A461" s="356" t="s">
        <v>715</v>
      </c>
      <c r="B461" s="675"/>
      <c r="C461" s="35"/>
      <c r="D461" s="234"/>
      <c r="E461" s="234"/>
      <c r="F461" s="191"/>
      <c r="G461" s="195"/>
      <c r="H461" s="80"/>
      <c r="I461" s="114"/>
      <c r="J461" s="35">
        <f t="shared" si="101"/>
        <v>0</v>
      </c>
      <c r="K461" s="3">
        <f>C461*184000</f>
        <v>0</v>
      </c>
      <c r="L461" s="302"/>
      <c r="M461" s="299"/>
      <c r="N461" s="283">
        <f>F461*166000</f>
        <v>0</v>
      </c>
      <c r="O461" s="276"/>
      <c r="P461" s="482"/>
      <c r="Q461" s="5"/>
      <c r="R461" s="3">
        <f t="shared" si="104"/>
        <v>0</v>
      </c>
      <c r="S461" s="3">
        <f>J461*21200</f>
        <v>0</v>
      </c>
    </row>
    <row r="462" spans="1:19" s="1" customFormat="1">
      <c r="A462" s="356" t="s">
        <v>615</v>
      </c>
      <c r="B462" s="675"/>
      <c r="C462" s="35"/>
      <c r="D462" s="234"/>
      <c r="E462" s="234"/>
      <c r="F462" s="191"/>
      <c r="G462" s="195"/>
      <c r="H462" s="80"/>
      <c r="I462" s="114"/>
      <c r="J462" s="35">
        <f t="shared" si="101"/>
        <v>0</v>
      </c>
      <c r="K462" s="3">
        <f>C462*VLOOKUP(A462,[1]오일단가!$A:$S,13,0)</f>
        <v>0</v>
      </c>
      <c r="L462" s="302"/>
      <c r="M462" s="299"/>
      <c r="N462" s="283">
        <f>F462*VLOOKUP(A462,[1]오일단가!$A:$S,14,0)</f>
        <v>0</v>
      </c>
      <c r="O462" s="276"/>
      <c r="P462" s="482"/>
      <c r="Q462" s="5"/>
      <c r="R462" s="3">
        <f t="shared" si="104"/>
        <v>0</v>
      </c>
      <c r="S462" s="3">
        <f>J462*45500</f>
        <v>0</v>
      </c>
    </row>
    <row r="463" spans="1:19" s="1" customFormat="1">
      <c r="A463" s="356" t="s">
        <v>684</v>
      </c>
      <c r="B463" s="675"/>
      <c r="C463" s="35"/>
      <c r="D463" s="234"/>
      <c r="E463" s="234"/>
      <c r="F463" s="191"/>
      <c r="G463" s="195"/>
      <c r="H463" s="80"/>
      <c r="I463" s="114"/>
      <c r="J463" s="35">
        <f t="shared" si="101"/>
        <v>0</v>
      </c>
      <c r="K463" s="3">
        <f>C463*VLOOKUP(A463,[1]오일단가!$A:$S,13,0)</f>
        <v>0</v>
      </c>
      <c r="L463" s="302"/>
      <c r="M463" s="299"/>
      <c r="N463" s="283">
        <f>F463*VLOOKUP(A463,[1]오일단가!$A:$S,14,0)</f>
        <v>0</v>
      </c>
      <c r="O463" s="276"/>
      <c r="P463" s="482"/>
      <c r="Q463" s="5"/>
      <c r="R463" s="3">
        <f t="shared" si="104"/>
        <v>0</v>
      </c>
      <c r="S463" s="3">
        <f>J463*15200</f>
        <v>0</v>
      </c>
    </row>
    <row r="464" spans="1:19" s="1" customFormat="1">
      <c r="A464" s="356" t="s">
        <v>691</v>
      </c>
      <c r="B464" s="675"/>
      <c r="C464" s="35"/>
      <c r="D464" s="234"/>
      <c r="E464" s="234"/>
      <c r="F464" s="191"/>
      <c r="G464" s="195"/>
      <c r="H464" s="80"/>
      <c r="I464" s="114"/>
      <c r="J464" s="35">
        <f t="shared" si="101"/>
        <v>0</v>
      </c>
      <c r="K464" s="3">
        <f>C464*184000</f>
        <v>0</v>
      </c>
      <c r="L464" s="302"/>
      <c r="M464" s="299"/>
      <c r="N464" s="283">
        <f>F464*166000</f>
        <v>0</v>
      </c>
      <c r="O464" s="276"/>
      <c r="P464" s="482"/>
      <c r="Q464" s="5"/>
      <c r="R464" s="3">
        <f t="shared" si="104"/>
        <v>0</v>
      </c>
      <c r="S464" s="3">
        <f>J464*22800</f>
        <v>0</v>
      </c>
    </row>
    <row r="465" spans="1:19" s="1" customFormat="1">
      <c r="A465" s="356" t="s">
        <v>692</v>
      </c>
      <c r="B465" s="675"/>
      <c r="C465" s="35"/>
      <c r="D465" s="234"/>
      <c r="E465" s="234"/>
      <c r="F465" s="191"/>
      <c r="G465" s="195"/>
      <c r="H465" s="80"/>
      <c r="I465" s="114"/>
      <c r="J465" s="35">
        <f t="shared" si="101"/>
        <v>0</v>
      </c>
      <c r="K465" s="3">
        <f>C465*128000</f>
        <v>0</v>
      </c>
      <c r="L465" s="302"/>
      <c r="M465" s="299"/>
      <c r="N465" s="283">
        <f>F465*115000</f>
        <v>0</v>
      </c>
      <c r="O465" s="276"/>
      <c r="P465" s="482"/>
      <c r="Q465" s="5"/>
      <c r="R465" s="3">
        <f t="shared" si="104"/>
        <v>0</v>
      </c>
      <c r="S465" s="3">
        <f>J465*10400</f>
        <v>0</v>
      </c>
    </row>
    <row r="466" spans="1:19" s="1" customFormat="1">
      <c r="A466" s="356" t="s">
        <v>490</v>
      </c>
      <c r="B466" s="675"/>
      <c r="C466" s="35"/>
      <c r="D466" s="234"/>
      <c r="E466" s="234"/>
      <c r="F466" s="191"/>
      <c r="G466" s="195"/>
      <c r="H466" s="80"/>
      <c r="I466" s="114"/>
      <c r="J466" s="35">
        <f t="shared" si="101"/>
        <v>0</v>
      </c>
      <c r="K466" s="3">
        <f>C466*VLOOKUP(A466,[1]오일단가!$A:$S,13,0)</f>
        <v>0</v>
      </c>
      <c r="L466" s="302"/>
      <c r="M466" s="299"/>
      <c r="N466" s="283">
        <f>F466*VLOOKUP(A466,[1]오일단가!$A:$S,14,0)</f>
        <v>0</v>
      </c>
      <c r="O466" s="276"/>
      <c r="P466" s="482"/>
      <c r="Q466" s="5"/>
      <c r="R466" s="3">
        <f t="shared" si="104"/>
        <v>0</v>
      </c>
      <c r="S466" s="3">
        <f>J466*36700</f>
        <v>0</v>
      </c>
    </row>
    <row r="467" spans="1:19" s="1" customFormat="1">
      <c r="A467" s="356" t="s">
        <v>616</v>
      </c>
      <c r="B467" s="675"/>
      <c r="C467" s="35"/>
      <c r="D467" s="234"/>
      <c r="E467" s="234"/>
      <c r="F467" s="191"/>
      <c r="G467" s="195"/>
      <c r="H467" s="80"/>
      <c r="I467" s="114"/>
      <c r="J467" s="35">
        <f t="shared" si="101"/>
        <v>0</v>
      </c>
      <c r="K467" s="3">
        <f>C467*VLOOKUP(A467,[1]오일단가!$A:$S,13,0)</f>
        <v>0</v>
      </c>
      <c r="L467" s="302"/>
      <c r="M467" s="299"/>
      <c r="N467" s="283">
        <f>F467*VLOOKUP(A467,[1]오일단가!$A:$S,14,0)</f>
        <v>0</v>
      </c>
      <c r="O467" s="276"/>
      <c r="P467" s="482"/>
      <c r="Q467" s="5"/>
      <c r="R467" s="3">
        <f t="shared" si="104"/>
        <v>0</v>
      </c>
      <c r="S467" s="3">
        <f>J467*19980</f>
        <v>0</v>
      </c>
    </row>
    <row r="468" spans="1:19" s="1" customFormat="1">
      <c r="A468" s="356" t="s">
        <v>539</v>
      </c>
      <c r="B468" s="675"/>
      <c r="C468" s="35"/>
      <c r="D468" s="234"/>
      <c r="E468" s="234"/>
      <c r="F468" s="191"/>
      <c r="G468" s="195"/>
      <c r="H468" s="80"/>
      <c r="I468" s="114"/>
      <c r="J468" s="35">
        <f t="shared" si="101"/>
        <v>0</v>
      </c>
      <c r="K468" s="3">
        <f>C468*VLOOKUP(A468,[1]오일단가!$A:$S,13,0)</f>
        <v>0</v>
      </c>
      <c r="L468" s="302"/>
      <c r="M468" s="299"/>
      <c r="N468" s="283">
        <f>F468*VLOOKUP(A468,[1]오일단가!$A:$S,14,0)</f>
        <v>0</v>
      </c>
      <c r="O468" s="276"/>
      <c r="P468" s="482"/>
      <c r="Q468" s="5"/>
      <c r="R468" s="3">
        <f t="shared" si="104"/>
        <v>0</v>
      </c>
      <c r="S468" s="3">
        <f>J468*16900</f>
        <v>0</v>
      </c>
    </row>
    <row r="469" spans="1:19" s="1" customFormat="1">
      <c r="A469" s="356" t="s">
        <v>694</v>
      </c>
      <c r="B469" s="675"/>
      <c r="C469" s="35"/>
      <c r="D469" s="234"/>
      <c r="E469" s="234"/>
      <c r="F469" s="191"/>
      <c r="G469" s="195"/>
      <c r="H469" s="80"/>
      <c r="I469" s="114"/>
      <c r="J469" s="35">
        <f t="shared" si="101"/>
        <v>0</v>
      </c>
      <c r="K469" s="3">
        <f>C469*128000</f>
        <v>0</v>
      </c>
      <c r="L469" s="302"/>
      <c r="M469" s="299"/>
      <c r="N469" s="283">
        <f>F469*115000</f>
        <v>0</v>
      </c>
      <c r="O469" s="276"/>
      <c r="P469" s="482"/>
      <c r="Q469" s="5"/>
      <c r="R469" s="3">
        <f t="shared" si="104"/>
        <v>0</v>
      </c>
      <c r="S469" s="3">
        <f>J469*11100</f>
        <v>0</v>
      </c>
    </row>
    <row r="470" spans="1:19" s="1" customFormat="1">
      <c r="A470" s="354" t="s">
        <v>485</v>
      </c>
      <c r="B470" s="675"/>
      <c r="C470" s="237"/>
      <c r="D470" s="234"/>
      <c r="E470" s="234"/>
      <c r="F470" s="230"/>
      <c r="G470" s="345"/>
      <c r="H470" s="80"/>
      <c r="I470" s="114"/>
      <c r="J470" s="35">
        <f t="shared" si="101"/>
        <v>0</v>
      </c>
      <c r="K470" s="3">
        <f>C470*VLOOKUP(A470,[1]오일단가!$A:$S,13,0)</f>
        <v>0</v>
      </c>
      <c r="L470" s="302"/>
      <c r="M470" s="299"/>
      <c r="N470" s="283">
        <f>F470*VLOOKUP(A470,[1]오일단가!$A:$S,14,0)</f>
        <v>0</v>
      </c>
      <c r="O470" s="276"/>
      <c r="P470" s="482"/>
      <c r="Q470" s="5"/>
      <c r="R470" s="3">
        <f t="shared" si="104"/>
        <v>0</v>
      </c>
      <c r="S470" s="3">
        <f>J470*10100</f>
        <v>0</v>
      </c>
    </row>
    <row r="471" spans="1:19" s="1" customFormat="1">
      <c r="A471" s="356" t="s">
        <v>540</v>
      </c>
      <c r="B471" s="675"/>
      <c r="C471" s="35"/>
      <c r="D471" s="234"/>
      <c r="E471" s="234"/>
      <c r="F471" s="191"/>
      <c r="G471" s="195"/>
      <c r="H471" s="80"/>
      <c r="I471" s="114"/>
      <c r="J471" s="35">
        <f t="shared" si="101"/>
        <v>0</v>
      </c>
      <c r="K471" s="3">
        <f>C471*VLOOKUP(A471,[1]오일단가!$A:$S,13,0)</f>
        <v>0</v>
      </c>
      <c r="L471" s="302"/>
      <c r="M471" s="299"/>
      <c r="N471" s="283">
        <f>F471*VLOOKUP(A471,[1]오일단가!$A:$S,14,0)</f>
        <v>0</v>
      </c>
      <c r="O471" s="276"/>
      <c r="P471" s="482"/>
      <c r="Q471" s="5"/>
      <c r="R471" s="3">
        <f t="shared" si="104"/>
        <v>0</v>
      </c>
      <c r="S471" s="3">
        <f>J471*26800</f>
        <v>0</v>
      </c>
    </row>
    <row r="472" spans="1:19" s="1" customFormat="1">
      <c r="A472" s="356" t="s">
        <v>679</v>
      </c>
      <c r="B472" s="675"/>
      <c r="C472" s="35"/>
      <c r="D472" s="234"/>
      <c r="E472" s="234"/>
      <c r="F472" s="191"/>
      <c r="G472" s="195"/>
      <c r="H472" s="80"/>
      <c r="I472" s="114"/>
      <c r="J472" s="35">
        <f t="shared" si="101"/>
        <v>0</v>
      </c>
      <c r="K472" s="3">
        <f>C472*VLOOKUP(A472,[1]오일단가!$A:$S,13,0)</f>
        <v>0</v>
      </c>
      <c r="L472" s="302"/>
      <c r="M472" s="299"/>
      <c r="N472" s="283">
        <f>F472*VLOOKUP(A472,[1]오일단가!$A:$S,14,0)</f>
        <v>0</v>
      </c>
      <c r="O472" s="276"/>
      <c r="P472" s="482"/>
      <c r="Q472" s="5"/>
      <c r="R472" s="3">
        <f t="shared" si="104"/>
        <v>0</v>
      </c>
      <c r="S472" s="3">
        <f>J472*13100</f>
        <v>0</v>
      </c>
    </row>
    <row r="473" spans="1:19" s="1" customFormat="1">
      <c r="A473" s="354" t="s">
        <v>486</v>
      </c>
      <c r="B473" s="675"/>
      <c r="C473" s="237"/>
      <c r="D473" s="234"/>
      <c r="E473" s="234"/>
      <c r="F473" s="230">
        <v>1</v>
      </c>
      <c r="G473" s="345"/>
      <c r="H473" s="80"/>
      <c r="I473" s="114"/>
      <c r="J473" s="35">
        <f t="shared" si="101"/>
        <v>1</v>
      </c>
      <c r="K473" s="3">
        <f>C473*VLOOKUP(A473,[1]오일단가!$A:$S,13,0)</f>
        <v>0</v>
      </c>
      <c r="L473" s="302"/>
      <c r="M473" s="299"/>
      <c r="N473" s="283">
        <f>F473*40000</f>
        <v>40000</v>
      </c>
      <c r="O473" s="276"/>
      <c r="P473" s="482"/>
      <c r="Q473" s="5"/>
      <c r="R473" s="3">
        <f t="shared" si="104"/>
        <v>40000</v>
      </c>
      <c r="S473" s="3">
        <f>J473*7400</f>
        <v>7400</v>
      </c>
    </row>
    <row r="474" spans="1:19" s="1" customFormat="1">
      <c r="A474" s="356" t="s">
        <v>541</v>
      </c>
      <c r="B474" s="675"/>
      <c r="C474" s="35"/>
      <c r="D474" s="234"/>
      <c r="E474" s="234"/>
      <c r="F474" s="191"/>
      <c r="G474" s="195"/>
      <c r="H474" s="80"/>
      <c r="I474" s="114"/>
      <c r="J474" s="35">
        <f t="shared" si="101"/>
        <v>0</v>
      </c>
      <c r="K474" s="3">
        <f>C474*VLOOKUP(A474,[1]오일단가!$A:$S,13,0)</f>
        <v>0</v>
      </c>
      <c r="L474" s="302"/>
      <c r="M474" s="299"/>
      <c r="N474" s="283">
        <f>F474*VLOOKUP(A474,[1]오일단가!$A:$S,14,0)</f>
        <v>0</v>
      </c>
      <c r="O474" s="276"/>
      <c r="P474" s="482"/>
      <c r="Q474" s="5"/>
      <c r="R474" s="3">
        <f t="shared" si="104"/>
        <v>0</v>
      </c>
      <c r="S474" s="3">
        <f>J474*30100</f>
        <v>0</v>
      </c>
    </row>
    <row r="475" spans="1:19" s="1" customFormat="1">
      <c r="A475" s="356" t="s">
        <v>543</v>
      </c>
      <c r="B475" s="675"/>
      <c r="C475" s="35"/>
      <c r="D475" s="234"/>
      <c r="E475" s="234"/>
      <c r="F475" s="191"/>
      <c r="G475" s="195"/>
      <c r="H475" s="80"/>
      <c r="I475" s="114"/>
      <c r="J475" s="35">
        <f t="shared" si="101"/>
        <v>0</v>
      </c>
      <c r="K475" s="3">
        <f>C475*VLOOKUP(A475,[1]오일단가!$A:$S,13,0)</f>
        <v>0</v>
      </c>
      <c r="L475" s="302"/>
      <c r="M475" s="299"/>
      <c r="N475" s="283">
        <f>F475*VLOOKUP(A475,[1]오일단가!$A:$S,14,0)</f>
        <v>0</v>
      </c>
      <c r="O475" s="276"/>
      <c r="P475" s="482"/>
      <c r="Q475" s="5"/>
      <c r="R475" s="3">
        <f t="shared" si="104"/>
        <v>0</v>
      </c>
      <c r="S475" s="3">
        <f>J475*66400</f>
        <v>0</v>
      </c>
    </row>
    <row r="476" spans="1:19" s="1" customFormat="1">
      <c r="A476" s="356" t="s">
        <v>617</v>
      </c>
      <c r="B476" s="675"/>
      <c r="C476" s="35"/>
      <c r="D476" s="234"/>
      <c r="E476" s="234"/>
      <c r="F476" s="191"/>
      <c r="G476" s="195"/>
      <c r="H476" s="80"/>
      <c r="I476" s="114"/>
      <c r="J476" s="35">
        <f t="shared" si="101"/>
        <v>0</v>
      </c>
      <c r="K476" s="3">
        <f>C476*VLOOKUP(A476,[1]오일단가!$A:$S,13,0)</f>
        <v>0</v>
      </c>
      <c r="L476" s="302"/>
      <c r="M476" s="299"/>
      <c r="N476" s="283">
        <f>F476*VLOOKUP(A476,[1]오일단가!$A:$S,14,0)</f>
        <v>0</v>
      </c>
      <c r="O476" s="276"/>
      <c r="P476" s="482"/>
      <c r="Q476" s="5"/>
      <c r="R476" s="3">
        <f t="shared" si="104"/>
        <v>0</v>
      </c>
      <c r="S476" s="3">
        <f>J476*26800</f>
        <v>0</v>
      </c>
    </row>
    <row r="477" spans="1:19" s="1" customFormat="1">
      <c r="A477" s="356" t="s">
        <v>674</v>
      </c>
      <c r="B477" s="675"/>
      <c r="C477" s="237"/>
      <c r="D477" s="234"/>
      <c r="E477" s="234"/>
      <c r="F477" s="230"/>
      <c r="G477" s="345"/>
      <c r="H477" s="80"/>
      <c r="I477" s="114"/>
      <c r="J477" s="35">
        <f t="shared" si="101"/>
        <v>0</v>
      </c>
      <c r="K477" s="3">
        <f>C477*VLOOKUP(A477,[1]오일단가!$A:$S,13,0)</f>
        <v>0</v>
      </c>
      <c r="L477" s="302"/>
      <c r="M477" s="299"/>
      <c r="N477" s="283">
        <f>F477*VLOOKUP(A477,[1]오일단가!$A:$S,14,0)</f>
        <v>0</v>
      </c>
      <c r="O477" s="276"/>
      <c r="P477" s="482"/>
      <c r="Q477" s="5"/>
      <c r="R477" s="3">
        <f t="shared" si="104"/>
        <v>0</v>
      </c>
      <c r="S477" s="3">
        <f>J477*41100</f>
        <v>0</v>
      </c>
    </row>
    <row r="478" spans="1:19" s="1" customFormat="1">
      <c r="A478" s="356" t="s">
        <v>695</v>
      </c>
      <c r="B478" s="675"/>
      <c r="C478" s="237"/>
      <c r="D478" s="234"/>
      <c r="E478" s="234"/>
      <c r="F478" s="230"/>
      <c r="G478" s="345"/>
      <c r="H478" s="80"/>
      <c r="I478" s="114"/>
      <c r="J478" s="35">
        <f t="shared" si="101"/>
        <v>0</v>
      </c>
      <c r="K478" s="3">
        <f>C478*1000000</f>
        <v>0</v>
      </c>
      <c r="L478" s="302"/>
      <c r="M478" s="299"/>
      <c r="N478" s="283">
        <f>F478*900000</f>
        <v>0</v>
      </c>
      <c r="O478" s="276"/>
      <c r="P478" s="482"/>
      <c r="Q478" s="5"/>
      <c r="R478" s="3">
        <f t="shared" si="104"/>
        <v>0</v>
      </c>
      <c r="S478" s="3">
        <f>J478*25900</f>
        <v>0</v>
      </c>
    </row>
    <row r="479" spans="1:19" s="1" customFormat="1">
      <c r="A479" s="356" t="s">
        <v>675</v>
      </c>
      <c r="B479" s="675"/>
      <c r="C479" s="35"/>
      <c r="D479" s="234"/>
      <c r="E479" s="234"/>
      <c r="F479" s="191"/>
      <c r="G479" s="195"/>
      <c r="H479" s="80"/>
      <c r="I479" s="114"/>
      <c r="J479" s="35">
        <f t="shared" si="101"/>
        <v>0</v>
      </c>
      <c r="K479" s="3">
        <f>C479*VLOOKUP(A479,[1]오일단가!$A:$S,13,0)</f>
        <v>0</v>
      </c>
      <c r="L479" s="302"/>
      <c r="M479" s="299"/>
      <c r="N479" s="283">
        <f>F479*VLOOKUP(A479,[1]오일단가!$A:$S,14,0)</f>
        <v>0</v>
      </c>
      <c r="O479" s="276"/>
      <c r="P479" s="482"/>
      <c r="Q479" s="5"/>
      <c r="R479" s="3">
        <f t="shared" si="104"/>
        <v>0</v>
      </c>
      <c r="S479" s="3">
        <f>J479*70800</f>
        <v>0</v>
      </c>
    </row>
    <row r="480" spans="1:19" s="1" customFormat="1">
      <c r="A480" s="356" t="s">
        <v>696</v>
      </c>
      <c r="B480" s="675"/>
      <c r="C480" s="35"/>
      <c r="D480" s="234"/>
      <c r="E480" s="234"/>
      <c r="F480" s="191"/>
      <c r="G480" s="195"/>
      <c r="H480" s="80"/>
      <c r="I480" s="114"/>
      <c r="J480" s="35">
        <f t="shared" si="101"/>
        <v>0</v>
      </c>
      <c r="K480" s="3">
        <f>C480*184000</f>
        <v>0</v>
      </c>
      <c r="L480" s="302"/>
      <c r="M480" s="299"/>
      <c r="N480" s="283">
        <f>F480*166000</f>
        <v>0</v>
      </c>
      <c r="O480" s="276"/>
      <c r="P480" s="482"/>
      <c r="Q480" s="5"/>
      <c r="R480" s="3">
        <f t="shared" si="104"/>
        <v>0</v>
      </c>
      <c r="S480" s="3">
        <f>J480*21700</f>
        <v>0</v>
      </c>
    </row>
    <row r="481" spans="1:19" s="1" customFormat="1">
      <c r="A481" s="356" t="s">
        <v>676</v>
      </c>
      <c r="B481" s="675"/>
      <c r="C481" s="35"/>
      <c r="D481" s="234"/>
      <c r="E481" s="234"/>
      <c r="F481" s="191"/>
      <c r="G481" s="195"/>
      <c r="H481" s="80"/>
      <c r="I481" s="114"/>
      <c r="J481" s="35">
        <f t="shared" si="101"/>
        <v>0</v>
      </c>
      <c r="K481" s="3">
        <f>C481*VLOOKUP(A481,[1]오일단가!$A:$S,13,0)</f>
        <v>0</v>
      </c>
      <c r="L481" s="302"/>
      <c r="M481" s="299"/>
      <c r="N481" s="283">
        <f>F481*VLOOKUP(A481,[1]오일단가!$A:$S,14,0)</f>
        <v>0</v>
      </c>
      <c r="O481" s="276"/>
      <c r="P481" s="482"/>
      <c r="Q481" s="5"/>
      <c r="R481" s="3">
        <f t="shared" si="104"/>
        <v>0</v>
      </c>
      <c r="S481" s="3">
        <f>J481*19100</f>
        <v>0</v>
      </c>
    </row>
    <row r="482" spans="1:19" s="1" customFormat="1">
      <c r="A482" s="356" t="s">
        <v>544</v>
      </c>
      <c r="B482" s="675"/>
      <c r="C482" s="35"/>
      <c r="D482" s="234"/>
      <c r="E482" s="234"/>
      <c r="F482" s="191"/>
      <c r="G482" s="195"/>
      <c r="H482" s="80"/>
      <c r="I482" s="114"/>
      <c r="J482" s="35">
        <f t="shared" si="101"/>
        <v>0</v>
      </c>
      <c r="K482" s="3">
        <f>C482*VLOOKUP(A482,[1]오일단가!$A:$S,13,0)</f>
        <v>0</v>
      </c>
      <c r="L482" s="302"/>
      <c r="M482" s="299"/>
      <c r="N482" s="283">
        <f>F482*VLOOKUP(A482,[1]오일단가!$A:$S,14,0)</f>
        <v>0</v>
      </c>
      <c r="O482" s="276"/>
      <c r="P482" s="482"/>
      <c r="Q482" s="5"/>
      <c r="R482" s="3">
        <f t="shared" si="104"/>
        <v>0</v>
      </c>
      <c r="S482" s="3">
        <f>J482*32200</f>
        <v>0</v>
      </c>
    </row>
    <row r="483" spans="1:19" s="1" customFormat="1">
      <c r="A483" s="356" t="s">
        <v>545</v>
      </c>
      <c r="B483" s="675"/>
      <c r="C483" s="35"/>
      <c r="D483" s="234"/>
      <c r="E483" s="234"/>
      <c r="F483" s="191"/>
      <c r="G483" s="195"/>
      <c r="H483" s="80"/>
      <c r="I483" s="114"/>
      <c r="J483" s="35">
        <f t="shared" si="101"/>
        <v>0</v>
      </c>
      <c r="K483" s="3">
        <f>C483*VLOOKUP(A483,[1]오일단가!$A:$S,13,0)</f>
        <v>0</v>
      </c>
      <c r="L483" s="302"/>
      <c r="M483" s="299"/>
      <c r="N483" s="283">
        <f>F483*VLOOKUP(A483,[1]오일단가!$A:$S,14,0)</f>
        <v>0</v>
      </c>
      <c r="O483" s="276"/>
      <c r="P483" s="482"/>
      <c r="Q483" s="5"/>
      <c r="R483" s="3">
        <f t="shared" si="104"/>
        <v>0</v>
      </c>
      <c r="S483" s="3">
        <f>J483*45600</f>
        <v>0</v>
      </c>
    </row>
    <row r="484" spans="1:19" s="1" customFormat="1">
      <c r="A484" s="356" t="s">
        <v>546</v>
      </c>
      <c r="B484" s="675"/>
      <c r="C484" s="35"/>
      <c r="D484" s="234"/>
      <c r="E484" s="234"/>
      <c r="F484" s="191"/>
      <c r="G484" s="195"/>
      <c r="H484" s="80"/>
      <c r="I484" s="114"/>
      <c r="J484" s="35">
        <f t="shared" si="101"/>
        <v>0</v>
      </c>
      <c r="K484" s="3">
        <f>C484*VLOOKUP(A484,[1]오일단가!$A:$S,13,0)</f>
        <v>0</v>
      </c>
      <c r="L484" s="302"/>
      <c r="M484" s="299"/>
      <c r="N484" s="283">
        <f>F484*VLOOKUP(A484,[1]오일단가!$A:$S,14,0)</f>
        <v>0</v>
      </c>
      <c r="O484" s="276"/>
      <c r="P484" s="482"/>
      <c r="Q484" s="5"/>
      <c r="R484" s="3">
        <f t="shared" si="104"/>
        <v>0</v>
      </c>
      <c r="S484" s="3">
        <f>J484*62600</f>
        <v>0</v>
      </c>
    </row>
    <row r="485" spans="1:19" s="1" customFormat="1">
      <c r="A485" s="356" t="s">
        <v>547</v>
      </c>
      <c r="B485" s="675"/>
      <c r="C485" s="35"/>
      <c r="D485" s="234"/>
      <c r="E485" s="234"/>
      <c r="F485" s="191"/>
      <c r="G485" s="195"/>
      <c r="H485" s="80"/>
      <c r="I485" s="114"/>
      <c r="J485" s="35">
        <f t="shared" si="101"/>
        <v>0</v>
      </c>
      <c r="K485" s="3">
        <f>C485*VLOOKUP(A485,[1]오일단가!$A:$S,13,0)</f>
        <v>0</v>
      </c>
      <c r="L485" s="302"/>
      <c r="M485" s="299"/>
      <c r="N485" s="283">
        <f>F485*VLOOKUP(A485,[1]오일단가!$A:$S,14,0)</f>
        <v>0</v>
      </c>
      <c r="O485" s="276"/>
      <c r="P485" s="482"/>
      <c r="Q485" s="5"/>
      <c r="R485" s="3">
        <f t="shared" si="104"/>
        <v>0</v>
      </c>
      <c r="S485" s="3">
        <f>J485*29300</f>
        <v>0</v>
      </c>
    </row>
    <row r="486" spans="1:19" s="1" customFormat="1">
      <c r="A486" s="356" t="s">
        <v>548</v>
      </c>
      <c r="B486" s="676"/>
      <c r="C486" s="35"/>
      <c r="D486" s="234"/>
      <c r="E486" s="234"/>
      <c r="F486" s="191"/>
      <c r="G486" s="195"/>
      <c r="H486" s="80"/>
      <c r="I486" s="114"/>
      <c r="J486" s="35">
        <f t="shared" si="101"/>
        <v>0</v>
      </c>
      <c r="K486" s="3">
        <f>C486*VLOOKUP(A486,[1]오일단가!$A:$S,13,0)</f>
        <v>0</v>
      </c>
      <c r="L486" s="302"/>
      <c r="M486" s="299"/>
      <c r="N486" s="283">
        <f>F486*VLOOKUP(A486,[1]오일단가!$A:$S,14,0)</f>
        <v>0</v>
      </c>
      <c r="O486" s="276"/>
      <c r="P486" s="482"/>
      <c r="Q486" s="5"/>
      <c r="R486" s="3">
        <f t="shared" si="104"/>
        <v>0</v>
      </c>
      <c r="S486" s="3">
        <f>J486*28700</f>
        <v>0</v>
      </c>
    </row>
    <row r="487" spans="1:19" s="1" customFormat="1">
      <c r="A487" s="356"/>
      <c r="B487" s="418"/>
      <c r="C487" s="35"/>
      <c r="D487" s="234"/>
      <c r="E487" s="234"/>
      <c r="F487" s="191"/>
      <c r="G487" s="195"/>
      <c r="H487" s="80"/>
      <c r="I487" s="114"/>
      <c r="J487" s="35"/>
      <c r="K487" s="3"/>
      <c r="L487" s="302"/>
      <c r="M487" s="299"/>
      <c r="N487" s="283"/>
      <c r="O487" s="276"/>
      <c r="P487" s="482"/>
      <c r="Q487" s="5"/>
      <c r="R487" s="3"/>
      <c r="S487" s="3"/>
    </row>
    <row r="488" spans="1:19" s="74" customFormat="1">
      <c r="A488" s="504" t="s">
        <v>576</v>
      </c>
      <c r="B488" s="506"/>
      <c r="C488" s="450">
        <f t="shared" ref="C488:Q488" si="105">SUM(C417:C487)</f>
        <v>0</v>
      </c>
      <c r="D488" s="450">
        <f t="shared" si="105"/>
        <v>0</v>
      </c>
      <c r="E488" s="450">
        <f t="shared" si="105"/>
        <v>0</v>
      </c>
      <c r="F488" s="450">
        <f t="shared" si="105"/>
        <v>2</v>
      </c>
      <c r="G488" s="450">
        <f t="shared" si="105"/>
        <v>0</v>
      </c>
      <c r="H488" s="450">
        <f t="shared" si="105"/>
        <v>0</v>
      </c>
      <c r="I488" s="450">
        <f t="shared" si="105"/>
        <v>0</v>
      </c>
      <c r="J488" s="450">
        <f t="shared" si="105"/>
        <v>2</v>
      </c>
      <c r="K488" s="457">
        <f t="shared" si="105"/>
        <v>0</v>
      </c>
      <c r="L488" s="457">
        <f t="shared" si="105"/>
        <v>0</v>
      </c>
      <c r="M488" s="457">
        <f t="shared" si="105"/>
        <v>0</v>
      </c>
      <c r="N488" s="457">
        <f t="shared" si="105"/>
        <v>119000</v>
      </c>
      <c r="O488" s="457">
        <f t="shared" si="105"/>
        <v>0</v>
      </c>
      <c r="P488" s="457">
        <f t="shared" si="105"/>
        <v>0</v>
      </c>
      <c r="Q488" s="457">
        <f t="shared" si="105"/>
        <v>0</v>
      </c>
      <c r="R488" s="457">
        <f>SUM(K488:Q488)</f>
        <v>119000</v>
      </c>
      <c r="S488" s="457">
        <f>SUM(S417:S487)</f>
        <v>21300</v>
      </c>
    </row>
    <row r="489" spans="1:19" s="1" customFormat="1">
      <c r="A489" s="356"/>
      <c r="B489" s="505"/>
      <c r="C489" s="35"/>
      <c r="D489" s="234"/>
      <c r="E489" s="234"/>
      <c r="F489" s="191"/>
      <c r="G489" s="195"/>
      <c r="H489" s="80"/>
      <c r="I489" s="114"/>
      <c r="J489" s="35"/>
      <c r="K489" s="364"/>
      <c r="L489" s="302"/>
      <c r="M489" s="299"/>
      <c r="N489" s="282"/>
      <c r="O489" s="276"/>
      <c r="P489" s="482"/>
      <c r="Q489" s="5"/>
      <c r="R489" s="3"/>
      <c r="S489" s="3"/>
    </row>
    <row r="490" spans="1:19" s="1" customFormat="1" ht="16.5" customHeight="1">
      <c r="A490" s="356" t="s">
        <v>549</v>
      </c>
      <c r="B490" s="674" t="s">
        <v>594</v>
      </c>
      <c r="C490" s="35"/>
      <c r="D490" s="234"/>
      <c r="E490" s="234"/>
      <c r="F490" s="191"/>
      <c r="G490" s="195"/>
      <c r="H490" s="80"/>
      <c r="I490" s="114"/>
      <c r="J490" s="35">
        <f t="shared" si="101"/>
        <v>0</v>
      </c>
      <c r="K490" s="364">
        <f>C490*156000</f>
        <v>0</v>
      </c>
      <c r="L490" s="302"/>
      <c r="M490" s="299">
        <f>E490*156000</f>
        <v>0</v>
      </c>
      <c r="N490" s="282">
        <f>F490*124800</f>
        <v>0</v>
      </c>
      <c r="O490" s="276"/>
      <c r="P490" s="482"/>
      <c r="Q490" s="5"/>
      <c r="R490" s="3">
        <f t="shared" si="99"/>
        <v>0</v>
      </c>
      <c r="S490" s="3">
        <f>J490*22320</f>
        <v>0</v>
      </c>
    </row>
    <row r="491" spans="1:19" s="275" customFormat="1">
      <c r="A491" s="356" t="s">
        <v>550</v>
      </c>
      <c r="B491" s="675"/>
      <c r="C491" s="539"/>
      <c r="D491" s="233"/>
      <c r="E491" s="233"/>
      <c r="F491" s="218"/>
      <c r="G491" s="413"/>
      <c r="H491" s="413"/>
      <c r="I491" s="413"/>
      <c r="J491" s="218">
        <f t="shared" si="101"/>
        <v>0</v>
      </c>
      <c r="K491" s="364">
        <f>C491*44000</f>
        <v>0</v>
      </c>
      <c r="L491" s="175"/>
      <c r="M491" s="299">
        <f>E491*44000</f>
        <v>0</v>
      </c>
      <c r="N491" s="282">
        <f>F491*35200</f>
        <v>0</v>
      </c>
      <c r="O491" s="175"/>
      <c r="P491" s="490"/>
      <c r="Q491" s="411"/>
      <c r="R491" s="3">
        <f t="shared" si="99"/>
        <v>0</v>
      </c>
      <c r="S491" s="3">
        <f>J491*10230</f>
        <v>0</v>
      </c>
    </row>
    <row r="492" spans="1:19" s="275" customFormat="1">
      <c r="A492" s="356" t="s">
        <v>551</v>
      </c>
      <c r="B492" s="675"/>
      <c r="C492" s="539"/>
      <c r="D492" s="233"/>
      <c r="E492" s="233"/>
      <c r="F492" s="218"/>
      <c r="G492" s="413"/>
      <c r="H492" s="413"/>
      <c r="I492" s="413"/>
      <c r="J492" s="218">
        <f t="shared" si="101"/>
        <v>0</v>
      </c>
      <c r="K492" s="364">
        <f>C492*44000</f>
        <v>0</v>
      </c>
      <c r="L492" s="175"/>
      <c r="M492" s="299">
        <f>E492*44000</f>
        <v>0</v>
      </c>
      <c r="N492" s="282">
        <f>F492*35200</f>
        <v>0</v>
      </c>
      <c r="O492" s="175"/>
      <c r="P492" s="490"/>
      <c r="Q492" s="411"/>
      <c r="R492" s="3">
        <f t="shared" si="99"/>
        <v>0</v>
      </c>
      <c r="S492" s="3">
        <f>J492*10780</f>
        <v>0</v>
      </c>
    </row>
    <row r="493" spans="1:19" s="275" customFormat="1">
      <c r="A493" s="356" t="s">
        <v>552</v>
      </c>
      <c r="B493" s="675"/>
      <c r="C493" s="218"/>
      <c r="D493" s="233"/>
      <c r="E493" s="234"/>
      <c r="F493" s="218"/>
      <c r="G493" s="413"/>
      <c r="H493" s="413"/>
      <c r="I493" s="413"/>
      <c r="J493" s="218">
        <f t="shared" si="101"/>
        <v>0</v>
      </c>
      <c r="K493" s="364">
        <f>C493*66000</f>
        <v>0</v>
      </c>
      <c r="L493" s="175"/>
      <c r="M493" s="299">
        <f>E493*66000</f>
        <v>0</v>
      </c>
      <c r="N493" s="282">
        <f>F493*52800</f>
        <v>0</v>
      </c>
      <c r="O493" s="175"/>
      <c r="P493" s="490"/>
      <c r="Q493" s="411"/>
      <c r="R493" s="3">
        <f t="shared" si="99"/>
        <v>0</v>
      </c>
      <c r="S493" s="3">
        <f>J493*14300</f>
        <v>0</v>
      </c>
    </row>
    <row r="494" spans="1:19" s="412" customFormat="1">
      <c r="A494" s="356" t="s">
        <v>553</v>
      </c>
      <c r="B494" s="676"/>
      <c r="C494" s="218"/>
      <c r="D494" s="233"/>
      <c r="E494" s="234"/>
      <c r="F494" s="191"/>
      <c r="G494" s="413"/>
      <c r="H494" s="413"/>
      <c r="I494" s="413"/>
      <c r="J494" s="218">
        <f t="shared" si="101"/>
        <v>0</v>
      </c>
      <c r="K494" s="364">
        <f>C494*36000</f>
        <v>0</v>
      </c>
      <c r="L494" s="175"/>
      <c r="M494" s="299">
        <f>E494*36000</f>
        <v>0</v>
      </c>
      <c r="N494" s="282">
        <f>F494*28800</f>
        <v>0</v>
      </c>
      <c r="O494" s="175"/>
      <c r="P494" s="490"/>
      <c r="Q494" s="411"/>
      <c r="R494" s="3">
        <f t="shared" si="99"/>
        <v>0</v>
      </c>
      <c r="S494" s="3">
        <f>J494*6600</f>
        <v>0</v>
      </c>
    </row>
    <row r="495" spans="1:19">
      <c r="A495" s="515" t="s">
        <v>579</v>
      </c>
      <c r="B495" s="516"/>
      <c r="C495" s="541">
        <f>SUM(C490:C494)</f>
        <v>0</v>
      </c>
      <c r="D495" s="541">
        <f t="shared" ref="D495:J495" si="106">SUM(D490:D494)</f>
        <v>0</v>
      </c>
      <c r="E495" s="541">
        <f t="shared" si="106"/>
        <v>0</v>
      </c>
      <c r="F495" s="541">
        <f t="shared" si="106"/>
        <v>0</v>
      </c>
      <c r="G495" s="541">
        <f t="shared" si="106"/>
        <v>0</v>
      </c>
      <c r="H495" s="541">
        <f t="shared" si="106"/>
        <v>0</v>
      </c>
      <c r="I495" s="541">
        <f t="shared" si="106"/>
        <v>0</v>
      </c>
      <c r="J495" s="541">
        <f t="shared" si="106"/>
        <v>0</v>
      </c>
      <c r="K495" s="507">
        <f>SUM(K489:K494)</f>
        <v>0</v>
      </c>
      <c r="L495" s="507">
        <f t="shared" ref="L495:Q495" si="107">SUM(L489:L494)</f>
        <v>0</v>
      </c>
      <c r="M495" s="507">
        <f t="shared" si="107"/>
        <v>0</v>
      </c>
      <c r="N495" s="507">
        <f t="shared" si="107"/>
        <v>0</v>
      </c>
      <c r="O495" s="507">
        <f t="shared" si="107"/>
        <v>0</v>
      </c>
      <c r="P495" s="507">
        <f t="shared" si="107"/>
        <v>0</v>
      </c>
      <c r="Q495" s="507">
        <f t="shared" si="107"/>
        <v>0</v>
      </c>
      <c r="R495" s="508">
        <f>SUM(K495:Q495)</f>
        <v>0</v>
      </c>
      <c r="S495" s="509">
        <f>SUM(S489:S494)</f>
        <v>0</v>
      </c>
    </row>
    <row r="496" spans="1:19">
      <c r="A496" s="517"/>
      <c r="D496" s="142"/>
      <c r="E496" s="143"/>
      <c r="F496" s="498"/>
      <c r="G496" s="12"/>
      <c r="H496" s="498"/>
      <c r="I496" s="677" t="s">
        <v>580</v>
      </c>
      <c r="J496" s="677"/>
      <c r="K496" s="518">
        <f>K495+K488+K415</f>
        <v>393000</v>
      </c>
      <c r="L496" s="510"/>
      <c r="M496" s="511"/>
      <c r="N496" s="511"/>
      <c r="O496" s="511"/>
      <c r="P496" s="512"/>
      <c r="Q496" s="513"/>
      <c r="R496" s="518">
        <f>R495+R488+R415</f>
        <v>512000</v>
      </c>
      <c r="S496" s="519">
        <f>S495+S488+S415</f>
        <v>98532</v>
      </c>
    </row>
    <row r="497" spans="1:19" s="244" customFormat="1">
      <c r="B497" s="245"/>
      <c r="C497" s="245"/>
      <c r="D497" s="514"/>
      <c r="E497" s="500"/>
      <c r="F497" s="501"/>
      <c r="G497" s="502"/>
      <c r="H497" s="491"/>
      <c r="I497" s="501"/>
      <c r="J497" s="501"/>
      <c r="K497" s="492"/>
      <c r="L497" s="492"/>
      <c r="M497" s="493"/>
      <c r="N497" s="493"/>
      <c r="O497" s="494"/>
      <c r="P497" s="495"/>
      <c r="Q497" s="496"/>
      <c r="R497" s="492"/>
      <c r="S497" s="497"/>
    </row>
    <row r="498" spans="1:19" s="1" customFormat="1" ht="17.25" thickBot="1">
      <c r="A498" t="s">
        <v>335</v>
      </c>
      <c r="C498" s="2"/>
      <c r="F498" s="163"/>
      <c r="J498" s="164"/>
      <c r="K498" s="165"/>
      <c r="L498" s="165"/>
      <c r="M498" s="165"/>
      <c r="N498" s="165"/>
      <c r="O498" s="284"/>
      <c r="P498" s="165"/>
      <c r="Q498" s="165"/>
      <c r="R498"/>
    </row>
    <row r="499" spans="1:19" s="1" customFormat="1">
      <c r="A499" t="s">
        <v>337</v>
      </c>
      <c r="C499" s="2"/>
      <c r="F499" s="163"/>
      <c r="J499" s="141"/>
      <c r="K499" s="521" t="s">
        <v>577</v>
      </c>
      <c r="L499" s="524" t="s">
        <v>373</v>
      </c>
      <c r="M499" s="526" t="s">
        <v>578</v>
      </c>
      <c r="N499" s="528" t="s">
        <v>581</v>
      </c>
      <c r="O499" s="166"/>
      <c r="P499" s="601" t="s">
        <v>372</v>
      </c>
      <c r="Q499" s="158"/>
      <c r="R499" s="159"/>
      <c r="S499"/>
    </row>
    <row r="500" spans="1:19" s="1" customFormat="1">
      <c r="A500"/>
      <c r="C500" s="2"/>
      <c r="F500" s="163"/>
      <c r="J500" s="141" t="s">
        <v>582</v>
      </c>
      <c r="K500" s="522">
        <f>R24+R44+R61+R85+R102+R120+R127+R133+R141+R159</f>
        <v>269872910</v>
      </c>
      <c r="L500" s="296">
        <f>R223+R233+R239+R247</f>
        <v>45515650</v>
      </c>
      <c r="M500" s="286">
        <f>R496</f>
        <v>512000</v>
      </c>
      <c r="N500" s="602">
        <f>R260+R334</f>
        <v>17350800</v>
      </c>
      <c r="O500" s="159"/>
      <c r="P500" s="603">
        <f>SUM(K500:O500)</f>
        <v>333251360</v>
      </c>
      <c r="Q500" s="158"/>
      <c r="R500" s="159"/>
      <c r="S500"/>
    </row>
    <row r="501" spans="1:19" s="1" customFormat="1" ht="17.25" thickBot="1">
      <c r="A501" t="s">
        <v>338</v>
      </c>
      <c r="C501" s="2"/>
      <c r="F501" s="163"/>
      <c r="J501" s="520" t="s">
        <v>506</v>
      </c>
      <c r="K501" s="523">
        <f>S24+S44+S61+S85+S102+S120+S127+S133+S141+S159</f>
        <v>133641735</v>
      </c>
      <c r="L501" s="525">
        <f>S223+S233+S239+S247</f>
        <v>11535048</v>
      </c>
      <c r="M501" s="527">
        <f>S496</f>
        <v>98532</v>
      </c>
      <c r="N501" s="604">
        <f>S260+S334</f>
        <v>6422737</v>
      </c>
      <c r="O501" s="605"/>
      <c r="P501" s="606">
        <f>SUM(K501:O501)</f>
        <v>151698052</v>
      </c>
      <c r="Q501" s="158"/>
      <c r="R501" s="158"/>
      <c r="S501"/>
    </row>
    <row r="502" spans="1:19" s="1" customFormat="1">
      <c r="A502" t="s">
        <v>505</v>
      </c>
      <c r="C502" s="2"/>
      <c r="F502" s="163"/>
      <c r="K502" s="3"/>
      <c r="L502" s="3"/>
      <c r="M502" s="4"/>
      <c r="N502" s="167"/>
      <c r="O502" s="573" t="s">
        <v>339</v>
      </c>
      <c r="P502" s="600" t="s">
        <v>340</v>
      </c>
      <c r="Q502" s="5"/>
      <c r="R502" s="4"/>
      <c r="S502"/>
    </row>
    <row r="503" spans="1:19" s="1" customFormat="1">
      <c r="A503"/>
      <c r="C503" s="2"/>
      <c r="F503" s="163"/>
      <c r="K503" s="3"/>
      <c r="L503" s="3"/>
      <c r="M503" s="4"/>
      <c r="N503" s="167" t="s">
        <v>341</v>
      </c>
      <c r="O503" s="529">
        <f>K500</f>
        <v>269872910</v>
      </c>
      <c r="P503" s="168">
        <f>K501</f>
        <v>133641735</v>
      </c>
      <c r="Q503" s="464"/>
      <c r="R503" s="42"/>
      <c r="S503"/>
    </row>
    <row r="504" spans="1:19" s="1" customFormat="1">
      <c r="A504" t="s">
        <v>369</v>
      </c>
      <c r="B504" s="144"/>
      <c r="C504" s="2"/>
      <c r="F504" s="163"/>
      <c r="H504" s="216"/>
      <c r="I504" s="216"/>
      <c r="J504" s="217"/>
      <c r="K504" s="3"/>
      <c r="L504" s="3"/>
      <c r="M504" s="4"/>
      <c r="N504" s="169" t="s">
        <v>342</v>
      </c>
      <c r="O504" s="170">
        <f>L500</f>
        <v>45515650</v>
      </c>
      <c r="P504" s="171">
        <f>L501</f>
        <v>11535048</v>
      </c>
      <c r="Q504" s="172"/>
      <c r="R504" s="172"/>
      <c r="S504"/>
    </row>
    <row r="505" spans="1:19" s="1" customFormat="1">
      <c r="A505" t="s">
        <v>343</v>
      </c>
      <c r="C505" s="2"/>
      <c r="F505" s="163"/>
      <c r="K505" s="3"/>
      <c r="L505" s="3"/>
      <c r="M505" s="4"/>
      <c r="N505" s="174" t="s">
        <v>336</v>
      </c>
      <c r="O505" s="175">
        <f>N500</f>
        <v>17350800</v>
      </c>
      <c r="P505" s="176">
        <f>N501</f>
        <v>6422737</v>
      </c>
      <c r="Q505" s="177"/>
      <c r="R505" s="177"/>
      <c r="S505"/>
    </row>
    <row r="506" spans="1:19" s="1" customFormat="1">
      <c r="A506" t="s">
        <v>344</v>
      </c>
      <c r="C506" s="2"/>
      <c r="F506" s="163"/>
      <c r="K506" s="3"/>
      <c r="L506" s="226"/>
      <c r="M506" s="4"/>
      <c r="N506" s="359" t="s">
        <v>578</v>
      </c>
      <c r="O506" s="283">
        <f>M500</f>
        <v>512000</v>
      </c>
      <c r="P506" s="360">
        <f>M501</f>
        <v>98532</v>
      </c>
      <c r="Q506" s="283"/>
      <c r="R506" s="180"/>
      <c r="S506"/>
    </row>
    <row r="507" spans="1:19" s="1" customFormat="1">
      <c r="A507" t="s">
        <v>354</v>
      </c>
      <c r="C507" s="2"/>
      <c r="F507" s="213"/>
      <c r="G507" s="212"/>
      <c r="K507" s="3"/>
      <c r="L507" s="226"/>
      <c r="M507" s="4"/>
      <c r="N507" s="178"/>
      <c r="O507" s="530"/>
      <c r="P507" s="179"/>
      <c r="Q507" s="180"/>
      <c r="R507" s="183"/>
      <c r="S507"/>
    </row>
    <row r="508" spans="1:19" s="1" customFormat="1">
      <c r="A508" t="s">
        <v>355</v>
      </c>
      <c r="C508" s="2"/>
      <c r="F508" s="213"/>
      <c r="K508" s="3"/>
      <c r="L508" s="3"/>
      <c r="M508" s="4"/>
      <c r="N508" s="182" t="s">
        <v>372</v>
      </c>
      <c r="O508" s="367">
        <f>SUM(O503:O507)</f>
        <v>333251360</v>
      </c>
      <c r="P508" s="368">
        <f>SUM(P503:P507)</f>
        <v>151698052</v>
      </c>
      <c r="Q508" s="464"/>
      <c r="R508" s="4"/>
      <c r="S508"/>
    </row>
    <row r="509" spans="1:19" s="1" customFormat="1">
      <c r="A509" t="s">
        <v>703</v>
      </c>
      <c r="B509" s="572">
        <v>1</v>
      </c>
      <c r="C509" s="2"/>
      <c r="K509" s="4"/>
      <c r="L509" s="175" t="s">
        <v>383</v>
      </c>
      <c r="M509" s="4" t="s">
        <v>384</v>
      </c>
      <c r="N509" s="264" t="s">
        <v>385</v>
      </c>
      <c r="O509" s="283" t="s">
        <v>578</v>
      </c>
      <c r="P509" s="599" t="s">
        <v>387</v>
      </c>
      <c r="Q509" s="28" t="s">
        <v>386</v>
      </c>
      <c r="R509" s="1" t="s">
        <v>391</v>
      </c>
      <c r="S509" s="599"/>
    </row>
    <row r="510" spans="1:19">
      <c r="A510" t="s">
        <v>704</v>
      </c>
      <c r="B510" s="1">
        <v>3</v>
      </c>
      <c r="E510" s="270"/>
      <c r="K510" s="4" t="s">
        <v>380</v>
      </c>
      <c r="L510" s="175">
        <v>15501800</v>
      </c>
      <c r="M510" s="4">
        <v>238075510</v>
      </c>
      <c r="N510" s="265">
        <v>37884750</v>
      </c>
      <c r="O510" s="283">
        <v>512000</v>
      </c>
      <c r="P510" s="269">
        <f>SUM(L510:O510)</f>
        <v>291974060</v>
      </c>
      <c r="Q510" s="3">
        <v>291972208</v>
      </c>
      <c r="R510" s="266"/>
      <c r="S510" s="269"/>
    </row>
    <row r="511" spans="1:19">
      <c r="A511" t="s">
        <v>388</v>
      </c>
      <c r="K511" s="4"/>
      <c r="L511" s="175">
        <v>5587217</v>
      </c>
      <c r="M511" s="4">
        <v>115808417</v>
      </c>
      <c r="N511" s="265">
        <v>9693441</v>
      </c>
      <c r="O511" s="283">
        <v>98532</v>
      </c>
      <c r="P511" s="269">
        <f>SUM(L511:O511)</f>
        <v>131187607</v>
      </c>
      <c r="Q511" s="3">
        <v>130829742</v>
      </c>
      <c r="R511" s="266"/>
      <c r="S511" s="269"/>
    </row>
    <row r="512" spans="1:19">
      <c r="K512" s="4" t="s">
        <v>381</v>
      </c>
      <c r="L512" s="175"/>
      <c r="N512" s="265"/>
      <c r="O512" s="283"/>
      <c r="P512" s="269">
        <f t="shared" ref="P512:P515" si="108">SUM(L512:O512)</f>
        <v>0</v>
      </c>
      <c r="Q512" s="3"/>
      <c r="R512" s="266"/>
      <c r="S512" s="269"/>
    </row>
    <row r="513" spans="1:19">
      <c r="K513" s="4"/>
      <c r="L513" s="175"/>
      <c r="N513" s="265"/>
      <c r="O513" s="283"/>
      <c r="P513" s="269">
        <f t="shared" si="108"/>
        <v>0</v>
      </c>
      <c r="Q513" s="3"/>
      <c r="R513" s="266"/>
      <c r="S513" s="269"/>
    </row>
    <row r="514" spans="1:19">
      <c r="K514" s="4" t="s">
        <v>382</v>
      </c>
      <c r="L514" s="175">
        <f>N500-L510-L512</f>
        <v>1849000</v>
      </c>
      <c r="M514" s="4">
        <f t="shared" ref="M514:O515" si="109">K500-M510-M512</f>
        <v>31797400</v>
      </c>
      <c r="N514" s="265">
        <f t="shared" si="109"/>
        <v>7630900</v>
      </c>
      <c r="O514" s="283">
        <f t="shared" si="109"/>
        <v>0</v>
      </c>
      <c r="P514" s="269">
        <f t="shared" si="108"/>
        <v>41277300</v>
      </c>
      <c r="Q514" s="3">
        <v>41276988</v>
      </c>
      <c r="R514" s="266"/>
      <c r="S514" s="269"/>
    </row>
    <row r="515" spans="1:19">
      <c r="K515" s="4"/>
      <c r="L515" s="175">
        <f>N501-L511-L513</f>
        <v>835520</v>
      </c>
      <c r="M515" s="4">
        <f t="shared" si="109"/>
        <v>17833318</v>
      </c>
      <c r="N515" s="265">
        <f t="shared" si="109"/>
        <v>1841607</v>
      </c>
      <c r="O515" s="283">
        <f t="shared" si="109"/>
        <v>0</v>
      </c>
      <c r="P515" s="269">
        <f t="shared" si="108"/>
        <v>20510445</v>
      </c>
      <c r="Q515" s="3">
        <v>20456221</v>
      </c>
      <c r="R515" s="266"/>
      <c r="S515" s="269"/>
    </row>
    <row r="516" spans="1:19">
      <c r="K516" s="4"/>
      <c r="L516" s="175"/>
      <c r="N516" s="265"/>
      <c r="O516" s="283"/>
      <c r="P516" s="269"/>
      <c r="Q516" s="3"/>
      <c r="R516"/>
      <c r="S516" s="269"/>
    </row>
    <row r="517" spans="1:19">
      <c r="K517" s="4" t="s">
        <v>389</v>
      </c>
      <c r="L517" s="175">
        <f t="shared" ref="L517:O518" si="110">L510+L512+L514</f>
        <v>17350800</v>
      </c>
      <c r="M517" s="4">
        <f t="shared" si="110"/>
        <v>269872910</v>
      </c>
      <c r="N517" s="170">
        <f>N510+N512+N514</f>
        <v>45515650</v>
      </c>
      <c r="O517" s="283">
        <f>O510+O512+O514</f>
        <v>512000</v>
      </c>
      <c r="P517" s="269">
        <f>SUM(L517:O517)</f>
        <v>333251360</v>
      </c>
      <c r="Q517" s="253">
        <f>Q510+Q512+Q514</f>
        <v>333249196</v>
      </c>
      <c r="R517" s="253">
        <v>354009370</v>
      </c>
      <c r="S517" s="269"/>
    </row>
    <row r="518" spans="1:19" s="1" customFormat="1">
      <c r="A518"/>
      <c r="C518" s="2"/>
      <c r="K518" s="4" t="s">
        <v>390</v>
      </c>
      <c r="L518" s="175">
        <f>L511+L513+L515</f>
        <v>6422737</v>
      </c>
      <c r="M518" s="4">
        <f t="shared" si="110"/>
        <v>133641735</v>
      </c>
      <c r="N518" s="170">
        <f t="shared" si="110"/>
        <v>11535048</v>
      </c>
      <c r="O518" s="283">
        <f t="shared" si="110"/>
        <v>98532</v>
      </c>
      <c r="P518" s="269">
        <f>SUM(L518:O518)</f>
        <v>151698052</v>
      </c>
      <c r="Q518" s="253">
        <f>Q511+Q513+Q515</f>
        <v>151285963</v>
      </c>
      <c r="R518" s="267"/>
      <c r="S518" s="269"/>
    </row>
    <row r="520" spans="1:19">
      <c r="R520" s="24" t="s">
        <v>473</v>
      </c>
      <c r="S520" s="4">
        <v>29519200</v>
      </c>
    </row>
    <row r="521" spans="1:19">
      <c r="R521" s="349" t="s">
        <v>790</v>
      </c>
      <c r="S521" s="4">
        <v>49774560</v>
      </c>
    </row>
    <row r="522" spans="1:19" ht="25.5" customHeight="1">
      <c r="R522" s="349" t="s">
        <v>469</v>
      </c>
    </row>
    <row r="523" spans="1:19">
      <c r="L523" s="177" t="s">
        <v>383</v>
      </c>
      <c r="M523" s="4" t="s">
        <v>384</v>
      </c>
      <c r="N523" s="172" t="s">
        <v>385</v>
      </c>
      <c r="O523" s="283" t="s">
        <v>392</v>
      </c>
      <c r="P523" s="5" t="s">
        <v>387</v>
      </c>
      <c r="R523" s="349" t="s">
        <v>472</v>
      </c>
    </row>
    <row r="524" spans="1:19">
      <c r="K524" s="3" t="s">
        <v>467</v>
      </c>
      <c r="L524" s="175">
        <v>13557800</v>
      </c>
      <c r="M524" s="4">
        <v>62689500</v>
      </c>
      <c r="N524" s="265">
        <v>22710970</v>
      </c>
      <c r="O524" s="283">
        <v>393000</v>
      </c>
      <c r="P524" s="3">
        <f>SUM(K524:O524)</f>
        <v>99351270</v>
      </c>
      <c r="Q524" s="3">
        <v>99351180</v>
      </c>
      <c r="R524" s="68" t="s">
        <v>509</v>
      </c>
    </row>
    <row r="525" spans="1:19">
      <c r="L525" s="175">
        <v>4605205</v>
      </c>
      <c r="M525" s="4">
        <v>24432561</v>
      </c>
      <c r="N525" s="265">
        <v>4799639</v>
      </c>
      <c r="O525" s="283">
        <v>77232</v>
      </c>
      <c r="P525" s="3">
        <f>SUM(K525:O525)</f>
        <v>33914637</v>
      </c>
      <c r="Q525" s="3">
        <v>33629329</v>
      </c>
      <c r="R525" s="68" t="s">
        <v>438</v>
      </c>
      <c r="S525" s="4">
        <f>P517+S521+S520</f>
        <v>412545120</v>
      </c>
    </row>
    <row r="526" spans="1:19">
      <c r="K526" s="3" t="s">
        <v>468</v>
      </c>
      <c r="L526" s="175">
        <v>1944000</v>
      </c>
      <c r="M526" s="4">
        <v>175386010</v>
      </c>
      <c r="N526" s="170">
        <v>15173780</v>
      </c>
      <c r="O526" s="283">
        <v>119000</v>
      </c>
      <c r="P526" s="4">
        <f>SUM(K526:O526)</f>
        <v>192622790</v>
      </c>
      <c r="Q526" s="4">
        <v>192621028</v>
      </c>
      <c r="R526" t="s">
        <v>466</v>
      </c>
      <c r="S526" s="4">
        <f>R517-S525</f>
        <v>-58535750</v>
      </c>
    </row>
    <row r="527" spans="1:19">
      <c r="L527" s="175">
        <v>982012</v>
      </c>
      <c r="M527" s="4">
        <v>91375856</v>
      </c>
      <c r="N527" s="170">
        <v>4893802</v>
      </c>
      <c r="O527" s="283">
        <v>21300</v>
      </c>
      <c r="P527" s="4">
        <f>SUM(K527:O527)</f>
        <v>97272970</v>
      </c>
      <c r="Q527" s="4">
        <v>97200413</v>
      </c>
      <c r="R527" s="537"/>
      <c r="S527" s="537"/>
    </row>
    <row r="528" spans="1:19">
      <c r="L528" s="4"/>
      <c r="N528" s="276"/>
      <c r="O528" s="4"/>
      <c r="Q528" s="4"/>
    </row>
    <row r="529" spans="1:17">
      <c r="L529" s="177">
        <f>L524+L526</f>
        <v>15501800</v>
      </c>
      <c r="M529" s="4">
        <f>M524+M526</f>
        <v>238075510</v>
      </c>
      <c r="N529" s="172">
        <f>N524+N526</f>
        <v>37884750</v>
      </c>
      <c r="O529" s="276">
        <f>O524+O526</f>
        <v>512000</v>
      </c>
      <c r="P529" s="4">
        <f>SUM(K529:O529)</f>
        <v>291974060</v>
      </c>
      <c r="Q529" s="4"/>
    </row>
    <row r="530" spans="1:17" s="4" customFormat="1">
      <c r="A530"/>
      <c r="B530" s="1"/>
      <c r="C530" s="2"/>
      <c r="D530" s="1"/>
      <c r="E530" s="1"/>
      <c r="F530" s="1"/>
      <c r="G530" s="1"/>
      <c r="H530" s="1"/>
      <c r="I530" s="1"/>
      <c r="J530" s="1"/>
      <c r="K530" s="3"/>
      <c r="L530" s="177">
        <f t="shared" ref="L530:O530" si="111">L525+L527</f>
        <v>5587217</v>
      </c>
      <c r="M530" s="4">
        <f t="shared" si="111"/>
        <v>115808417</v>
      </c>
      <c r="N530" s="172">
        <f t="shared" si="111"/>
        <v>9693441</v>
      </c>
      <c r="O530" s="276">
        <f t="shared" si="111"/>
        <v>98532</v>
      </c>
      <c r="P530" s="4">
        <f>SUM(K530:O530)</f>
        <v>131187607</v>
      </c>
    </row>
  </sheetData>
  <mergeCells count="37">
    <mergeCell ref="H85:I85"/>
    <mergeCell ref="L6:M6"/>
    <mergeCell ref="B13:B21"/>
    <mergeCell ref="B25:B28"/>
    <mergeCell ref="L47:M47"/>
    <mergeCell ref="L67:M67"/>
    <mergeCell ref="B217:B218"/>
    <mergeCell ref="L87:M87"/>
    <mergeCell ref="L106:M106"/>
    <mergeCell ref="L122:M122"/>
    <mergeCell ref="L128:M128"/>
    <mergeCell ref="L136:M136"/>
    <mergeCell ref="L149:M149"/>
    <mergeCell ref="L170:M170"/>
    <mergeCell ref="B177:B178"/>
    <mergeCell ref="B200:B201"/>
    <mergeCell ref="B204:B205"/>
    <mergeCell ref="B215:B216"/>
    <mergeCell ref="B310:B312"/>
    <mergeCell ref="B220:B222"/>
    <mergeCell ref="D225:D227"/>
    <mergeCell ref="L228:N228"/>
    <mergeCell ref="L235:M235"/>
    <mergeCell ref="L251:M251"/>
    <mergeCell ref="L265:M265"/>
    <mergeCell ref="B266:B267"/>
    <mergeCell ref="B280:B281"/>
    <mergeCell ref="B283:B285"/>
    <mergeCell ref="B297:B300"/>
    <mergeCell ref="B307:B308"/>
    <mergeCell ref="I496:J496"/>
    <mergeCell ref="B316:B317"/>
    <mergeCell ref="B319:B320"/>
    <mergeCell ref="B326:B327"/>
    <mergeCell ref="B344:B413"/>
    <mergeCell ref="B417:B486"/>
    <mergeCell ref="B490:B494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D509-D775-470D-8B4E-8C6C77BBC1AE}">
  <dimension ref="A1:S534"/>
  <sheetViews>
    <sheetView topLeftCell="A11" zoomScale="86" zoomScaleNormal="86" workbookViewId="0">
      <selection activeCell="A28" sqref="A28:XFD28"/>
    </sheetView>
  </sheetViews>
  <sheetFormatPr defaultRowHeight="16.5"/>
  <cols>
    <col min="1" max="1" width="24.625" customWidth="1"/>
    <col min="2" max="2" width="9" style="1" customWidth="1"/>
    <col min="3" max="3" width="9" style="2" customWidth="1"/>
    <col min="4" max="4" width="9.75" style="1" customWidth="1"/>
    <col min="5" max="5" width="12.375" style="1" customWidth="1"/>
    <col min="6" max="6" width="10.375" style="1" customWidth="1"/>
    <col min="7" max="7" width="10" style="1" customWidth="1"/>
    <col min="8" max="8" width="9.25" style="1" customWidth="1"/>
    <col min="9" max="9" width="9" style="1" customWidth="1"/>
    <col min="10" max="10" width="7.5" style="1" customWidth="1"/>
    <col min="11" max="12" width="14" style="3" customWidth="1"/>
    <col min="13" max="14" width="14" style="4" customWidth="1"/>
    <col min="15" max="15" width="14" style="276" customWidth="1"/>
    <col min="16" max="16" width="14" style="4" customWidth="1"/>
    <col min="17" max="17" width="15.25" style="5" customWidth="1"/>
    <col min="18" max="18" width="16.25" style="4" customWidth="1"/>
    <col min="19" max="19" width="16.125" style="4" customWidth="1"/>
    <col min="20" max="1000" width="8.375" customWidth="1"/>
  </cols>
  <sheetData>
    <row r="1" spans="1:19">
      <c r="F1" s="381" t="s">
        <v>620</v>
      </c>
      <c r="G1" s="546" t="s">
        <v>621</v>
      </c>
    </row>
    <row r="2" spans="1:19" ht="24">
      <c r="A2" s="6"/>
      <c r="F2" s="20" t="s">
        <v>798</v>
      </c>
      <c r="G2" s="7" t="s">
        <v>629</v>
      </c>
    </row>
    <row r="3" spans="1:19">
      <c r="A3" s="8"/>
      <c r="C3" s="1" t="s">
        <v>2</v>
      </c>
      <c r="D3" s="9"/>
      <c r="E3" s="10" t="s">
        <v>791</v>
      </c>
      <c r="F3" s="7" t="s">
        <v>983</v>
      </c>
      <c r="G3" s="7" t="s">
        <v>657</v>
      </c>
      <c r="H3" s="12" t="s">
        <v>464</v>
      </c>
      <c r="I3" s="7"/>
      <c r="J3" s="13" t="s">
        <v>6</v>
      </c>
    </row>
    <row r="4" spans="1:19" s="185" customFormat="1">
      <c r="B4" s="186"/>
      <c r="C4" s="187"/>
      <c r="D4" s="388"/>
      <c r="E4" s="15" t="s">
        <v>981</v>
      </c>
      <c r="F4" s="20" t="s">
        <v>420</v>
      </c>
      <c r="G4" s="378" t="s">
        <v>419</v>
      </c>
      <c r="H4" s="20"/>
      <c r="I4" s="7"/>
      <c r="J4" s="17"/>
      <c r="K4" s="188"/>
      <c r="L4" s="188"/>
      <c r="M4" s="189"/>
      <c r="N4" s="189"/>
      <c r="O4" s="277"/>
      <c r="P4" s="189"/>
      <c r="Q4" s="190"/>
      <c r="R4" s="189"/>
      <c r="S4" s="189"/>
    </row>
    <row r="5" spans="1:19">
      <c r="C5" s="18"/>
      <c r="D5" s="389"/>
      <c r="E5" s="19" t="s">
        <v>454</v>
      </c>
      <c r="F5" s="20" t="s">
        <v>10</v>
      </c>
      <c r="G5" s="21" t="s">
        <v>11</v>
      </c>
      <c r="H5" s="20"/>
      <c r="I5" s="22"/>
      <c r="J5" s="23"/>
    </row>
    <row r="6" spans="1:19" ht="24">
      <c r="A6" s="24" t="s">
        <v>12</v>
      </c>
      <c r="C6" s="25"/>
      <c r="D6" s="19"/>
      <c r="E6" s="19" t="s">
        <v>706</v>
      </c>
      <c r="F6" s="184" t="s">
        <v>14</v>
      </c>
      <c r="G6" s="26" t="s">
        <v>15</v>
      </c>
      <c r="H6" s="194"/>
      <c r="I6" s="26"/>
      <c r="J6" s="27"/>
      <c r="K6" s="219" t="s">
        <v>2</v>
      </c>
      <c r="L6" s="664" t="s">
        <v>734</v>
      </c>
      <c r="M6" s="664"/>
      <c r="N6" s="348" t="s">
        <v>559</v>
      </c>
      <c r="O6" s="348" t="s">
        <v>800</v>
      </c>
      <c r="P6" s="348" t="s">
        <v>464</v>
      </c>
      <c r="Q6" s="348" t="s">
        <v>799</v>
      </c>
      <c r="R6" s="220" t="s">
        <v>18</v>
      </c>
      <c r="S6" s="220" t="s">
        <v>506</v>
      </c>
    </row>
    <row r="7" spans="1:19">
      <c r="A7" s="29" t="s">
        <v>913</v>
      </c>
      <c r="B7" s="381" t="s">
        <v>21</v>
      </c>
      <c r="C7" s="263">
        <v>75</v>
      </c>
      <c r="D7" s="235"/>
      <c r="E7" s="234"/>
      <c r="F7" s="230">
        <v>2</v>
      </c>
      <c r="G7" s="322"/>
      <c r="H7" s="236"/>
      <c r="I7" s="322"/>
      <c r="J7" s="35">
        <f>C7+D7+E7+F7+G7+I7+H7</f>
        <v>77</v>
      </c>
      <c r="K7" s="361">
        <f>C7*26300</f>
        <v>1972500</v>
      </c>
      <c r="L7" s="173">
        <f>D7*19200</f>
        <v>0</v>
      </c>
      <c r="M7" s="299">
        <f>E7*19200</f>
        <v>0</v>
      </c>
      <c r="N7" s="282"/>
      <c r="O7" s="282">
        <f>F7*21040</f>
        <v>42080</v>
      </c>
      <c r="P7" s="282"/>
      <c r="Q7" s="279"/>
      <c r="R7" s="4">
        <f>SUM(K7:Q7)</f>
        <v>2014580</v>
      </c>
      <c r="S7" s="4">
        <f>(C7+D7+E7+F7+I7+H7+G7)*8655</f>
        <v>666435</v>
      </c>
    </row>
    <row r="8" spans="1:19">
      <c r="A8" s="29" t="s">
        <v>915</v>
      </c>
      <c r="B8" s="377" t="s">
        <v>23</v>
      </c>
      <c r="C8" s="310">
        <v>5</v>
      </c>
      <c r="D8" s="235"/>
      <c r="E8" s="234"/>
      <c r="F8" s="322"/>
      <c r="G8" s="322"/>
      <c r="H8" s="236"/>
      <c r="I8" s="322"/>
      <c r="J8" s="35">
        <f t="shared" ref="J8:J23" si="0">C8+D8+E8+F8+G8+I8+H8</f>
        <v>5</v>
      </c>
      <c r="K8" s="361">
        <f t="shared" ref="K8:K11" si="1">C8*26300</f>
        <v>131500</v>
      </c>
      <c r="L8" s="173">
        <f t="shared" ref="L8:M11" si="2">D8*19200</f>
        <v>0</v>
      </c>
      <c r="M8" s="299">
        <f t="shared" si="2"/>
        <v>0</v>
      </c>
      <c r="N8" s="282"/>
      <c r="O8" s="282">
        <f t="shared" ref="O8:O12" si="3">F8*20000</f>
        <v>0</v>
      </c>
      <c r="P8" s="282"/>
      <c r="Q8" s="279"/>
      <c r="R8" s="4">
        <f t="shared" ref="R8:R23" si="4">SUM(K8:Q8)</f>
        <v>131500</v>
      </c>
      <c r="S8" s="4">
        <f>(C8+D8+E8+F8+I8+H8+G8)*8926</f>
        <v>44630</v>
      </c>
    </row>
    <row r="9" spans="1:19">
      <c r="A9" s="29" t="s">
        <v>914</v>
      </c>
      <c r="B9" s="377" t="s">
        <v>25</v>
      </c>
      <c r="C9" s="310">
        <v>5</v>
      </c>
      <c r="D9" s="235"/>
      <c r="E9" s="234"/>
      <c r="F9" s="322"/>
      <c r="G9" s="322"/>
      <c r="H9" s="236"/>
      <c r="I9" s="322"/>
      <c r="J9" s="35">
        <f t="shared" si="0"/>
        <v>5</v>
      </c>
      <c r="K9" s="361">
        <f t="shared" si="1"/>
        <v>131500</v>
      </c>
      <c r="L9" s="173">
        <f t="shared" si="2"/>
        <v>0</v>
      </c>
      <c r="M9" s="299">
        <f t="shared" si="2"/>
        <v>0</v>
      </c>
      <c r="N9" s="282"/>
      <c r="O9" s="282">
        <f t="shared" si="3"/>
        <v>0</v>
      </c>
      <c r="P9" s="282"/>
      <c r="Q9" s="279"/>
      <c r="R9" s="4">
        <f t="shared" si="4"/>
        <v>131500</v>
      </c>
      <c r="S9" s="4">
        <f>(C9+D9+E9+F9+I9+H9+G9)*8926</f>
        <v>44630</v>
      </c>
    </row>
    <row r="10" spans="1:19">
      <c r="A10" s="29" t="s">
        <v>916</v>
      </c>
      <c r="B10" s="377" t="s">
        <v>27</v>
      </c>
      <c r="C10" s="310"/>
      <c r="D10" s="235"/>
      <c r="E10" s="234">
        <v>24</v>
      </c>
      <c r="F10" s="322"/>
      <c r="G10" s="322"/>
      <c r="H10" s="236"/>
      <c r="I10" s="322"/>
      <c r="J10" s="35">
        <f t="shared" si="0"/>
        <v>24</v>
      </c>
      <c r="K10" s="361">
        <f t="shared" si="1"/>
        <v>0</v>
      </c>
      <c r="L10" s="173">
        <f t="shared" si="2"/>
        <v>0</v>
      </c>
      <c r="M10" s="299">
        <f t="shared" si="2"/>
        <v>460800</v>
      </c>
      <c r="N10" s="282"/>
      <c r="O10" s="282">
        <f t="shared" si="3"/>
        <v>0</v>
      </c>
      <c r="P10" s="282"/>
      <c r="Q10" s="279"/>
      <c r="R10" s="4">
        <f t="shared" si="4"/>
        <v>460800</v>
      </c>
      <c r="S10" s="4">
        <f>(C10+D10+E10+F10+I10+H10+G10)*8926</f>
        <v>214224</v>
      </c>
    </row>
    <row r="11" spans="1:19">
      <c r="A11" s="29" t="s">
        <v>28</v>
      </c>
      <c r="B11" s="377"/>
      <c r="C11" s="310"/>
      <c r="D11" s="235"/>
      <c r="E11" s="234"/>
      <c r="F11" s="215"/>
      <c r="G11" s="230"/>
      <c r="H11" s="236"/>
      <c r="I11" s="322"/>
      <c r="J11" s="35">
        <f t="shared" si="0"/>
        <v>0</v>
      </c>
      <c r="K11" s="361">
        <f t="shared" si="1"/>
        <v>0</v>
      </c>
      <c r="L11" s="173">
        <f t="shared" si="2"/>
        <v>0</v>
      </c>
      <c r="M11" s="299">
        <f t="shared" si="2"/>
        <v>0</v>
      </c>
      <c r="N11" s="282"/>
      <c r="O11" s="282">
        <f t="shared" si="3"/>
        <v>0</v>
      </c>
      <c r="P11" s="282"/>
      <c r="Q11" s="279"/>
      <c r="R11" s="4">
        <f t="shared" si="4"/>
        <v>0</v>
      </c>
      <c r="S11" s="4">
        <f>(C11+D11+E11+G11+F11+I11+H11)*7042</f>
        <v>0</v>
      </c>
    </row>
    <row r="12" spans="1:19">
      <c r="A12" s="29" t="s">
        <v>917</v>
      </c>
      <c r="B12" s="381" t="s">
        <v>30</v>
      </c>
      <c r="C12" s="263">
        <v>6</v>
      </c>
      <c r="D12" s="323"/>
      <c r="E12" s="324"/>
      <c r="F12" s="289"/>
      <c r="G12" s="289"/>
      <c r="H12" s="325"/>
      <c r="I12" s="289"/>
      <c r="J12" s="35">
        <f t="shared" si="0"/>
        <v>6</v>
      </c>
      <c r="K12" s="361">
        <f>C12*26300</f>
        <v>157800</v>
      </c>
      <c r="L12" s="173"/>
      <c r="M12" s="299"/>
      <c r="N12" s="282"/>
      <c r="O12" s="282">
        <f t="shared" si="3"/>
        <v>0</v>
      </c>
      <c r="P12" s="282"/>
      <c r="Q12" s="279"/>
      <c r="R12" s="4">
        <f t="shared" si="4"/>
        <v>157800</v>
      </c>
      <c r="S12" s="4">
        <f>(C12+D12+E12+F12+I12+H12+G12)*8926</f>
        <v>53556</v>
      </c>
    </row>
    <row r="13" spans="1:19" ht="16.5" customHeight="1">
      <c r="A13" s="29" t="s">
        <v>909</v>
      </c>
      <c r="B13" s="674" t="s">
        <v>801</v>
      </c>
      <c r="C13" s="263"/>
      <c r="D13" s="323"/>
      <c r="E13" s="324"/>
      <c r="F13" s="289"/>
      <c r="G13" s="289"/>
      <c r="H13" s="326"/>
      <c r="I13" s="289"/>
      <c r="J13" s="35">
        <f t="shared" si="0"/>
        <v>0</v>
      </c>
      <c r="K13" s="290">
        <f>C13*35500</f>
        <v>0</v>
      </c>
      <c r="L13" s="173"/>
      <c r="M13" s="299"/>
      <c r="N13" s="282"/>
      <c r="O13" s="282">
        <f>F13*27300</f>
        <v>0</v>
      </c>
      <c r="P13" s="282">
        <f>H13*26700</f>
        <v>0</v>
      </c>
      <c r="Q13" s="279"/>
      <c r="R13" s="4">
        <f t="shared" si="4"/>
        <v>0</v>
      </c>
      <c r="S13" s="4">
        <f>(C13+D13+E13+F13+I13+H13+G13)*14876</f>
        <v>0</v>
      </c>
    </row>
    <row r="14" spans="1:19">
      <c r="A14" s="29" t="s">
        <v>910</v>
      </c>
      <c r="B14" s="675"/>
      <c r="C14" s="263">
        <v>1</v>
      </c>
      <c r="D14" s="323"/>
      <c r="E14" s="324"/>
      <c r="F14" s="326"/>
      <c r="G14" s="289"/>
      <c r="H14" s="326"/>
      <c r="I14" s="289"/>
      <c r="J14" s="35">
        <f t="shared" si="0"/>
        <v>1</v>
      </c>
      <c r="K14" s="290">
        <f>C14*35500</f>
        <v>35500</v>
      </c>
      <c r="L14" s="173"/>
      <c r="M14" s="299">
        <f>E14*33600</f>
        <v>0</v>
      </c>
      <c r="N14" s="282"/>
      <c r="O14" s="282"/>
      <c r="P14" s="282">
        <f>H14*26700</f>
        <v>0</v>
      </c>
      <c r="Q14" s="279"/>
      <c r="R14" s="4">
        <f>SUM(K14:Q14)</f>
        <v>35500</v>
      </c>
      <c r="S14" s="4">
        <f>(C14+D14+E14+F14+I14+H14+G14)*14065</f>
        <v>14065</v>
      </c>
    </row>
    <row r="15" spans="1:19">
      <c r="A15" s="29" t="s">
        <v>911</v>
      </c>
      <c r="B15" s="675"/>
      <c r="C15" s="263">
        <v>3</v>
      </c>
      <c r="D15" s="323"/>
      <c r="E15" s="324"/>
      <c r="F15" s="326"/>
      <c r="G15" s="289"/>
      <c r="H15" s="326"/>
      <c r="I15" s="289"/>
      <c r="J15" s="35">
        <f t="shared" si="0"/>
        <v>3</v>
      </c>
      <c r="K15" s="290">
        <f>C15*35500</f>
        <v>106500</v>
      </c>
      <c r="L15" s="173"/>
      <c r="M15" s="299">
        <f>E15*33600</f>
        <v>0</v>
      </c>
      <c r="N15" s="282"/>
      <c r="O15" s="282"/>
      <c r="P15" s="282">
        <f>H15*26700</f>
        <v>0</v>
      </c>
      <c r="Q15" s="279"/>
      <c r="R15" s="4">
        <f t="shared" si="4"/>
        <v>106500</v>
      </c>
      <c r="S15" s="4">
        <f>(C15+D15+E15+F15+I15+H15+G15)*14876</f>
        <v>44628</v>
      </c>
    </row>
    <row r="16" spans="1:19">
      <c r="A16" s="29" t="s">
        <v>912</v>
      </c>
      <c r="B16" s="675"/>
      <c r="C16" s="263">
        <v>8</v>
      </c>
      <c r="D16" s="323"/>
      <c r="E16" s="324"/>
      <c r="F16" s="326"/>
      <c r="G16" s="289"/>
      <c r="H16" s="326"/>
      <c r="I16" s="289"/>
      <c r="J16" s="35">
        <f t="shared" si="0"/>
        <v>8</v>
      </c>
      <c r="K16" s="290">
        <f>C16*40000</f>
        <v>320000</v>
      </c>
      <c r="L16" s="173"/>
      <c r="M16" s="299">
        <f>E16*35500</f>
        <v>0</v>
      </c>
      <c r="N16" s="282"/>
      <c r="O16" s="282"/>
      <c r="P16" s="282">
        <f>H16*30000</f>
        <v>0</v>
      </c>
      <c r="Q16" s="279"/>
      <c r="R16" s="4">
        <f>SUM(K16:Q16)</f>
        <v>320000</v>
      </c>
      <c r="S16" s="4">
        <f>(C16+D16+E16+F16+I16+H16+G16)*15958</f>
        <v>127664</v>
      </c>
    </row>
    <row r="17" spans="1:19">
      <c r="A17" s="29" t="s">
        <v>816</v>
      </c>
      <c r="B17" s="675"/>
      <c r="C17" s="263">
        <v>30</v>
      </c>
      <c r="D17" s="323"/>
      <c r="E17" s="324">
        <v>18</v>
      </c>
      <c r="F17" s="326"/>
      <c r="G17" s="289"/>
      <c r="H17" s="326"/>
      <c r="I17" s="564"/>
      <c r="J17" s="35">
        <f t="shared" si="0"/>
        <v>48</v>
      </c>
      <c r="K17" s="290">
        <f>C17*30000</f>
        <v>900000</v>
      </c>
      <c r="L17" s="173"/>
      <c r="M17" s="299">
        <f>E17*20000</f>
        <v>360000</v>
      </c>
      <c r="N17" s="282"/>
      <c r="O17" s="282"/>
      <c r="P17" s="282">
        <f>H17*19800</f>
        <v>0</v>
      </c>
      <c r="Q17" s="279"/>
      <c r="R17" s="4">
        <f t="shared" si="4"/>
        <v>1260000</v>
      </c>
      <c r="S17" s="4">
        <f>(C17+D17+E17+F17+I17+H17+G17)*13262</f>
        <v>636576</v>
      </c>
    </row>
    <row r="18" spans="1:19">
      <c r="A18" s="29" t="s">
        <v>908</v>
      </c>
      <c r="B18" s="675"/>
      <c r="C18" s="263">
        <v>2</v>
      </c>
      <c r="D18" s="323"/>
      <c r="E18" s="324">
        <v>1</v>
      </c>
      <c r="F18" s="289"/>
      <c r="G18" s="289"/>
      <c r="H18" s="326"/>
      <c r="I18" s="289"/>
      <c r="J18" s="35">
        <f t="shared" si="0"/>
        <v>3</v>
      </c>
      <c r="K18" s="290">
        <f>C18*190000</f>
        <v>380000</v>
      </c>
      <c r="L18" s="173"/>
      <c r="M18" s="299">
        <f>E18*154000</f>
        <v>154000</v>
      </c>
      <c r="N18" s="282"/>
      <c r="O18" s="282"/>
      <c r="P18" s="282">
        <f>H18*142500</f>
        <v>0</v>
      </c>
      <c r="Q18" s="279"/>
      <c r="R18" s="4">
        <f t="shared" si="4"/>
        <v>534000</v>
      </c>
      <c r="S18" s="4">
        <f>(C18+D18+E18+F18+I18+H18+G18)*89709</f>
        <v>269127</v>
      </c>
    </row>
    <row r="19" spans="1:19">
      <c r="A19" s="29" t="s">
        <v>905</v>
      </c>
      <c r="B19" s="675"/>
      <c r="C19" s="263">
        <v>1</v>
      </c>
      <c r="D19" s="323"/>
      <c r="E19" s="324">
        <v>2</v>
      </c>
      <c r="F19" s="289"/>
      <c r="G19" s="289"/>
      <c r="H19" s="326"/>
      <c r="I19" s="289"/>
      <c r="J19" s="35">
        <f t="shared" si="0"/>
        <v>3</v>
      </c>
      <c r="K19" s="290">
        <f t="shared" ref="K19:K20" si="5">C19*190000</f>
        <v>190000</v>
      </c>
      <c r="L19" s="173"/>
      <c r="M19" s="299">
        <f t="shared" ref="M19:M20" si="6">E19*154000</f>
        <v>308000</v>
      </c>
      <c r="N19" s="282"/>
      <c r="O19" s="282"/>
      <c r="P19" s="282">
        <f>H19*142500</f>
        <v>0</v>
      </c>
      <c r="Q19" s="279"/>
      <c r="R19" s="4">
        <f t="shared" si="4"/>
        <v>498000</v>
      </c>
      <c r="S19" s="4">
        <f>(C19+D19+E19+F19+I19+H19+G19)*85201</f>
        <v>255603</v>
      </c>
    </row>
    <row r="20" spans="1:19">
      <c r="A20" s="29" t="s">
        <v>906</v>
      </c>
      <c r="B20" s="675"/>
      <c r="C20" s="263">
        <v>2</v>
      </c>
      <c r="D20" s="323"/>
      <c r="E20" s="324"/>
      <c r="F20" s="289"/>
      <c r="G20" s="289"/>
      <c r="H20" s="326"/>
      <c r="I20" s="289"/>
      <c r="J20" s="35">
        <f t="shared" si="0"/>
        <v>2</v>
      </c>
      <c r="K20" s="290">
        <f t="shared" si="5"/>
        <v>380000</v>
      </c>
      <c r="L20" s="173"/>
      <c r="M20" s="299">
        <f t="shared" si="6"/>
        <v>0</v>
      </c>
      <c r="N20" s="282"/>
      <c r="O20" s="282"/>
      <c r="P20" s="282">
        <f>H20*142500</f>
        <v>0</v>
      </c>
      <c r="Q20" s="279"/>
      <c r="R20" s="4">
        <f t="shared" si="4"/>
        <v>380000</v>
      </c>
      <c r="S20" s="4">
        <f>(C20+D20+E20+F20+I20+H20+G20)*89709</f>
        <v>179418</v>
      </c>
    </row>
    <row r="21" spans="1:19">
      <c r="A21" s="29" t="s">
        <v>907</v>
      </c>
      <c r="B21" s="676"/>
      <c r="C21" s="263">
        <v>9</v>
      </c>
      <c r="D21" s="323"/>
      <c r="E21" s="324">
        <v>3</v>
      </c>
      <c r="F21" s="289"/>
      <c r="G21" s="289"/>
      <c r="H21" s="326"/>
      <c r="I21" s="289"/>
      <c r="J21" s="35">
        <f t="shared" si="0"/>
        <v>12</v>
      </c>
      <c r="K21" s="290">
        <f>C21*206000</f>
        <v>1854000</v>
      </c>
      <c r="L21" s="173"/>
      <c r="M21" s="299">
        <f>E21*171000</f>
        <v>513000</v>
      </c>
      <c r="N21" s="282"/>
      <c r="O21" s="282"/>
      <c r="P21" s="282">
        <f>H21*154500</f>
        <v>0</v>
      </c>
      <c r="Q21" s="279"/>
      <c r="R21" s="4">
        <f t="shared" si="4"/>
        <v>2367000</v>
      </c>
      <c r="S21" s="4">
        <f>(C21+D21+E21+F21+I21+H21+G21)*96471</f>
        <v>1157652</v>
      </c>
    </row>
    <row r="22" spans="1:19">
      <c r="A22" s="29" t="s">
        <v>376</v>
      </c>
      <c r="B22" s="222"/>
      <c r="C22" s="31"/>
      <c r="D22" s="37"/>
      <c r="E22" s="38"/>
      <c r="F22" s="40"/>
      <c r="G22" s="39"/>
      <c r="H22" s="196"/>
      <c r="I22" s="39"/>
      <c r="J22" s="35">
        <f t="shared" si="0"/>
        <v>0</v>
      </c>
      <c r="K22" s="290">
        <f>C22*25000</f>
        <v>0</v>
      </c>
      <c r="L22" s="173"/>
      <c r="M22" s="299"/>
      <c r="N22" s="282"/>
      <c r="O22" s="282"/>
      <c r="P22" s="282"/>
      <c r="Q22" s="279"/>
      <c r="R22" s="4">
        <f t="shared" si="4"/>
        <v>0</v>
      </c>
      <c r="S22" s="4">
        <f>(C22+D22+E22+F22+I22+H22+G22)*6110</f>
        <v>0</v>
      </c>
    </row>
    <row r="23" spans="1:19">
      <c r="A23" s="223" t="s">
        <v>361</v>
      </c>
      <c r="B23" s="222"/>
      <c r="C23" s="31"/>
      <c r="D23" s="37"/>
      <c r="E23" s="38"/>
      <c r="F23" s="40"/>
      <c r="G23" s="39"/>
      <c r="H23" s="196"/>
      <c r="I23" s="39"/>
      <c r="J23" s="35">
        <f t="shared" si="0"/>
        <v>0</v>
      </c>
      <c r="K23" s="291">
        <f>C23*25000</f>
        <v>0</v>
      </c>
      <c r="L23" s="173"/>
      <c r="M23" s="299"/>
      <c r="N23" s="282"/>
      <c r="O23" s="282"/>
      <c r="P23" s="282"/>
      <c r="Q23" s="279"/>
      <c r="R23" s="4">
        <f t="shared" si="4"/>
        <v>0</v>
      </c>
      <c r="S23" s="4">
        <f>(C23+D23+E23+F23+I23+H23+G23)*7100</f>
        <v>0</v>
      </c>
    </row>
    <row r="24" spans="1:19" s="24" customFormat="1">
      <c r="A24" s="439" t="s">
        <v>31</v>
      </c>
      <c r="B24" s="440"/>
      <c r="C24" s="441">
        <f t="shared" ref="C24:S24" si="7">SUM(C7:C23)</f>
        <v>147</v>
      </c>
      <c r="D24" s="441">
        <f t="shared" si="7"/>
        <v>0</v>
      </c>
      <c r="E24" s="441">
        <f t="shared" si="7"/>
        <v>48</v>
      </c>
      <c r="F24" s="441">
        <f t="shared" si="7"/>
        <v>2</v>
      </c>
      <c r="G24" s="441">
        <f t="shared" si="7"/>
        <v>0</v>
      </c>
      <c r="H24" s="441">
        <f t="shared" si="7"/>
        <v>0</v>
      </c>
      <c r="I24" s="441">
        <f t="shared" si="7"/>
        <v>0</v>
      </c>
      <c r="J24" s="442">
        <f t="shared" si="7"/>
        <v>197</v>
      </c>
      <c r="K24" s="443">
        <f>SUM(K7:K23)</f>
        <v>6559300</v>
      </c>
      <c r="L24" s="444">
        <f t="shared" si="7"/>
        <v>0</v>
      </c>
      <c r="M24" s="445">
        <f t="shared" si="7"/>
        <v>1795800</v>
      </c>
      <c r="N24" s="446">
        <f t="shared" si="7"/>
        <v>0</v>
      </c>
      <c r="O24" s="446">
        <f t="shared" si="7"/>
        <v>42080</v>
      </c>
      <c r="P24" s="446">
        <f t="shared" si="7"/>
        <v>0</v>
      </c>
      <c r="Q24" s="446">
        <f t="shared" si="7"/>
        <v>0</v>
      </c>
      <c r="R24" s="447">
        <f t="shared" si="7"/>
        <v>8397180</v>
      </c>
      <c r="S24" s="448">
        <f t="shared" si="7"/>
        <v>3708208</v>
      </c>
    </row>
    <row r="25" spans="1:19" s="24" customFormat="1">
      <c r="A25" s="85" t="s">
        <v>880</v>
      </c>
      <c r="B25" s="678" t="s">
        <v>879</v>
      </c>
      <c r="C25" s="310">
        <v>2</v>
      </c>
      <c r="D25" s="326"/>
      <c r="E25" s="310"/>
      <c r="F25" s="327"/>
      <c r="G25" s="326">
        <v>1</v>
      </c>
      <c r="H25" s="325"/>
      <c r="I25" s="564"/>
      <c r="J25" s="35">
        <f>SUM(C25:I25)</f>
        <v>3</v>
      </c>
      <c r="K25" s="361">
        <f>C25*6200</f>
        <v>12400</v>
      </c>
      <c r="L25" s="305"/>
      <c r="M25" s="300"/>
      <c r="N25" s="282">
        <f>F25*5580</f>
        <v>0</v>
      </c>
      <c r="O25" s="282">
        <f>G25*4340</f>
        <v>4340</v>
      </c>
      <c r="P25" s="210"/>
      <c r="Q25" s="5"/>
      <c r="R25" s="4">
        <f>SUM(K25:Q25)</f>
        <v>16740</v>
      </c>
      <c r="S25" s="42">
        <f>(C25+D25+E25+F25+I25+G25+H25)*3923</f>
        <v>11769</v>
      </c>
    </row>
    <row r="26" spans="1:19" s="24" customFormat="1">
      <c r="A26" s="85" t="s">
        <v>881</v>
      </c>
      <c r="B26" s="679"/>
      <c r="C26" s="310">
        <v>6</v>
      </c>
      <c r="D26" s="326"/>
      <c r="E26" s="310"/>
      <c r="F26" s="327"/>
      <c r="G26" s="326">
        <v>1</v>
      </c>
      <c r="H26" s="325"/>
      <c r="I26" s="564"/>
      <c r="J26" s="35">
        <f t="shared" ref="J26:J43" si="8">SUM(C26:I26)</f>
        <v>7</v>
      </c>
      <c r="K26" s="361">
        <f t="shared" ref="K26:K28" si="9">C26*6200</f>
        <v>37200</v>
      </c>
      <c r="L26" s="305"/>
      <c r="M26" s="300"/>
      <c r="N26" s="282">
        <f t="shared" ref="N26:N28" si="10">F26*5580</f>
        <v>0</v>
      </c>
      <c r="O26" s="282">
        <f t="shared" ref="O26:O28" si="11">G26*4340</f>
        <v>4340</v>
      </c>
      <c r="P26" s="210"/>
      <c r="Q26" s="5"/>
      <c r="R26" s="4">
        <f t="shared" ref="R26:R41" si="12">SUM(K26:Q26)</f>
        <v>41540</v>
      </c>
      <c r="S26" s="42">
        <f>(C26+D26+E26+F26+I26+G26+H26)*3923</f>
        <v>27461</v>
      </c>
    </row>
    <row r="27" spans="1:19" s="24" customFormat="1">
      <c r="A27" s="85" t="s">
        <v>882</v>
      </c>
      <c r="B27" s="679"/>
      <c r="C27" s="310">
        <v>1</v>
      </c>
      <c r="D27" s="326"/>
      <c r="E27" s="310"/>
      <c r="F27" s="327">
        <v>5</v>
      </c>
      <c r="G27" s="326"/>
      <c r="H27" s="325"/>
      <c r="I27" s="564"/>
      <c r="J27" s="35">
        <f t="shared" si="8"/>
        <v>6</v>
      </c>
      <c r="K27" s="361">
        <f t="shared" si="9"/>
        <v>6200</v>
      </c>
      <c r="L27" s="305"/>
      <c r="M27" s="300"/>
      <c r="N27" s="282">
        <f t="shared" si="10"/>
        <v>27900</v>
      </c>
      <c r="O27" s="282">
        <f t="shared" si="11"/>
        <v>0</v>
      </c>
      <c r="P27" s="210"/>
      <c r="Q27" s="5"/>
      <c r="R27" s="4">
        <f t="shared" si="12"/>
        <v>34100</v>
      </c>
      <c r="S27" s="42">
        <f>(C27+D27+E27+F27+I27+G27+H27)*3923</f>
        <v>23538</v>
      </c>
    </row>
    <row r="28" spans="1:19" s="24" customFormat="1">
      <c r="A28" s="85" t="s">
        <v>883</v>
      </c>
      <c r="B28" s="680"/>
      <c r="C28" s="310">
        <v>6</v>
      </c>
      <c r="D28" s="326"/>
      <c r="E28" s="310"/>
      <c r="F28" s="327">
        <v>7</v>
      </c>
      <c r="G28" s="326"/>
      <c r="H28" s="325"/>
      <c r="I28" s="564"/>
      <c r="J28" s="35">
        <f t="shared" si="8"/>
        <v>13</v>
      </c>
      <c r="K28" s="361">
        <f t="shared" si="9"/>
        <v>37200</v>
      </c>
      <c r="L28" s="305"/>
      <c r="M28" s="300"/>
      <c r="N28" s="282">
        <f t="shared" si="10"/>
        <v>39060</v>
      </c>
      <c r="O28" s="282">
        <f t="shared" si="11"/>
        <v>0</v>
      </c>
      <c r="P28" s="210"/>
      <c r="Q28" s="5"/>
      <c r="R28" s="4">
        <f t="shared" si="12"/>
        <v>76260</v>
      </c>
      <c r="S28" s="42">
        <f>(C28+D28+E28+F28+I28+G28+H28)*3923</f>
        <v>50999</v>
      </c>
    </row>
    <row r="29" spans="1:19">
      <c r="A29" s="29" t="s">
        <v>931</v>
      </c>
      <c r="B29" s="381" t="s">
        <v>34</v>
      </c>
      <c r="C29" s="258">
        <v>44</v>
      </c>
      <c r="D29" s="235"/>
      <c r="E29" s="234">
        <v>153</v>
      </c>
      <c r="F29" s="215">
        <v>917</v>
      </c>
      <c r="G29" s="215"/>
      <c r="H29" s="215"/>
      <c r="I29" s="238"/>
      <c r="J29" s="35">
        <f t="shared" si="8"/>
        <v>1114</v>
      </c>
      <c r="K29" s="361">
        <f>C29*40000</f>
        <v>1760000</v>
      </c>
      <c r="L29" s="173">
        <f>D29*30800</f>
        <v>0</v>
      </c>
      <c r="M29" s="299">
        <f>E29*30800</f>
        <v>4712400</v>
      </c>
      <c r="N29" s="276">
        <f>F29*34000</f>
        <v>31178000</v>
      </c>
      <c r="O29" s="282"/>
      <c r="P29" s="285">
        <f>H29*34000</f>
        <v>0</v>
      </c>
      <c r="Q29" s="285"/>
      <c r="R29" s="4">
        <f t="shared" si="12"/>
        <v>37650400</v>
      </c>
      <c r="S29" s="42">
        <f>(C29+D29+E29+F29+I29+G29+H29)*17852</f>
        <v>19887128</v>
      </c>
    </row>
    <row r="30" spans="1:19">
      <c r="A30" s="29" t="s">
        <v>901</v>
      </c>
      <c r="B30" s="382" t="s">
        <v>36</v>
      </c>
      <c r="C30" s="262">
        <v>58</v>
      </c>
      <c r="D30" s="235"/>
      <c r="E30" s="234">
        <v>312</v>
      </c>
      <c r="F30" s="230">
        <v>773</v>
      </c>
      <c r="G30" s="230"/>
      <c r="H30" s="230"/>
      <c r="I30" s="322"/>
      <c r="J30" s="35">
        <f t="shared" si="8"/>
        <v>1143</v>
      </c>
      <c r="K30" s="361">
        <f>C30*37800</f>
        <v>2192400</v>
      </c>
      <c r="L30" s="173">
        <f>D30*27800</f>
        <v>0</v>
      </c>
      <c r="M30" s="299">
        <f t="shared" ref="M30:M41" si="13">E30*27800</f>
        <v>8673600</v>
      </c>
      <c r="N30" s="276">
        <f>F30*32130</f>
        <v>24836490</v>
      </c>
      <c r="O30" s="282"/>
      <c r="P30" s="285">
        <f>H30*32130</f>
        <v>0</v>
      </c>
      <c r="Q30" s="285"/>
      <c r="R30" s="4">
        <f t="shared" si="12"/>
        <v>35702490</v>
      </c>
      <c r="S30" s="42">
        <f>(C30+D30+E30+F30+I30+G30+H30)*15958</f>
        <v>18239994</v>
      </c>
    </row>
    <row r="31" spans="1:19">
      <c r="A31" s="29" t="s">
        <v>918</v>
      </c>
      <c r="B31" s="381" t="s">
        <v>38</v>
      </c>
      <c r="C31" s="263">
        <v>31</v>
      </c>
      <c r="D31" s="235"/>
      <c r="E31" s="234">
        <v>104</v>
      </c>
      <c r="F31" s="230">
        <v>670</v>
      </c>
      <c r="G31" s="230"/>
      <c r="H31" s="230"/>
      <c r="I31" s="330"/>
      <c r="J31" s="35">
        <f t="shared" si="8"/>
        <v>805</v>
      </c>
      <c r="K31" s="361">
        <f t="shared" ref="K31:K41" si="14">C31*37800</f>
        <v>1171800</v>
      </c>
      <c r="L31" s="173">
        <f t="shared" ref="L31:L41" si="15">D31*27800</f>
        <v>0</v>
      </c>
      <c r="M31" s="299">
        <f t="shared" si="13"/>
        <v>2891200</v>
      </c>
      <c r="N31" s="276">
        <f t="shared" ref="N31:N41" si="16">F31*32130</f>
        <v>21527100</v>
      </c>
      <c r="O31" s="282"/>
      <c r="P31" s="285">
        <f t="shared" ref="P31:P41" si="17">H31*32130</f>
        <v>0</v>
      </c>
      <c r="Q31" s="285"/>
      <c r="R31" s="4">
        <f t="shared" si="12"/>
        <v>25590100</v>
      </c>
      <c r="S31" s="42">
        <f>(C31+D31+E31+F31+I31+G31+H31)*15958</f>
        <v>12846190</v>
      </c>
    </row>
    <row r="32" spans="1:19">
      <c r="A32" s="29" t="s">
        <v>919</v>
      </c>
      <c r="B32" s="377" t="s">
        <v>40</v>
      </c>
      <c r="C32" s="263">
        <v>15</v>
      </c>
      <c r="D32" s="235"/>
      <c r="E32" s="234">
        <v>93</v>
      </c>
      <c r="F32" s="215">
        <v>216</v>
      </c>
      <c r="G32" s="215"/>
      <c r="H32" s="215"/>
      <c r="I32" s="329"/>
      <c r="J32" s="35">
        <f t="shared" si="8"/>
        <v>324</v>
      </c>
      <c r="K32" s="361">
        <f t="shared" si="14"/>
        <v>567000</v>
      </c>
      <c r="L32" s="173">
        <f t="shared" si="15"/>
        <v>0</v>
      </c>
      <c r="M32" s="299">
        <f t="shared" si="13"/>
        <v>2585400</v>
      </c>
      <c r="N32" s="276">
        <f t="shared" si="16"/>
        <v>6940080</v>
      </c>
      <c r="O32" s="282"/>
      <c r="P32" s="285">
        <f t="shared" si="17"/>
        <v>0</v>
      </c>
      <c r="Q32" s="285"/>
      <c r="R32" s="4">
        <f t="shared" si="12"/>
        <v>10092480</v>
      </c>
      <c r="S32" s="42">
        <f>(C32+D32+E32+F32+I32+G32+H32)*15958</f>
        <v>5170392</v>
      </c>
    </row>
    <row r="33" spans="1:19">
      <c r="A33" s="43" t="s">
        <v>899</v>
      </c>
      <c r="B33" s="381" t="s">
        <v>701</v>
      </c>
      <c r="C33" s="263">
        <v>11</v>
      </c>
      <c r="D33" s="235"/>
      <c r="E33" s="234">
        <v>100</v>
      </c>
      <c r="F33" s="230">
        <v>268</v>
      </c>
      <c r="G33" s="230">
        <v>1</v>
      </c>
      <c r="H33" s="230"/>
      <c r="I33" s="322"/>
      <c r="J33" s="35">
        <f t="shared" si="8"/>
        <v>380</v>
      </c>
      <c r="K33" s="361">
        <f t="shared" si="14"/>
        <v>415800</v>
      </c>
      <c r="L33" s="173">
        <f t="shared" si="15"/>
        <v>0</v>
      </c>
      <c r="M33" s="299">
        <f t="shared" si="13"/>
        <v>2780000</v>
      </c>
      <c r="N33" s="276">
        <f t="shared" si="16"/>
        <v>8610840</v>
      </c>
      <c r="O33" s="282">
        <f>G33*30240</f>
        <v>30240</v>
      </c>
      <c r="P33" s="285">
        <f t="shared" si="17"/>
        <v>0</v>
      </c>
      <c r="Q33" s="285"/>
      <c r="R33" s="4">
        <f t="shared" si="12"/>
        <v>11836880</v>
      </c>
      <c r="S33" s="42">
        <f t="shared" ref="S33:S38" si="18">(C33+D33+E33+F33+I33+G33+H33)*16680</f>
        <v>6338400</v>
      </c>
    </row>
    <row r="34" spans="1:19">
      <c r="A34" s="29" t="s">
        <v>900</v>
      </c>
      <c r="B34" s="381" t="s">
        <v>43</v>
      </c>
      <c r="C34" s="263">
        <v>27</v>
      </c>
      <c r="D34" s="235"/>
      <c r="E34" s="234">
        <v>104</v>
      </c>
      <c r="F34" s="230">
        <v>419</v>
      </c>
      <c r="G34" s="230"/>
      <c r="H34" s="230"/>
      <c r="I34" s="322"/>
      <c r="J34" s="35">
        <f t="shared" si="8"/>
        <v>550</v>
      </c>
      <c r="K34" s="361">
        <f t="shared" si="14"/>
        <v>1020600</v>
      </c>
      <c r="L34" s="173">
        <f t="shared" si="15"/>
        <v>0</v>
      </c>
      <c r="M34" s="299">
        <f t="shared" si="13"/>
        <v>2891200</v>
      </c>
      <c r="N34" s="276">
        <f t="shared" si="16"/>
        <v>13462470</v>
      </c>
      <c r="O34" s="282"/>
      <c r="P34" s="285">
        <f t="shared" si="17"/>
        <v>0</v>
      </c>
      <c r="Q34" s="285"/>
      <c r="R34" s="4">
        <f t="shared" si="12"/>
        <v>17374270</v>
      </c>
      <c r="S34" s="42">
        <f t="shared" si="18"/>
        <v>9174000</v>
      </c>
    </row>
    <row r="35" spans="1:19">
      <c r="A35" s="29" t="s">
        <v>903</v>
      </c>
      <c r="B35" s="377" t="s">
        <v>45</v>
      </c>
      <c r="C35" s="263"/>
      <c r="D35" s="235"/>
      <c r="E35" s="234"/>
      <c r="F35" s="230"/>
      <c r="G35" s="230"/>
      <c r="H35" s="230"/>
      <c r="I35" s="322"/>
      <c r="J35" s="35">
        <f t="shared" si="8"/>
        <v>0</v>
      </c>
      <c r="K35" s="361">
        <f t="shared" si="14"/>
        <v>0</v>
      </c>
      <c r="L35" s="173">
        <f t="shared" si="15"/>
        <v>0</v>
      </c>
      <c r="M35" s="299">
        <f t="shared" si="13"/>
        <v>0</v>
      </c>
      <c r="N35" s="276">
        <f t="shared" si="16"/>
        <v>0</v>
      </c>
      <c r="O35" s="282"/>
      <c r="P35" s="285">
        <f t="shared" si="17"/>
        <v>0</v>
      </c>
      <c r="Q35" s="285"/>
      <c r="R35" s="4">
        <f t="shared" si="12"/>
        <v>0</v>
      </c>
      <c r="S35" s="42">
        <f t="shared" si="18"/>
        <v>0</v>
      </c>
    </row>
    <row r="36" spans="1:19">
      <c r="A36" s="29" t="s">
        <v>920</v>
      </c>
      <c r="B36" s="377" t="s">
        <v>47</v>
      </c>
      <c r="C36" s="263">
        <v>7</v>
      </c>
      <c r="D36" s="235"/>
      <c r="E36" s="234">
        <v>9</v>
      </c>
      <c r="F36" s="230">
        <v>43</v>
      </c>
      <c r="G36" s="230"/>
      <c r="H36" s="230"/>
      <c r="I36" s="322"/>
      <c r="J36" s="35">
        <f t="shared" si="8"/>
        <v>59</v>
      </c>
      <c r="K36" s="361">
        <f t="shared" si="14"/>
        <v>264600</v>
      </c>
      <c r="L36" s="173">
        <f t="shared" si="15"/>
        <v>0</v>
      </c>
      <c r="M36" s="299">
        <f t="shared" si="13"/>
        <v>250200</v>
      </c>
      <c r="N36" s="276">
        <f t="shared" si="16"/>
        <v>1381590</v>
      </c>
      <c r="O36" s="282"/>
      <c r="P36" s="285">
        <f t="shared" si="17"/>
        <v>0</v>
      </c>
      <c r="Q36" s="285"/>
      <c r="R36" s="4">
        <f t="shared" si="12"/>
        <v>1896390</v>
      </c>
      <c r="S36" s="42">
        <f t="shared" si="18"/>
        <v>984120</v>
      </c>
    </row>
    <row r="37" spans="1:19">
      <c r="A37" s="29" t="s">
        <v>904</v>
      </c>
      <c r="B37" s="377" t="s">
        <v>727</v>
      </c>
      <c r="C37" s="310">
        <v>6</v>
      </c>
      <c r="D37" s="235"/>
      <c r="E37" s="234">
        <v>50</v>
      </c>
      <c r="F37" s="215">
        <v>135</v>
      </c>
      <c r="G37" s="215"/>
      <c r="H37" s="215"/>
      <c r="I37" s="329"/>
      <c r="J37" s="35">
        <f t="shared" si="8"/>
        <v>191</v>
      </c>
      <c r="K37" s="361">
        <f t="shared" si="14"/>
        <v>226800</v>
      </c>
      <c r="L37" s="173">
        <f t="shared" si="15"/>
        <v>0</v>
      </c>
      <c r="M37" s="299">
        <f t="shared" si="13"/>
        <v>1390000</v>
      </c>
      <c r="N37" s="276">
        <f t="shared" si="16"/>
        <v>4337550</v>
      </c>
      <c r="O37" s="282"/>
      <c r="P37" s="285">
        <f t="shared" si="17"/>
        <v>0</v>
      </c>
      <c r="Q37" s="285"/>
      <c r="R37" s="4">
        <f t="shared" si="12"/>
        <v>5954350</v>
      </c>
      <c r="S37" s="42">
        <f t="shared" si="18"/>
        <v>3185880</v>
      </c>
    </row>
    <row r="38" spans="1:19">
      <c r="A38" s="29" t="s">
        <v>898</v>
      </c>
      <c r="B38" s="381" t="s">
        <v>50</v>
      </c>
      <c r="C38" s="310">
        <v>5</v>
      </c>
      <c r="D38" s="235"/>
      <c r="E38" s="234">
        <v>11</v>
      </c>
      <c r="F38" s="230">
        <v>46</v>
      </c>
      <c r="G38" s="230"/>
      <c r="H38" s="230"/>
      <c r="I38" s="322"/>
      <c r="J38" s="35">
        <f t="shared" si="8"/>
        <v>62</v>
      </c>
      <c r="K38" s="361">
        <f t="shared" si="14"/>
        <v>189000</v>
      </c>
      <c r="L38" s="173">
        <f t="shared" si="15"/>
        <v>0</v>
      </c>
      <c r="M38" s="299">
        <f t="shared" si="13"/>
        <v>305800</v>
      </c>
      <c r="N38" s="276">
        <f t="shared" si="16"/>
        <v>1477980</v>
      </c>
      <c r="O38" s="282"/>
      <c r="P38" s="285">
        <f t="shared" si="17"/>
        <v>0</v>
      </c>
      <c r="Q38" s="285"/>
      <c r="R38" s="4">
        <f t="shared" si="12"/>
        <v>1972780</v>
      </c>
      <c r="S38" s="42">
        <f t="shared" si="18"/>
        <v>1034160</v>
      </c>
    </row>
    <row r="39" spans="1:19">
      <c r="A39" s="29" t="s">
        <v>51</v>
      </c>
      <c r="B39" s="377" t="s">
        <v>52</v>
      </c>
      <c r="C39" s="310"/>
      <c r="D39" s="235"/>
      <c r="E39" s="234"/>
      <c r="F39" s="215"/>
      <c r="G39" s="215"/>
      <c r="H39" s="215"/>
      <c r="I39" s="329"/>
      <c r="J39" s="35">
        <f t="shared" si="8"/>
        <v>0</v>
      </c>
      <c r="K39" s="361">
        <f t="shared" si="14"/>
        <v>0</v>
      </c>
      <c r="L39" s="173">
        <f t="shared" si="15"/>
        <v>0</v>
      </c>
      <c r="M39" s="299">
        <f t="shared" si="13"/>
        <v>0</v>
      </c>
      <c r="N39" s="276">
        <f t="shared" si="16"/>
        <v>0</v>
      </c>
      <c r="O39" s="282"/>
      <c r="P39" s="285">
        <f t="shared" si="17"/>
        <v>0</v>
      </c>
      <c r="Q39" s="285"/>
      <c r="R39" s="4">
        <f t="shared" si="12"/>
        <v>0</v>
      </c>
      <c r="S39" s="42">
        <f>(C39+D39+E39+F39+I39+G39+H39)*15688</f>
        <v>0</v>
      </c>
    </row>
    <row r="40" spans="1:19">
      <c r="A40" s="29" t="s">
        <v>921</v>
      </c>
      <c r="B40" s="377" t="s">
        <v>54</v>
      </c>
      <c r="C40" s="263">
        <v>11</v>
      </c>
      <c r="D40" s="235"/>
      <c r="E40" s="234">
        <v>18</v>
      </c>
      <c r="F40" s="230">
        <v>217</v>
      </c>
      <c r="G40" s="230"/>
      <c r="H40" s="230"/>
      <c r="I40" s="322"/>
      <c r="J40" s="35">
        <f t="shared" si="8"/>
        <v>246</v>
      </c>
      <c r="K40" s="361">
        <f t="shared" si="14"/>
        <v>415800</v>
      </c>
      <c r="L40" s="173">
        <f t="shared" si="15"/>
        <v>0</v>
      </c>
      <c r="M40" s="299">
        <f t="shared" si="13"/>
        <v>500400</v>
      </c>
      <c r="N40" s="276">
        <f t="shared" si="16"/>
        <v>6972210</v>
      </c>
      <c r="O40" s="282"/>
      <c r="P40" s="285">
        <f t="shared" si="17"/>
        <v>0</v>
      </c>
      <c r="Q40" s="285"/>
      <c r="R40" s="4">
        <f t="shared" si="12"/>
        <v>7888410</v>
      </c>
      <c r="S40" s="42">
        <f>(C40+D40+E40+F40+I40+G40+H40)*15688</f>
        <v>3859248</v>
      </c>
    </row>
    <row r="41" spans="1:19">
      <c r="A41" s="29" t="s">
        <v>902</v>
      </c>
      <c r="B41" s="377" t="s">
        <v>396</v>
      </c>
      <c r="C41" s="263">
        <v>1</v>
      </c>
      <c r="D41" s="235"/>
      <c r="E41" s="234"/>
      <c r="F41" s="215"/>
      <c r="G41" s="215"/>
      <c r="H41" s="215"/>
      <c r="I41" s="329"/>
      <c r="J41" s="35">
        <f t="shared" si="8"/>
        <v>1</v>
      </c>
      <c r="K41" s="361">
        <f t="shared" si="14"/>
        <v>37800</v>
      </c>
      <c r="L41" s="173">
        <f t="shared" si="15"/>
        <v>0</v>
      </c>
      <c r="M41" s="299">
        <f t="shared" si="13"/>
        <v>0</v>
      </c>
      <c r="N41" s="276">
        <f t="shared" si="16"/>
        <v>0</v>
      </c>
      <c r="O41" s="282"/>
      <c r="P41" s="285">
        <f t="shared" si="17"/>
        <v>0</v>
      </c>
      <c r="Q41" s="285"/>
      <c r="R41" s="4">
        <f t="shared" si="12"/>
        <v>37800</v>
      </c>
      <c r="S41" s="42">
        <f>(C41+D41+E41+F41+I41+G41+H41)*15688</f>
        <v>15688</v>
      </c>
    </row>
    <row r="42" spans="1:19">
      <c r="A42" s="29"/>
      <c r="B42" s="377"/>
      <c r="C42" s="263"/>
      <c r="D42" s="235"/>
      <c r="E42" s="234"/>
      <c r="F42" s="215"/>
      <c r="G42" s="215"/>
      <c r="H42" s="328"/>
      <c r="I42" s="329"/>
      <c r="J42" s="35">
        <f t="shared" si="8"/>
        <v>0</v>
      </c>
      <c r="K42" s="361"/>
      <c r="L42" s="173"/>
      <c r="M42" s="299"/>
      <c r="O42" s="282"/>
      <c r="P42" s="282"/>
      <c r="Q42" s="285"/>
      <c r="S42" s="42"/>
    </row>
    <row r="43" spans="1:19">
      <c r="A43" s="29"/>
      <c r="B43" s="30"/>
      <c r="C43" s="310"/>
      <c r="D43" s="32"/>
      <c r="E43" s="33"/>
      <c r="F43" s="191"/>
      <c r="G43" s="34"/>
      <c r="H43" s="197"/>
      <c r="I43" s="34"/>
      <c r="J43" s="35">
        <f t="shared" si="8"/>
        <v>0</v>
      </c>
      <c r="K43" s="290">
        <f>C43*36000</f>
        <v>0</v>
      </c>
      <c r="L43" s="173">
        <f>D43*28000</f>
        <v>0</v>
      </c>
      <c r="M43" s="299"/>
      <c r="P43" s="282"/>
      <c r="S43" s="42"/>
    </row>
    <row r="44" spans="1:19" s="24" customFormat="1">
      <c r="A44" s="439" t="s">
        <v>56</v>
      </c>
      <c r="B44" s="449"/>
      <c r="C44" s="450">
        <f t="shared" ref="C44:J44" si="19">SUM(C29:C43)</f>
        <v>216</v>
      </c>
      <c r="D44" s="451">
        <f t="shared" si="19"/>
        <v>0</v>
      </c>
      <c r="E44" s="452">
        <f t="shared" si="19"/>
        <v>954</v>
      </c>
      <c r="F44" s="453">
        <f t="shared" si="19"/>
        <v>3704</v>
      </c>
      <c r="G44" s="453">
        <f t="shared" si="19"/>
        <v>1</v>
      </c>
      <c r="H44" s="453">
        <f t="shared" si="19"/>
        <v>0</v>
      </c>
      <c r="I44" s="453">
        <f t="shared" si="19"/>
        <v>0</v>
      </c>
      <c r="J44" s="442">
        <f t="shared" si="19"/>
        <v>4875</v>
      </c>
      <c r="K44" s="443">
        <f>SUM(K25:K43)</f>
        <v>8354600</v>
      </c>
      <c r="L44" s="444">
        <f>SUM(L25:L43)</f>
        <v>0</v>
      </c>
      <c r="M44" s="445">
        <f t="shared" ref="M44:Q44" si="20">SUM(M25:M43)</f>
        <v>26980200</v>
      </c>
      <c r="N44" s="443">
        <f>SUM(N25:N43)</f>
        <v>120791270</v>
      </c>
      <c r="O44" s="446">
        <f>SUM(O25:O43)</f>
        <v>38920</v>
      </c>
      <c r="P44" s="446">
        <f t="shared" si="20"/>
        <v>0</v>
      </c>
      <c r="Q44" s="446">
        <f t="shared" si="20"/>
        <v>0</v>
      </c>
      <c r="R44" s="454">
        <f>SUM(R25:R43)</f>
        <v>156164990</v>
      </c>
      <c r="S44" s="448">
        <f>SUM(S25:S43)</f>
        <v>80848967</v>
      </c>
    </row>
    <row r="45" spans="1:19">
      <c r="C45" s="1" t="s">
        <v>2</v>
      </c>
      <c r="D45" s="9"/>
      <c r="E45" s="10" t="s">
        <v>791</v>
      </c>
      <c r="F45" s="12" t="s">
        <v>5</v>
      </c>
      <c r="G45" s="12"/>
      <c r="H45" s="12" t="s">
        <v>464</v>
      </c>
      <c r="I45" s="12"/>
      <c r="J45" s="13" t="s">
        <v>6</v>
      </c>
      <c r="K45" s="181"/>
      <c r="P45" s="210"/>
    </row>
    <row r="46" spans="1:19">
      <c r="C46" s="44"/>
      <c r="D46" s="406"/>
      <c r="E46" s="19" t="s">
        <v>58</v>
      </c>
      <c r="F46" s="20" t="s">
        <v>421</v>
      </c>
      <c r="G46" s="46">
        <v>0.15</v>
      </c>
      <c r="H46" s="20"/>
      <c r="I46" s="20"/>
      <c r="J46" s="17"/>
      <c r="P46" s="210"/>
    </row>
    <row r="47" spans="1:19" ht="24">
      <c r="A47" s="24" t="s">
        <v>59</v>
      </c>
      <c r="C47" s="47"/>
      <c r="D47" s="48"/>
      <c r="E47" s="49"/>
      <c r="F47" s="20" t="s">
        <v>14</v>
      </c>
      <c r="G47" s="26" t="s">
        <v>15</v>
      </c>
      <c r="H47" s="20"/>
      <c r="I47" s="415"/>
      <c r="J47" s="50"/>
      <c r="K47" s="219" t="s">
        <v>2</v>
      </c>
      <c r="L47" s="664" t="s">
        <v>734</v>
      </c>
      <c r="M47" s="664"/>
      <c r="N47" s="348" t="s">
        <v>465</v>
      </c>
      <c r="O47" s="348" t="s">
        <v>557</v>
      </c>
      <c r="P47" s="348" t="s">
        <v>464</v>
      </c>
      <c r="Q47" s="348"/>
      <c r="R47" s="220" t="s">
        <v>18</v>
      </c>
      <c r="S47" s="220" t="s">
        <v>506</v>
      </c>
    </row>
    <row r="48" spans="1:19">
      <c r="A48" s="51" t="s">
        <v>955</v>
      </c>
      <c r="B48" s="376" t="s">
        <v>61</v>
      </c>
      <c r="C48" s="233">
        <v>39</v>
      </c>
      <c r="D48" s="331"/>
      <c r="E48" s="332">
        <v>50</v>
      </c>
      <c r="F48" s="333">
        <v>268</v>
      </c>
      <c r="G48" s="322"/>
      <c r="H48" s="333"/>
      <c r="I48" s="334"/>
      <c r="J48" s="27">
        <f>SUM(C48:I48)</f>
        <v>357</v>
      </c>
      <c r="K48" s="361">
        <f>C48*35700</f>
        <v>1392300</v>
      </c>
      <c r="L48" s="294">
        <f>D48*25400</f>
        <v>0</v>
      </c>
      <c r="M48" s="299">
        <f>E48*25400</f>
        <v>1270000</v>
      </c>
      <c r="N48" s="276">
        <f>F48*29500</f>
        <v>7906000</v>
      </c>
      <c r="P48" s="282">
        <f>H48*29500</f>
        <v>0</v>
      </c>
      <c r="R48" s="4">
        <f>SUM(K48:Q48)</f>
        <v>10568300</v>
      </c>
      <c r="S48" s="4">
        <f>(C48+D48+E48+F48+I48+H48+G48)*14155</f>
        <v>5053335</v>
      </c>
    </row>
    <row r="49" spans="1:19">
      <c r="A49" s="51" t="s">
        <v>956</v>
      </c>
      <c r="B49" s="375" t="s">
        <v>63</v>
      </c>
      <c r="C49" s="233">
        <v>6</v>
      </c>
      <c r="D49" s="235"/>
      <c r="E49" s="234">
        <v>4</v>
      </c>
      <c r="F49" s="230">
        <v>52</v>
      </c>
      <c r="G49" s="334"/>
      <c r="H49" s="333"/>
      <c r="I49" s="334"/>
      <c r="J49" s="27">
        <f t="shared" ref="J49:J59" si="21">SUM(C49:I49)</f>
        <v>62</v>
      </c>
      <c r="K49" s="361">
        <f>C49*35700</f>
        <v>214200</v>
      </c>
      <c r="L49" s="294">
        <f t="shared" ref="L49:M58" si="22">D49*25400</f>
        <v>0</v>
      </c>
      <c r="M49" s="299">
        <f t="shared" si="22"/>
        <v>101600</v>
      </c>
      <c r="N49" s="276">
        <f t="shared" ref="N49:N58" si="23">F49*29500</f>
        <v>1534000</v>
      </c>
      <c r="P49" s="282">
        <f t="shared" ref="P49:P58" si="24">H49*29500</f>
        <v>0</v>
      </c>
      <c r="R49" s="4">
        <f t="shared" ref="R49:R58" si="25">SUM(K49:Q49)</f>
        <v>1849800</v>
      </c>
      <c r="S49" s="4">
        <f>(C49+D49+E49+F49+I49+H49+G49)*14155</f>
        <v>877610</v>
      </c>
    </row>
    <row r="50" spans="1:19">
      <c r="A50" s="51" t="s">
        <v>923</v>
      </c>
      <c r="B50" s="376" t="s">
        <v>65</v>
      </c>
      <c r="C50" s="237">
        <v>1</v>
      </c>
      <c r="D50" s="235"/>
      <c r="E50" s="234"/>
      <c r="F50" s="230"/>
      <c r="G50" s="334"/>
      <c r="H50" s="333"/>
      <c r="I50" s="334"/>
      <c r="J50" s="27">
        <f t="shared" si="21"/>
        <v>1</v>
      </c>
      <c r="K50" s="361">
        <f t="shared" ref="K50:K58" si="26">C50*34700</f>
        <v>34700</v>
      </c>
      <c r="L50" s="294">
        <f t="shared" si="22"/>
        <v>0</v>
      </c>
      <c r="M50" s="299">
        <f t="shared" si="22"/>
        <v>0</v>
      </c>
      <c r="N50" s="276">
        <f t="shared" si="23"/>
        <v>0</v>
      </c>
      <c r="P50" s="282">
        <f t="shared" si="24"/>
        <v>0</v>
      </c>
      <c r="R50" s="4">
        <f t="shared" si="25"/>
        <v>34700</v>
      </c>
      <c r="S50" s="4">
        <f>(C50+D50+E50+F50+I50+H50+G50)*13975</f>
        <v>13975</v>
      </c>
    </row>
    <row r="51" spans="1:19">
      <c r="A51" s="51" t="s">
        <v>925</v>
      </c>
      <c r="B51" s="375" t="s">
        <v>67</v>
      </c>
      <c r="C51" s="233">
        <v>7</v>
      </c>
      <c r="D51" s="235"/>
      <c r="E51" s="234"/>
      <c r="F51" s="230">
        <v>87</v>
      </c>
      <c r="G51" s="334"/>
      <c r="H51" s="333"/>
      <c r="I51" s="334"/>
      <c r="J51" s="27">
        <f t="shared" si="21"/>
        <v>94</v>
      </c>
      <c r="K51" s="361">
        <f t="shared" si="26"/>
        <v>242900</v>
      </c>
      <c r="L51" s="294">
        <f t="shared" si="22"/>
        <v>0</v>
      </c>
      <c r="M51" s="299">
        <f t="shared" si="22"/>
        <v>0</v>
      </c>
      <c r="N51" s="276">
        <f t="shared" si="23"/>
        <v>2566500</v>
      </c>
      <c r="P51" s="282">
        <f t="shared" si="24"/>
        <v>0</v>
      </c>
      <c r="R51" s="4">
        <f t="shared" si="25"/>
        <v>2809400</v>
      </c>
      <c r="S51" s="4">
        <f t="shared" ref="S51:S55" si="27">(C51+D51+E51+F51+I51+H51+G51)*13975</f>
        <v>1313650</v>
      </c>
    </row>
    <row r="52" spans="1:19">
      <c r="A52" s="51" t="s">
        <v>928</v>
      </c>
      <c r="B52" s="376" t="s">
        <v>702</v>
      </c>
      <c r="C52" s="237"/>
      <c r="D52" s="235"/>
      <c r="E52" s="234"/>
      <c r="F52" s="230"/>
      <c r="G52" s="334"/>
      <c r="H52" s="333"/>
      <c r="I52" s="334"/>
      <c r="J52" s="27">
        <f t="shared" si="21"/>
        <v>0</v>
      </c>
      <c r="K52" s="361">
        <f t="shared" si="26"/>
        <v>0</v>
      </c>
      <c r="L52" s="294">
        <f t="shared" si="22"/>
        <v>0</v>
      </c>
      <c r="M52" s="299">
        <f t="shared" si="22"/>
        <v>0</v>
      </c>
      <c r="N52" s="276">
        <f t="shared" si="23"/>
        <v>0</v>
      </c>
      <c r="P52" s="282">
        <f t="shared" si="24"/>
        <v>0</v>
      </c>
      <c r="R52" s="4">
        <f t="shared" si="25"/>
        <v>0</v>
      </c>
      <c r="S52" s="4">
        <f t="shared" si="27"/>
        <v>0</v>
      </c>
    </row>
    <row r="53" spans="1:19">
      <c r="A53" s="51" t="s">
        <v>922</v>
      </c>
      <c r="B53" s="376" t="s">
        <v>70</v>
      </c>
      <c r="C53" s="237">
        <v>3</v>
      </c>
      <c r="D53" s="235"/>
      <c r="E53" s="234"/>
      <c r="F53" s="230">
        <v>37</v>
      </c>
      <c r="G53" s="333">
        <v>1</v>
      </c>
      <c r="H53" s="333"/>
      <c r="I53" s="334"/>
      <c r="J53" s="27">
        <f t="shared" si="21"/>
        <v>41</v>
      </c>
      <c r="K53" s="361">
        <f t="shared" si="26"/>
        <v>104100</v>
      </c>
      <c r="L53" s="294">
        <f t="shared" si="22"/>
        <v>0</v>
      </c>
      <c r="M53" s="299">
        <f t="shared" si="22"/>
        <v>0</v>
      </c>
      <c r="N53" s="276">
        <f t="shared" si="23"/>
        <v>1091500</v>
      </c>
      <c r="O53" s="282">
        <f>G53*27760</f>
        <v>27760</v>
      </c>
      <c r="P53" s="282">
        <f t="shared" si="24"/>
        <v>0</v>
      </c>
      <c r="Q53" s="285"/>
      <c r="R53" s="4">
        <f t="shared" si="25"/>
        <v>1223360</v>
      </c>
      <c r="S53" s="4">
        <f t="shared" si="27"/>
        <v>572975</v>
      </c>
    </row>
    <row r="54" spans="1:19">
      <c r="A54" s="51" t="s">
        <v>924</v>
      </c>
      <c r="B54" s="375" t="s">
        <v>72</v>
      </c>
      <c r="C54" s="233">
        <v>10</v>
      </c>
      <c r="D54" s="235"/>
      <c r="E54" s="234"/>
      <c r="F54" s="230">
        <v>94</v>
      </c>
      <c r="G54" s="334"/>
      <c r="H54" s="333"/>
      <c r="I54" s="334"/>
      <c r="J54" s="27">
        <f t="shared" si="21"/>
        <v>104</v>
      </c>
      <c r="K54" s="361">
        <f t="shared" si="26"/>
        <v>347000</v>
      </c>
      <c r="L54" s="294">
        <f t="shared" si="22"/>
        <v>0</v>
      </c>
      <c r="M54" s="299">
        <f t="shared" si="22"/>
        <v>0</v>
      </c>
      <c r="N54" s="276">
        <f>F54*29500</f>
        <v>2773000</v>
      </c>
      <c r="P54" s="282">
        <f t="shared" si="24"/>
        <v>0</v>
      </c>
      <c r="R54" s="4">
        <f t="shared" si="25"/>
        <v>3120000</v>
      </c>
      <c r="S54" s="4">
        <f t="shared" si="27"/>
        <v>1453400</v>
      </c>
    </row>
    <row r="55" spans="1:19">
      <c r="A55" s="51" t="s">
        <v>929</v>
      </c>
      <c r="B55" s="376" t="s">
        <v>74</v>
      </c>
      <c r="C55" s="237"/>
      <c r="D55" s="235"/>
      <c r="E55" s="234"/>
      <c r="F55" s="230"/>
      <c r="G55" s="334"/>
      <c r="H55" s="333"/>
      <c r="I55" s="334"/>
      <c r="J55" s="27">
        <f t="shared" si="21"/>
        <v>0</v>
      </c>
      <c r="K55" s="361">
        <f t="shared" si="26"/>
        <v>0</v>
      </c>
      <c r="L55" s="294">
        <f t="shared" si="22"/>
        <v>0</v>
      </c>
      <c r="M55" s="299">
        <f t="shared" si="22"/>
        <v>0</v>
      </c>
      <c r="N55" s="276">
        <f t="shared" si="23"/>
        <v>0</v>
      </c>
      <c r="P55" s="282">
        <f t="shared" si="24"/>
        <v>0</v>
      </c>
      <c r="R55" s="4">
        <f t="shared" si="25"/>
        <v>0</v>
      </c>
      <c r="S55" s="4">
        <f t="shared" si="27"/>
        <v>0</v>
      </c>
    </row>
    <row r="56" spans="1:19">
      <c r="A56" s="51" t="s">
        <v>926</v>
      </c>
      <c r="B56" s="375" t="s">
        <v>76</v>
      </c>
      <c r="C56" s="233">
        <v>15</v>
      </c>
      <c r="D56" s="235"/>
      <c r="E56" s="234">
        <v>18</v>
      </c>
      <c r="F56" s="230">
        <v>91</v>
      </c>
      <c r="G56" s="334"/>
      <c r="H56" s="333"/>
      <c r="I56" s="334"/>
      <c r="J56" s="27">
        <f t="shared" si="21"/>
        <v>124</v>
      </c>
      <c r="K56" s="361">
        <f t="shared" si="26"/>
        <v>520500</v>
      </c>
      <c r="L56" s="294">
        <f t="shared" si="22"/>
        <v>0</v>
      </c>
      <c r="M56" s="299">
        <f t="shared" si="22"/>
        <v>457200</v>
      </c>
      <c r="N56" s="276">
        <f t="shared" si="23"/>
        <v>2684500</v>
      </c>
      <c r="P56" s="282">
        <f t="shared" si="24"/>
        <v>0</v>
      </c>
      <c r="R56" s="4">
        <f t="shared" si="25"/>
        <v>3662200</v>
      </c>
      <c r="S56" s="4">
        <f>(C56+D56+E56+F56+I56+H56+G56)*13434</f>
        <v>1665816</v>
      </c>
    </row>
    <row r="57" spans="1:19">
      <c r="A57" s="51" t="s">
        <v>927</v>
      </c>
      <c r="B57" s="375" t="s">
        <v>78</v>
      </c>
      <c r="C57" s="233">
        <v>10</v>
      </c>
      <c r="D57" s="235"/>
      <c r="E57" s="234"/>
      <c r="F57" s="230">
        <v>86</v>
      </c>
      <c r="G57" s="334"/>
      <c r="H57" s="333"/>
      <c r="I57" s="334"/>
      <c r="J57" s="27">
        <f t="shared" si="21"/>
        <v>96</v>
      </c>
      <c r="K57" s="361">
        <f t="shared" si="26"/>
        <v>347000</v>
      </c>
      <c r="L57" s="294">
        <f t="shared" si="22"/>
        <v>0</v>
      </c>
      <c r="M57" s="299">
        <f t="shared" si="22"/>
        <v>0</v>
      </c>
      <c r="N57" s="276">
        <f t="shared" si="23"/>
        <v>2537000</v>
      </c>
      <c r="P57" s="282">
        <f t="shared" si="24"/>
        <v>0</v>
      </c>
      <c r="R57" s="4">
        <f t="shared" si="25"/>
        <v>2884000</v>
      </c>
      <c r="S57" s="4">
        <f>(C57+D57+E57+F57+I57+H57+G57)*13975</f>
        <v>1341600</v>
      </c>
    </row>
    <row r="58" spans="1:19">
      <c r="A58" s="51" t="s">
        <v>930</v>
      </c>
      <c r="B58" s="375" t="s">
        <v>367</v>
      </c>
      <c r="C58" s="237">
        <v>4</v>
      </c>
      <c r="D58" s="235"/>
      <c r="E58" s="234">
        <v>18</v>
      </c>
      <c r="F58" s="230">
        <v>19</v>
      </c>
      <c r="G58" s="334"/>
      <c r="H58" s="333"/>
      <c r="I58" s="334"/>
      <c r="J58" s="27">
        <f t="shared" si="21"/>
        <v>41</v>
      </c>
      <c r="K58" s="361">
        <f t="shared" si="26"/>
        <v>138800</v>
      </c>
      <c r="L58" s="294">
        <f t="shared" si="22"/>
        <v>0</v>
      </c>
      <c r="M58" s="299">
        <f t="shared" si="22"/>
        <v>457200</v>
      </c>
      <c r="N58" s="276">
        <f t="shared" si="23"/>
        <v>560500</v>
      </c>
      <c r="P58" s="282">
        <f t="shared" si="24"/>
        <v>0</v>
      </c>
      <c r="R58" s="4">
        <f t="shared" si="25"/>
        <v>1156500</v>
      </c>
      <c r="S58" s="4">
        <f>(C58+D58+E58+F58+I58+H58+G58)*13434</f>
        <v>550794</v>
      </c>
    </row>
    <row r="59" spans="1:19">
      <c r="A59" s="51"/>
      <c r="B59" s="29"/>
      <c r="C59" s="35"/>
      <c r="D59" s="32"/>
      <c r="E59" s="33"/>
      <c r="F59" s="191"/>
      <c r="G59" s="53"/>
      <c r="H59" s="52"/>
      <c r="I59" s="53"/>
      <c r="J59" s="27">
        <f t="shared" si="21"/>
        <v>0</v>
      </c>
      <c r="K59" s="291"/>
      <c r="L59" s="294"/>
      <c r="M59" s="299"/>
      <c r="N59" s="282"/>
      <c r="P59" s="210"/>
    </row>
    <row r="60" spans="1:19" s="24" customFormat="1">
      <c r="A60" s="455" t="s">
        <v>82</v>
      </c>
      <c r="B60" s="449"/>
      <c r="C60" s="450">
        <f>SUM(C48:C59)</f>
        <v>95</v>
      </c>
      <c r="D60" s="450">
        <f>SUM(D48:D59)</f>
        <v>0</v>
      </c>
      <c r="E60" s="450">
        <f>SUM(E48:E59)</f>
        <v>90</v>
      </c>
      <c r="F60" s="453">
        <f>SUM(F48:F59)</f>
        <v>734</v>
      </c>
      <c r="G60" s="453"/>
      <c r="H60" s="453">
        <f t="shared" ref="H60:S60" si="28">SUM(H48:H59)</f>
        <v>0</v>
      </c>
      <c r="I60" s="453">
        <f t="shared" si="28"/>
        <v>0</v>
      </c>
      <c r="J60" s="442">
        <f t="shared" si="28"/>
        <v>920</v>
      </c>
      <c r="K60" s="443">
        <f t="shared" si="28"/>
        <v>3341500</v>
      </c>
      <c r="L60" s="456">
        <f t="shared" si="28"/>
        <v>0</v>
      </c>
      <c r="M60" s="445">
        <f t="shared" si="28"/>
        <v>2286000</v>
      </c>
      <c r="N60" s="446">
        <f t="shared" si="28"/>
        <v>21653000</v>
      </c>
      <c r="O60" s="446">
        <f t="shared" si="28"/>
        <v>27760</v>
      </c>
      <c r="P60" s="446">
        <f t="shared" si="28"/>
        <v>0</v>
      </c>
      <c r="Q60" s="446">
        <f t="shared" si="28"/>
        <v>0</v>
      </c>
      <c r="R60" s="447">
        <f t="shared" si="28"/>
        <v>27308260</v>
      </c>
      <c r="S60" s="448">
        <f t="shared" si="28"/>
        <v>12843155</v>
      </c>
    </row>
    <row r="61" spans="1:19">
      <c r="A61" s="54"/>
      <c r="C61" s="14" t="s">
        <v>2</v>
      </c>
      <c r="D61" s="55"/>
      <c r="E61" s="10" t="s">
        <v>791</v>
      </c>
      <c r="H61" s="416"/>
      <c r="J61" s="56"/>
      <c r="K61" s="181"/>
      <c r="P61" s="210"/>
    </row>
    <row r="62" spans="1:19">
      <c r="A62" s="54"/>
      <c r="C62" s="14"/>
      <c r="D62" s="388"/>
      <c r="E62" s="15" t="s">
        <v>84</v>
      </c>
      <c r="F62" s="57" t="s">
        <v>5</v>
      </c>
      <c r="G62" s="57"/>
      <c r="H62" s="200"/>
      <c r="I62" s="57"/>
      <c r="J62" s="58" t="s">
        <v>6</v>
      </c>
      <c r="P62" s="210"/>
    </row>
    <row r="63" spans="1:19">
      <c r="C63" s="18"/>
      <c r="D63" s="388"/>
      <c r="E63" s="15" t="s">
        <v>86</v>
      </c>
      <c r="F63" s="20"/>
      <c r="G63" s="45"/>
      <c r="H63" s="20"/>
      <c r="I63" s="20"/>
      <c r="J63" s="59"/>
      <c r="P63" s="210"/>
    </row>
    <row r="64" spans="1:19" ht="24">
      <c r="C64" s="18" t="s">
        <v>87</v>
      </c>
      <c r="D64" s="55"/>
      <c r="E64" s="15" t="s">
        <v>788</v>
      </c>
      <c r="F64" s="20" t="s">
        <v>14</v>
      </c>
      <c r="G64" s="26" t="s">
        <v>15</v>
      </c>
      <c r="H64" s="193"/>
      <c r="I64" s="22"/>
      <c r="J64" s="60"/>
      <c r="P64" s="210"/>
    </row>
    <row r="65" spans="1:19" ht="30" customHeight="1">
      <c r="C65" s="18"/>
      <c r="D65" s="55"/>
      <c r="E65" s="15" t="s">
        <v>91</v>
      </c>
      <c r="F65" s="61"/>
      <c r="G65" s="22"/>
      <c r="H65" s="193"/>
      <c r="I65" s="22"/>
      <c r="J65" s="60"/>
      <c r="P65" s="210"/>
    </row>
    <row r="66" spans="1:19">
      <c r="A66" s="24" t="s">
        <v>92</v>
      </c>
      <c r="C66" s="25"/>
      <c r="D66" s="55"/>
      <c r="E66" s="15"/>
      <c r="F66" s="62"/>
      <c r="G66" s="63"/>
      <c r="H66" s="201"/>
      <c r="I66" s="63" t="s">
        <v>412</v>
      </c>
      <c r="J66" s="27"/>
      <c r="K66" s="219" t="s">
        <v>2</v>
      </c>
      <c r="L66" s="664" t="s">
        <v>734</v>
      </c>
      <c r="M66" s="664"/>
      <c r="N66" s="348" t="s">
        <v>16</v>
      </c>
      <c r="O66" s="348" t="s">
        <v>557</v>
      </c>
      <c r="P66" s="348" t="s">
        <v>464</v>
      </c>
      <c r="Q66" s="220"/>
      <c r="R66" s="220" t="s">
        <v>18</v>
      </c>
      <c r="S66" s="220" t="s">
        <v>506</v>
      </c>
    </row>
    <row r="67" spans="1:19" s="3" customFormat="1">
      <c r="A67" s="115" t="s">
        <v>932</v>
      </c>
      <c r="B67" s="375" t="s">
        <v>94</v>
      </c>
      <c r="C67" s="233">
        <v>134</v>
      </c>
      <c r="D67" s="235"/>
      <c r="E67" s="234"/>
      <c r="F67" s="322"/>
      <c r="G67" s="322"/>
      <c r="H67" s="236"/>
      <c r="I67" s="322"/>
      <c r="J67" s="35">
        <f t="shared" ref="J67:J83" si="29">SUM(C67:I67)</f>
        <v>134</v>
      </c>
      <c r="K67" s="362">
        <f>C67*25200</f>
        <v>3376800</v>
      </c>
      <c r="L67" s="294">
        <f>D67*21000</f>
        <v>0</v>
      </c>
      <c r="M67" s="299">
        <f>E67*21000</f>
        <v>0</v>
      </c>
      <c r="N67" s="282"/>
      <c r="O67" s="282"/>
      <c r="P67" s="282"/>
      <c r="Q67" s="5"/>
      <c r="R67" s="4">
        <f>SUM(K67:Q67)</f>
        <v>3376800</v>
      </c>
      <c r="S67" s="4">
        <f>(C67+D67+E67+F67+I67+G67+H67)*7032</f>
        <v>942288</v>
      </c>
    </row>
    <row r="68" spans="1:19" s="3" customFormat="1">
      <c r="A68" s="115" t="s">
        <v>95</v>
      </c>
      <c r="B68" s="375" t="s">
        <v>346</v>
      </c>
      <c r="C68" s="237">
        <v>7</v>
      </c>
      <c r="D68" s="235"/>
      <c r="E68" s="234">
        <v>39</v>
      </c>
      <c r="F68" s="322"/>
      <c r="G68" s="322"/>
      <c r="H68" s="236"/>
      <c r="I68" s="322"/>
      <c r="J68" s="35">
        <f t="shared" si="29"/>
        <v>46</v>
      </c>
      <c r="K68" s="362">
        <f>C68*47000</f>
        <v>329000</v>
      </c>
      <c r="L68" s="294">
        <f>D68*39600</f>
        <v>0</v>
      </c>
      <c r="M68" s="299">
        <f>E68*39600</f>
        <v>1544400</v>
      </c>
      <c r="N68" s="282"/>
      <c r="O68" s="282"/>
      <c r="P68" s="282"/>
      <c r="Q68" s="5"/>
      <c r="R68" s="4">
        <f t="shared" ref="R68:R83" si="30">SUM(K68:Q68)</f>
        <v>1873400</v>
      </c>
      <c r="S68" s="4">
        <f>(C68+D68+E68+F68+I68+G68+H68)*11631</f>
        <v>535026</v>
      </c>
    </row>
    <row r="69" spans="1:19" s="3" customFormat="1">
      <c r="A69" s="115" t="s">
        <v>96</v>
      </c>
      <c r="B69" s="375" t="s">
        <v>97</v>
      </c>
      <c r="C69" s="233">
        <v>94</v>
      </c>
      <c r="D69" s="235"/>
      <c r="E69" s="234"/>
      <c r="F69" s="322"/>
      <c r="G69" s="322"/>
      <c r="H69" s="236"/>
      <c r="I69" s="322"/>
      <c r="J69" s="35">
        <f t="shared" si="29"/>
        <v>94</v>
      </c>
      <c r="K69" s="362">
        <f>C69*29400</f>
        <v>2763600</v>
      </c>
      <c r="L69" s="294">
        <f>D69*25000</f>
        <v>0</v>
      </c>
      <c r="M69" s="299">
        <f>E69*25000</f>
        <v>0</v>
      </c>
      <c r="N69" s="282"/>
      <c r="O69" s="282"/>
      <c r="P69" s="282"/>
      <c r="Q69" s="5"/>
      <c r="R69" s="4">
        <f t="shared" si="30"/>
        <v>2763600</v>
      </c>
      <c r="S69" s="4">
        <f>(C69+D69+E69+F69+I69+G69+H69)*8565</f>
        <v>805110</v>
      </c>
    </row>
    <row r="70" spans="1:19" s="3" customFormat="1">
      <c r="A70" s="115" t="s">
        <v>933</v>
      </c>
      <c r="B70" s="375" t="s">
        <v>346</v>
      </c>
      <c r="C70" s="233">
        <v>2</v>
      </c>
      <c r="D70" s="235"/>
      <c r="E70" s="234">
        <v>14</v>
      </c>
      <c r="F70" s="322"/>
      <c r="G70" s="322"/>
      <c r="H70" s="236"/>
      <c r="I70" s="322"/>
      <c r="J70" s="35">
        <f t="shared" si="29"/>
        <v>16</v>
      </c>
      <c r="K70" s="362">
        <f>C70*47000</f>
        <v>94000</v>
      </c>
      <c r="L70" s="294">
        <f>D70*39600</f>
        <v>0</v>
      </c>
      <c r="M70" s="299">
        <f>E70*39600</f>
        <v>554400</v>
      </c>
      <c r="N70" s="282"/>
      <c r="O70" s="282"/>
      <c r="P70" s="282"/>
      <c r="Q70" s="5"/>
      <c r="R70" s="4">
        <f t="shared" si="30"/>
        <v>648400</v>
      </c>
      <c r="S70" s="4">
        <f>(C70+D70+E70+F70+I70+G70+H70)*13073</f>
        <v>209168</v>
      </c>
    </row>
    <row r="71" spans="1:19" s="3" customFormat="1">
      <c r="A71" s="115" t="s">
        <v>934</v>
      </c>
      <c r="B71" s="375" t="s">
        <v>100</v>
      </c>
      <c r="C71" s="233">
        <v>71</v>
      </c>
      <c r="D71" s="235"/>
      <c r="E71" s="234"/>
      <c r="F71" s="322"/>
      <c r="G71" s="322"/>
      <c r="H71" s="236"/>
      <c r="I71" s="322"/>
      <c r="J71" s="35">
        <f t="shared" si="29"/>
        <v>71</v>
      </c>
      <c r="K71" s="362">
        <f>C71*25200</f>
        <v>1789200</v>
      </c>
      <c r="L71" s="294">
        <f>D71*21000</f>
        <v>0</v>
      </c>
      <c r="M71" s="299">
        <f>E71*21000</f>
        <v>0</v>
      </c>
      <c r="N71" s="282"/>
      <c r="O71" s="282"/>
      <c r="P71" s="282"/>
      <c r="Q71" s="5"/>
      <c r="R71" s="4">
        <f t="shared" si="30"/>
        <v>1789200</v>
      </c>
      <c r="S71" s="4">
        <f>(C71+D71+E71+F71+I71+G71+H71)*7032</f>
        <v>499272</v>
      </c>
    </row>
    <row r="72" spans="1:19" s="3" customFormat="1">
      <c r="A72" s="115" t="s">
        <v>935</v>
      </c>
      <c r="B72" s="375" t="s">
        <v>102</v>
      </c>
      <c r="C72" s="233">
        <v>31</v>
      </c>
      <c r="D72" s="235"/>
      <c r="E72" s="234">
        <v>3</v>
      </c>
      <c r="F72" s="322"/>
      <c r="G72" s="322"/>
      <c r="H72" s="236"/>
      <c r="I72" s="322"/>
      <c r="J72" s="35">
        <f t="shared" si="29"/>
        <v>34</v>
      </c>
      <c r="K72" s="362">
        <f>C72*29400</f>
        <v>911400</v>
      </c>
      <c r="L72" s="294">
        <f>D72*25000</f>
        <v>0</v>
      </c>
      <c r="M72" s="299">
        <f>E72*25000</f>
        <v>75000</v>
      </c>
      <c r="N72" s="282"/>
      <c r="O72" s="282"/>
      <c r="P72" s="282"/>
      <c r="Q72" s="5"/>
      <c r="R72" s="4">
        <f t="shared" si="30"/>
        <v>986400</v>
      </c>
      <c r="S72" s="4">
        <f>(C72+D72+E72+F72+I72+G72+H72)*8565</f>
        <v>291210</v>
      </c>
    </row>
    <row r="73" spans="1:19" s="3" customFormat="1">
      <c r="A73" s="115" t="s">
        <v>103</v>
      </c>
      <c r="B73" s="375" t="s">
        <v>346</v>
      </c>
      <c r="C73" s="237"/>
      <c r="D73" s="235"/>
      <c r="E73" s="234">
        <v>5</v>
      </c>
      <c r="F73" s="322"/>
      <c r="G73" s="322"/>
      <c r="H73" s="236"/>
      <c r="I73" s="322"/>
      <c r="J73" s="35">
        <f t="shared" si="29"/>
        <v>5</v>
      </c>
      <c r="K73" s="362">
        <f>C73*47000</f>
        <v>0</v>
      </c>
      <c r="L73" s="294">
        <f>D73*39600</f>
        <v>0</v>
      </c>
      <c r="M73" s="299">
        <f>E73*39600</f>
        <v>198000</v>
      </c>
      <c r="N73" s="282"/>
      <c r="O73" s="282"/>
      <c r="P73" s="282"/>
      <c r="Q73" s="5"/>
      <c r="R73" s="4">
        <f t="shared" si="30"/>
        <v>198000</v>
      </c>
      <c r="S73" s="4">
        <f>(C73+D73+E73+F73+I73+G73+H73)*13073</f>
        <v>65365</v>
      </c>
    </row>
    <row r="74" spans="1:19" s="3" customFormat="1">
      <c r="A74" s="115" t="s">
        <v>104</v>
      </c>
      <c r="B74" s="375" t="s">
        <v>105</v>
      </c>
      <c r="C74" s="237">
        <v>4</v>
      </c>
      <c r="D74" s="235"/>
      <c r="E74" s="234"/>
      <c r="F74" s="322"/>
      <c r="G74" s="322"/>
      <c r="H74" s="236"/>
      <c r="I74" s="322"/>
      <c r="J74" s="35">
        <f t="shared" si="29"/>
        <v>4</v>
      </c>
      <c r="K74" s="362">
        <f>C74*29400</f>
        <v>117600</v>
      </c>
      <c r="L74" s="294">
        <f>D74*25000</f>
        <v>0</v>
      </c>
      <c r="M74" s="299">
        <f>E74*25000</f>
        <v>0</v>
      </c>
      <c r="N74" s="282"/>
      <c r="O74" s="282"/>
      <c r="P74" s="282"/>
      <c r="Q74" s="5"/>
      <c r="R74" s="4">
        <f t="shared" si="30"/>
        <v>117600</v>
      </c>
      <c r="S74" s="4">
        <f>(C74+D74+E74+F74+I74+G74+H74)*8926</f>
        <v>35704</v>
      </c>
    </row>
    <row r="75" spans="1:19" s="3" customFormat="1">
      <c r="A75" s="115" t="s">
        <v>812</v>
      </c>
      <c r="B75" s="375" t="s">
        <v>107</v>
      </c>
      <c r="C75" s="233"/>
      <c r="D75" s="235"/>
      <c r="E75" s="234"/>
      <c r="F75" s="322"/>
      <c r="G75" s="322"/>
      <c r="H75" s="236"/>
      <c r="I75" s="322"/>
      <c r="J75" s="35">
        <f t="shared" si="29"/>
        <v>0</v>
      </c>
      <c r="K75" s="362">
        <f>C75*25200</f>
        <v>0</v>
      </c>
      <c r="L75" s="294">
        <f>D75*21000</f>
        <v>0</v>
      </c>
      <c r="M75" s="299">
        <f>E75*21000</f>
        <v>0</v>
      </c>
      <c r="N75" s="282"/>
      <c r="O75" s="282"/>
      <c r="P75" s="282"/>
      <c r="Q75" s="5"/>
      <c r="R75" s="4">
        <f t="shared" si="30"/>
        <v>0</v>
      </c>
      <c r="S75" s="4">
        <f>(C75+D75+E75+F75+I75+G75+H75)*7032</f>
        <v>0</v>
      </c>
    </row>
    <row r="76" spans="1:19" s="3" customFormat="1">
      <c r="A76" s="115" t="s">
        <v>813</v>
      </c>
      <c r="B76" s="375" t="s">
        <v>761</v>
      </c>
      <c r="C76" s="233">
        <v>36</v>
      </c>
      <c r="D76" s="235"/>
      <c r="E76" s="234">
        <v>3</v>
      </c>
      <c r="F76" s="322"/>
      <c r="G76" s="322"/>
      <c r="H76" s="236"/>
      <c r="I76" s="322"/>
      <c r="J76" s="35">
        <f t="shared" si="29"/>
        <v>39</v>
      </c>
      <c r="K76" s="288">
        <f>C76*47000</f>
        <v>1692000</v>
      </c>
      <c r="L76" s="294">
        <f>D76*39600</f>
        <v>0</v>
      </c>
      <c r="M76" s="299">
        <f>E76*39600</f>
        <v>118800</v>
      </c>
      <c r="N76" s="282"/>
      <c r="O76" s="282"/>
      <c r="P76" s="282"/>
      <c r="Q76" s="5"/>
      <c r="R76" s="4">
        <f t="shared" si="30"/>
        <v>1810800</v>
      </c>
      <c r="S76" s="4">
        <f>(C76+D76+E76+F76+I76+G76+H76)*11631</f>
        <v>453609</v>
      </c>
    </row>
    <row r="77" spans="1:19" s="3" customFormat="1">
      <c r="A77" s="115" t="s">
        <v>109</v>
      </c>
      <c r="B77" s="375" t="s">
        <v>110</v>
      </c>
      <c r="C77" s="233">
        <v>10</v>
      </c>
      <c r="D77" s="235"/>
      <c r="E77" s="234">
        <v>27</v>
      </c>
      <c r="F77" s="322"/>
      <c r="G77" s="322"/>
      <c r="H77" s="236"/>
      <c r="I77" s="322"/>
      <c r="J77" s="35">
        <f t="shared" si="29"/>
        <v>37</v>
      </c>
      <c r="K77" s="362">
        <f>C77*29400</f>
        <v>294000</v>
      </c>
      <c r="L77" s="294">
        <f>D77*25000</f>
        <v>0</v>
      </c>
      <c r="M77" s="299">
        <f>E77*25000</f>
        <v>675000</v>
      </c>
      <c r="N77" s="282"/>
      <c r="O77" s="282"/>
      <c r="P77" s="282"/>
      <c r="Q77" s="5"/>
      <c r="R77" s="4">
        <f t="shared" si="30"/>
        <v>969000</v>
      </c>
      <c r="S77" s="4">
        <f>(C77+D77+E77+F77+I77+G77+H77)*8926</f>
        <v>330262</v>
      </c>
    </row>
    <row r="78" spans="1:19" s="3" customFormat="1">
      <c r="A78" s="115" t="s">
        <v>111</v>
      </c>
      <c r="B78" s="375" t="s">
        <v>110</v>
      </c>
      <c r="C78" s="233">
        <v>12</v>
      </c>
      <c r="D78" s="235"/>
      <c r="E78" s="234">
        <v>15</v>
      </c>
      <c r="F78" s="322"/>
      <c r="G78" s="322"/>
      <c r="H78" s="236"/>
      <c r="I78" s="322"/>
      <c r="J78" s="35">
        <f t="shared" si="29"/>
        <v>27</v>
      </c>
      <c r="K78" s="362">
        <f t="shared" ref="K78:K79" si="31">C78*29400</f>
        <v>352800</v>
      </c>
      <c r="L78" s="294">
        <f t="shared" ref="L78:M79" si="32">D78*25000</f>
        <v>0</v>
      </c>
      <c r="M78" s="299">
        <f t="shared" si="32"/>
        <v>375000</v>
      </c>
      <c r="N78" s="282"/>
      <c r="O78" s="282"/>
      <c r="P78" s="282"/>
      <c r="Q78" s="5"/>
      <c r="R78" s="4">
        <f t="shared" si="30"/>
        <v>727800</v>
      </c>
      <c r="S78" s="4">
        <f t="shared" ref="S78:S79" si="33">(C78+D78+E78+F78+I78+G78+H78)*8926</f>
        <v>241002</v>
      </c>
    </row>
    <row r="79" spans="1:19" s="3" customFormat="1">
      <c r="A79" s="65" t="s">
        <v>112</v>
      </c>
      <c r="B79" s="379" t="s">
        <v>110</v>
      </c>
      <c r="C79" s="311">
        <v>3</v>
      </c>
      <c r="D79" s="335"/>
      <c r="E79" s="336"/>
      <c r="F79" s="337"/>
      <c r="G79" s="337"/>
      <c r="H79" s="338"/>
      <c r="I79" s="337"/>
      <c r="J79" s="35">
        <f t="shared" si="29"/>
        <v>3</v>
      </c>
      <c r="K79" s="362">
        <f t="shared" si="31"/>
        <v>88200</v>
      </c>
      <c r="L79" s="294">
        <f t="shared" si="32"/>
        <v>0</v>
      </c>
      <c r="M79" s="299">
        <f t="shared" si="32"/>
        <v>0</v>
      </c>
      <c r="N79" s="282"/>
      <c r="O79" s="282"/>
      <c r="P79" s="282"/>
      <c r="Q79" s="5"/>
      <c r="R79" s="4">
        <f t="shared" si="30"/>
        <v>88200</v>
      </c>
      <c r="S79" s="4">
        <f t="shared" si="33"/>
        <v>26778</v>
      </c>
    </row>
    <row r="80" spans="1:19" s="3" customFormat="1">
      <c r="A80" s="115" t="s">
        <v>891</v>
      </c>
      <c r="B80" s="375" t="s">
        <v>474</v>
      </c>
      <c r="C80" s="233">
        <v>8</v>
      </c>
      <c r="D80" s="235"/>
      <c r="E80" s="234">
        <v>1</v>
      </c>
      <c r="F80" s="215">
        <v>1</v>
      </c>
      <c r="G80" s="322"/>
      <c r="H80" s="236"/>
      <c r="I80" s="322"/>
      <c r="J80" s="35">
        <f t="shared" si="29"/>
        <v>10</v>
      </c>
      <c r="K80" s="362">
        <f>C80*47000</f>
        <v>376000</v>
      </c>
      <c r="L80" s="294">
        <f>D80*35200</f>
        <v>0</v>
      </c>
      <c r="M80" s="299">
        <f>E80*35200</f>
        <v>35200</v>
      </c>
      <c r="N80" s="282"/>
      <c r="O80" s="282">
        <f>F80*37600</f>
        <v>37600</v>
      </c>
      <c r="P80" s="282"/>
      <c r="Q80" s="5"/>
      <c r="R80" s="4">
        <f t="shared" si="30"/>
        <v>448800</v>
      </c>
      <c r="S80" s="4">
        <f>(C80+D80+E80+F80+I80+G80+H80)*18934</f>
        <v>189340</v>
      </c>
    </row>
    <row r="81" spans="1:19" s="3" customFormat="1">
      <c r="A81" s="115" t="s">
        <v>847</v>
      </c>
      <c r="B81" s="380" t="s">
        <v>753</v>
      </c>
      <c r="C81" s="233">
        <v>1</v>
      </c>
      <c r="D81" s="235"/>
      <c r="E81" s="234"/>
      <c r="F81" s="230"/>
      <c r="G81" s="322"/>
      <c r="H81" s="236"/>
      <c r="I81" s="230"/>
      <c r="J81" s="35">
        <f t="shared" si="29"/>
        <v>1</v>
      </c>
      <c r="K81" s="288">
        <f>C81*16800</f>
        <v>16800</v>
      </c>
      <c r="L81" s="294">
        <f>D81*12100</f>
        <v>0</v>
      </c>
      <c r="M81" s="299">
        <f>E81*12100</f>
        <v>0</v>
      </c>
      <c r="N81" s="282"/>
      <c r="O81" s="282">
        <f>F81*9000</f>
        <v>0</v>
      </c>
      <c r="P81" s="282"/>
      <c r="Q81" s="5"/>
      <c r="R81" s="4">
        <f t="shared" si="30"/>
        <v>16800</v>
      </c>
      <c r="S81" s="4">
        <f>(C81+D81+E81+F81+I81+G81+H81)*5319</f>
        <v>5319</v>
      </c>
    </row>
    <row r="82" spans="1:19">
      <c r="A82" s="115" t="s">
        <v>848</v>
      </c>
      <c r="B82" s="380" t="s">
        <v>115</v>
      </c>
      <c r="C82" s="237">
        <v>1</v>
      </c>
      <c r="D82" s="235"/>
      <c r="E82" s="234"/>
      <c r="F82" s="230"/>
      <c r="G82" s="322"/>
      <c r="H82" s="236"/>
      <c r="I82" s="230"/>
      <c r="J82" s="35">
        <f t="shared" si="29"/>
        <v>1</v>
      </c>
      <c r="K82" s="288">
        <f t="shared" ref="K82:K83" si="34">C82*16800</f>
        <v>16800</v>
      </c>
      <c r="L82" s="294">
        <f t="shared" ref="L82:M83" si="35">D82*12100</f>
        <v>0</v>
      </c>
      <c r="M82" s="299">
        <f t="shared" si="35"/>
        <v>0</v>
      </c>
      <c r="N82" s="282"/>
      <c r="O82" s="282">
        <f>F82*9000</f>
        <v>0</v>
      </c>
      <c r="P82" s="282"/>
      <c r="R82" s="4">
        <f t="shared" si="30"/>
        <v>16800</v>
      </c>
      <c r="S82" s="4">
        <f t="shared" ref="S82:S83" si="36">(C82+D82+E82+F82+I82+G82+H82)*5319</f>
        <v>5319</v>
      </c>
    </row>
    <row r="83" spans="1:19">
      <c r="A83" s="115" t="s">
        <v>849</v>
      </c>
      <c r="B83" s="380" t="s">
        <v>115</v>
      </c>
      <c r="C83" s="233">
        <v>2</v>
      </c>
      <c r="D83" s="235"/>
      <c r="E83" s="234"/>
      <c r="F83" s="230"/>
      <c r="G83" s="322"/>
      <c r="H83" s="236"/>
      <c r="I83" s="230"/>
      <c r="J83" s="35">
        <f t="shared" si="29"/>
        <v>2</v>
      </c>
      <c r="K83" s="288">
        <f t="shared" si="34"/>
        <v>33600</v>
      </c>
      <c r="L83" s="294">
        <f t="shared" si="35"/>
        <v>0</v>
      </c>
      <c r="M83" s="299">
        <f t="shared" si="35"/>
        <v>0</v>
      </c>
      <c r="N83" s="282"/>
      <c r="O83" s="282">
        <f>F83*9000</f>
        <v>0</v>
      </c>
      <c r="P83" s="282"/>
      <c r="R83" s="4">
        <f t="shared" si="30"/>
        <v>33600</v>
      </c>
      <c r="S83" s="4">
        <f t="shared" si="36"/>
        <v>10638</v>
      </c>
    </row>
    <row r="84" spans="1:19" s="24" customFormat="1">
      <c r="A84" s="68"/>
      <c r="B84" s="69"/>
      <c r="C84" s="70" t="s">
        <v>2</v>
      </c>
      <c r="D84" s="9"/>
      <c r="E84" s="10" t="s">
        <v>791</v>
      </c>
      <c r="F84" s="12" t="s">
        <v>5</v>
      </c>
      <c r="G84" s="12"/>
      <c r="H84" s="681" t="s">
        <v>118</v>
      </c>
      <c r="I84" s="681"/>
      <c r="J84" s="13" t="s">
        <v>6</v>
      </c>
      <c r="K84" s="443">
        <f t="shared" ref="K84:S84" si="37">SUM(K67:K83)</f>
        <v>12251800</v>
      </c>
      <c r="L84" s="456">
        <f t="shared" si="37"/>
        <v>0</v>
      </c>
      <c r="M84" s="445">
        <f t="shared" si="37"/>
        <v>3575800</v>
      </c>
      <c r="N84" s="446">
        <f t="shared" si="37"/>
        <v>0</v>
      </c>
      <c r="O84" s="446">
        <f t="shared" si="37"/>
        <v>37600</v>
      </c>
      <c r="P84" s="446">
        <f t="shared" si="37"/>
        <v>0</v>
      </c>
      <c r="Q84" s="443">
        <f t="shared" si="37"/>
        <v>0</v>
      </c>
      <c r="R84" s="447">
        <f t="shared" si="37"/>
        <v>15865200</v>
      </c>
      <c r="S84" s="448">
        <f t="shared" si="37"/>
        <v>4645410</v>
      </c>
    </row>
    <row r="85" spans="1:19">
      <c r="C85" s="14"/>
      <c r="D85" s="388"/>
      <c r="E85" s="15" t="s">
        <v>120</v>
      </c>
      <c r="F85" s="45" t="s">
        <v>121</v>
      </c>
      <c r="G85" s="7" t="s">
        <v>400</v>
      </c>
      <c r="H85" s="20"/>
      <c r="I85" s="157"/>
      <c r="J85" s="17"/>
      <c r="L85" s="294"/>
      <c r="M85" s="299"/>
      <c r="P85" s="210"/>
    </row>
    <row r="86" spans="1:19">
      <c r="A86" s="24" t="s">
        <v>122</v>
      </c>
      <c r="C86" s="18"/>
      <c r="D86" s="389"/>
      <c r="E86" s="19" t="s">
        <v>124</v>
      </c>
      <c r="F86" s="71" t="s">
        <v>125</v>
      </c>
      <c r="G86" s="71" t="s">
        <v>401</v>
      </c>
      <c r="H86" s="203"/>
      <c r="I86" s="71"/>
      <c r="J86" s="72"/>
      <c r="K86" s="219" t="s">
        <v>2</v>
      </c>
      <c r="L86" s="664" t="s">
        <v>734</v>
      </c>
      <c r="M86" s="664"/>
      <c r="N86" s="348" t="s">
        <v>16</v>
      </c>
      <c r="O86" s="348" t="s">
        <v>557</v>
      </c>
      <c r="P86" s="348" t="s">
        <v>464</v>
      </c>
      <c r="Q86" s="420" t="s">
        <v>412</v>
      </c>
      <c r="R86" s="220" t="s">
        <v>18</v>
      </c>
      <c r="S86" s="221" t="s">
        <v>19</v>
      </c>
    </row>
    <row r="87" spans="1:19">
      <c r="A87" s="79" t="s">
        <v>893</v>
      </c>
      <c r="B87" s="375" t="s">
        <v>127</v>
      </c>
      <c r="C87" s="233">
        <v>114</v>
      </c>
      <c r="D87" s="235"/>
      <c r="E87" s="234">
        <v>20</v>
      </c>
      <c r="F87" s="230"/>
      <c r="G87" s="322"/>
      <c r="H87" s="230"/>
      <c r="I87" s="230"/>
      <c r="J87" s="35">
        <f t="shared" ref="J87:J98" si="38">SUM(C87:I87)</f>
        <v>134</v>
      </c>
      <c r="K87" s="362">
        <f t="shared" ref="K87:K92" si="39">C87*18900</f>
        <v>2154600</v>
      </c>
      <c r="L87" s="294">
        <f t="shared" ref="L87:M92" si="40">D87*15400</f>
        <v>0</v>
      </c>
      <c r="M87" s="299">
        <f t="shared" si="40"/>
        <v>308000</v>
      </c>
      <c r="N87" s="282"/>
      <c r="O87" s="282"/>
      <c r="P87" s="286">
        <f>H87*18000</f>
        <v>0</v>
      </c>
      <c r="Q87" s="159"/>
      <c r="R87" s="4">
        <f t="shared" ref="R87:R98" si="41">SUM(K87:Q87)</f>
        <v>2462600</v>
      </c>
      <c r="S87" s="4">
        <f t="shared" ref="S87:S92" si="42">J87*7734</f>
        <v>1036356</v>
      </c>
    </row>
    <row r="88" spans="1:19">
      <c r="A88" s="79" t="s">
        <v>892</v>
      </c>
      <c r="B88" s="375" t="s">
        <v>127</v>
      </c>
      <c r="C88" s="233">
        <v>72</v>
      </c>
      <c r="D88" s="538"/>
      <c r="E88" s="234">
        <v>3</v>
      </c>
      <c r="F88" s="230"/>
      <c r="G88" s="322"/>
      <c r="H88" s="230"/>
      <c r="I88" s="230"/>
      <c r="J88" s="35">
        <f>SUM(C88:I88)</f>
        <v>75</v>
      </c>
      <c r="K88" s="362">
        <f>C88*18900</f>
        <v>1360800</v>
      </c>
      <c r="L88" s="294">
        <f>D88*15400</f>
        <v>0</v>
      </c>
      <c r="M88" s="299">
        <f>E88*15400</f>
        <v>46200</v>
      </c>
      <c r="N88" s="282"/>
      <c r="O88" s="282"/>
      <c r="P88" s="286">
        <f>H88*18000</f>
        <v>0</v>
      </c>
      <c r="Q88" s="159"/>
      <c r="R88" s="4">
        <f>SUM(K88:Q88)</f>
        <v>1407000</v>
      </c>
      <c r="S88" s="4">
        <f>J88*7734</f>
        <v>580050</v>
      </c>
    </row>
    <row r="89" spans="1:19">
      <c r="A89" s="79" t="s">
        <v>894</v>
      </c>
      <c r="B89" s="375" t="s">
        <v>127</v>
      </c>
      <c r="C89" s="233">
        <v>93</v>
      </c>
      <c r="D89" s="235"/>
      <c r="E89" s="234">
        <v>17</v>
      </c>
      <c r="F89" s="230"/>
      <c r="G89" s="322"/>
      <c r="H89" s="230"/>
      <c r="I89" s="230"/>
      <c r="J89" s="35">
        <f t="shared" si="38"/>
        <v>110</v>
      </c>
      <c r="K89" s="362">
        <f t="shared" si="39"/>
        <v>1757700</v>
      </c>
      <c r="L89" s="294">
        <f t="shared" si="40"/>
        <v>0</v>
      </c>
      <c r="M89" s="299">
        <f t="shared" si="40"/>
        <v>261800</v>
      </c>
      <c r="N89" s="282"/>
      <c r="O89" s="282"/>
      <c r="P89" s="286">
        <f t="shared" ref="P89:P92" si="43">H89*18000</f>
        <v>0</v>
      </c>
      <c r="Q89" s="159"/>
      <c r="R89" s="4">
        <f t="shared" si="41"/>
        <v>2019500</v>
      </c>
      <c r="S89" s="4">
        <f t="shared" si="42"/>
        <v>850740</v>
      </c>
    </row>
    <row r="90" spans="1:19">
      <c r="A90" s="79" t="s">
        <v>895</v>
      </c>
      <c r="B90" s="375" t="s">
        <v>127</v>
      </c>
      <c r="C90" s="233">
        <v>83</v>
      </c>
      <c r="D90" s="235"/>
      <c r="E90" s="234">
        <v>1</v>
      </c>
      <c r="F90" s="230"/>
      <c r="G90" s="322"/>
      <c r="H90" s="230"/>
      <c r="I90" s="230"/>
      <c r="J90" s="35">
        <f t="shared" si="38"/>
        <v>84</v>
      </c>
      <c r="K90" s="362">
        <f t="shared" si="39"/>
        <v>1568700</v>
      </c>
      <c r="L90" s="294">
        <f t="shared" si="40"/>
        <v>0</v>
      </c>
      <c r="M90" s="299">
        <f t="shared" si="40"/>
        <v>15400</v>
      </c>
      <c r="N90" s="282"/>
      <c r="O90" s="282"/>
      <c r="P90" s="286">
        <f t="shared" si="43"/>
        <v>0</v>
      </c>
      <c r="Q90" s="159"/>
      <c r="R90" s="4">
        <f t="shared" si="41"/>
        <v>1584100</v>
      </c>
      <c r="S90" s="4">
        <f t="shared" si="42"/>
        <v>649656</v>
      </c>
    </row>
    <row r="91" spans="1:19">
      <c r="A91" s="79" t="s">
        <v>896</v>
      </c>
      <c r="B91" s="375" t="s">
        <v>127</v>
      </c>
      <c r="C91" s="233">
        <v>52</v>
      </c>
      <c r="D91" s="235"/>
      <c r="E91" s="234">
        <v>6</v>
      </c>
      <c r="F91" s="230"/>
      <c r="G91" s="322"/>
      <c r="H91" s="230"/>
      <c r="I91" s="230"/>
      <c r="J91" s="35">
        <f t="shared" si="38"/>
        <v>58</v>
      </c>
      <c r="K91" s="362">
        <f t="shared" si="39"/>
        <v>982800</v>
      </c>
      <c r="L91" s="294">
        <f t="shared" si="40"/>
        <v>0</v>
      </c>
      <c r="M91" s="299">
        <f t="shared" si="40"/>
        <v>92400</v>
      </c>
      <c r="N91" s="282"/>
      <c r="O91" s="282"/>
      <c r="P91" s="286">
        <f t="shared" si="43"/>
        <v>0</v>
      </c>
      <c r="Q91" s="159"/>
      <c r="R91" s="4">
        <f t="shared" si="41"/>
        <v>1075200</v>
      </c>
      <c r="S91" s="4">
        <f t="shared" si="42"/>
        <v>448572</v>
      </c>
    </row>
    <row r="92" spans="1:19">
      <c r="A92" s="79" t="s">
        <v>897</v>
      </c>
      <c r="B92" s="375" t="s">
        <v>127</v>
      </c>
      <c r="C92" s="233">
        <v>39</v>
      </c>
      <c r="D92" s="235"/>
      <c r="E92" s="234">
        <v>9</v>
      </c>
      <c r="F92" s="230"/>
      <c r="G92" s="322"/>
      <c r="H92" s="230"/>
      <c r="I92" s="230"/>
      <c r="J92" s="35">
        <f t="shared" si="38"/>
        <v>48</v>
      </c>
      <c r="K92" s="362">
        <f t="shared" si="39"/>
        <v>737100</v>
      </c>
      <c r="L92" s="294">
        <f t="shared" si="40"/>
        <v>0</v>
      </c>
      <c r="M92" s="299">
        <f t="shared" si="40"/>
        <v>138600</v>
      </c>
      <c r="N92" s="282"/>
      <c r="O92" s="282"/>
      <c r="P92" s="286">
        <f t="shared" si="43"/>
        <v>0</v>
      </c>
      <c r="Q92" s="159"/>
      <c r="R92" s="4">
        <f t="shared" si="41"/>
        <v>875700</v>
      </c>
      <c r="S92" s="4">
        <f t="shared" si="42"/>
        <v>371232</v>
      </c>
    </row>
    <row r="93" spans="1:19">
      <c r="A93" s="79" t="s">
        <v>942</v>
      </c>
      <c r="B93" s="375" t="s">
        <v>134</v>
      </c>
      <c r="C93" s="233">
        <v>88</v>
      </c>
      <c r="D93" s="235"/>
      <c r="E93" s="234">
        <v>32</v>
      </c>
      <c r="F93" s="230">
        <v>430</v>
      </c>
      <c r="G93" s="322"/>
      <c r="H93" s="236"/>
      <c r="I93" s="330"/>
      <c r="J93" s="35">
        <f t="shared" ref="J93" si="44">SUM(C93:I93)</f>
        <v>550</v>
      </c>
      <c r="K93" s="362">
        <f t="shared" ref="K93" si="45">C93*8400</f>
        <v>739200</v>
      </c>
      <c r="L93" s="294">
        <f t="shared" ref="L93" si="46">D93*6600</f>
        <v>0</v>
      </c>
      <c r="M93" s="299">
        <f t="shared" ref="M93" si="47">E93*6600</f>
        <v>211200</v>
      </c>
      <c r="N93" s="282">
        <f t="shared" ref="N93" si="48">F93*6720</f>
        <v>2889600</v>
      </c>
      <c r="O93" s="282"/>
      <c r="P93" s="282"/>
      <c r="Q93" s="159"/>
      <c r="R93" s="4">
        <f>SUM(K93:Q93)</f>
        <v>3840000</v>
      </c>
      <c r="S93" s="4">
        <f t="shared" ref="S93" si="49">J93*2880</f>
        <v>1584000</v>
      </c>
    </row>
    <row r="94" spans="1:19">
      <c r="A94" s="79" t="s">
        <v>941</v>
      </c>
      <c r="B94" s="375" t="s">
        <v>134</v>
      </c>
      <c r="C94" s="233">
        <v>58</v>
      </c>
      <c r="D94" s="235"/>
      <c r="E94" s="531">
        <v>32</v>
      </c>
      <c r="F94" s="230">
        <v>860</v>
      </c>
      <c r="G94" s="322"/>
      <c r="H94" s="236"/>
      <c r="I94" s="242"/>
      <c r="J94" s="35">
        <f t="shared" si="38"/>
        <v>950</v>
      </c>
      <c r="K94" s="362">
        <f>C94*8400</f>
        <v>487200</v>
      </c>
      <c r="L94" s="294">
        <f>D94*6600</f>
        <v>0</v>
      </c>
      <c r="M94" s="299">
        <f>E94*6600</f>
        <v>211200</v>
      </c>
      <c r="N94" s="282">
        <f>F94*6720</f>
        <v>5779200</v>
      </c>
      <c r="O94" s="282"/>
      <c r="P94" s="282"/>
      <c r="Q94" s="159"/>
      <c r="R94" s="4">
        <f>SUM(K94:Q94)</f>
        <v>6477600</v>
      </c>
      <c r="S94" s="4">
        <f>J94*2880</f>
        <v>2736000</v>
      </c>
    </row>
    <row r="95" spans="1:19">
      <c r="A95" s="79" t="s">
        <v>943</v>
      </c>
      <c r="B95" s="375" t="s">
        <v>134</v>
      </c>
      <c r="C95" s="233">
        <v>113</v>
      </c>
      <c r="D95" s="235"/>
      <c r="E95" s="234">
        <v>28</v>
      </c>
      <c r="F95" s="230">
        <v>860</v>
      </c>
      <c r="G95" s="322"/>
      <c r="H95" s="236"/>
      <c r="I95" s="242"/>
      <c r="J95" s="35">
        <f t="shared" si="38"/>
        <v>1001</v>
      </c>
      <c r="K95" s="362">
        <f t="shared" ref="K95:K98" si="50">C95*8400</f>
        <v>949200</v>
      </c>
      <c r="L95" s="294">
        <f t="shared" ref="L95:M98" si="51">D95*6600</f>
        <v>0</v>
      </c>
      <c r="M95" s="299">
        <f t="shared" si="51"/>
        <v>184800</v>
      </c>
      <c r="N95" s="282">
        <f t="shared" ref="N95:N98" si="52">F95*6720</f>
        <v>5779200</v>
      </c>
      <c r="O95" s="282"/>
      <c r="P95" s="282"/>
      <c r="Q95" s="159"/>
      <c r="R95" s="4">
        <f t="shared" si="41"/>
        <v>6913200</v>
      </c>
      <c r="S95" s="4">
        <f t="shared" ref="S95:S98" si="53">J95*2880</f>
        <v>2882880</v>
      </c>
    </row>
    <row r="96" spans="1:19">
      <c r="A96" s="79" t="s">
        <v>944</v>
      </c>
      <c r="B96" s="375" t="s">
        <v>134</v>
      </c>
      <c r="C96" s="233">
        <v>76</v>
      </c>
      <c r="D96" s="235"/>
      <c r="E96" s="234">
        <v>15</v>
      </c>
      <c r="F96" s="230"/>
      <c r="G96" s="322"/>
      <c r="H96" s="236"/>
      <c r="I96" s="242"/>
      <c r="J96" s="35">
        <f t="shared" si="38"/>
        <v>91</v>
      </c>
      <c r="K96" s="362">
        <f t="shared" si="50"/>
        <v>638400</v>
      </c>
      <c r="L96" s="294">
        <f t="shared" si="51"/>
        <v>0</v>
      </c>
      <c r="M96" s="299">
        <f t="shared" si="51"/>
        <v>99000</v>
      </c>
      <c r="N96" s="282">
        <f t="shared" si="52"/>
        <v>0</v>
      </c>
      <c r="O96" s="282"/>
      <c r="P96" s="282"/>
      <c r="Q96" s="159"/>
      <c r="R96" s="4">
        <f t="shared" si="41"/>
        <v>737400</v>
      </c>
      <c r="S96" s="4">
        <f t="shared" si="53"/>
        <v>262080</v>
      </c>
    </row>
    <row r="97" spans="1:19">
      <c r="A97" s="79" t="s">
        <v>945</v>
      </c>
      <c r="B97" s="375" t="s">
        <v>134</v>
      </c>
      <c r="C97" s="233">
        <v>81</v>
      </c>
      <c r="D97" s="235"/>
      <c r="E97" s="234">
        <v>22</v>
      </c>
      <c r="F97" s="230"/>
      <c r="G97" s="322"/>
      <c r="H97" s="236"/>
      <c r="I97" s="330"/>
      <c r="J97" s="35">
        <f t="shared" si="38"/>
        <v>103</v>
      </c>
      <c r="K97" s="362">
        <f t="shared" si="50"/>
        <v>680400</v>
      </c>
      <c r="L97" s="294">
        <f t="shared" si="51"/>
        <v>0</v>
      </c>
      <c r="M97" s="299">
        <f t="shared" si="51"/>
        <v>145200</v>
      </c>
      <c r="N97" s="282">
        <f t="shared" si="52"/>
        <v>0</v>
      </c>
      <c r="O97" s="282"/>
      <c r="P97" s="282"/>
      <c r="Q97" s="159"/>
      <c r="R97" s="4">
        <f t="shared" si="41"/>
        <v>825600</v>
      </c>
      <c r="S97" s="4">
        <f t="shared" si="53"/>
        <v>296640</v>
      </c>
    </row>
    <row r="98" spans="1:19">
      <c r="A98" s="423" t="s">
        <v>946</v>
      </c>
      <c r="B98" s="379" t="s">
        <v>134</v>
      </c>
      <c r="C98" s="311">
        <v>46</v>
      </c>
      <c r="D98" s="335"/>
      <c r="E98" s="336">
        <v>21</v>
      </c>
      <c r="F98" s="424"/>
      <c r="G98" s="337"/>
      <c r="H98" s="338"/>
      <c r="I98" s="425"/>
      <c r="J98" s="66">
        <f t="shared" si="38"/>
        <v>67</v>
      </c>
      <c r="K98" s="362">
        <f t="shared" si="50"/>
        <v>386400</v>
      </c>
      <c r="L98" s="294">
        <f t="shared" si="51"/>
        <v>0</v>
      </c>
      <c r="M98" s="299">
        <f t="shared" si="51"/>
        <v>138600</v>
      </c>
      <c r="N98" s="282">
        <f t="shared" si="52"/>
        <v>0</v>
      </c>
      <c r="O98" s="282"/>
      <c r="P98" s="282"/>
      <c r="Q98" s="159"/>
      <c r="R98" s="4">
        <f t="shared" si="41"/>
        <v>525000</v>
      </c>
      <c r="S98" s="4">
        <f t="shared" si="53"/>
        <v>192960</v>
      </c>
    </row>
    <row r="99" spans="1:19" s="24" customFormat="1">
      <c r="A99" s="81" t="s">
        <v>560</v>
      </c>
      <c r="B99" s="375"/>
      <c r="C99" s="233">
        <f>SUM(C87:C98)</f>
        <v>915</v>
      </c>
      <c r="D99" s="235"/>
      <c r="E99" s="234">
        <f>SUM(E87:E98)</f>
        <v>206</v>
      </c>
      <c r="F99" s="230">
        <f t="shared" ref="F99:Q99" si="54">SUM(F87:F92)</f>
        <v>0</v>
      </c>
      <c r="G99" s="230">
        <f t="shared" si="54"/>
        <v>0</v>
      </c>
      <c r="H99" s="230">
        <f t="shared" si="54"/>
        <v>0</v>
      </c>
      <c r="I99" s="422">
        <f t="shared" si="54"/>
        <v>0</v>
      </c>
      <c r="J99" s="422">
        <f t="shared" si="54"/>
        <v>509</v>
      </c>
      <c r="K99" s="426">
        <f t="shared" si="54"/>
        <v>8561700</v>
      </c>
      <c r="L99" s="431">
        <f t="shared" si="54"/>
        <v>0</v>
      </c>
      <c r="M99" s="433">
        <f t="shared" si="54"/>
        <v>862400</v>
      </c>
      <c r="N99" s="435">
        <f t="shared" si="54"/>
        <v>0</v>
      </c>
      <c r="O99" s="435">
        <f t="shared" si="54"/>
        <v>0</v>
      </c>
      <c r="P99" s="435">
        <f t="shared" si="54"/>
        <v>0</v>
      </c>
      <c r="Q99" s="437">
        <f t="shared" si="54"/>
        <v>0</v>
      </c>
      <c r="R99" s="427"/>
      <c r="S99" s="427"/>
    </row>
    <row r="100" spans="1:19">
      <c r="A100" s="81" t="s">
        <v>140</v>
      </c>
      <c r="B100" s="73"/>
      <c r="C100" s="35">
        <f>SUM(C94:C98)</f>
        <v>374</v>
      </c>
      <c r="D100" s="32"/>
      <c r="E100" s="33">
        <f>SUM(E94:E98)</f>
        <v>118</v>
      </c>
      <c r="F100" s="191">
        <f>SUM(F94:F98)</f>
        <v>1720</v>
      </c>
      <c r="G100" s="191"/>
      <c r="H100" s="191">
        <f>SUM(H94:H98)</f>
        <v>0</v>
      </c>
      <c r="I100" s="41">
        <f>SUM(I87:I92)</f>
        <v>0</v>
      </c>
      <c r="J100" s="438">
        <f t="shared" ref="J100:P100" si="55">SUM(J94:J98)</f>
        <v>2212</v>
      </c>
      <c r="K100" s="428">
        <f t="shared" si="55"/>
        <v>3141600</v>
      </c>
      <c r="L100" s="432">
        <f t="shared" si="55"/>
        <v>0</v>
      </c>
      <c r="M100" s="434">
        <f t="shared" si="55"/>
        <v>778800</v>
      </c>
      <c r="N100" s="436">
        <f t="shared" si="55"/>
        <v>11558400</v>
      </c>
      <c r="O100" s="436">
        <f t="shared" si="55"/>
        <v>0</v>
      </c>
      <c r="P100" s="436">
        <f t="shared" si="55"/>
        <v>0</v>
      </c>
      <c r="Q100" s="429"/>
      <c r="R100" s="430"/>
      <c r="S100" s="430"/>
    </row>
    <row r="101" spans="1:19" s="24" customFormat="1">
      <c r="B101" s="74"/>
      <c r="C101" s="74"/>
      <c r="D101" s="9"/>
      <c r="E101" s="10"/>
      <c r="F101" s="12"/>
      <c r="G101" s="12"/>
      <c r="H101" s="192"/>
      <c r="I101" s="12"/>
      <c r="J101" s="13" t="s">
        <v>6</v>
      </c>
      <c r="K101" s="443">
        <f t="shared" ref="K101:S101" si="56">SUM(K87:K98)</f>
        <v>12442500</v>
      </c>
      <c r="L101" s="456">
        <f t="shared" si="56"/>
        <v>0</v>
      </c>
      <c r="M101" s="445">
        <f t="shared" si="56"/>
        <v>1852400</v>
      </c>
      <c r="N101" s="446">
        <f t="shared" si="56"/>
        <v>14448000</v>
      </c>
      <c r="O101" s="446">
        <f t="shared" si="56"/>
        <v>0</v>
      </c>
      <c r="P101" s="446">
        <f t="shared" si="56"/>
        <v>0</v>
      </c>
      <c r="Q101" s="446">
        <f t="shared" si="56"/>
        <v>0</v>
      </c>
      <c r="R101" s="447">
        <f t="shared" si="56"/>
        <v>28742900</v>
      </c>
      <c r="S101" s="448">
        <f t="shared" si="56"/>
        <v>11891166</v>
      </c>
    </row>
    <row r="102" spans="1:19" s="24" customFormat="1">
      <c r="B102" s="74"/>
      <c r="C102" s="74" t="s">
        <v>2</v>
      </c>
      <c r="D102" s="9"/>
      <c r="E102" s="10" t="s">
        <v>791</v>
      </c>
      <c r="F102" s="12" t="s">
        <v>5</v>
      </c>
      <c r="G102" s="12"/>
      <c r="H102" s="192"/>
      <c r="I102" s="12"/>
      <c r="J102" s="13"/>
      <c r="K102" s="458"/>
      <c r="L102" s="459"/>
      <c r="M102" s="460"/>
      <c r="N102" s="461"/>
      <c r="O102" s="461"/>
      <c r="P102" s="461"/>
      <c r="Q102" s="461"/>
      <c r="R102" s="462"/>
      <c r="S102" s="462"/>
    </row>
    <row r="103" spans="1:19">
      <c r="C103" s="14"/>
      <c r="D103" s="388"/>
      <c r="E103" s="15" t="s">
        <v>143</v>
      </c>
      <c r="F103" s="20" t="s">
        <v>765</v>
      </c>
      <c r="G103" s="75"/>
      <c r="H103" s="204"/>
      <c r="I103" s="76"/>
      <c r="J103" s="76"/>
      <c r="K103" s="181"/>
      <c r="P103" s="210"/>
    </row>
    <row r="104" spans="1:19">
      <c r="C104" s="314"/>
      <c r="D104" s="388"/>
      <c r="E104" s="15" t="s">
        <v>145</v>
      </c>
      <c r="F104" s="20" t="s">
        <v>777</v>
      </c>
      <c r="G104" s="75" t="s">
        <v>374</v>
      </c>
      <c r="H104" s="205"/>
      <c r="I104" s="78"/>
      <c r="J104" s="78"/>
      <c r="P104" s="210"/>
    </row>
    <row r="105" spans="1:19">
      <c r="A105" s="24" t="s">
        <v>146</v>
      </c>
      <c r="C105" s="25"/>
      <c r="D105" s="389"/>
      <c r="E105" s="19" t="s">
        <v>86</v>
      </c>
      <c r="F105" s="20" t="s">
        <v>797</v>
      </c>
      <c r="G105" s="77"/>
      <c r="H105" s="205"/>
      <c r="I105" s="78"/>
      <c r="J105" s="78"/>
      <c r="K105" s="219" t="s">
        <v>2</v>
      </c>
      <c r="L105" s="664" t="s">
        <v>734</v>
      </c>
      <c r="M105" s="664"/>
      <c r="N105" s="348" t="s">
        <v>16</v>
      </c>
      <c r="O105" s="348" t="s">
        <v>782</v>
      </c>
      <c r="P105" s="348" t="s">
        <v>464</v>
      </c>
      <c r="Q105" s="220"/>
      <c r="R105" s="220" t="s">
        <v>18</v>
      </c>
      <c r="S105" s="221" t="s">
        <v>19</v>
      </c>
    </row>
    <row r="106" spans="1:19">
      <c r="A106" s="228" t="s">
        <v>149</v>
      </c>
      <c r="B106" s="357" t="s">
        <v>148</v>
      </c>
      <c r="C106" s="240"/>
      <c r="D106" s="235"/>
      <c r="E106" s="256"/>
      <c r="F106" s="230"/>
      <c r="G106" s="231"/>
      <c r="H106" s="236"/>
      <c r="I106" s="41"/>
      <c r="J106" s="35">
        <f t="shared" ref="J106" si="57">SUM(C106:I106)</f>
        <v>0</v>
      </c>
      <c r="K106" s="254">
        <f t="shared" ref="K106" si="58">C106*12000</f>
        <v>0</v>
      </c>
      <c r="L106" s="294">
        <f t="shared" ref="L106" si="59">D106*12000</f>
        <v>0</v>
      </c>
      <c r="M106" s="299">
        <f t="shared" ref="M106" si="60">E106*12000</f>
        <v>0</v>
      </c>
      <c r="N106" s="282"/>
      <c r="O106" s="282"/>
      <c r="P106" s="282"/>
      <c r="Q106" s="285"/>
      <c r="R106" s="4">
        <f t="shared" ref="R106" si="61">SUM(K106:Q106)</f>
        <v>0</v>
      </c>
      <c r="S106" s="4">
        <f t="shared" ref="S106" si="62">J106*5967</f>
        <v>0</v>
      </c>
    </row>
    <row r="107" spans="1:19" s="567" customFormat="1">
      <c r="A107" s="228" t="s">
        <v>147</v>
      </c>
      <c r="B107" s="357" t="s">
        <v>148</v>
      </c>
      <c r="C107" s="238"/>
      <c r="D107" s="242"/>
      <c r="E107" s="238"/>
      <c r="F107" s="242"/>
      <c r="G107" s="330"/>
      <c r="H107" s="242"/>
      <c r="I107" s="64"/>
      <c r="J107" s="64">
        <f t="shared" ref="J107:J117" si="63">SUM(C107:I107)</f>
        <v>0</v>
      </c>
      <c r="K107" s="614">
        <f t="shared" ref="K107:M111" si="64">C107*12000</f>
        <v>0</v>
      </c>
      <c r="L107" s="614">
        <f t="shared" si="64"/>
        <v>0</v>
      </c>
      <c r="M107" s="530">
        <f>E107*12000</f>
        <v>0</v>
      </c>
      <c r="N107" s="158"/>
      <c r="O107" s="158"/>
      <c r="P107" s="158"/>
      <c r="Q107" s="615"/>
      <c r="R107" s="530">
        <f>SUM(K107:Q107)</f>
        <v>0</v>
      </c>
      <c r="S107" s="530">
        <f>J107*5967</f>
        <v>0</v>
      </c>
    </row>
    <row r="108" spans="1:19" s="567" customFormat="1">
      <c r="A108" s="228" t="s">
        <v>150</v>
      </c>
      <c r="B108" s="357" t="s">
        <v>148</v>
      </c>
      <c r="C108" s="238"/>
      <c r="D108" s="242"/>
      <c r="E108" s="238"/>
      <c r="F108" s="242"/>
      <c r="G108" s="330"/>
      <c r="H108" s="242"/>
      <c r="I108" s="64"/>
      <c r="J108" s="64">
        <f t="shared" si="63"/>
        <v>0</v>
      </c>
      <c r="K108" s="614">
        <f t="shared" si="64"/>
        <v>0</v>
      </c>
      <c r="L108" s="614">
        <f t="shared" si="64"/>
        <v>0</v>
      </c>
      <c r="M108" s="530">
        <f t="shared" si="64"/>
        <v>0</v>
      </c>
      <c r="N108" s="158"/>
      <c r="O108" s="158"/>
      <c r="P108" s="158"/>
      <c r="Q108" s="615"/>
      <c r="R108" s="530">
        <f t="shared" ref="R108:R117" si="65">SUM(K108:Q108)</f>
        <v>0</v>
      </c>
      <c r="S108" s="530">
        <f t="shared" ref="S108:S111" si="66">J108*5967</f>
        <v>0</v>
      </c>
    </row>
    <row r="109" spans="1:19">
      <c r="A109" s="79" t="s">
        <v>152</v>
      </c>
      <c r="B109" s="375" t="s">
        <v>148</v>
      </c>
      <c r="C109" s="240"/>
      <c r="D109" s="235"/>
      <c r="E109" s="256"/>
      <c r="F109" s="230"/>
      <c r="G109" s="231"/>
      <c r="H109" s="236"/>
      <c r="I109" s="35"/>
      <c r="J109" s="35">
        <f t="shared" si="63"/>
        <v>0</v>
      </c>
      <c r="K109" s="254">
        <f>C109*12000</f>
        <v>0</v>
      </c>
      <c r="L109" s="294">
        <f>D109*12000</f>
        <v>0</v>
      </c>
      <c r="M109" s="299">
        <f t="shared" si="64"/>
        <v>0</v>
      </c>
      <c r="N109" s="282"/>
      <c r="O109" s="282"/>
      <c r="P109" s="282"/>
      <c r="Q109" s="285"/>
      <c r="R109" s="4">
        <f t="shared" si="65"/>
        <v>0</v>
      </c>
      <c r="S109" s="4">
        <f t="shared" si="66"/>
        <v>0</v>
      </c>
    </row>
    <row r="110" spans="1:19">
      <c r="A110" s="79" t="s">
        <v>151</v>
      </c>
      <c r="B110" s="375" t="s">
        <v>148</v>
      </c>
      <c r="C110" s="240"/>
      <c r="D110" s="235"/>
      <c r="E110" s="256"/>
      <c r="F110" s="230"/>
      <c r="G110" s="231"/>
      <c r="H110" s="236"/>
      <c r="I110" s="35"/>
      <c r="J110" s="35">
        <f t="shared" si="63"/>
        <v>0</v>
      </c>
      <c r="K110" s="254">
        <f t="shared" ref="K110:L111" si="67">C110*12000</f>
        <v>0</v>
      </c>
      <c r="L110" s="294">
        <f t="shared" si="67"/>
        <v>0</v>
      </c>
      <c r="M110" s="299">
        <f t="shared" si="64"/>
        <v>0</v>
      </c>
      <c r="N110" s="282"/>
      <c r="O110" s="282"/>
      <c r="P110" s="282"/>
      <c r="Q110" s="285"/>
      <c r="R110" s="4">
        <f t="shared" si="65"/>
        <v>0</v>
      </c>
      <c r="S110" s="4">
        <f t="shared" si="66"/>
        <v>0</v>
      </c>
    </row>
    <row r="111" spans="1:19">
      <c r="A111" s="79" t="s">
        <v>153</v>
      </c>
      <c r="B111" s="375" t="s">
        <v>148</v>
      </c>
      <c r="C111" s="240">
        <v>22</v>
      </c>
      <c r="D111" s="235"/>
      <c r="E111" s="256"/>
      <c r="F111" s="230"/>
      <c r="G111" s="231"/>
      <c r="H111" s="236"/>
      <c r="I111" s="35"/>
      <c r="J111" s="35">
        <f t="shared" si="63"/>
        <v>22</v>
      </c>
      <c r="K111" s="254">
        <f t="shared" si="67"/>
        <v>264000</v>
      </c>
      <c r="L111" s="294">
        <f t="shared" si="67"/>
        <v>0</v>
      </c>
      <c r="M111" s="299">
        <f t="shared" si="64"/>
        <v>0</v>
      </c>
      <c r="N111" s="282"/>
      <c r="O111" s="282"/>
      <c r="P111" s="282"/>
      <c r="Q111" s="285"/>
      <c r="R111" s="4">
        <f t="shared" si="65"/>
        <v>264000</v>
      </c>
      <c r="S111" s="4">
        <f t="shared" si="66"/>
        <v>131274</v>
      </c>
    </row>
    <row r="112" spans="1:19">
      <c r="A112" s="79" t="s">
        <v>852</v>
      </c>
      <c r="B112" s="375" t="s">
        <v>778</v>
      </c>
      <c r="C112" s="240">
        <v>1</v>
      </c>
      <c r="D112" s="235"/>
      <c r="E112" s="256"/>
      <c r="F112" s="230"/>
      <c r="G112" s="231"/>
      <c r="H112" s="236"/>
      <c r="I112" s="35"/>
      <c r="J112" s="35">
        <f t="shared" si="63"/>
        <v>1</v>
      </c>
      <c r="K112" s="362">
        <f t="shared" ref="K112:K117" si="68">C112*47000</f>
        <v>47000</v>
      </c>
      <c r="L112" s="294">
        <f t="shared" ref="L112:M117" si="69">D112*35200</f>
        <v>0</v>
      </c>
      <c r="M112" s="299">
        <f t="shared" si="69"/>
        <v>0</v>
      </c>
      <c r="N112" s="282">
        <f>F112*23500</f>
        <v>0</v>
      </c>
      <c r="O112" s="282">
        <f>G112*22500</f>
        <v>0</v>
      </c>
      <c r="P112" s="282"/>
      <c r="Q112" s="285"/>
      <c r="R112" s="4">
        <f t="shared" si="65"/>
        <v>47000</v>
      </c>
      <c r="S112" s="4">
        <f t="shared" ref="S112:S117" si="70">J112*15480</f>
        <v>15480</v>
      </c>
    </row>
    <row r="113" spans="1:19">
      <c r="A113" s="79" t="s">
        <v>851</v>
      </c>
      <c r="B113" s="375" t="s">
        <v>155</v>
      </c>
      <c r="C113" s="35"/>
      <c r="D113" s="235"/>
      <c r="E113" s="256"/>
      <c r="F113" s="230"/>
      <c r="G113" s="231"/>
      <c r="H113" s="236"/>
      <c r="I113" s="35"/>
      <c r="J113" s="35">
        <f t="shared" ref="J113" si="71">SUM(C113:I113)</f>
        <v>0</v>
      </c>
      <c r="K113" s="362">
        <f>C113*47000</f>
        <v>0</v>
      </c>
      <c r="L113" s="294">
        <f>D113*35200</f>
        <v>0</v>
      </c>
      <c r="M113" s="299">
        <f>E113*35200</f>
        <v>0</v>
      </c>
      <c r="N113" s="282">
        <f>F113*23500</f>
        <v>0</v>
      </c>
      <c r="O113" s="282"/>
      <c r="P113" s="282"/>
      <c r="Q113" s="285"/>
      <c r="R113" s="4">
        <f t="shared" ref="R113" si="72">SUM(K113:Q113)</f>
        <v>0</v>
      </c>
      <c r="S113" s="4">
        <f>J113*15480</f>
        <v>0</v>
      </c>
    </row>
    <row r="114" spans="1:19">
      <c r="A114" s="79" t="s">
        <v>853</v>
      </c>
      <c r="B114" s="375" t="s">
        <v>779</v>
      </c>
      <c r="C114" s="240"/>
      <c r="D114" s="235"/>
      <c r="E114" s="256"/>
      <c r="F114" s="230"/>
      <c r="G114" s="231"/>
      <c r="H114" s="236"/>
      <c r="I114" s="35"/>
      <c r="J114" s="35">
        <f t="shared" si="63"/>
        <v>0</v>
      </c>
      <c r="K114" s="362">
        <f t="shared" si="68"/>
        <v>0</v>
      </c>
      <c r="L114" s="294">
        <f t="shared" si="69"/>
        <v>0</v>
      </c>
      <c r="M114" s="299">
        <f t="shared" si="69"/>
        <v>0</v>
      </c>
      <c r="N114" s="282">
        <f t="shared" ref="N114:N117" si="73">F114*23500</f>
        <v>0</v>
      </c>
      <c r="O114" s="282">
        <f>G114*22500</f>
        <v>0</v>
      </c>
      <c r="P114" s="282"/>
      <c r="Q114" s="285"/>
      <c r="R114" s="4">
        <f t="shared" si="65"/>
        <v>0</v>
      </c>
      <c r="S114" s="4">
        <f t="shared" si="70"/>
        <v>0</v>
      </c>
    </row>
    <row r="115" spans="1:19">
      <c r="A115" s="79" t="s">
        <v>854</v>
      </c>
      <c r="B115" s="90" t="s">
        <v>780</v>
      </c>
      <c r="C115" s="240">
        <v>2</v>
      </c>
      <c r="D115" s="235"/>
      <c r="E115" s="256"/>
      <c r="F115" s="230">
        <v>8</v>
      </c>
      <c r="G115" s="230"/>
      <c r="H115" s="236"/>
      <c r="I115" s="35"/>
      <c r="J115" s="35">
        <f t="shared" si="63"/>
        <v>10</v>
      </c>
      <c r="K115" s="362">
        <f t="shared" si="68"/>
        <v>94000</v>
      </c>
      <c r="L115" s="294">
        <f t="shared" si="69"/>
        <v>0</v>
      </c>
      <c r="M115" s="299">
        <f t="shared" si="69"/>
        <v>0</v>
      </c>
      <c r="N115" s="282">
        <f t="shared" si="73"/>
        <v>188000</v>
      </c>
      <c r="O115" s="282">
        <f>G115*23500</f>
        <v>0</v>
      </c>
      <c r="P115" s="282"/>
      <c r="Q115" s="285"/>
      <c r="R115" s="4">
        <f t="shared" si="65"/>
        <v>282000</v>
      </c>
      <c r="S115" s="4">
        <f t="shared" si="70"/>
        <v>154800</v>
      </c>
    </row>
    <row r="116" spans="1:19">
      <c r="A116" s="79" t="s">
        <v>855</v>
      </c>
      <c r="B116" s="375" t="s">
        <v>155</v>
      </c>
      <c r="C116" s="240"/>
      <c r="D116" s="235"/>
      <c r="E116" s="256"/>
      <c r="F116" s="230">
        <v>4</v>
      </c>
      <c r="G116" s="230"/>
      <c r="H116" s="236"/>
      <c r="I116" s="35"/>
      <c r="J116" s="35">
        <f t="shared" si="63"/>
        <v>4</v>
      </c>
      <c r="K116" s="362">
        <f t="shared" si="68"/>
        <v>0</v>
      </c>
      <c r="L116" s="294">
        <f t="shared" si="69"/>
        <v>0</v>
      </c>
      <c r="M116" s="299">
        <f t="shared" si="69"/>
        <v>0</v>
      </c>
      <c r="N116" s="282">
        <f t="shared" si="73"/>
        <v>94000</v>
      </c>
      <c r="O116" s="282">
        <f>G116*23500</f>
        <v>0</v>
      </c>
      <c r="P116" s="282"/>
      <c r="Q116" s="285"/>
      <c r="R116" s="4">
        <f t="shared" si="65"/>
        <v>94000</v>
      </c>
      <c r="S116" s="4">
        <f t="shared" si="70"/>
        <v>61920</v>
      </c>
    </row>
    <row r="117" spans="1:19">
      <c r="A117" s="79" t="s">
        <v>856</v>
      </c>
      <c r="B117" s="90" t="s">
        <v>781</v>
      </c>
      <c r="C117" s="237"/>
      <c r="D117" s="235"/>
      <c r="E117" s="234"/>
      <c r="F117" s="230">
        <v>5</v>
      </c>
      <c r="G117" s="230"/>
      <c r="H117" s="197"/>
      <c r="I117" s="35"/>
      <c r="J117" s="35">
        <f t="shared" si="63"/>
        <v>5</v>
      </c>
      <c r="K117" s="362">
        <f t="shared" si="68"/>
        <v>0</v>
      </c>
      <c r="L117" s="294">
        <f t="shared" si="69"/>
        <v>0</v>
      </c>
      <c r="M117" s="299">
        <f t="shared" si="69"/>
        <v>0</v>
      </c>
      <c r="N117" s="282">
        <f t="shared" si="73"/>
        <v>117500</v>
      </c>
      <c r="O117" s="282"/>
      <c r="P117" s="282"/>
      <c r="Q117" s="285"/>
      <c r="R117" s="4">
        <f t="shared" si="65"/>
        <v>117500</v>
      </c>
      <c r="S117" s="4">
        <f t="shared" si="70"/>
        <v>77400</v>
      </c>
    </row>
    <row r="118" spans="1:19">
      <c r="A118" s="81"/>
      <c r="B118" s="29"/>
      <c r="C118" s="35"/>
      <c r="D118" s="32"/>
      <c r="E118" s="33"/>
      <c r="F118" s="191"/>
      <c r="G118" s="191"/>
      <c r="H118" s="191"/>
      <c r="I118" s="191"/>
      <c r="J118" s="35"/>
      <c r="L118" s="294"/>
      <c r="M118" s="299"/>
      <c r="N118" s="282"/>
      <c r="O118" s="282"/>
      <c r="P118" s="282"/>
      <c r="Q118" s="285"/>
    </row>
    <row r="119" spans="1:19" s="24" customFormat="1">
      <c r="B119" s="13"/>
      <c r="C119" s="74"/>
      <c r="D119" s="82"/>
      <c r="E119" s="83"/>
      <c r="F119" s="84"/>
      <c r="G119" s="84"/>
      <c r="H119" s="206"/>
      <c r="I119" s="84"/>
      <c r="J119" s="85" t="s">
        <v>6</v>
      </c>
      <c r="K119" s="443">
        <f t="shared" ref="K119:S119" si="74">SUM(K107:K118)</f>
        <v>405000</v>
      </c>
      <c r="L119" s="456">
        <f t="shared" si="74"/>
        <v>0</v>
      </c>
      <c r="M119" s="445">
        <f t="shared" si="74"/>
        <v>0</v>
      </c>
      <c r="N119" s="446">
        <f t="shared" si="74"/>
        <v>399500</v>
      </c>
      <c r="O119" s="446">
        <f t="shared" si="74"/>
        <v>0</v>
      </c>
      <c r="P119" s="446">
        <f t="shared" si="74"/>
        <v>0</v>
      </c>
      <c r="Q119" s="465">
        <f t="shared" si="74"/>
        <v>0</v>
      </c>
      <c r="R119" s="447">
        <f t="shared" si="74"/>
        <v>804500</v>
      </c>
      <c r="S119" s="448">
        <f t="shared" si="74"/>
        <v>440874</v>
      </c>
    </row>
    <row r="120" spans="1:19" s="24" customFormat="1">
      <c r="B120" s="13"/>
      <c r="C120" s="74" t="s">
        <v>2</v>
      </c>
      <c r="D120" s="82"/>
      <c r="E120" s="10" t="s">
        <v>791</v>
      </c>
      <c r="F120" s="84" t="s">
        <v>5</v>
      </c>
      <c r="G120" s="84"/>
      <c r="H120" s="206"/>
      <c r="I120" s="84"/>
      <c r="J120" s="85"/>
      <c r="K120" s="253"/>
      <c r="L120" s="421"/>
      <c r="M120" s="463"/>
      <c r="N120" s="284"/>
      <c r="O120" s="284"/>
      <c r="P120" s="284"/>
      <c r="Q120" s="305"/>
      <c r="R120" s="464"/>
      <c r="S120" s="464"/>
    </row>
    <row r="121" spans="1:19">
      <c r="A121" s="24" t="s">
        <v>947</v>
      </c>
      <c r="B121" s="86"/>
      <c r="D121" s="55"/>
      <c r="E121" s="15" t="s">
        <v>163</v>
      </c>
      <c r="F121" s="45"/>
      <c r="G121" s="45"/>
      <c r="H121" s="199"/>
      <c r="I121" s="35"/>
      <c r="J121" s="35"/>
      <c r="K121" s="580" t="s">
        <v>2</v>
      </c>
      <c r="L121" s="664" t="s">
        <v>734</v>
      </c>
      <c r="M121" s="664"/>
      <c r="N121" s="581" t="s">
        <v>16</v>
      </c>
      <c r="O121" s="581" t="s">
        <v>557</v>
      </c>
      <c r="P121" s="581" t="s">
        <v>464</v>
      </c>
      <c r="Q121" s="582"/>
      <c r="R121" s="582" t="s">
        <v>18</v>
      </c>
      <c r="S121" s="583" t="s">
        <v>19</v>
      </c>
    </row>
    <row r="122" spans="1:19">
      <c r="A122" s="29" t="s">
        <v>166</v>
      </c>
      <c r="B122" s="375" t="s">
        <v>165</v>
      </c>
      <c r="C122" s="237">
        <v>2</v>
      </c>
      <c r="D122" s="235"/>
      <c r="E122" s="234">
        <v>1</v>
      </c>
      <c r="F122" s="230"/>
      <c r="G122" s="230"/>
      <c r="H122" s="197"/>
      <c r="I122" s="35"/>
      <c r="J122" s="35">
        <f>SUM(C122:I122)</f>
        <v>3</v>
      </c>
      <c r="K122" s="288">
        <f t="shared" ref="K122:K125" si="75">C122*100800</f>
        <v>201600</v>
      </c>
      <c r="L122" s="294">
        <f t="shared" ref="L122:M125" si="76">D122*86900</f>
        <v>0</v>
      </c>
      <c r="M122" s="299">
        <f t="shared" si="76"/>
        <v>86900</v>
      </c>
      <c r="N122" s="282"/>
      <c r="O122" s="282"/>
      <c r="P122" s="282"/>
      <c r="R122" s="4">
        <f t="shared" ref="R122:R125" si="77">SUM(K122:Q122)</f>
        <v>288500</v>
      </c>
      <c r="S122" s="4">
        <f t="shared" ref="S122:S125" si="78">J122*36064</f>
        <v>108192</v>
      </c>
    </row>
    <row r="123" spans="1:19">
      <c r="A123" s="29" t="s">
        <v>164</v>
      </c>
      <c r="B123" s="375" t="s">
        <v>165</v>
      </c>
      <c r="C123" s="237">
        <v>1</v>
      </c>
      <c r="D123" s="235"/>
      <c r="E123" s="234"/>
      <c r="F123" s="230"/>
      <c r="G123" s="230"/>
      <c r="H123" s="197"/>
      <c r="I123" s="35"/>
      <c r="J123" s="35">
        <f>SUM(C123:I123)</f>
        <v>1</v>
      </c>
      <c r="K123" s="288">
        <f>C123*100800</f>
        <v>100800</v>
      </c>
      <c r="L123" s="294">
        <f>D123*86900</f>
        <v>0</v>
      </c>
      <c r="M123" s="299">
        <f>E123*86900</f>
        <v>0</v>
      </c>
      <c r="N123" s="282"/>
      <c r="O123" s="282"/>
      <c r="P123" s="282"/>
      <c r="R123" s="4">
        <f>SUM(K123:Q123)</f>
        <v>100800</v>
      </c>
      <c r="S123" s="4">
        <f>J123*36064</f>
        <v>36064</v>
      </c>
    </row>
    <row r="124" spans="1:19">
      <c r="A124" s="29" t="s">
        <v>167</v>
      </c>
      <c r="B124" s="375" t="s">
        <v>165</v>
      </c>
      <c r="C124" s="233">
        <v>1</v>
      </c>
      <c r="D124" s="235"/>
      <c r="E124" s="234"/>
      <c r="F124" s="230"/>
      <c r="G124" s="230"/>
      <c r="H124" s="197"/>
      <c r="I124" s="35"/>
      <c r="J124" s="35">
        <f>SUM(C124:I124)</f>
        <v>1</v>
      </c>
      <c r="K124" s="288">
        <f t="shared" si="75"/>
        <v>100800</v>
      </c>
      <c r="L124" s="294">
        <f t="shared" si="76"/>
        <v>0</v>
      </c>
      <c r="M124" s="299">
        <f t="shared" si="76"/>
        <v>0</v>
      </c>
      <c r="N124" s="282"/>
      <c r="O124" s="282"/>
      <c r="P124" s="282"/>
      <c r="R124" s="4">
        <f t="shared" si="77"/>
        <v>100800</v>
      </c>
      <c r="S124" s="4">
        <f t="shared" si="78"/>
        <v>36064</v>
      </c>
    </row>
    <row r="125" spans="1:19">
      <c r="A125" s="29" t="s">
        <v>168</v>
      </c>
      <c r="B125" s="375" t="s">
        <v>165</v>
      </c>
      <c r="C125" s="237">
        <v>1</v>
      </c>
      <c r="D125" s="235"/>
      <c r="E125" s="234">
        <v>1</v>
      </c>
      <c r="F125" s="230"/>
      <c r="G125" s="230"/>
      <c r="H125" s="197"/>
      <c r="I125" s="35"/>
      <c r="J125" s="35">
        <f>SUM(C125:I125)</f>
        <v>2</v>
      </c>
      <c r="K125" s="288">
        <f t="shared" si="75"/>
        <v>100800</v>
      </c>
      <c r="L125" s="294">
        <f t="shared" si="76"/>
        <v>0</v>
      </c>
      <c r="M125" s="299">
        <f t="shared" si="76"/>
        <v>86900</v>
      </c>
      <c r="N125" s="282"/>
      <c r="O125" s="282"/>
      <c r="P125" s="282"/>
      <c r="R125" s="4">
        <f t="shared" si="77"/>
        <v>187700</v>
      </c>
      <c r="S125" s="4">
        <f t="shared" si="78"/>
        <v>72128</v>
      </c>
    </row>
    <row r="126" spans="1:19" s="24" customFormat="1">
      <c r="B126" s="74"/>
      <c r="C126" s="74"/>
      <c r="D126" s="82"/>
      <c r="E126" s="10" t="s">
        <v>791</v>
      </c>
      <c r="F126" s="84" t="s">
        <v>5</v>
      </c>
      <c r="G126" s="84"/>
      <c r="H126" s="206"/>
      <c r="I126" s="84"/>
      <c r="J126" s="74" t="s">
        <v>6</v>
      </c>
      <c r="K126" s="443">
        <f t="shared" ref="K126:S126" si="79">SUM(K122:K125)</f>
        <v>504000</v>
      </c>
      <c r="L126" s="456">
        <f t="shared" si="79"/>
        <v>0</v>
      </c>
      <c r="M126" s="445">
        <f t="shared" si="79"/>
        <v>173800</v>
      </c>
      <c r="N126" s="446">
        <f t="shared" si="79"/>
        <v>0</v>
      </c>
      <c r="O126" s="446">
        <f t="shared" si="79"/>
        <v>0</v>
      </c>
      <c r="P126" s="446">
        <f t="shared" si="79"/>
        <v>0</v>
      </c>
      <c r="Q126" s="443">
        <f t="shared" si="79"/>
        <v>0</v>
      </c>
      <c r="R126" s="447">
        <f t="shared" si="79"/>
        <v>677800</v>
      </c>
      <c r="S126" s="448">
        <f t="shared" si="79"/>
        <v>252448</v>
      </c>
    </row>
    <row r="127" spans="1:19">
      <c r="A127" s="24" t="s">
        <v>169</v>
      </c>
      <c r="B127" s="2" t="s">
        <v>2</v>
      </c>
      <c r="C127" s="87"/>
      <c r="D127" s="88"/>
      <c r="E127" s="89" t="s">
        <v>171</v>
      </c>
      <c r="F127" s="90" t="s">
        <v>370</v>
      </c>
      <c r="G127" s="73"/>
      <c r="H127" s="195"/>
      <c r="I127" s="73"/>
      <c r="J127" s="74"/>
      <c r="K127" s="219" t="s">
        <v>2</v>
      </c>
      <c r="L127" s="664" t="s">
        <v>734</v>
      </c>
      <c r="M127" s="664"/>
      <c r="N127" s="348" t="s">
        <v>16</v>
      </c>
      <c r="O127" s="348" t="s">
        <v>557</v>
      </c>
      <c r="P127" s="348" t="s">
        <v>464</v>
      </c>
      <c r="Q127" s="220"/>
      <c r="R127" s="220" t="s">
        <v>18</v>
      </c>
      <c r="S127" s="221" t="s">
        <v>19</v>
      </c>
    </row>
    <row r="128" spans="1:19">
      <c r="A128" s="129" t="s">
        <v>172</v>
      </c>
      <c r="B128" s="87"/>
      <c r="C128" s="35"/>
      <c r="D128" s="32"/>
      <c r="E128" s="33"/>
      <c r="F128" s="230"/>
      <c r="G128" s="241"/>
      <c r="H128" s="195"/>
      <c r="I128" s="73"/>
      <c r="J128" s="35">
        <f>SUM(C128:I128)</f>
        <v>0</v>
      </c>
      <c r="L128" s="173"/>
      <c r="M128" s="299"/>
      <c r="N128" s="282">
        <f>F128*39000</f>
        <v>0</v>
      </c>
      <c r="P128" s="210"/>
      <c r="R128" s="4">
        <f>SUM(K128:Q128)</f>
        <v>0</v>
      </c>
      <c r="S128" s="4">
        <f>J128*22255</f>
        <v>0</v>
      </c>
    </row>
    <row r="129" spans="1:19">
      <c r="A129" s="129" t="s">
        <v>173</v>
      </c>
      <c r="B129" s="87"/>
      <c r="C129" s="35"/>
      <c r="D129" s="32"/>
      <c r="E129" s="33"/>
      <c r="F129" s="230">
        <v>1</v>
      </c>
      <c r="G129" s="241"/>
      <c r="H129" s="195"/>
      <c r="I129" s="73"/>
      <c r="J129" s="35">
        <f>SUM(C129:I129)</f>
        <v>1</v>
      </c>
      <c r="L129" s="173"/>
      <c r="M129" s="299"/>
      <c r="N129" s="282">
        <f>F129*39000</f>
        <v>39000</v>
      </c>
      <c r="P129" s="210"/>
      <c r="R129" s="4">
        <f t="shared" ref="R129:R131" si="80">SUM(K129:Q129)</f>
        <v>39000</v>
      </c>
      <c r="S129" s="4">
        <f>J129*32062</f>
        <v>32062</v>
      </c>
    </row>
    <row r="130" spans="1:19">
      <c r="A130" s="129" t="s">
        <v>174</v>
      </c>
      <c r="B130" s="87"/>
      <c r="C130" s="35"/>
      <c r="D130" s="32"/>
      <c r="E130" s="33"/>
      <c r="F130" s="230"/>
      <c r="G130" s="241"/>
      <c r="H130" s="195"/>
      <c r="I130" s="73"/>
      <c r="J130" s="35">
        <f>SUM(C130:I130)</f>
        <v>0</v>
      </c>
      <c r="L130" s="173"/>
      <c r="M130" s="299"/>
      <c r="N130" s="282">
        <f>F130*39000</f>
        <v>0</v>
      </c>
      <c r="P130" s="210"/>
      <c r="R130" s="4">
        <f t="shared" si="80"/>
        <v>0</v>
      </c>
      <c r="S130" s="4">
        <f>J130*29799</f>
        <v>0</v>
      </c>
    </row>
    <row r="131" spans="1:19">
      <c r="A131" s="129" t="s">
        <v>175</v>
      </c>
      <c r="B131" s="87"/>
      <c r="C131" s="35"/>
      <c r="D131" s="32"/>
      <c r="E131" s="33"/>
      <c r="F131" s="230">
        <v>1</v>
      </c>
      <c r="G131" s="241"/>
      <c r="H131" s="195"/>
      <c r="I131" s="73"/>
      <c r="J131" s="35">
        <f>SUM(C131:I131)</f>
        <v>1</v>
      </c>
      <c r="L131" s="173"/>
      <c r="M131" s="299"/>
      <c r="N131" s="282">
        <f>F131*39000</f>
        <v>39000</v>
      </c>
      <c r="P131" s="210"/>
      <c r="R131" s="4">
        <f t="shared" si="80"/>
        <v>39000</v>
      </c>
      <c r="S131" s="4">
        <f>J131*32062</f>
        <v>32062</v>
      </c>
    </row>
    <row r="132" spans="1:19" s="24" customFormat="1">
      <c r="B132" s="74"/>
      <c r="C132" s="74"/>
      <c r="D132" s="9"/>
      <c r="E132" s="10"/>
      <c r="F132" s="12"/>
      <c r="G132" s="12"/>
      <c r="H132" s="192"/>
      <c r="I132" s="84"/>
      <c r="J132" s="13" t="s">
        <v>6</v>
      </c>
      <c r="K132" s="443">
        <f t="shared" ref="K132:S132" si="81">SUM(K128:K131)</f>
        <v>0</v>
      </c>
      <c r="L132" s="444">
        <f t="shared" si="81"/>
        <v>0</v>
      </c>
      <c r="M132" s="445">
        <f t="shared" si="81"/>
        <v>0</v>
      </c>
      <c r="N132" s="446">
        <f t="shared" si="81"/>
        <v>78000</v>
      </c>
      <c r="O132" s="446">
        <f t="shared" si="81"/>
        <v>0</v>
      </c>
      <c r="P132" s="443">
        <f t="shared" si="81"/>
        <v>0</v>
      </c>
      <c r="Q132" s="443">
        <f t="shared" si="81"/>
        <v>0</v>
      </c>
      <c r="R132" s="447">
        <f t="shared" si="81"/>
        <v>78000</v>
      </c>
      <c r="S132" s="448">
        <f t="shared" si="81"/>
        <v>64124</v>
      </c>
    </row>
    <row r="133" spans="1:19" s="24" customFormat="1">
      <c r="B133" s="74"/>
      <c r="C133" s="74" t="s">
        <v>2</v>
      </c>
      <c r="D133" s="9"/>
      <c r="E133" s="10" t="s">
        <v>791</v>
      </c>
      <c r="F133" s="12" t="s">
        <v>5</v>
      </c>
      <c r="G133" s="12"/>
      <c r="H133" s="192"/>
      <c r="I133" s="92"/>
      <c r="J133" s="13"/>
      <c r="K133" s="253"/>
      <c r="L133" s="466"/>
      <c r="M133" s="463"/>
      <c r="N133" s="284"/>
      <c r="O133" s="284"/>
      <c r="P133" s="253"/>
      <c r="Q133" s="253"/>
      <c r="R133" s="464"/>
      <c r="S133" s="464"/>
    </row>
    <row r="134" spans="1:19">
      <c r="C134" s="1"/>
      <c r="D134" s="55"/>
      <c r="E134" s="15" t="s">
        <v>437</v>
      </c>
      <c r="F134" s="84"/>
      <c r="G134" s="12"/>
      <c r="H134" s="192"/>
      <c r="I134" s="92"/>
      <c r="J134" s="13"/>
      <c r="L134" s="173"/>
      <c r="M134" s="299"/>
      <c r="P134" s="210"/>
    </row>
    <row r="135" spans="1:19">
      <c r="A135" s="24" t="s">
        <v>177</v>
      </c>
      <c r="B135" s="93"/>
      <c r="C135" s="94"/>
      <c r="D135" s="55"/>
      <c r="E135" s="15" t="s">
        <v>179</v>
      </c>
      <c r="F135" s="45"/>
      <c r="G135" s="22"/>
      <c r="H135" s="193"/>
      <c r="I135" s="66"/>
      <c r="J135" s="66"/>
      <c r="K135" s="219" t="s">
        <v>2</v>
      </c>
      <c r="L135" s="664" t="s">
        <v>734</v>
      </c>
      <c r="M135" s="664"/>
      <c r="N135" s="348" t="s">
        <v>16</v>
      </c>
      <c r="O135" s="348" t="s">
        <v>557</v>
      </c>
      <c r="P135" s="348" t="s">
        <v>464</v>
      </c>
      <c r="Q135" s="419"/>
      <c r="R135" s="220" t="s">
        <v>18</v>
      </c>
      <c r="S135" s="221" t="s">
        <v>19</v>
      </c>
    </row>
    <row r="136" spans="1:19">
      <c r="A136" s="24"/>
      <c r="B136" s="365"/>
      <c r="C136" s="94"/>
      <c r="D136" s="55"/>
      <c r="E136" s="15" t="s">
        <v>504</v>
      </c>
      <c r="F136" s="45"/>
      <c r="G136" s="22"/>
      <c r="H136" s="193"/>
      <c r="I136" s="66"/>
      <c r="J136" s="66"/>
      <c r="K136" s="28"/>
      <c r="L136" s="296"/>
      <c r="M136" s="301"/>
      <c r="N136" s="286"/>
      <c r="O136" s="286"/>
      <c r="P136" s="286"/>
      <c r="Q136" s="279"/>
      <c r="R136" s="5"/>
    </row>
    <row r="137" spans="1:19">
      <c r="A137" s="95" t="s">
        <v>180</v>
      </c>
      <c r="B137" s="67" t="s">
        <v>110</v>
      </c>
      <c r="C137" s="312">
        <v>2</v>
      </c>
      <c r="D137" s="235"/>
      <c r="E137" s="234">
        <v>2</v>
      </c>
      <c r="F137" s="34"/>
      <c r="G137" s="34"/>
      <c r="H137" s="195"/>
      <c r="I137" s="41"/>
      <c r="J137" s="35">
        <f>SUM(C137:I137)</f>
        <v>4</v>
      </c>
      <c r="K137" s="254">
        <f>C137*134000</f>
        <v>268000</v>
      </c>
      <c r="L137" s="173">
        <f>D137*106700</f>
        <v>0</v>
      </c>
      <c r="M137" s="299">
        <f>E137*106700</f>
        <v>213400</v>
      </c>
      <c r="N137" s="282"/>
      <c r="O137" s="282"/>
      <c r="P137" s="282"/>
      <c r="Q137" s="279"/>
      <c r="R137" s="4">
        <f>SUM(K137:Q137)</f>
        <v>481400</v>
      </c>
      <c r="S137" s="4">
        <f>J137*59055</f>
        <v>236220</v>
      </c>
    </row>
    <row r="138" spans="1:19">
      <c r="A138" s="95" t="s">
        <v>181</v>
      </c>
      <c r="B138" s="67" t="s">
        <v>115</v>
      </c>
      <c r="C138" s="312">
        <v>1</v>
      </c>
      <c r="D138" s="235"/>
      <c r="E138" s="234"/>
      <c r="F138" s="34"/>
      <c r="G138" s="34"/>
      <c r="H138" s="195"/>
      <c r="I138" s="41"/>
      <c r="J138" s="35">
        <f>SUM(C138:I138)</f>
        <v>1</v>
      </c>
      <c r="K138" s="254">
        <f>C138*134000</f>
        <v>134000</v>
      </c>
      <c r="L138" s="173">
        <f>D138*106700</f>
        <v>0</v>
      </c>
      <c r="M138" s="299">
        <f>E138*106700</f>
        <v>0</v>
      </c>
      <c r="N138" s="282"/>
      <c r="O138" s="282"/>
      <c r="P138" s="282"/>
      <c r="Q138" s="279"/>
      <c r="R138" s="4">
        <f t="shared" ref="R138:R139" si="82">SUM(K138:Q138)</f>
        <v>134000</v>
      </c>
      <c r="S138" s="4">
        <f>J138*40000</f>
        <v>40000</v>
      </c>
    </row>
    <row r="139" spans="1:19">
      <c r="A139" s="555" t="s">
        <v>850</v>
      </c>
      <c r="B139" s="556" t="s">
        <v>494</v>
      </c>
      <c r="C139" s="559"/>
      <c r="D139" s="235"/>
      <c r="E139" s="234"/>
      <c r="F139" s="191">
        <v>2</v>
      </c>
      <c r="G139" s="34"/>
      <c r="H139" s="195"/>
      <c r="I139" s="41"/>
      <c r="J139" s="35">
        <f>SUM(C139:I139)</f>
        <v>2</v>
      </c>
      <c r="K139" s="268">
        <f>C139*89600</f>
        <v>0</v>
      </c>
      <c r="L139" s="173">
        <f>D139*89600</f>
        <v>0</v>
      </c>
      <c r="M139" s="299">
        <f>E139*89600</f>
        <v>0</v>
      </c>
      <c r="N139" s="282">
        <f>F139*89600</f>
        <v>179200</v>
      </c>
      <c r="O139" s="282"/>
      <c r="P139" s="282"/>
      <c r="Q139" s="279"/>
      <c r="R139" s="4">
        <f t="shared" si="82"/>
        <v>179200</v>
      </c>
      <c r="S139" s="4">
        <f>J139*55173</f>
        <v>110346</v>
      </c>
    </row>
    <row r="140" spans="1:19">
      <c r="A140" s="96"/>
      <c r="D140" s="97"/>
      <c r="E140" s="98"/>
      <c r="F140" s="99"/>
      <c r="G140" s="100"/>
      <c r="H140" s="198"/>
      <c r="I140" s="72"/>
      <c r="J140" s="72" t="s">
        <v>6</v>
      </c>
      <c r="K140" s="443">
        <f>SUM(K136:K139)</f>
        <v>402000</v>
      </c>
      <c r="L140" s="444">
        <f t="shared" ref="L140:S140" si="83">SUM(L136:L139)</f>
        <v>0</v>
      </c>
      <c r="M140" s="445">
        <f t="shared" si="83"/>
        <v>213400</v>
      </c>
      <c r="N140" s="446">
        <f t="shared" si="83"/>
        <v>179200</v>
      </c>
      <c r="O140" s="446">
        <f t="shared" si="83"/>
        <v>0</v>
      </c>
      <c r="P140" s="446">
        <f t="shared" si="83"/>
        <v>0</v>
      </c>
      <c r="Q140" s="446">
        <f t="shared" si="83"/>
        <v>0</v>
      </c>
      <c r="R140" s="447">
        <f t="shared" si="83"/>
        <v>794600</v>
      </c>
      <c r="S140" s="448">
        <f t="shared" si="83"/>
        <v>386566</v>
      </c>
    </row>
    <row r="141" spans="1:19" s="24" customFormat="1">
      <c r="B141" s="74"/>
      <c r="C141" s="31"/>
      <c r="D141" s="588"/>
      <c r="E141" s="10" t="s">
        <v>791</v>
      </c>
      <c r="F141" s="579" t="s">
        <v>5</v>
      </c>
      <c r="G141" s="579"/>
      <c r="H141" s="590"/>
      <c r="I141" s="84" t="s">
        <v>368</v>
      </c>
      <c r="J141" s="85"/>
      <c r="K141" s="253"/>
      <c r="L141" s="466"/>
      <c r="M141" s="463"/>
      <c r="N141" s="284"/>
      <c r="O141" s="284"/>
      <c r="P141" s="284"/>
      <c r="Q141" s="284"/>
      <c r="R141" s="464"/>
      <c r="S141" s="464"/>
    </row>
    <row r="142" spans="1:19">
      <c r="A142" s="24"/>
      <c r="C142" s="584"/>
      <c r="D142" s="584" t="s">
        <v>359</v>
      </c>
      <c r="E142" s="585" t="s">
        <v>184</v>
      </c>
      <c r="F142" s="586"/>
      <c r="G142" s="108"/>
      <c r="H142" s="587"/>
      <c r="I142" s="108"/>
      <c r="J142" s="107"/>
      <c r="L142" s="173"/>
      <c r="P142" s="210"/>
    </row>
    <row r="143" spans="1:19">
      <c r="A143" s="24"/>
      <c r="C143" s="104" t="s">
        <v>345</v>
      </c>
      <c r="D143" s="394"/>
      <c r="E143" s="15" t="s">
        <v>183</v>
      </c>
      <c r="F143" s="20" t="s">
        <v>515</v>
      </c>
      <c r="G143" s="84" t="s">
        <v>374</v>
      </c>
      <c r="H143" s="195"/>
      <c r="I143" s="73"/>
      <c r="J143" s="102"/>
      <c r="L143" s="173"/>
      <c r="P143" s="210"/>
    </row>
    <row r="144" spans="1:19">
      <c r="A144" s="24"/>
      <c r="C144" s="104" t="s">
        <v>187</v>
      </c>
      <c r="D144" s="394"/>
      <c r="E144" s="15" t="s">
        <v>189</v>
      </c>
      <c r="F144" s="45" t="s">
        <v>185</v>
      </c>
      <c r="G144" s="101" t="s">
        <v>561</v>
      </c>
      <c r="H144" s="207"/>
      <c r="I144" s="84"/>
      <c r="J144" s="102"/>
      <c r="L144" s="173"/>
      <c r="P144" s="210"/>
    </row>
    <row r="145" spans="1:19" ht="24">
      <c r="A145" s="24" t="s">
        <v>186</v>
      </c>
      <c r="C145" s="104" t="s">
        <v>190</v>
      </c>
      <c r="D145" s="394"/>
      <c r="E145" s="15" t="s">
        <v>192</v>
      </c>
      <c r="F145" s="20" t="s">
        <v>14</v>
      </c>
      <c r="G145" s="26" t="s">
        <v>15</v>
      </c>
      <c r="H145" s="195"/>
      <c r="I145" s="20"/>
      <c r="J145" s="102"/>
      <c r="L145" s="173"/>
      <c r="P145" s="210"/>
    </row>
    <row r="146" spans="1:19">
      <c r="A146" s="24"/>
      <c r="C146" s="104" t="s">
        <v>193</v>
      </c>
      <c r="D146" s="394"/>
      <c r="E146" s="15" t="s">
        <v>195</v>
      </c>
      <c r="F146" s="20"/>
      <c r="G146" s="292"/>
      <c r="H146" s="195"/>
      <c r="I146" s="109"/>
      <c r="J146" s="124"/>
      <c r="L146" s="173"/>
      <c r="P146" s="210"/>
    </row>
    <row r="147" spans="1:19">
      <c r="A147" s="24"/>
      <c r="B147" s="104"/>
      <c r="C147" s="104" t="s">
        <v>196</v>
      </c>
      <c r="D147" s="55"/>
      <c r="E147" s="15" t="s">
        <v>143</v>
      </c>
      <c r="F147" s="20"/>
      <c r="G147" s="147"/>
      <c r="H147" s="195"/>
      <c r="I147" s="20"/>
      <c r="J147" s="124"/>
      <c r="L147" s="173"/>
      <c r="P147" s="210"/>
    </row>
    <row r="148" spans="1:19">
      <c r="A148" s="24"/>
      <c r="B148" s="1" t="s">
        <v>2</v>
      </c>
      <c r="C148" s="552"/>
      <c r="D148" s="553"/>
      <c r="E148" s="553"/>
      <c r="F148" s="106"/>
      <c r="G148" s="107"/>
      <c r="H148" s="202"/>
      <c r="I148" s="107"/>
      <c r="J148" s="108"/>
      <c r="K148" s="591" t="s">
        <v>2</v>
      </c>
      <c r="L148" s="664" t="s">
        <v>734</v>
      </c>
      <c r="M148" s="664"/>
      <c r="N148" s="348" t="s">
        <v>16</v>
      </c>
      <c r="O148" s="348" t="s">
        <v>557</v>
      </c>
      <c r="P148" s="348" t="s">
        <v>464</v>
      </c>
      <c r="Q148" s="348" t="s">
        <v>17</v>
      </c>
      <c r="R148" s="220" t="s">
        <v>18</v>
      </c>
      <c r="S148" s="221" t="s">
        <v>19</v>
      </c>
    </row>
    <row r="149" spans="1:19">
      <c r="A149" s="79" t="s">
        <v>938</v>
      </c>
      <c r="B149" s="375" t="s">
        <v>716</v>
      </c>
      <c r="C149" s="233">
        <v>576</v>
      </c>
      <c r="D149" s="366"/>
      <c r="E149" s="339">
        <v>36</v>
      </c>
      <c r="F149" s="230"/>
      <c r="G149" s="231"/>
      <c r="H149" s="236"/>
      <c r="I149" s="242"/>
      <c r="J149" s="35">
        <f t="shared" ref="J149:J157" si="84">SUM(C149:I149)</f>
        <v>612</v>
      </c>
      <c r="K149" s="254">
        <f>C149*10400</f>
        <v>5990400</v>
      </c>
      <c r="L149" s="173">
        <f>D149*9000</f>
        <v>0</v>
      </c>
      <c r="M149" s="299">
        <f>E149*9000</f>
        <v>324000</v>
      </c>
      <c r="N149" s="282"/>
      <c r="O149" s="282"/>
      <c r="P149" s="282"/>
      <c r="Q149" s="286"/>
      <c r="R149" s="4">
        <f>SUM(K149:Q149)</f>
        <v>6314400</v>
      </c>
      <c r="S149" s="4">
        <f>J149*5400</f>
        <v>3304800</v>
      </c>
    </row>
    <row r="150" spans="1:19">
      <c r="A150" s="79" t="s">
        <v>939</v>
      </c>
      <c r="B150" s="375" t="s">
        <v>199</v>
      </c>
      <c r="C150" s="233">
        <v>261</v>
      </c>
      <c r="D150" s="235"/>
      <c r="E150" s="234">
        <v>72</v>
      </c>
      <c r="F150" s="230">
        <v>1</v>
      </c>
      <c r="G150" s="242"/>
      <c r="H150" s="236"/>
      <c r="I150" s="230"/>
      <c r="J150" s="35">
        <f t="shared" si="84"/>
        <v>334</v>
      </c>
      <c r="K150" s="254">
        <f>C150*14700</f>
        <v>3836700</v>
      </c>
      <c r="L150" s="173">
        <f>D150*12900</f>
        <v>0</v>
      </c>
      <c r="M150" s="299">
        <f>E150*12900</f>
        <v>928800</v>
      </c>
      <c r="N150" s="282"/>
      <c r="O150" s="282">
        <f>F150*11760</f>
        <v>11760</v>
      </c>
      <c r="P150" s="282"/>
      <c r="Q150" s="286"/>
      <c r="R150" s="4">
        <f t="shared" ref="R150:R157" si="85">SUM(K150:Q150)</f>
        <v>4777260</v>
      </c>
      <c r="S150" s="4">
        <f>J150*7140</f>
        <v>2384760</v>
      </c>
    </row>
    <row r="151" spans="1:19">
      <c r="A151" s="79" t="s">
        <v>200</v>
      </c>
      <c r="B151" s="373"/>
      <c r="C151" s="261"/>
      <c r="D151" s="340"/>
      <c r="E151" s="341"/>
      <c r="F151" s="230"/>
      <c r="G151" s="231"/>
      <c r="H151" s="236"/>
      <c r="I151" s="230"/>
      <c r="J151" s="35">
        <f t="shared" si="84"/>
        <v>0</v>
      </c>
      <c r="K151" s="181">
        <f>C151*4500</f>
        <v>0</v>
      </c>
      <c r="L151" s="173">
        <f>D151*4500</f>
        <v>0</v>
      </c>
      <c r="M151" s="299">
        <f>E151*4500</f>
        <v>0</v>
      </c>
      <c r="N151" s="282">
        <f>F151*4200</f>
        <v>0</v>
      </c>
      <c r="O151" s="282"/>
      <c r="P151" s="282"/>
      <c r="Q151" s="286"/>
      <c r="R151" s="4">
        <f t="shared" si="85"/>
        <v>0</v>
      </c>
      <c r="S151" s="4">
        <f>J151*1984</f>
        <v>0</v>
      </c>
    </row>
    <row r="152" spans="1:19">
      <c r="A152" s="79" t="s">
        <v>936</v>
      </c>
      <c r="B152" s="375" t="s">
        <v>202</v>
      </c>
      <c r="C152" s="233">
        <v>9</v>
      </c>
      <c r="D152" s="235"/>
      <c r="E152" s="234"/>
      <c r="F152" s="230"/>
      <c r="G152" s="231"/>
      <c r="H152" s="236"/>
      <c r="I152" s="230"/>
      <c r="J152" s="35">
        <f t="shared" si="84"/>
        <v>9</v>
      </c>
      <c r="K152" s="254">
        <f>C152*14700</f>
        <v>132300</v>
      </c>
      <c r="L152" s="173">
        <f>D152*11000</f>
        <v>0</v>
      </c>
      <c r="M152" s="299">
        <f>E152*11000</f>
        <v>0</v>
      </c>
      <c r="N152" s="282"/>
      <c r="O152" s="282"/>
      <c r="P152" s="282"/>
      <c r="Q152" s="286"/>
      <c r="R152" s="4">
        <f t="shared" si="85"/>
        <v>132300</v>
      </c>
      <c r="S152" s="4">
        <f>J152*4658</f>
        <v>41922</v>
      </c>
    </row>
    <row r="153" spans="1:19">
      <c r="A153" s="79" t="s">
        <v>940</v>
      </c>
      <c r="B153" s="375" t="s">
        <v>512</v>
      </c>
      <c r="C153" s="233">
        <v>56</v>
      </c>
      <c r="D153" s="235"/>
      <c r="E153" s="234"/>
      <c r="F153" s="230"/>
      <c r="G153" s="231"/>
      <c r="H153" s="236"/>
      <c r="I153" s="230"/>
      <c r="J153" s="35">
        <f t="shared" si="84"/>
        <v>56</v>
      </c>
      <c r="K153" s="254">
        <f>C153*26400</f>
        <v>1478400</v>
      </c>
      <c r="L153" s="173">
        <f>D153*18500</f>
        <v>0</v>
      </c>
      <c r="M153" s="299">
        <f>E153*18500</f>
        <v>0</v>
      </c>
      <c r="N153" s="282"/>
      <c r="O153" s="282"/>
      <c r="P153" s="282"/>
      <c r="Q153" s="286"/>
      <c r="R153" s="4">
        <f t="shared" si="85"/>
        <v>1478400</v>
      </c>
      <c r="S153" s="4">
        <f>J153*6653</f>
        <v>372568</v>
      </c>
    </row>
    <row r="154" spans="1:19">
      <c r="A154" s="79" t="s">
        <v>954</v>
      </c>
      <c r="B154" s="375" t="s">
        <v>409</v>
      </c>
      <c r="C154" s="233">
        <v>30</v>
      </c>
      <c r="D154" s="235"/>
      <c r="E154" s="234"/>
      <c r="F154" s="230"/>
      <c r="G154" s="231"/>
      <c r="H154" s="236"/>
      <c r="I154" s="230"/>
      <c r="J154" s="35">
        <f t="shared" si="84"/>
        <v>30</v>
      </c>
      <c r="K154" s="254">
        <f>C154*23100</f>
        <v>693000</v>
      </c>
      <c r="L154" s="173">
        <f>D154*17000</f>
        <v>0</v>
      </c>
      <c r="M154" s="299">
        <f>E154*17000</f>
        <v>0</v>
      </c>
      <c r="N154" s="282"/>
      <c r="O154" s="282"/>
      <c r="P154" s="282"/>
      <c r="Q154" s="286"/>
      <c r="R154" s="4">
        <f t="shared" si="85"/>
        <v>693000</v>
      </c>
      <c r="S154" s="4">
        <f>J154*8415</f>
        <v>252450</v>
      </c>
    </row>
    <row r="155" spans="1:19">
      <c r="A155" s="109" t="s">
        <v>953</v>
      </c>
      <c r="B155" s="45" t="s">
        <v>206</v>
      </c>
      <c r="C155" s="215"/>
      <c r="D155" s="235"/>
      <c r="E155" s="234">
        <v>18</v>
      </c>
      <c r="F155" s="230">
        <v>63</v>
      </c>
      <c r="G155" s="231"/>
      <c r="H155" s="236"/>
      <c r="I155" s="230"/>
      <c r="J155" s="35">
        <f t="shared" si="84"/>
        <v>81</v>
      </c>
      <c r="K155" s="284">
        <f>C155*21000</f>
        <v>0</v>
      </c>
      <c r="L155" s="173">
        <f>D155*15200</f>
        <v>0</v>
      </c>
      <c r="M155" s="299">
        <f>E155*15200</f>
        <v>273600</v>
      </c>
      <c r="N155" s="282">
        <f>F155*19640</f>
        <v>1237320</v>
      </c>
      <c r="O155" s="282"/>
      <c r="P155" s="282"/>
      <c r="Q155" s="286"/>
      <c r="R155" s="4">
        <f t="shared" si="85"/>
        <v>1510920</v>
      </c>
      <c r="S155" s="4">
        <f>J155*8415</f>
        <v>681615</v>
      </c>
    </row>
    <row r="156" spans="1:19">
      <c r="A156" s="115" t="s">
        <v>937</v>
      </c>
      <c r="B156" s="375" t="s">
        <v>208</v>
      </c>
      <c r="C156" s="237">
        <v>3</v>
      </c>
      <c r="D156" s="235"/>
      <c r="E156" s="234"/>
      <c r="F156" s="230"/>
      <c r="G156" s="231"/>
      <c r="H156" s="236"/>
      <c r="I156" s="230"/>
      <c r="J156" s="35">
        <f t="shared" si="84"/>
        <v>3</v>
      </c>
      <c r="K156" s="254">
        <f>C156*14700</f>
        <v>44100</v>
      </c>
      <c r="L156" s="173">
        <f>D156*11000</f>
        <v>0</v>
      </c>
      <c r="M156" s="299">
        <f>E156*11000</f>
        <v>0</v>
      </c>
      <c r="N156" s="282"/>
      <c r="O156" s="282"/>
      <c r="P156" s="282"/>
      <c r="Q156" s="286"/>
      <c r="R156" s="4">
        <f t="shared" si="85"/>
        <v>44100</v>
      </c>
      <c r="S156" s="4">
        <f>J156*5590</f>
        <v>16770</v>
      </c>
    </row>
    <row r="157" spans="1:19">
      <c r="A157" s="115" t="s">
        <v>209</v>
      </c>
      <c r="B157" s="375" t="s">
        <v>210</v>
      </c>
      <c r="C157" s="237">
        <v>7</v>
      </c>
      <c r="D157" s="235"/>
      <c r="E157" s="234"/>
      <c r="F157" s="230"/>
      <c r="G157" s="231"/>
      <c r="H157" s="236"/>
      <c r="I157" s="230"/>
      <c r="J157" s="35">
        <f t="shared" si="84"/>
        <v>7</v>
      </c>
      <c r="K157" s="254">
        <f>C157*17500</f>
        <v>122500</v>
      </c>
      <c r="L157" s="173">
        <f>D157*17500</f>
        <v>0</v>
      </c>
      <c r="M157" s="299">
        <f>E157*17500</f>
        <v>0</v>
      </c>
      <c r="N157" s="282"/>
      <c r="O157" s="282"/>
      <c r="P157" s="282"/>
      <c r="Q157" s="286"/>
      <c r="R157" s="4">
        <f t="shared" si="85"/>
        <v>122500</v>
      </c>
      <c r="S157" s="4">
        <f>J157*7123</f>
        <v>49861</v>
      </c>
    </row>
    <row r="158" spans="1:19" s="24" customFormat="1">
      <c r="A158" s="611" t="s">
        <v>563</v>
      </c>
      <c r="B158" s="89" t="s">
        <v>365</v>
      </c>
      <c r="C158" s="610" t="s">
        <v>406</v>
      </c>
      <c r="D158" s="620" t="s">
        <v>974</v>
      </c>
      <c r="E158" s="391"/>
      <c r="F158" s="357"/>
      <c r="G158" s="357"/>
      <c r="H158" s="358"/>
      <c r="I158" s="92" t="s">
        <v>141</v>
      </c>
      <c r="J158" s="58" t="s">
        <v>6</v>
      </c>
      <c r="K158" s="443">
        <f t="shared" ref="K158:S158" si="86">SUM(K149:K157)</f>
        <v>12297400</v>
      </c>
      <c r="L158" s="444">
        <f t="shared" si="86"/>
        <v>0</v>
      </c>
      <c r="M158" s="445">
        <f t="shared" si="86"/>
        <v>1526400</v>
      </c>
      <c r="N158" s="443">
        <f t="shared" si="86"/>
        <v>1237320</v>
      </c>
      <c r="O158" s="446">
        <f t="shared" si="86"/>
        <v>11760</v>
      </c>
      <c r="P158" s="446">
        <f t="shared" si="86"/>
        <v>0</v>
      </c>
      <c r="Q158" s="446">
        <f t="shared" si="86"/>
        <v>0</v>
      </c>
      <c r="R158" s="447">
        <f t="shared" si="86"/>
        <v>15072880</v>
      </c>
      <c r="S158" s="448">
        <f t="shared" si="86"/>
        <v>7104746</v>
      </c>
    </row>
    <row r="159" spans="1:19">
      <c r="A159" s="609" t="s">
        <v>957</v>
      </c>
      <c r="B159" s="89" t="s">
        <v>431</v>
      </c>
      <c r="C159" s="610" t="s">
        <v>498</v>
      </c>
      <c r="D159" s="89" t="s">
        <v>216</v>
      </c>
      <c r="E159" s="391" t="s">
        <v>517</v>
      </c>
      <c r="F159" s="20" t="s">
        <v>10</v>
      </c>
      <c r="G159" s="392" t="s">
        <v>11</v>
      </c>
      <c r="H159" s="20"/>
      <c r="I159" s="558"/>
      <c r="J159" s="353"/>
      <c r="K159" s="391"/>
      <c r="P159" s="210"/>
    </row>
    <row r="160" spans="1:19">
      <c r="A160" s="609" t="s">
        <v>719</v>
      </c>
      <c r="B160" s="15" t="s">
        <v>718</v>
      </c>
      <c r="C160" s="89" t="s">
        <v>569</v>
      </c>
      <c r="D160" s="89" t="s">
        <v>215</v>
      </c>
      <c r="E160" s="391" t="s">
        <v>518</v>
      </c>
      <c r="F160" s="20"/>
      <c r="G160" s="392"/>
      <c r="H160" s="20"/>
      <c r="I160" s="543"/>
      <c r="J160" s="395"/>
      <c r="K160" s="391"/>
      <c r="P160" s="210"/>
    </row>
    <row r="161" spans="1:19">
      <c r="A161" s="609" t="s">
        <v>562</v>
      </c>
      <c r="B161" s="89" t="s">
        <v>803</v>
      </c>
      <c r="C161" s="89" t="s">
        <v>959</v>
      </c>
      <c r="D161" s="391" t="s">
        <v>804</v>
      </c>
      <c r="E161" s="391" t="s">
        <v>760</v>
      </c>
      <c r="F161" s="20"/>
      <c r="G161" s="392"/>
      <c r="H161" s="20"/>
      <c r="I161" s="558"/>
      <c r="J161" s="107"/>
      <c r="K161" s="391"/>
      <c r="L161" s="142"/>
      <c r="P161" s="210"/>
    </row>
    <row r="162" spans="1:19">
      <c r="A162" s="609" t="s">
        <v>413</v>
      </c>
      <c r="B162" s="89" t="s">
        <v>417</v>
      </c>
      <c r="C162" s="89" t="s">
        <v>422</v>
      </c>
      <c r="D162" s="89" t="s">
        <v>752</v>
      </c>
      <c r="E162" s="391" t="s">
        <v>759</v>
      </c>
      <c r="F162" s="20"/>
      <c r="G162" s="533"/>
      <c r="H162" s="20"/>
      <c r="I162" s="157"/>
      <c r="J162" s="473"/>
      <c r="K162" s="391"/>
      <c r="L162" s="313"/>
      <c r="P162" s="210"/>
    </row>
    <row r="163" spans="1:19">
      <c r="A163" s="609" t="s">
        <v>564</v>
      </c>
      <c r="B163" s="89" t="s">
        <v>411</v>
      </c>
      <c r="C163" s="617" t="s">
        <v>960</v>
      </c>
      <c r="D163" s="391" t="s">
        <v>967</v>
      </c>
      <c r="E163" s="391" t="s">
        <v>796</v>
      </c>
      <c r="F163" s="20"/>
      <c r="G163" s="542"/>
      <c r="H163" s="20"/>
      <c r="I163" s="20"/>
      <c r="J163" s="112"/>
      <c r="K163" s="470"/>
      <c r="L163" s="313"/>
      <c r="P163" s="210"/>
    </row>
    <row r="164" spans="1:19" ht="24">
      <c r="A164" s="611" t="s">
        <v>565</v>
      </c>
      <c r="B164" s="89" t="s">
        <v>455</v>
      </c>
      <c r="C164" s="89" t="s">
        <v>962</v>
      </c>
      <c r="D164" s="391" t="s">
        <v>752</v>
      </c>
      <c r="E164" s="391" t="s">
        <v>970</v>
      </c>
      <c r="F164" s="20"/>
      <c r="G164" s="565"/>
      <c r="H164" s="20"/>
      <c r="I164" s="45" t="s">
        <v>0</v>
      </c>
      <c r="J164" s="473" t="s">
        <v>624</v>
      </c>
      <c r="K164" s="470"/>
      <c r="L164" s="142"/>
      <c r="P164" s="210"/>
    </row>
    <row r="165" spans="1:19">
      <c r="A165" s="611" t="s">
        <v>463</v>
      </c>
      <c r="B165" s="89" t="s">
        <v>462</v>
      </c>
      <c r="C165" s="89" t="s">
        <v>963</v>
      </c>
      <c r="D165" s="391" t="s">
        <v>751</v>
      </c>
      <c r="E165" s="391" t="s">
        <v>971</v>
      </c>
      <c r="F165" s="20"/>
      <c r="G165" s="576"/>
      <c r="H165" s="575"/>
      <c r="I165" s="577"/>
      <c r="J165" s="45"/>
      <c r="K165" s="471"/>
      <c r="P165" s="210"/>
    </row>
    <row r="166" spans="1:19">
      <c r="A166" s="611" t="s">
        <v>634</v>
      </c>
      <c r="B166" s="89" t="s">
        <v>218</v>
      </c>
      <c r="C166" s="618" t="s">
        <v>964</v>
      </c>
      <c r="D166" s="89" t="s">
        <v>750</v>
      </c>
      <c r="E166" s="391" t="s">
        <v>972</v>
      </c>
      <c r="F166" s="20"/>
      <c r="G166" s="578"/>
      <c r="H166" s="20"/>
      <c r="I166" s="308"/>
      <c r="J166" s="124" t="s">
        <v>368</v>
      </c>
      <c r="K166" s="22"/>
      <c r="P166" s="210"/>
    </row>
    <row r="167" spans="1:19">
      <c r="A167" s="611" t="s">
        <v>571</v>
      </c>
      <c r="B167" s="89" t="s">
        <v>566</v>
      </c>
      <c r="C167" s="617" t="s">
        <v>965</v>
      </c>
      <c r="D167" s="89" t="s">
        <v>966</v>
      </c>
      <c r="E167" s="391" t="s">
        <v>973</v>
      </c>
      <c r="F167" s="20"/>
      <c r="G167" s="471"/>
      <c r="H167" s="90" t="s">
        <v>242</v>
      </c>
      <c r="I167" s="467" t="s">
        <v>574</v>
      </c>
      <c r="J167" s="124"/>
      <c r="K167" s="22"/>
      <c r="P167" s="210"/>
    </row>
    <row r="168" spans="1:19">
      <c r="A168" s="609" t="s">
        <v>459</v>
      </c>
      <c r="B168" s="89" t="s">
        <v>461</v>
      </c>
      <c r="C168" s="89" t="s">
        <v>968</v>
      </c>
      <c r="D168" s="89" t="s">
        <v>502</v>
      </c>
      <c r="E168" s="391"/>
      <c r="F168" s="90"/>
      <c r="G168" s="557"/>
      <c r="H168" s="22"/>
      <c r="I168" s="308"/>
      <c r="J168" s="124"/>
      <c r="K168" s="472"/>
      <c r="P168" s="210"/>
    </row>
    <row r="169" spans="1:19">
      <c r="A169" s="616" t="s">
        <v>961</v>
      </c>
      <c r="B169" s="89" t="s">
        <v>219</v>
      </c>
      <c r="C169" s="619" t="s">
        <v>969</v>
      </c>
      <c r="D169" s="391" t="s">
        <v>516</v>
      </c>
      <c r="E169" s="391"/>
      <c r="F169" s="391"/>
      <c r="G169" s="393"/>
      <c r="H169" s="193"/>
      <c r="I169" s="535" t="s">
        <v>408</v>
      </c>
      <c r="J169" s="52" t="s">
        <v>368</v>
      </c>
      <c r="K169" s="474" t="s">
        <v>380</v>
      </c>
      <c r="L169" s="664" t="s">
        <v>734</v>
      </c>
      <c r="M169" s="664"/>
      <c r="N169" s="348" t="s">
        <v>465</v>
      </c>
      <c r="O169" s="549" t="s">
        <v>630</v>
      </c>
      <c r="P169" s="348" t="s">
        <v>464</v>
      </c>
      <c r="Q169" s="549" t="s">
        <v>631</v>
      </c>
      <c r="R169" s="220" t="s">
        <v>18</v>
      </c>
      <c r="S169" s="221" t="s">
        <v>19</v>
      </c>
    </row>
    <row r="170" spans="1:19">
      <c r="A170" s="24" t="s">
        <v>217</v>
      </c>
      <c r="B170" s="357"/>
      <c r="C170" s="619"/>
      <c r="D170" s="235"/>
      <c r="E170" s="241"/>
      <c r="F170" s="342"/>
      <c r="G170" s="241"/>
      <c r="H170" s="343"/>
      <c r="I170" s="232"/>
      <c r="J170" s="35"/>
      <c r="K170" s="28"/>
      <c r="L170" s="295"/>
      <c r="M170" s="299"/>
      <c r="N170" s="286"/>
      <c r="O170" s="286"/>
      <c r="P170" s="286"/>
      <c r="Q170" s="279"/>
      <c r="R170" s="5"/>
    </row>
    <row r="171" spans="1:19">
      <c r="A171" s="227" t="s">
        <v>886</v>
      </c>
      <c r="B171" s="376" t="s">
        <v>224</v>
      </c>
      <c r="C171" s="233">
        <v>11</v>
      </c>
      <c r="D171" s="235"/>
      <c r="E171" s="234">
        <v>10</v>
      </c>
      <c r="F171" s="215"/>
      <c r="G171" s="231"/>
      <c r="H171" s="236"/>
      <c r="I171" s="230"/>
      <c r="J171" s="35">
        <f t="shared" ref="J171" si="87">SUM(C171:I171)</f>
        <v>21</v>
      </c>
      <c r="K171" s="254">
        <f>C171*16800</f>
        <v>184800</v>
      </c>
      <c r="L171" s="294">
        <f>D171*12800</f>
        <v>0</v>
      </c>
      <c r="M171" s="299">
        <f>E171*12800</f>
        <v>128000</v>
      </c>
      <c r="N171" s="282"/>
      <c r="O171" s="282"/>
      <c r="P171" s="282"/>
      <c r="Q171" s="279"/>
      <c r="R171" s="5">
        <f t="shared" ref="R171" si="88">SUM(K171:Q171)</f>
        <v>312800</v>
      </c>
      <c r="S171" s="4">
        <f>J171*3075</f>
        <v>64575</v>
      </c>
    </row>
    <row r="172" spans="1:19">
      <c r="A172" s="79" t="s">
        <v>864</v>
      </c>
      <c r="B172" s="375" t="s">
        <v>425</v>
      </c>
      <c r="C172" s="233">
        <v>2</v>
      </c>
      <c r="D172" s="235"/>
      <c r="E172" s="234">
        <v>4</v>
      </c>
      <c r="F172" s="342"/>
      <c r="G172" s="241"/>
      <c r="H172" s="343"/>
      <c r="I172" s="232"/>
      <c r="J172" s="35">
        <f>SUM(C172:I172)</f>
        <v>6</v>
      </c>
      <c r="K172" s="363">
        <f>C172*12800</f>
        <v>25600</v>
      </c>
      <c r="L172" s="295">
        <f>D172*9600</f>
        <v>0</v>
      </c>
      <c r="M172" s="299">
        <f>E172*9600</f>
        <v>38400</v>
      </c>
      <c r="N172" s="286"/>
      <c r="O172" s="286"/>
      <c r="P172" s="286"/>
      <c r="Q172" s="279"/>
      <c r="R172" s="5">
        <f>SUM(K172:Q172)</f>
        <v>64000</v>
      </c>
      <c r="S172" s="4">
        <f>J172*3857</f>
        <v>23142</v>
      </c>
    </row>
    <row r="173" spans="1:19">
      <c r="A173" s="79" t="s">
        <v>865</v>
      </c>
      <c r="B173" s="375" t="s">
        <v>717</v>
      </c>
      <c r="C173" s="233">
        <v>2</v>
      </c>
      <c r="D173" s="235"/>
      <c r="E173" s="234">
        <v>4</v>
      </c>
      <c r="F173" s="342"/>
      <c r="G173" s="241"/>
      <c r="H173" s="343"/>
      <c r="I173" s="232"/>
      <c r="J173" s="35">
        <f>SUM(C173:I173)</f>
        <v>6</v>
      </c>
      <c r="K173" s="363">
        <f>C173*36000</f>
        <v>72000</v>
      </c>
      <c r="L173" s="295">
        <f>D173*33000</f>
        <v>0</v>
      </c>
      <c r="M173" s="299">
        <f>E173*33000</f>
        <v>132000</v>
      </c>
      <c r="N173" s="286"/>
      <c r="O173" s="286"/>
      <c r="P173" s="286"/>
      <c r="Q173" s="279"/>
      <c r="R173" s="5">
        <f>SUM(K173:Q173)</f>
        <v>204000</v>
      </c>
      <c r="S173" s="4">
        <f>J173*8619</f>
        <v>51714</v>
      </c>
    </row>
    <row r="174" spans="1:19">
      <c r="A174" s="115" t="s">
        <v>867</v>
      </c>
      <c r="B174" s="375" t="s">
        <v>222</v>
      </c>
      <c r="C174" s="233">
        <v>126</v>
      </c>
      <c r="D174" s="235"/>
      <c r="E174" s="234">
        <v>43</v>
      </c>
      <c r="F174" s="215"/>
      <c r="G174" s="230"/>
      <c r="H174" s="230"/>
      <c r="I174" s="230"/>
      <c r="J174" s="35">
        <f t="shared" ref="J174:J224" si="89">SUM(C174:I174)</f>
        <v>169</v>
      </c>
      <c r="K174" s="254">
        <f>C174*28800</f>
        <v>3628800</v>
      </c>
      <c r="L174" s="294">
        <f>D174*26400</f>
        <v>0</v>
      </c>
      <c r="M174" s="299">
        <f>E174*26400</f>
        <v>1135200</v>
      </c>
      <c r="N174" s="282"/>
      <c r="O174" s="282"/>
      <c r="P174" s="282">
        <f>F174*28800</f>
        <v>0</v>
      </c>
      <c r="Q174" s="279"/>
      <c r="R174" s="5">
        <f t="shared" ref="R174:R224" si="90">SUM(K174:Q174)</f>
        <v>4764000</v>
      </c>
      <c r="S174" s="4">
        <f>J174*6704</f>
        <v>1132976</v>
      </c>
    </row>
    <row r="175" spans="1:19">
      <c r="A175" s="115" t="s">
        <v>868</v>
      </c>
      <c r="B175" s="375" t="s">
        <v>414</v>
      </c>
      <c r="C175" s="233">
        <v>131</v>
      </c>
      <c r="D175" s="235"/>
      <c r="E175" s="234">
        <v>53</v>
      </c>
      <c r="F175" s="238"/>
      <c r="G175" s="242"/>
      <c r="H175" s="230"/>
      <c r="I175" s="242"/>
      <c r="J175" s="35">
        <f t="shared" si="89"/>
        <v>184</v>
      </c>
      <c r="K175" s="254">
        <f>C175*16000</f>
        <v>2096000</v>
      </c>
      <c r="L175" s="294">
        <f>D175*11200</f>
        <v>0</v>
      </c>
      <c r="M175" s="299">
        <f>E175*11200</f>
        <v>593600</v>
      </c>
      <c r="N175" s="282"/>
      <c r="O175" s="286"/>
      <c r="P175" s="282"/>
      <c r="Q175" s="279"/>
      <c r="R175" s="5">
        <f t="shared" si="90"/>
        <v>2689600</v>
      </c>
      <c r="S175" s="4">
        <f>J175*3489</f>
        <v>641976</v>
      </c>
    </row>
    <row r="176" spans="1:19">
      <c r="A176" s="227" t="s">
        <v>859</v>
      </c>
      <c r="B176" s="682" t="s">
        <v>430</v>
      </c>
      <c r="C176" s="233">
        <v>15</v>
      </c>
      <c r="D176" s="235"/>
      <c r="E176" s="234">
        <v>15</v>
      </c>
      <c r="F176" s="215"/>
      <c r="G176" s="231"/>
      <c r="H176" s="236"/>
      <c r="I176" s="242"/>
      <c r="J176" s="35">
        <f t="shared" si="89"/>
        <v>30</v>
      </c>
      <c r="K176" s="254">
        <f>C176*36800</f>
        <v>552000</v>
      </c>
      <c r="L176" s="294">
        <f>D176*27200</f>
        <v>0</v>
      </c>
      <c r="M176" s="299">
        <f>E176*27200</f>
        <v>408000</v>
      </c>
      <c r="N176" s="282"/>
      <c r="O176" s="282"/>
      <c r="P176" s="282"/>
      <c r="Q176" s="279"/>
      <c r="R176" s="5">
        <f t="shared" si="90"/>
        <v>960000</v>
      </c>
      <c r="S176" s="4">
        <f>J176*6040</f>
        <v>181200</v>
      </c>
    </row>
    <row r="177" spans="1:19">
      <c r="A177" s="227" t="s">
        <v>860</v>
      </c>
      <c r="B177" s="683"/>
      <c r="C177" s="233"/>
      <c r="D177" s="235"/>
      <c r="E177" s="234"/>
      <c r="F177" s="215"/>
      <c r="G177" s="231"/>
      <c r="H177" s="236"/>
      <c r="I177" s="242"/>
      <c r="J177" s="35">
        <f t="shared" si="89"/>
        <v>0</v>
      </c>
      <c r="K177" s="254">
        <f>C177*16000</f>
        <v>0</v>
      </c>
      <c r="L177" s="294">
        <f>D177*12800</f>
        <v>0</v>
      </c>
      <c r="M177" s="299">
        <f>E177*12800</f>
        <v>0</v>
      </c>
      <c r="N177" s="282"/>
      <c r="O177" s="282"/>
      <c r="P177" s="282"/>
      <c r="Q177" s="279"/>
      <c r="R177" s="5">
        <f t="shared" si="90"/>
        <v>0</v>
      </c>
      <c r="S177" s="4">
        <f>J177*4212</f>
        <v>0</v>
      </c>
    </row>
    <row r="178" spans="1:19">
      <c r="A178" s="227" t="s">
        <v>861</v>
      </c>
      <c r="B178" s="376" t="s">
        <v>429</v>
      </c>
      <c r="C178" s="233"/>
      <c r="D178" s="235"/>
      <c r="E178" s="234"/>
      <c r="F178" s="215"/>
      <c r="G178" s="231"/>
      <c r="H178" s="236"/>
      <c r="I178" s="230"/>
      <c r="J178" s="35">
        <f t="shared" si="89"/>
        <v>0</v>
      </c>
      <c r="K178" s="254">
        <f>C178*28000</f>
        <v>0</v>
      </c>
      <c r="L178" s="294">
        <f>D178*19600</f>
        <v>0</v>
      </c>
      <c r="M178" s="299">
        <f>E178*19600</f>
        <v>0</v>
      </c>
      <c r="N178" s="282"/>
      <c r="O178" s="282"/>
      <c r="P178" s="282"/>
      <c r="Q178" s="279"/>
      <c r="R178" s="5">
        <f t="shared" si="90"/>
        <v>0</v>
      </c>
      <c r="S178" s="4">
        <f>J178*6097</f>
        <v>0</v>
      </c>
    </row>
    <row r="179" spans="1:19">
      <c r="A179" s="227" t="s">
        <v>862</v>
      </c>
      <c r="B179" s="376" t="s">
        <v>440</v>
      </c>
      <c r="C179" s="233">
        <v>4</v>
      </c>
      <c r="D179" s="235"/>
      <c r="E179" s="234">
        <v>3</v>
      </c>
      <c r="F179" s="215"/>
      <c r="G179" s="231"/>
      <c r="H179" s="236"/>
      <c r="I179" s="230"/>
      <c r="J179" s="35">
        <f t="shared" si="89"/>
        <v>7</v>
      </c>
      <c r="K179" s="254">
        <f>C179*31000</f>
        <v>124000</v>
      </c>
      <c r="L179" s="294">
        <f>D179*19800</f>
        <v>0</v>
      </c>
      <c r="M179" s="299">
        <f>E179*19800</f>
        <v>59400</v>
      </c>
      <c r="N179" s="282"/>
      <c r="O179" s="282"/>
      <c r="P179" s="282"/>
      <c r="Q179" s="279"/>
      <c r="R179" s="5">
        <f t="shared" si="90"/>
        <v>183400</v>
      </c>
      <c r="S179" s="4">
        <f>J179*6612</f>
        <v>46284</v>
      </c>
    </row>
    <row r="180" spans="1:19" s="567" customFormat="1">
      <c r="A180" s="346" t="s">
        <v>863</v>
      </c>
      <c r="B180" s="376" t="s">
        <v>227</v>
      </c>
      <c r="C180" s="233">
        <v>7</v>
      </c>
      <c r="D180" s="235"/>
      <c r="E180" s="234">
        <v>1</v>
      </c>
      <c r="F180" s="242"/>
      <c r="G180" s="330"/>
      <c r="H180" s="242"/>
      <c r="I180" s="242"/>
      <c r="J180" s="218">
        <f t="shared" si="89"/>
        <v>8</v>
      </c>
      <c r="K180" s="364">
        <f>C180*27200</f>
        <v>190400</v>
      </c>
      <c r="L180" s="294">
        <f>D180*20000</f>
        <v>0</v>
      </c>
      <c r="M180" s="299">
        <f>E180*20000</f>
        <v>20000</v>
      </c>
      <c r="N180" s="282"/>
      <c r="O180" s="282"/>
      <c r="P180" s="282"/>
      <c r="Q180" s="279"/>
      <c r="R180" s="573">
        <f t="shared" si="90"/>
        <v>210400</v>
      </c>
      <c r="S180" s="529">
        <f>J180*4582</f>
        <v>36656</v>
      </c>
    </row>
    <row r="181" spans="1:19">
      <c r="A181" s="115" t="s">
        <v>890</v>
      </c>
      <c r="B181" s="547" t="s">
        <v>226</v>
      </c>
      <c r="C181" s="233">
        <v>8</v>
      </c>
      <c r="D181" s="235"/>
      <c r="E181" s="234">
        <v>7</v>
      </c>
      <c r="F181" s="230"/>
      <c r="G181" s="231"/>
      <c r="H181" s="230"/>
      <c r="I181" s="230"/>
      <c r="J181" s="35">
        <f t="shared" si="89"/>
        <v>15</v>
      </c>
      <c r="K181" s="254">
        <f>C181*16000</f>
        <v>128000</v>
      </c>
      <c r="L181" s="294">
        <f>D181*12000</f>
        <v>0</v>
      </c>
      <c r="M181" s="299">
        <f>E181*12000</f>
        <v>84000</v>
      </c>
      <c r="N181" s="282"/>
      <c r="O181" s="282"/>
      <c r="P181" s="282"/>
      <c r="Q181" s="279"/>
      <c r="R181" s="5">
        <f t="shared" si="90"/>
        <v>212000</v>
      </c>
      <c r="S181" s="4">
        <f>J181*3501</f>
        <v>52515</v>
      </c>
    </row>
    <row r="182" spans="1:19">
      <c r="A182" s="115" t="s">
        <v>857</v>
      </c>
      <c r="B182" s="547" t="s">
        <v>471</v>
      </c>
      <c r="C182" s="233">
        <v>6</v>
      </c>
      <c r="D182" s="255"/>
      <c r="E182" s="232"/>
      <c r="F182" s="230"/>
      <c r="G182" s="231"/>
      <c r="H182" s="230"/>
      <c r="I182" s="230"/>
      <c r="J182" s="35">
        <f t="shared" si="89"/>
        <v>6</v>
      </c>
      <c r="K182" s="254">
        <f>C182*19000</f>
        <v>114000</v>
      </c>
      <c r="L182" s="294">
        <f>D182*13000</f>
        <v>0</v>
      </c>
      <c r="M182" s="299">
        <f>E182*13000</f>
        <v>0</v>
      </c>
      <c r="N182" s="282"/>
      <c r="O182" s="282"/>
      <c r="P182" s="282"/>
      <c r="Q182" s="279"/>
      <c r="R182" s="5">
        <f t="shared" si="90"/>
        <v>114000</v>
      </c>
      <c r="S182" s="4">
        <f>J182*3677</f>
        <v>22062</v>
      </c>
    </row>
    <row r="183" spans="1:19">
      <c r="A183" s="346" t="s">
        <v>858</v>
      </c>
      <c r="B183" s="376" t="s">
        <v>460</v>
      </c>
      <c r="C183" s="239"/>
      <c r="D183" s="235"/>
      <c r="E183" s="234"/>
      <c r="F183" s="230"/>
      <c r="G183" s="322"/>
      <c r="H183" s="230"/>
      <c r="I183" s="242"/>
      <c r="J183" s="35">
        <f t="shared" si="89"/>
        <v>0</v>
      </c>
      <c r="K183" s="254">
        <f>C183*16000</f>
        <v>0</v>
      </c>
      <c r="L183" s="294">
        <f>D183*12000</f>
        <v>0</v>
      </c>
      <c r="M183" s="299">
        <f>E183*12000</f>
        <v>0</v>
      </c>
      <c r="N183" s="282"/>
      <c r="O183" s="282"/>
      <c r="P183" s="282"/>
      <c r="Q183" s="279"/>
      <c r="R183" s="5">
        <f t="shared" si="90"/>
        <v>0</v>
      </c>
      <c r="S183" s="4">
        <f>J183*4716</f>
        <v>0</v>
      </c>
    </row>
    <row r="184" spans="1:19" s="307" customFormat="1">
      <c r="A184" s="306" t="s">
        <v>827</v>
      </c>
      <c r="B184" s="375" t="s">
        <v>415</v>
      </c>
      <c r="C184" s="344"/>
      <c r="D184" s="235"/>
      <c r="E184" s="234"/>
      <c r="F184" s="230"/>
      <c r="G184" s="322"/>
      <c r="H184" s="230"/>
      <c r="I184" s="257"/>
      <c r="J184" s="35">
        <f t="shared" si="89"/>
        <v>0</v>
      </c>
      <c r="K184" s="254">
        <f>C184*26880</f>
        <v>0</v>
      </c>
      <c r="L184" s="294">
        <f>D184*26400</f>
        <v>0</v>
      </c>
      <c r="M184" s="299">
        <f>E184*26400</f>
        <v>0</v>
      </c>
      <c r="N184" s="282"/>
      <c r="O184" s="282"/>
      <c r="P184" s="282">
        <f>H184*26880</f>
        <v>0</v>
      </c>
      <c r="Q184" s="279"/>
      <c r="R184" s="5">
        <f t="shared" si="90"/>
        <v>0</v>
      </c>
      <c r="S184" s="4">
        <f>J184*8712</f>
        <v>0</v>
      </c>
    </row>
    <row r="185" spans="1:19">
      <c r="A185" s="115" t="s">
        <v>877</v>
      </c>
      <c r="B185" s="375" t="s">
        <v>229</v>
      </c>
      <c r="C185" s="239">
        <v>8</v>
      </c>
      <c r="D185" s="235"/>
      <c r="E185" s="234">
        <v>4</v>
      </c>
      <c r="F185" s="230"/>
      <c r="G185" s="322"/>
      <c r="H185" s="230"/>
      <c r="I185" s="242"/>
      <c r="J185" s="35">
        <f t="shared" si="89"/>
        <v>12</v>
      </c>
      <c r="K185" s="254">
        <f>C185*30400</f>
        <v>243200</v>
      </c>
      <c r="L185" s="294">
        <f>D185*25600</f>
        <v>0</v>
      </c>
      <c r="M185" s="299">
        <f>E185*25600</f>
        <v>102400</v>
      </c>
      <c r="N185" s="282"/>
      <c r="O185" s="282"/>
      <c r="P185" s="282"/>
      <c r="Q185" s="279"/>
      <c r="R185" s="5">
        <f t="shared" si="90"/>
        <v>345600</v>
      </c>
      <c r="S185" s="4">
        <f>J185*5760</f>
        <v>69120</v>
      </c>
    </row>
    <row r="186" spans="1:19">
      <c r="A186" s="115" t="s">
        <v>870</v>
      </c>
      <c r="B186" s="375" t="s">
        <v>398</v>
      </c>
      <c r="C186" s="239">
        <v>11</v>
      </c>
      <c r="D186" s="235"/>
      <c r="E186" s="242"/>
      <c r="F186" s="230"/>
      <c r="G186" s="322"/>
      <c r="H186" s="230"/>
      <c r="I186" s="242"/>
      <c r="J186" s="35">
        <f t="shared" si="89"/>
        <v>11</v>
      </c>
      <c r="K186" s="254">
        <f>C186*17600</f>
        <v>193600</v>
      </c>
      <c r="L186" s="294">
        <f>D186*14400</f>
        <v>0</v>
      </c>
      <c r="M186" s="302">
        <f>E186*14400</f>
        <v>0</v>
      </c>
      <c r="N186" s="284"/>
      <c r="O186" s="282"/>
      <c r="P186" s="282"/>
      <c r="Q186" s="279"/>
      <c r="R186" s="5">
        <f t="shared" si="90"/>
        <v>193600</v>
      </c>
      <c r="S186" s="4">
        <f>J186*3867</f>
        <v>42537</v>
      </c>
    </row>
    <row r="187" spans="1:19">
      <c r="A187" s="115" t="s">
        <v>435</v>
      </c>
      <c r="B187" s="375" t="s">
        <v>230</v>
      </c>
      <c r="C187" s="233"/>
      <c r="D187" s="235"/>
      <c r="E187" s="242"/>
      <c r="F187" s="230"/>
      <c r="G187" s="322"/>
      <c r="H187" s="230"/>
      <c r="I187" s="230"/>
      <c r="J187" s="35">
        <f t="shared" si="89"/>
        <v>0</v>
      </c>
      <c r="K187" s="254">
        <f>C187*64800</f>
        <v>0</v>
      </c>
      <c r="L187" s="294">
        <f>D187*51840</f>
        <v>0</v>
      </c>
      <c r="M187" s="299">
        <f>E187*51840</f>
        <v>0</v>
      </c>
      <c r="N187" s="282">
        <f>F187*45360</f>
        <v>0</v>
      </c>
      <c r="O187" s="282"/>
      <c r="P187" s="282">
        <f>H187*45360</f>
        <v>0</v>
      </c>
      <c r="Q187" s="279"/>
      <c r="R187" s="5">
        <f t="shared" si="90"/>
        <v>0</v>
      </c>
      <c r="S187" s="4">
        <f>J187*20308</f>
        <v>0</v>
      </c>
    </row>
    <row r="188" spans="1:19">
      <c r="A188" s="227" t="s">
        <v>869</v>
      </c>
      <c r="B188" s="375" t="s">
        <v>404</v>
      </c>
      <c r="C188" s="233">
        <v>383</v>
      </c>
      <c r="D188" s="235">
        <v>20</v>
      </c>
      <c r="E188" s="234">
        <v>120</v>
      </c>
      <c r="F188" s="230"/>
      <c r="G188" s="230"/>
      <c r="H188" s="230"/>
      <c r="I188" s="230"/>
      <c r="J188" s="35">
        <f t="shared" si="89"/>
        <v>523</v>
      </c>
      <c r="K188" s="254">
        <f>C188*11000</f>
        <v>4213000</v>
      </c>
      <c r="L188" s="294">
        <f>D188*9900</f>
        <v>198000</v>
      </c>
      <c r="M188" s="299">
        <f>E188*8800</f>
        <v>1056000</v>
      </c>
      <c r="N188" s="282"/>
      <c r="O188" s="282">
        <f>F188*11000</f>
        <v>0</v>
      </c>
      <c r="P188" s="282">
        <f>H188*11000</f>
        <v>0</v>
      </c>
      <c r="Q188" s="279"/>
      <c r="R188" s="5">
        <f t="shared" si="90"/>
        <v>5467000</v>
      </c>
      <c r="S188" s="4">
        <f>J188*2006</f>
        <v>1049138</v>
      </c>
    </row>
    <row r="189" spans="1:19">
      <c r="A189" s="115" t="s">
        <v>889</v>
      </c>
      <c r="B189" s="375" t="s">
        <v>231</v>
      </c>
      <c r="C189" s="233">
        <v>5</v>
      </c>
      <c r="D189" s="235"/>
      <c r="E189" s="234">
        <v>1</v>
      </c>
      <c r="F189" s="215">
        <v>2</v>
      </c>
      <c r="G189" s="242"/>
      <c r="H189" s="230"/>
      <c r="I189" s="238"/>
      <c r="J189" s="35">
        <f t="shared" si="89"/>
        <v>8</v>
      </c>
      <c r="K189" s="254">
        <f>C189*16000</f>
        <v>80000</v>
      </c>
      <c r="L189" s="294">
        <f>D189*12000</f>
        <v>0</v>
      </c>
      <c r="M189" s="299">
        <f>E189*12000</f>
        <v>12000</v>
      </c>
      <c r="N189" s="282"/>
      <c r="O189" s="282">
        <f>F189*12800</f>
        <v>25600</v>
      </c>
      <c r="P189" s="282"/>
      <c r="Q189" s="279"/>
      <c r="R189" s="5">
        <f t="shared" si="90"/>
        <v>117600</v>
      </c>
      <c r="S189" s="4">
        <f>J189*2144</f>
        <v>17152</v>
      </c>
    </row>
    <row r="190" spans="1:19">
      <c r="A190" s="224" t="s">
        <v>888</v>
      </c>
      <c r="B190" s="90" t="s">
        <v>233</v>
      </c>
      <c r="C190" s="230">
        <v>150</v>
      </c>
      <c r="D190" s="235"/>
      <c r="E190" s="234">
        <v>200</v>
      </c>
      <c r="F190" s="230">
        <v>10</v>
      </c>
      <c r="G190" s="230"/>
      <c r="H190" s="230"/>
      <c r="I190" s="238"/>
      <c r="J190" s="35">
        <f t="shared" si="89"/>
        <v>360</v>
      </c>
      <c r="K190" s="284">
        <f>C190*1800</f>
        <v>270000</v>
      </c>
      <c r="L190" s="294">
        <f>D190*1600</f>
        <v>0</v>
      </c>
      <c r="M190" s="299">
        <f>E190*1600</f>
        <v>320000</v>
      </c>
      <c r="N190" s="282"/>
      <c r="O190" s="282">
        <f>F190*1600</f>
        <v>16000</v>
      </c>
      <c r="P190" s="282"/>
      <c r="Q190" s="279"/>
      <c r="R190" s="5">
        <f t="shared" si="90"/>
        <v>606000</v>
      </c>
      <c r="S190" s="4">
        <f>J190*818</f>
        <v>294480</v>
      </c>
    </row>
    <row r="191" spans="1:19">
      <c r="A191" s="115" t="s">
        <v>887</v>
      </c>
      <c r="B191" s="375" t="s">
        <v>233</v>
      </c>
      <c r="C191" s="233">
        <v>75</v>
      </c>
      <c r="D191" s="235"/>
      <c r="E191" s="259"/>
      <c r="F191" s="230"/>
      <c r="G191" s="230"/>
      <c r="H191" s="230"/>
      <c r="I191" s="215"/>
      <c r="J191" s="35">
        <f t="shared" si="89"/>
        <v>75</v>
      </c>
      <c r="K191" s="254">
        <f>C191*2000</f>
        <v>150000</v>
      </c>
      <c r="L191" s="294">
        <f>D191*1600</f>
        <v>0</v>
      </c>
      <c r="M191" s="299">
        <f>E191*1600</f>
        <v>0</v>
      </c>
      <c r="N191" s="282"/>
      <c r="O191" s="282">
        <f>F191*1600</f>
        <v>0</v>
      </c>
      <c r="P191" s="282"/>
      <c r="Q191" s="279"/>
      <c r="R191" s="5">
        <f t="shared" si="90"/>
        <v>150000</v>
      </c>
      <c r="S191" s="4">
        <f>J191*863</f>
        <v>64725</v>
      </c>
    </row>
    <row r="192" spans="1:19">
      <c r="A192" s="115" t="s">
        <v>811</v>
      </c>
      <c r="B192" s="375" t="s">
        <v>773</v>
      </c>
      <c r="C192" s="233">
        <v>19</v>
      </c>
      <c r="D192" s="235"/>
      <c r="E192" s="234">
        <v>30</v>
      </c>
      <c r="F192" s="230"/>
      <c r="G192" s="230"/>
      <c r="H192" s="230"/>
      <c r="I192" s="238"/>
      <c r="J192" s="35">
        <f t="shared" si="89"/>
        <v>49</v>
      </c>
      <c r="K192" s="254">
        <f>C192*24000</f>
        <v>456000</v>
      </c>
      <c r="L192" s="294"/>
      <c r="M192" s="299">
        <f>E192*18000</f>
        <v>540000</v>
      </c>
      <c r="N192" s="282"/>
      <c r="O192" s="282"/>
      <c r="P192" s="282"/>
      <c r="Q192" s="279"/>
      <c r="R192" s="5">
        <f>SUM(K192:Q192)</f>
        <v>996000</v>
      </c>
      <c r="S192" s="4">
        <f>J192*3853</f>
        <v>188797</v>
      </c>
    </row>
    <row r="193" spans="1:19">
      <c r="A193" s="115" t="s">
        <v>818</v>
      </c>
      <c r="B193" s="375" t="s">
        <v>645</v>
      </c>
      <c r="C193" s="233">
        <v>25</v>
      </c>
      <c r="D193" s="235"/>
      <c r="E193" s="234"/>
      <c r="F193" s="230"/>
      <c r="G193" s="230"/>
      <c r="H193" s="230"/>
      <c r="I193" s="238"/>
      <c r="J193" s="35">
        <f t="shared" si="89"/>
        <v>25</v>
      </c>
      <c r="K193" s="254">
        <f>C193*19200</f>
        <v>480000</v>
      </c>
      <c r="L193" s="294">
        <f>D193*21000</f>
        <v>0</v>
      </c>
      <c r="M193" s="299">
        <f>E193*11000</f>
        <v>0</v>
      </c>
      <c r="N193" s="282"/>
      <c r="O193" s="282">
        <f>G193*19200</f>
        <v>0</v>
      </c>
      <c r="P193" s="282"/>
      <c r="Q193" s="279"/>
      <c r="R193" s="5">
        <f t="shared" si="90"/>
        <v>480000</v>
      </c>
      <c r="S193" s="4">
        <f>J193*4062</f>
        <v>101550</v>
      </c>
    </row>
    <row r="194" spans="1:19">
      <c r="A194" s="115" t="s">
        <v>866</v>
      </c>
      <c r="B194" s="375" t="s">
        <v>428</v>
      </c>
      <c r="C194" s="233"/>
      <c r="D194" s="235"/>
      <c r="E194" s="234"/>
      <c r="F194" s="230"/>
      <c r="G194" s="230"/>
      <c r="H194" s="230"/>
      <c r="I194" s="215"/>
      <c r="J194" s="35">
        <f t="shared" si="89"/>
        <v>0</v>
      </c>
      <c r="K194" s="254">
        <f>C194*24000</f>
        <v>0</v>
      </c>
      <c r="L194" s="294">
        <f>D194*21000</f>
        <v>0</v>
      </c>
      <c r="M194" s="299">
        <f>E194*21000</f>
        <v>0</v>
      </c>
      <c r="N194" s="282"/>
      <c r="O194" s="282">
        <f>G194*19200</f>
        <v>0</v>
      </c>
      <c r="P194" s="282"/>
      <c r="Q194" s="279"/>
      <c r="R194" s="5">
        <f t="shared" si="90"/>
        <v>0</v>
      </c>
      <c r="S194" s="4">
        <f>J194*7146</f>
        <v>0</v>
      </c>
    </row>
    <row r="195" spans="1:19">
      <c r="A195" s="115" t="s">
        <v>809</v>
      </c>
      <c r="B195" s="375" t="s">
        <v>793</v>
      </c>
      <c r="C195" s="233"/>
      <c r="D195" s="235"/>
      <c r="E195" s="234"/>
      <c r="F195" s="230"/>
      <c r="G195" s="230"/>
      <c r="H195" s="230"/>
      <c r="I195" s="215"/>
      <c r="J195" s="35">
        <f t="shared" si="89"/>
        <v>0</v>
      </c>
      <c r="K195" s="254">
        <f>C195*44000</f>
        <v>0</v>
      </c>
      <c r="L195" s="294"/>
      <c r="M195" s="299">
        <f>E195*30800</f>
        <v>0</v>
      </c>
      <c r="N195" s="282"/>
      <c r="O195" s="282"/>
      <c r="P195" s="282"/>
      <c r="Q195" s="279"/>
      <c r="R195" s="5">
        <f t="shared" si="90"/>
        <v>0</v>
      </c>
      <c r="S195" s="4">
        <f>J195*6987</f>
        <v>0</v>
      </c>
    </row>
    <row r="196" spans="1:19">
      <c r="A196" s="115" t="s">
        <v>810</v>
      </c>
      <c r="B196" s="375" t="s">
        <v>792</v>
      </c>
      <c r="C196" s="233"/>
      <c r="D196" s="235"/>
      <c r="E196" s="234"/>
      <c r="F196" s="230"/>
      <c r="G196" s="230"/>
      <c r="H196" s="230"/>
      <c r="I196" s="215"/>
      <c r="J196" s="35">
        <f t="shared" si="89"/>
        <v>0</v>
      </c>
      <c r="K196" s="254">
        <f>C196*16000</f>
        <v>0</v>
      </c>
      <c r="L196" s="294"/>
      <c r="M196" s="299">
        <f>E196*12800</f>
        <v>0</v>
      </c>
      <c r="N196" s="282"/>
      <c r="O196" s="282"/>
      <c r="P196" s="282"/>
      <c r="Q196" s="279"/>
      <c r="R196" s="5">
        <f t="shared" si="90"/>
        <v>0</v>
      </c>
      <c r="S196" s="4">
        <f>J196*2978</f>
        <v>0</v>
      </c>
    </row>
    <row r="197" spans="1:19">
      <c r="A197" s="115" t="s">
        <v>819</v>
      </c>
      <c r="B197" s="375" t="s">
        <v>640</v>
      </c>
      <c r="C197" s="233">
        <v>2</v>
      </c>
      <c r="D197" s="235"/>
      <c r="E197" s="234"/>
      <c r="F197" s="230"/>
      <c r="G197" s="230"/>
      <c r="H197" s="230"/>
      <c r="I197" s="215"/>
      <c r="J197" s="35">
        <f t="shared" si="89"/>
        <v>2</v>
      </c>
      <c r="K197" s="254">
        <f>C197*19200</f>
        <v>38400</v>
      </c>
      <c r="L197" s="294"/>
      <c r="M197" s="299">
        <f>E197*11000</f>
        <v>0</v>
      </c>
      <c r="N197" s="282"/>
      <c r="O197" s="282"/>
      <c r="P197" s="282"/>
      <c r="Q197" s="279"/>
      <c r="R197" s="5">
        <f t="shared" si="90"/>
        <v>38400</v>
      </c>
      <c r="S197" s="4">
        <f>J197*4314</f>
        <v>8628</v>
      </c>
    </row>
    <row r="198" spans="1:19">
      <c r="A198" s="115" t="s">
        <v>820</v>
      </c>
      <c r="B198" s="375" t="s">
        <v>644</v>
      </c>
      <c r="C198" s="233">
        <v>1</v>
      </c>
      <c r="D198" s="235"/>
      <c r="E198" s="234"/>
      <c r="F198" s="230"/>
      <c r="G198" s="230"/>
      <c r="H198" s="230"/>
      <c r="I198" s="238"/>
      <c r="J198" s="35">
        <f t="shared" si="89"/>
        <v>1</v>
      </c>
      <c r="K198" s="254">
        <f>C198*9000</f>
        <v>9000</v>
      </c>
      <c r="L198" s="294"/>
      <c r="M198" s="299">
        <f>E198*6600</f>
        <v>0</v>
      </c>
      <c r="N198" s="282"/>
      <c r="O198" s="282"/>
      <c r="P198" s="282"/>
      <c r="Q198" s="279"/>
      <c r="R198" s="5">
        <f t="shared" si="90"/>
        <v>9000</v>
      </c>
      <c r="S198" s="4">
        <f>J198*3131</f>
        <v>3131</v>
      </c>
    </row>
    <row r="199" spans="1:19">
      <c r="A199" s="115" t="s">
        <v>821</v>
      </c>
      <c r="B199" s="375" t="s">
        <v>647</v>
      </c>
      <c r="C199" s="233">
        <v>20</v>
      </c>
      <c r="D199" s="235"/>
      <c r="E199" s="234"/>
      <c r="F199" s="230"/>
      <c r="G199" s="230"/>
      <c r="H199" s="230"/>
      <c r="I199" s="238"/>
      <c r="J199" s="35">
        <f t="shared" si="89"/>
        <v>20</v>
      </c>
      <c r="K199" s="254">
        <f>C199*5500</f>
        <v>110000</v>
      </c>
      <c r="L199" s="254">
        <f>D199*5500</f>
        <v>0</v>
      </c>
      <c r="M199" s="299">
        <f>E199*5500</f>
        <v>0</v>
      </c>
      <c r="N199" s="282"/>
      <c r="O199" s="282"/>
      <c r="P199" s="282"/>
      <c r="Q199" s="279"/>
      <c r="R199" s="5">
        <f t="shared" si="90"/>
        <v>110000</v>
      </c>
      <c r="S199" s="4">
        <f>J199*2426</f>
        <v>48520</v>
      </c>
    </row>
    <row r="200" spans="1:19">
      <c r="A200" s="115" t="s">
        <v>649</v>
      </c>
      <c r="B200" s="375" t="s">
        <v>650</v>
      </c>
      <c r="C200" s="233">
        <v>6</v>
      </c>
      <c r="D200" s="235"/>
      <c r="E200" s="234"/>
      <c r="F200" s="230"/>
      <c r="G200" s="230"/>
      <c r="H200" s="230"/>
      <c r="I200" s="238"/>
      <c r="J200" s="35">
        <f t="shared" si="89"/>
        <v>6</v>
      </c>
      <c r="K200" s="254">
        <f>C200*14500</f>
        <v>87000</v>
      </c>
      <c r="L200" s="254">
        <f>D200*14500</f>
        <v>0</v>
      </c>
      <c r="M200" s="299">
        <f>E200*12100</f>
        <v>0</v>
      </c>
      <c r="N200" s="282"/>
      <c r="O200" s="282"/>
      <c r="P200" s="282"/>
      <c r="Q200" s="279"/>
      <c r="R200" s="5">
        <f>SUM(K200:Q200)</f>
        <v>87000</v>
      </c>
      <c r="S200" s="4">
        <f>J200*5557</f>
        <v>33342</v>
      </c>
    </row>
    <row r="201" spans="1:19" s="3" customFormat="1">
      <c r="A201" s="115" t="s">
        <v>948</v>
      </c>
      <c r="B201" s="678" t="s">
        <v>501</v>
      </c>
      <c r="C201" s="233">
        <v>4</v>
      </c>
      <c r="D201" s="235"/>
      <c r="E201" s="234"/>
      <c r="F201" s="230"/>
      <c r="G201" s="230"/>
      <c r="H201" s="230"/>
      <c r="I201" s="238"/>
      <c r="J201" s="35">
        <f t="shared" si="89"/>
        <v>4</v>
      </c>
      <c r="K201" s="254">
        <f>C201*12000</f>
        <v>48000</v>
      </c>
      <c r="L201" s="294">
        <f>D201*9900</f>
        <v>0</v>
      </c>
      <c r="M201" s="299">
        <f>E201*9900</f>
        <v>0</v>
      </c>
      <c r="N201" s="282"/>
      <c r="O201" s="282">
        <f>F201*7200</f>
        <v>0</v>
      </c>
      <c r="P201" s="282"/>
      <c r="Q201" s="279"/>
      <c r="R201" s="5">
        <f t="shared" si="90"/>
        <v>48000</v>
      </c>
      <c r="S201" s="4">
        <f>J201*2633</f>
        <v>10532</v>
      </c>
    </row>
    <row r="202" spans="1:19" s="3" customFormat="1">
      <c r="A202" s="227" t="s">
        <v>845</v>
      </c>
      <c r="B202" s="680"/>
      <c r="C202" s="233">
        <v>1</v>
      </c>
      <c r="D202" s="235"/>
      <c r="E202" s="234"/>
      <c r="F202" s="230"/>
      <c r="G202" s="322"/>
      <c r="H202" s="230"/>
      <c r="I202" s="238"/>
      <c r="J202" s="35">
        <f t="shared" si="89"/>
        <v>1</v>
      </c>
      <c r="K202" s="3">
        <f>C202*14000</f>
        <v>14000</v>
      </c>
      <c r="L202" s="294">
        <f>D202*11600</f>
        <v>0</v>
      </c>
      <c r="M202" s="299">
        <f>E202*11600</f>
        <v>0</v>
      </c>
      <c r="N202" s="282"/>
      <c r="O202" s="282">
        <f>F202*8400</f>
        <v>0</v>
      </c>
      <c r="P202" s="282"/>
      <c r="Q202" s="279"/>
      <c r="R202" s="5">
        <f t="shared" si="90"/>
        <v>14000</v>
      </c>
      <c r="S202" s="4">
        <f>J202*3569</f>
        <v>3569</v>
      </c>
    </row>
    <row r="203" spans="1:19" s="3" customFormat="1">
      <c r="A203" s="115" t="s">
        <v>839</v>
      </c>
      <c r="B203" s="375" t="s">
        <v>554</v>
      </c>
      <c r="C203" s="237">
        <v>83</v>
      </c>
      <c r="D203" s="235"/>
      <c r="E203" s="234">
        <v>42</v>
      </c>
      <c r="F203" s="242"/>
      <c r="G203" s="230"/>
      <c r="H203" s="230"/>
      <c r="I203" s="238"/>
      <c r="J203" s="35">
        <f>SUM(C203:I203)</f>
        <v>125</v>
      </c>
      <c r="K203" s="3">
        <f>C203*16500</f>
        <v>1369500</v>
      </c>
      <c r="L203" s="294"/>
      <c r="M203" s="299">
        <f>E203*12500</f>
        <v>525000</v>
      </c>
      <c r="N203" s="282"/>
      <c r="O203" s="282"/>
      <c r="P203" s="282"/>
      <c r="Q203" s="286"/>
      <c r="R203" s="5">
        <f>SUM(K203:Q203)</f>
        <v>1894500</v>
      </c>
      <c r="S203" s="4">
        <f>J203*3069</f>
        <v>383625</v>
      </c>
    </row>
    <row r="204" spans="1:19" s="3" customFormat="1">
      <c r="A204" s="115" t="s">
        <v>841</v>
      </c>
      <c r="B204" s="375" t="s">
        <v>555</v>
      </c>
      <c r="C204" s="237">
        <v>33</v>
      </c>
      <c r="D204" s="235"/>
      <c r="E204" s="234">
        <v>17</v>
      </c>
      <c r="F204" s="230"/>
      <c r="G204" s="322"/>
      <c r="H204" s="230"/>
      <c r="I204" s="238"/>
      <c r="J204" s="35">
        <f t="shared" ref="J204:J205" si="91">SUM(C204:I204)</f>
        <v>50</v>
      </c>
      <c r="K204" s="3">
        <f>C204*18000</f>
        <v>594000</v>
      </c>
      <c r="L204" s="294"/>
      <c r="M204" s="299">
        <f>E204*13200</f>
        <v>224400</v>
      </c>
      <c r="N204" s="282">
        <f>F204*18000</f>
        <v>0</v>
      </c>
      <c r="O204" s="282"/>
      <c r="P204" s="282"/>
      <c r="Q204" s="279"/>
      <c r="R204" s="5">
        <f t="shared" ref="R204:R205" si="92">SUM(K204:Q204)</f>
        <v>818400</v>
      </c>
      <c r="S204" s="4">
        <f>J204*3147</f>
        <v>157350</v>
      </c>
    </row>
    <row r="205" spans="1:19" s="3" customFormat="1">
      <c r="A205" s="115" t="s">
        <v>842</v>
      </c>
      <c r="B205" s="375" t="s">
        <v>556</v>
      </c>
      <c r="C205" s="237">
        <v>8</v>
      </c>
      <c r="D205" s="235"/>
      <c r="E205" s="234">
        <v>2</v>
      </c>
      <c r="F205" s="230"/>
      <c r="G205" s="230"/>
      <c r="H205" s="230"/>
      <c r="I205" s="238"/>
      <c r="J205" s="35">
        <f t="shared" si="91"/>
        <v>10</v>
      </c>
      <c r="K205" s="3">
        <f>C205*12000</f>
        <v>96000</v>
      </c>
      <c r="L205" s="294"/>
      <c r="M205" s="299">
        <f>E205*9600</f>
        <v>19200</v>
      </c>
      <c r="N205" s="282">
        <f>F205*12000</f>
        <v>0</v>
      </c>
      <c r="O205" s="282">
        <f>G205*9600</f>
        <v>0</v>
      </c>
      <c r="P205" s="282"/>
      <c r="Q205" s="279"/>
      <c r="R205" s="5">
        <f t="shared" si="92"/>
        <v>115200</v>
      </c>
      <c r="S205" s="4">
        <f>J205*2740</f>
        <v>27400</v>
      </c>
    </row>
    <row r="206" spans="1:19" s="3" customFormat="1">
      <c r="A206" s="115" t="s">
        <v>884</v>
      </c>
      <c r="B206" s="678" t="s">
        <v>236</v>
      </c>
      <c r="C206" s="233">
        <v>28</v>
      </c>
      <c r="D206" s="235"/>
      <c r="E206" s="259"/>
      <c r="F206" s="215">
        <v>2</v>
      </c>
      <c r="G206" s="230"/>
      <c r="H206" s="230"/>
      <c r="I206" s="230">
        <v>2</v>
      </c>
      <c r="J206" s="35">
        <f t="shared" si="89"/>
        <v>32</v>
      </c>
      <c r="K206" s="254">
        <f>C206*6600</f>
        <v>184800</v>
      </c>
      <c r="L206" s="294"/>
      <c r="M206" s="299">
        <f>E206*5500</f>
        <v>0</v>
      </c>
      <c r="N206" s="282"/>
      <c r="O206" s="282">
        <f>F206*5300</f>
        <v>10600</v>
      </c>
      <c r="P206" s="282"/>
      <c r="Q206" s="286">
        <f>I206*4620</f>
        <v>9240</v>
      </c>
      <c r="R206" s="5">
        <f t="shared" si="90"/>
        <v>204640</v>
      </c>
      <c r="S206" s="4">
        <f>J206*2573</f>
        <v>82336</v>
      </c>
    </row>
    <row r="207" spans="1:19" s="3" customFormat="1">
      <c r="A207" s="115" t="s">
        <v>885</v>
      </c>
      <c r="B207" s="680"/>
      <c r="C207" s="233">
        <v>31</v>
      </c>
      <c r="D207" s="235"/>
      <c r="E207" s="259"/>
      <c r="F207" s="215">
        <v>2</v>
      </c>
      <c r="G207" s="230"/>
      <c r="H207" s="230"/>
      <c r="I207" s="230">
        <v>2</v>
      </c>
      <c r="J207" s="35">
        <f t="shared" si="89"/>
        <v>35</v>
      </c>
      <c r="K207" s="254">
        <f>C207*6600</f>
        <v>204600</v>
      </c>
      <c r="L207" s="294"/>
      <c r="M207" s="299">
        <f>E207*5500</f>
        <v>0</v>
      </c>
      <c r="N207" s="282"/>
      <c r="O207" s="282">
        <f>F207*5300</f>
        <v>10600</v>
      </c>
      <c r="P207" s="282"/>
      <c r="Q207" s="286">
        <f>I207*4620</f>
        <v>9240</v>
      </c>
      <c r="R207" s="5">
        <f t="shared" si="90"/>
        <v>224440</v>
      </c>
      <c r="S207" s="4">
        <f>J207*3222</f>
        <v>112770</v>
      </c>
    </row>
    <row r="208" spans="1:19" s="3" customFormat="1">
      <c r="A208" s="115" t="s">
        <v>238</v>
      </c>
      <c r="B208" s="373"/>
      <c r="C208" s="237"/>
      <c r="D208" s="235"/>
      <c r="E208" s="234"/>
      <c r="F208" s="230"/>
      <c r="G208" s="322"/>
      <c r="H208" s="230"/>
      <c r="I208" s="351"/>
      <c r="J208" s="35">
        <f t="shared" si="89"/>
        <v>0</v>
      </c>
      <c r="L208" s="294"/>
      <c r="M208" s="299">
        <f>E208*180000</f>
        <v>0</v>
      </c>
      <c r="N208" s="282"/>
      <c r="O208" s="282"/>
      <c r="P208" s="282"/>
      <c r="Q208" s="279"/>
      <c r="R208" s="5">
        <f t="shared" si="90"/>
        <v>0</v>
      </c>
      <c r="S208" s="4">
        <f>J208*63000</f>
        <v>0</v>
      </c>
    </row>
    <row r="209" spans="1:19" s="3" customFormat="1">
      <c r="A209" s="115" t="s">
        <v>239</v>
      </c>
      <c r="B209" s="373"/>
      <c r="C209" s="35"/>
      <c r="D209" s="32"/>
      <c r="E209" s="234"/>
      <c r="F209" s="34"/>
      <c r="G209" s="34"/>
      <c r="H209" s="191"/>
      <c r="I209" s="80"/>
      <c r="J209" s="35">
        <f t="shared" si="89"/>
        <v>0</v>
      </c>
      <c r="L209" s="294"/>
      <c r="M209" s="299">
        <f>E209*180000</f>
        <v>0</v>
      </c>
      <c r="N209" s="282"/>
      <c r="O209" s="282"/>
      <c r="P209" s="282"/>
      <c r="Q209" s="279"/>
      <c r="R209" s="5">
        <f t="shared" si="90"/>
        <v>0</v>
      </c>
      <c r="S209" s="4">
        <f>J209*90000</f>
        <v>0</v>
      </c>
    </row>
    <row r="210" spans="1:19" s="3" customFormat="1">
      <c r="A210" s="227" t="s">
        <v>958</v>
      </c>
      <c r="B210" s="375" t="s">
        <v>756</v>
      </c>
      <c r="C210" s="233">
        <v>2</v>
      </c>
      <c r="D210" s="235"/>
      <c r="E210" s="234">
        <v>2</v>
      </c>
      <c r="F210" s="230"/>
      <c r="G210" s="322"/>
      <c r="H210" s="230"/>
      <c r="I210" s="238"/>
      <c r="J210" s="35">
        <f t="shared" ref="J210:J211" si="93">SUM(C210:I210)</f>
        <v>4</v>
      </c>
      <c r="K210" s="3">
        <f>C210*28000</f>
        <v>56000</v>
      </c>
      <c r="L210" s="294"/>
      <c r="M210" s="299">
        <f>E210*22400</f>
        <v>44800</v>
      </c>
      <c r="N210" s="282"/>
      <c r="O210" s="282"/>
      <c r="P210" s="282"/>
      <c r="Q210" s="279"/>
      <c r="R210" s="5">
        <f t="shared" ref="R210:R212" si="94">SUM(K210:Q210)</f>
        <v>100800</v>
      </c>
      <c r="S210" s="4">
        <f>J210*4618</f>
        <v>18472</v>
      </c>
    </row>
    <row r="211" spans="1:19" s="3" customFormat="1">
      <c r="A211" s="227" t="s">
        <v>814</v>
      </c>
      <c r="B211" s="375" t="s">
        <v>757</v>
      </c>
      <c r="C211" s="233">
        <v>2</v>
      </c>
      <c r="D211" s="235"/>
      <c r="E211" s="234">
        <v>2</v>
      </c>
      <c r="F211" s="230"/>
      <c r="G211" s="322"/>
      <c r="H211" s="230"/>
      <c r="I211" s="238"/>
      <c r="J211" s="35">
        <f t="shared" si="93"/>
        <v>4</v>
      </c>
      <c r="K211" s="3">
        <f>C211*27000</f>
        <v>54000</v>
      </c>
      <c r="L211" s="294"/>
      <c r="M211" s="299">
        <f>E211*21600</f>
        <v>43200</v>
      </c>
      <c r="N211" s="282"/>
      <c r="O211" s="282"/>
      <c r="P211" s="282"/>
      <c r="Q211" s="279"/>
      <c r="R211" s="5">
        <f t="shared" si="94"/>
        <v>97200</v>
      </c>
      <c r="S211" s="4">
        <f>J211*4063</f>
        <v>16252</v>
      </c>
    </row>
    <row r="212" spans="1:19" s="3" customFormat="1">
      <c r="A212" s="227" t="s">
        <v>794</v>
      </c>
      <c r="B212" s="375" t="s">
        <v>795</v>
      </c>
      <c r="C212" s="233"/>
      <c r="D212" s="235"/>
      <c r="E212" s="234"/>
      <c r="F212" s="230"/>
      <c r="G212" s="322"/>
      <c r="H212" s="230"/>
      <c r="I212" s="238"/>
      <c r="J212" s="35"/>
      <c r="K212" s="3">
        <f>C212*27000</f>
        <v>0</v>
      </c>
      <c r="L212" s="294"/>
      <c r="M212" s="299">
        <f>E212*21600</f>
        <v>0</v>
      </c>
      <c r="N212" s="282"/>
      <c r="O212" s="282"/>
      <c r="P212" s="282"/>
      <c r="Q212" s="279"/>
      <c r="R212" s="5">
        <f t="shared" si="94"/>
        <v>0</v>
      </c>
      <c r="S212" s="4">
        <f>J212*3601</f>
        <v>0</v>
      </c>
    </row>
    <row r="213" spans="1:19" s="3" customFormat="1">
      <c r="A213" s="115" t="s">
        <v>824</v>
      </c>
      <c r="B213" s="375" t="s">
        <v>586</v>
      </c>
      <c r="C213" s="237">
        <v>12</v>
      </c>
      <c r="D213" s="235"/>
      <c r="E213" s="234"/>
      <c r="F213" s="230"/>
      <c r="G213" s="322"/>
      <c r="H213" s="230"/>
      <c r="I213" s="238"/>
      <c r="J213" s="35">
        <f t="shared" ref="J213:J221" si="95">SUM(C213:I213)</f>
        <v>12</v>
      </c>
      <c r="K213" s="3">
        <f>C213*28000</f>
        <v>336000</v>
      </c>
      <c r="L213" s="294"/>
      <c r="M213" s="299"/>
      <c r="N213" s="282">
        <f>F213*19600</f>
        <v>0</v>
      </c>
      <c r="O213" s="282"/>
      <c r="P213" s="282">
        <f>H213*22400</f>
        <v>0</v>
      </c>
      <c r="Q213" s="279"/>
      <c r="R213" s="5">
        <f>SUM(K213:Q213)</f>
        <v>336000</v>
      </c>
      <c r="S213" s="4">
        <f>J213*6493</f>
        <v>77916</v>
      </c>
    </row>
    <row r="214" spans="1:19" s="3" customFormat="1">
      <c r="A214" s="115" t="s">
        <v>825</v>
      </c>
      <c r="B214" s="375" t="s">
        <v>587</v>
      </c>
      <c r="C214" s="35">
        <v>9</v>
      </c>
      <c r="D214" s="235"/>
      <c r="E214" s="234"/>
      <c r="F214" s="230"/>
      <c r="G214" s="322"/>
      <c r="H214" s="230"/>
      <c r="I214" s="238"/>
      <c r="J214" s="35">
        <f t="shared" si="95"/>
        <v>9</v>
      </c>
      <c r="K214" s="3">
        <f>C214*28000</f>
        <v>252000</v>
      </c>
      <c r="L214" s="294"/>
      <c r="M214" s="299"/>
      <c r="N214" s="282">
        <f>F214*19600</f>
        <v>0</v>
      </c>
      <c r="O214" s="282"/>
      <c r="P214" s="282">
        <f>H214*22400</f>
        <v>0</v>
      </c>
      <c r="Q214" s="279"/>
      <c r="R214" s="5">
        <f>SUM(K214:Q214)</f>
        <v>252000</v>
      </c>
      <c r="S214" s="4">
        <f>J214*6900</f>
        <v>62100</v>
      </c>
    </row>
    <row r="215" spans="1:19" s="3" customFormat="1">
      <c r="A215" s="115" t="s">
        <v>826</v>
      </c>
      <c r="B215" s="375" t="s">
        <v>588</v>
      </c>
      <c r="C215" s="237">
        <v>1</v>
      </c>
      <c r="D215" s="235"/>
      <c r="E215" s="234"/>
      <c r="F215" s="230"/>
      <c r="G215" s="322"/>
      <c r="H215" s="230"/>
      <c r="I215" s="238"/>
      <c r="J215" s="35">
        <f t="shared" si="95"/>
        <v>1</v>
      </c>
      <c r="K215" s="3">
        <f>C215*22000</f>
        <v>22000</v>
      </c>
      <c r="L215" s="294"/>
      <c r="M215" s="299"/>
      <c r="N215" s="282">
        <f>F215*17100</f>
        <v>0</v>
      </c>
      <c r="O215" s="282"/>
      <c r="P215" s="282"/>
      <c r="Q215" s="279"/>
      <c r="R215" s="5">
        <f t="shared" si="90"/>
        <v>22000</v>
      </c>
      <c r="S215" s="4">
        <f>J215*2573</f>
        <v>2573</v>
      </c>
    </row>
    <row r="216" spans="1:19" s="3" customFormat="1" ht="24">
      <c r="A216" s="115" t="s">
        <v>829</v>
      </c>
      <c r="B216" s="532" t="s">
        <v>622</v>
      </c>
      <c r="C216" s="237"/>
      <c r="D216" s="235"/>
      <c r="E216" s="234"/>
      <c r="F216" s="230"/>
      <c r="G216" s="322"/>
      <c r="H216" s="230"/>
      <c r="I216" s="351"/>
      <c r="J216" s="35">
        <f t="shared" si="95"/>
        <v>0</v>
      </c>
      <c r="K216" s="3">
        <f>C216*22000</f>
        <v>0</v>
      </c>
      <c r="L216" s="294"/>
      <c r="M216" s="299"/>
      <c r="N216" s="282">
        <f>F216*17600</f>
        <v>0</v>
      </c>
      <c r="O216" s="282"/>
      <c r="P216" s="282"/>
      <c r="Q216" s="279"/>
      <c r="R216" s="5">
        <f>SUM(K216:Q216)</f>
        <v>0</v>
      </c>
      <c r="S216" s="4">
        <f>J216*4950</f>
        <v>0</v>
      </c>
    </row>
    <row r="217" spans="1:19" s="3" customFormat="1" ht="16.5" customHeight="1">
      <c r="A217" s="115" t="s">
        <v>519</v>
      </c>
      <c r="B217" s="684" t="s">
        <v>590</v>
      </c>
      <c r="C217" s="237"/>
      <c r="D217" s="235"/>
      <c r="E217" s="234"/>
      <c r="F217" s="230"/>
      <c r="G217" s="322"/>
      <c r="H217" s="230"/>
      <c r="I217" s="238"/>
      <c r="J217" s="35">
        <f t="shared" si="95"/>
        <v>0</v>
      </c>
      <c r="K217" s="3">
        <f>C217*12000</f>
        <v>0</v>
      </c>
      <c r="L217" s="294"/>
      <c r="M217" s="299">
        <f>E217*12000</f>
        <v>0</v>
      </c>
      <c r="N217" s="282">
        <f>F217*9600</f>
        <v>0</v>
      </c>
      <c r="O217" s="282"/>
      <c r="P217" s="282">
        <f>H217*12000</f>
        <v>0</v>
      </c>
      <c r="Q217" s="279"/>
      <c r="R217" s="5">
        <f t="shared" si="90"/>
        <v>0</v>
      </c>
      <c r="S217" s="4">
        <f>J217*2645</f>
        <v>0</v>
      </c>
    </row>
    <row r="218" spans="1:19" s="3" customFormat="1">
      <c r="A218" s="115" t="s">
        <v>529</v>
      </c>
      <c r="B218" s="685"/>
      <c r="C218" s="237"/>
      <c r="D218" s="235"/>
      <c r="E218" s="234"/>
      <c r="F218" s="230"/>
      <c r="G218" s="322"/>
      <c r="H218" s="230"/>
      <c r="I218" s="238"/>
      <c r="J218" s="35">
        <f t="shared" si="95"/>
        <v>0</v>
      </c>
      <c r="K218" s="3">
        <f>C218*48000</f>
        <v>0</v>
      </c>
      <c r="L218" s="294"/>
      <c r="M218" s="299">
        <f>E218*48000</f>
        <v>0</v>
      </c>
      <c r="N218" s="282">
        <f>F218*38400</f>
        <v>0</v>
      </c>
      <c r="O218" s="282"/>
      <c r="P218" s="282"/>
      <c r="Q218" s="279"/>
      <c r="R218" s="5">
        <f t="shared" si="90"/>
        <v>0</v>
      </c>
      <c r="S218" s="4">
        <f>J218*5981</f>
        <v>0</v>
      </c>
    </row>
    <row r="219" spans="1:19" ht="16.5" customHeight="1">
      <c r="A219" s="115" t="s">
        <v>834</v>
      </c>
      <c r="B219" s="684" t="s">
        <v>591</v>
      </c>
      <c r="C219" s="257">
        <v>2</v>
      </c>
      <c r="D219" s="235"/>
      <c r="E219" s="234"/>
      <c r="F219" s="230"/>
      <c r="G219" s="322"/>
      <c r="H219" s="230"/>
      <c r="I219" s="351"/>
      <c r="J219" s="35">
        <f t="shared" si="95"/>
        <v>2</v>
      </c>
      <c r="K219" s="3">
        <f>C219*12000</f>
        <v>24000</v>
      </c>
      <c r="L219" s="294"/>
      <c r="M219" s="299">
        <f>E219*12000</f>
        <v>0</v>
      </c>
      <c r="N219" s="282">
        <f>F219*9600</f>
        <v>0</v>
      </c>
      <c r="O219" s="282"/>
      <c r="P219" s="282">
        <f>H219*12000</f>
        <v>0</v>
      </c>
      <c r="Q219" s="279"/>
      <c r="R219" s="5">
        <f t="shared" si="90"/>
        <v>24000</v>
      </c>
      <c r="S219" s="4">
        <f>J219*2718</f>
        <v>5436</v>
      </c>
    </row>
    <row r="220" spans="1:19">
      <c r="A220" s="115" t="s">
        <v>835</v>
      </c>
      <c r="B220" s="685"/>
      <c r="C220" s="237">
        <v>5</v>
      </c>
      <c r="D220" s="235"/>
      <c r="E220" s="234"/>
      <c r="F220" s="230"/>
      <c r="G220" s="322"/>
      <c r="H220" s="230"/>
      <c r="I220" s="351"/>
      <c r="J220" s="35">
        <f t="shared" si="95"/>
        <v>5</v>
      </c>
      <c r="K220" s="3">
        <f>C220*48000</f>
        <v>240000</v>
      </c>
      <c r="L220" s="294"/>
      <c r="M220" s="299">
        <f>E220*48000</f>
        <v>0</v>
      </c>
      <c r="N220" s="282">
        <f>F220*38400</f>
        <v>0</v>
      </c>
      <c r="O220" s="282"/>
      <c r="P220" s="282"/>
      <c r="Q220" s="279"/>
      <c r="R220" s="5">
        <f t="shared" si="90"/>
        <v>240000</v>
      </c>
      <c r="S220" s="4">
        <f>J220*6197</f>
        <v>30985</v>
      </c>
    </row>
    <row r="221" spans="1:19" ht="24">
      <c r="A221" s="115" t="s">
        <v>833</v>
      </c>
      <c r="B221" s="532" t="s">
        <v>592</v>
      </c>
      <c r="C221" s="237"/>
      <c r="D221" s="235"/>
      <c r="E221" s="234"/>
      <c r="F221" s="230"/>
      <c r="G221" s="322"/>
      <c r="H221" s="242"/>
      <c r="I221" s="238"/>
      <c r="J221" s="35">
        <f t="shared" si="95"/>
        <v>0</v>
      </c>
      <c r="K221" s="3">
        <f>C221*18000</f>
        <v>0</v>
      </c>
      <c r="L221" s="294"/>
      <c r="M221" s="299"/>
      <c r="N221" s="282">
        <f>F221*14400</f>
        <v>0</v>
      </c>
      <c r="O221" s="282"/>
      <c r="P221" s="282"/>
      <c r="Q221" s="279"/>
      <c r="R221" s="5">
        <f t="shared" si="90"/>
        <v>0</v>
      </c>
      <c r="S221" s="4">
        <f>J221*3129</f>
        <v>0</v>
      </c>
    </row>
    <row r="222" spans="1:19" ht="16.5" customHeight="1">
      <c r="A222" s="115" t="s">
        <v>836</v>
      </c>
      <c r="B222" s="684" t="s">
        <v>593</v>
      </c>
      <c r="C222" s="257">
        <v>23</v>
      </c>
      <c r="D222" s="235"/>
      <c r="E222" s="234"/>
      <c r="F222" s="230">
        <v>1</v>
      </c>
      <c r="G222" s="322"/>
      <c r="H222" s="230"/>
      <c r="I222" s="238"/>
      <c r="J222" s="35">
        <f t="shared" si="89"/>
        <v>24</v>
      </c>
      <c r="K222" s="3">
        <f>C222*18000</f>
        <v>414000</v>
      </c>
      <c r="L222" s="294"/>
      <c r="M222" s="299">
        <f>E222*18000</f>
        <v>0</v>
      </c>
      <c r="N222" s="282">
        <f>F222*14400</f>
        <v>14400</v>
      </c>
      <c r="O222" s="282"/>
      <c r="P222" s="282">
        <f>H222*18000</f>
        <v>0</v>
      </c>
      <c r="Q222" s="279"/>
      <c r="R222" s="5">
        <f t="shared" si="90"/>
        <v>428400</v>
      </c>
      <c r="S222" s="4">
        <f>J222*2748</f>
        <v>65952</v>
      </c>
    </row>
    <row r="223" spans="1:19">
      <c r="A223" s="115" t="s">
        <v>837</v>
      </c>
      <c r="B223" s="686"/>
      <c r="C223" s="257">
        <v>5</v>
      </c>
      <c r="D223" s="235"/>
      <c r="E223" s="234"/>
      <c r="F223" s="230"/>
      <c r="G223" s="322"/>
      <c r="H223" s="230"/>
      <c r="I223" s="351"/>
      <c r="J223" s="35">
        <f t="shared" si="89"/>
        <v>5</v>
      </c>
      <c r="K223" s="3">
        <f>C223*36000</f>
        <v>180000</v>
      </c>
      <c r="L223" s="294"/>
      <c r="M223" s="299">
        <f>E223*36000</f>
        <v>0</v>
      </c>
      <c r="N223" s="282">
        <f>F223*28800</f>
        <v>0</v>
      </c>
      <c r="O223" s="282"/>
      <c r="P223" s="282">
        <f>H223*36000</f>
        <v>0</v>
      </c>
      <c r="Q223" s="279"/>
      <c r="R223" s="5">
        <f t="shared" si="90"/>
        <v>180000</v>
      </c>
      <c r="S223" s="4">
        <f>J223*4960</f>
        <v>24800</v>
      </c>
    </row>
    <row r="224" spans="1:19">
      <c r="A224" s="115" t="s">
        <v>838</v>
      </c>
      <c r="B224" s="685"/>
      <c r="C224" s="539">
        <v>3</v>
      </c>
      <c r="D224" s="32"/>
      <c r="E224" s="234"/>
      <c r="F224" s="191">
        <v>1</v>
      </c>
      <c r="G224" s="34"/>
      <c r="H224" s="191"/>
      <c r="I224" s="80"/>
      <c r="J224" s="35">
        <f t="shared" si="89"/>
        <v>4</v>
      </c>
      <c r="K224" s="3">
        <f>C224*90000</f>
        <v>270000</v>
      </c>
      <c r="L224" s="294"/>
      <c r="M224" s="299">
        <f>E224*90000</f>
        <v>0</v>
      </c>
      <c r="N224" s="282">
        <f>F224*72000</f>
        <v>72000</v>
      </c>
      <c r="O224" s="282"/>
      <c r="P224" s="282"/>
      <c r="Q224" s="279"/>
      <c r="R224" s="5">
        <f t="shared" si="90"/>
        <v>342000</v>
      </c>
      <c r="S224" s="4">
        <f>J224*14800</f>
        <v>59200</v>
      </c>
    </row>
    <row r="225" spans="1:19" s="24" customFormat="1">
      <c r="B225" s="74"/>
      <c r="C225" s="74"/>
      <c r="D225" s="116"/>
      <c r="E225" s="10"/>
      <c r="F225" s="10"/>
      <c r="G225" s="11"/>
      <c r="H225" s="192"/>
      <c r="I225" s="12" t="s">
        <v>5</v>
      </c>
      <c r="J225" s="117" t="s">
        <v>6</v>
      </c>
      <c r="K225" s="118">
        <f t="shared" ref="K225:S225" si="96">SUM(K170:K224)</f>
        <v>17804700</v>
      </c>
      <c r="L225" s="297">
        <f t="shared" si="96"/>
        <v>198000</v>
      </c>
      <c r="M225" s="303">
        <f t="shared" si="96"/>
        <v>5485600</v>
      </c>
      <c r="N225" s="280">
        <f t="shared" si="96"/>
        <v>86400</v>
      </c>
      <c r="O225" s="280">
        <f t="shared" si="96"/>
        <v>62800</v>
      </c>
      <c r="P225" s="280">
        <f t="shared" si="96"/>
        <v>0</v>
      </c>
      <c r="Q225" s="118">
        <f t="shared" si="96"/>
        <v>18480</v>
      </c>
      <c r="R225" s="119">
        <f t="shared" si="96"/>
        <v>23655980</v>
      </c>
      <c r="S225" s="119">
        <f t="shared" si="96"/>
        <v>5315488</v>
      </c>
    </row>
    <row r="226" spans="1:19" s="244" customFormat="1">
      <c r="B226" s="245"/>
      <c r="C226" s="245"/>
      <c r="D226" s="116"/>
      <c r="E226" s="475"/>
      <c r="F226" s="475"/>
      <c r="G226" s="476"/>
      <c r="H226" s="477"/>
      <c r="I226" s="478"/>
      <c r="J226" s="479"/>
      <c r="K226" s="248"/>
      <c r="L226" s="318"/>
      <c r="M226" s="480"/>
      <c r="N226" s="319"/>
      <c r="O226" s="319"/>
      <c r="P226" s="319"/>
      <c r="Q226" s="248"/>
      <c r="R226" s="249"/>
      <c r="S226" s="249"/>
    </row>
    <row r="227" spans="1:19" ht="24">
      <c r="A227" s="120" t="s">
        <v>240</v>
      </c>
      <c r="C227" s="121" t="s">
        <v>737</v>
      </c>
      <c r="D227" s="668"/>
      <c r="E227" s="313"/>
      <c r="F227" s="10" t="s">
        <v>456</v>
      </c>
      <c r="G227" s="15" t="s">
        <v>241</v>
      </c>
      <c r="H227" s="16"/>
      <c r="I227" s="125"/>
      <c r="J227" s="107"/>
      <c r="K227" s="181"/>
      <c r="P227" s="210"/>
    </row>
    <row r="228" spans="1:19" ht="17.25" customHeight="1">
      <c r="A228" s="120"/>
      <c r="C228" s="592" t="s">
        <v>736</v>
      </c>
      <c r="D228" s="669"/>
      <c r="E228" s="398"/>
      <c r="F228" s="397"/>
      <c r="G228" s="20"/>
      <c r="H228" s="544"/>
      <c r="I228" s="534"/>
      <c r="J228" s="20"/>
      <c r="K228" s="414"/>
      <c r="P228" s="210"/>
    </row>
    <row r="229" spans="1:19" ht="21.75" customHeight="1">
      <c r="A229" s="120"/>
      <c r="C229" s="592" t="s">
        <v>739</v>
      </c>
      <c r="D229" s="669"/>
      <c r="E229" s="398"/>
      <c r="F229" s="396" t="s">
        <v>243</v>
      </c>
      <c r="G229" s="566"/>
      <c r="H229" s="20"/>
      <c r="I229" s="534"/>
      <c r="J229" s="320"/>
      <c r="K229" s="321"/>
      <c r="P229" s="210"/>
    </row>
    <row r="230" spans="1:19">
      <c r="B230" s="2" t="s">
        <v>2</v>
      </c>
      <c r="C230" s="563" t="s">
        <v>735</v>
      </c>
      <c r="D230" s="398"/>
      <c r="E230" s="595" t="s">
        <v>503</v>
      </c>
      <c r="F230" s="208"/>
      <c r="G230" s="399" t="s">
        <v>720</v>
      </c>
      <c r="H230" s="20"/>
      <c r="I230" s="575"/>
      <c r="J230" s="124"/>
      <c r="K230" s="219" t="s">
        <v>2</v>
      </c>
      <c r="L230" s="664" t="s">
        <v>743</v>
      </c>
      <c r="M230" s="664"/>
      <c r="N230" s="664"/>
      <c r="O230" s="316"/>
      <c r="P230" s="481"/>
      <c r="Q230" s="278" t="s">
        <v>731</v>
      </c>
      <c r="R230" s="220" t="s">
        <v>18</v>
      </c>
      <c r="S230" s="221" t="s">
        <v>19</v>
      </c>
    </row>
    <row r="231" spans="1:19">
      <c r="A231" s="29" t="s">
        <v>878</v>
      </c>
      <c r="B231" s="374" t="s">
        <v>246</v>
      </c>
      <c r="C231" s="233">
        <v>110</v>
      </c>
      <c r="D231" s="235"/>
      <c r="E231" s="234"/>
      <c r="F231" s="234">
        <v>16</v>
      </c>
      <c r="G231" s="235"/>
      <c r="H231" s="230"/>
      <c r="I231" s="352"/>
      <c r="J231" s="35">
        <f>SUM(C231:I231)</f>
        <v>126</v>
      </c>
      <c r="K231" s="254">
        <f>C231*12000</f>
        <v>1320000</v>
      </c>
      <c r="L231" s="294">
        <f>D231*9900</f>
        <v>0</v>
      </c>
      <c r="M231" s="302">
        <f>F231*9900</f>
        <v>158400</v>
      </c>
      <c r="N231" s="299"/>
      <c r="O231" s="287"/>
      <c r="P231" s="482"/>
      <c r="Q231" s="279">
        <f>H231*12000</f>
        <v>0</v>
      </c>
      <c r="R231" s="4">
        <f>SUM(K231:Q231)</f>
        <v>1478400</v>
      </c>
      <c r="S231" s="4">
        <f>J231*2723</f>
        <v>343098</v>
      </c>
    </row>
    <row r="232" spans="1:19">
      <c r="A232" s="29" t="s">
        <v>949</v>
      </c>
      <c r="B232" s="374" t="s">
        <v>248</v>
      </c>
      <c r="C232" s="233">
        <v>124</v>
      </c>
      <c r="D232" s="235"/>
      <c r="E232" s="234"/>
      <c r="F232" s="234">
        <v>28</v>
      </c>
      <c r="G232" s="229"/>
      <c r="H232" s="230"/>
      <c r="I232" s="36"/>
      <c r="J232" s="35">
        <f>SUM(C232:I232)</f>
        <v>152</v>
      </c>
      <c r="K232" s="254">
        <f>C232*22000</f>
        <v>2728000</v>
      </c>
      <c r="L232" s="294">
        <f>D232*18000</f>
        <v>0</v>
      </c>
      <c r="M232" s="302">
        <f>F232*18000</f>
        <v>504000</v>
      </c>
      <c r="N232" s="299"/>
      <c r="O232" s="287"/>
      <c r="P232" s="482"/>
      <c r="Q232" s="279">
        <f>H232*22000</f>
        <v>0</v>
      </c>
      <c r="R232" s="4">
        <f t="shared" ref="R232:R234" si="97">SUM(K232:Q232)</f>
        <v>3232000</v>
      </c>
      <c r="S232" s="4">
        <f>J232*2338</f>
        <v>355376</v>
      </c>
    </row>
    <row r="233" spans="1:19">
      <c r="A233" s="29" t="s">
        <v>950</v>
      </c>
      <c r="B233" s="374" t="s">
        <v>250</v>
      </c>
      <c r="C233" s="239">
        <v>31</v>
      </c>
      <c r="D233" s="255"/>
      <c r="E233" s="234"/>
      <c r="F233" s="234"/>
      <c r="G233" s="229"/>
      <c r="H233" s="230"/>
      <c r="I233" s="352"/>
      <c r="J233" s="35">
        <f>SUM(C233:I233)</f>
        <v>31</v>
      </c>
      <c r="K233" s="254">
        <f>C233*16500</f>
        <v>511500</v>
      </c>
      <c r="L233" s="294">
        <f>D233*13200</f>
        <v>0</v>
      </c>
      <c r="M233" s="302">
        <f>F233*13200</f>
        <v>0</v>
      </c>
      <c r="N233" s="299"/>
      <c r="O233" s="287"/>
      <c r="P233" s="482"/>
      <c r="Q233" s="279">
        <f>H233*13200</f>
        <v>0</v>
      </c>
      <c r="R233" s="4">
        <f t="shared" si="97"/>
        <v>511500</v>
      </c>
      <c r="S233" s="4">
        <f>J233*2598</f>
        <v>80538</v>
      </c>
    </row>
    <row r="234" spans="1:19">
      <c r="A234" s="29" t="s">
        <v>828</v>
      </c>
      <c r="B234" s="374" t="s">
        <v>497</v>
      </c>
      <c r="C234" s="239">
        <v>19</v>
      </c>
      <c r="D234" s="255"/>
      <c r="E234" s="234">
        <v>30</v>
      </c>
      <c r="F234" s="234"/>
      <c r="G234" s="229"/>
      <c r="H234" s="230"/>
      <c r="I234" s="352"/>
      <c r="J234" s="35">
        <f>SUM(C234:I234)</f>
        <v>49</v>
      </c>
      <c r="K234" s="254">
        <f>C234*16000</f>
        <v>304000</v>
      </c>
      <c r="L234" s="302">
        <f>E234*13100</f>
        <v>393000</v>
      </c>
      <c r="M234" s="302"/>
      <c r="N234" s="299"/>
      <c r="O234" s="287"/>
      <c r="P234" s="482"/>
      <c r="Q234" s="279">
        <f>G234*16000</f>
        <v>0</v>
      </c>
      <c r="R234" s="4">
        <f t="shared" si="97"/>
        <v>697000</v>
      </c>
      <c r="S234" s="4">
        <f>J234*4740</f>
        <v>232260</v>
      </c>
    </row>
    <row r="235" spans="1:19" s="24" customFormat="1" ht="40.5">
      <c r="B235" s="2" t="s">
        <v>2</v>
      </c>
      <c r="C235" s="74"/>
      <c r="D235" s="113"/>
      <c r="E235" s="347" t="s">
        <v>244</v>
      </c>
      <c r="F235" s="123"/>
      <c r="G235" s="123"/>
      <c r="H235" s="20"/>
      <c r="I235" s="125" t="s">
        <v>395</v>
      </c>
      <c r="J235" s="58" t="s">
        <v>6</v>
      </c>
      <c r="K235" s="118">
        <f t="shared" ref="K235:S235" si="98">SUM(K231:K234)</f>
        <v>4863500</v>
      </c>
      <c r="L235" s="612">
        <f t="shared" si="98"/>
        <v>393000</v>
      </c>
      <c r="M235" s="118">
        <f t="shared" si="98"/>
        <v>662400</v>
      </c>
      <c r="N235" s="303">
        <f t="shared" si="98"/>
        <v>0</v>
      </c>
      <c r="O235" s="280">
        <f t="shared" si="98"/>
        <v>0</v>
      </c>
      <c r="P235" s="280">
        <f t="shared" si="98"/>
        <v>0</v>
      </c>
      <c r="Q235" s="118">
        <f t="shared" si="98"/>
        <v>0</v>
      </c>
      <c r="R235" s="119">
        <f t="shared" si="98"/>
        <v>5918900</v>
      </c>
      <c r="S235" s="119">
        <f t="shared" si="98"/>
        <v>1011272</v>
      </c>
    </row>
    <row r="236" spans="1:19" s="24" customFormat="1">
      <c r="B236" s="2"/>
      <c r="C236" s="74"/>
      <c r="D236" s="401" t="s">
        <v>357</v>
      </c>
      <c r="E236" s="123"/>
      <c r="F236" s="123"/>
      <c r="G236" s="123"/>
      <c r="H236" s="20"/>
      <c r="I236" s="317"/>
      <c r="J236" s="117"/>
      <c r="K236" s="248"/>
      <c r="L236" s="318"/>
      <c r="M236" s="248"/>
      <c r="N236" s="248"/>
      <c r="O236" s="319"/>
      <c r="P236" s="248"/>
      <c r="Q236" s="248"/>
      <c r="R236" s="249"/>
      <c r="S236" s="249"/>
    </row>
    <row r="237" spans="1:19">
      <c r="A237" s="74" t="s">
        <v>364</v>
      </c>
      <c r="B237" s="126"/>
      <c r="C237" s="100"/>
      <c r="D237" s="390" t="s">
        <v>251</v>
      </c>
      <c r="E237" s="113"/>
      <c r="F237" s="127"/>
      <c r="G237" s="209"/>
      <c r="H237" s="20" t="s">
        <v>17</v>
      </c>
      <c r="I237" s="20"/>
      <c r="J237" s="108"/>
      <c r="K237" s="28" t="s">
        <v>2</v>
      </c>
      <c r="L237" s="665" t="s">
        <v>744</v>
      </c>
      <c r="M237" s="665"/>
      <c r="N237" s="286" t="s">
        <v>465</v>
      </c>
      <c r="O237" s="286" t="s">
        <v>557</v>
      </c>
      <c r="P237" s="484" t="s">
        <v>464</v>
      </c>
      <c r="Q237" s="286"/>
      <c r="R237" s="5" t="s">
        <v>18</v>
      </c>
      <c r="S237" s="4" t="s">
        <v>19</v>
      </c>
    </row>
    <row r="238" spans="1:19">
      <c r="A238" s="128" t="s">
        <v>253</v>
      </c>
      <c r="B238" s="377" t="s">
        <v>254</v>
      </c>
      <c r="C238" s="237"/>
      <c r="D238" s="32"/>
      <c r="E238" s="33"/>
      <c r="F238" s="191"/>
      <c r="G238" s="197"/>
      <c r="H238" s="36"/>
      <c r="I238" s="191"/>
      <c r="J238" s="35">
        <f>SUM(C238:I238)</f>
        <v>0</v>
      </c>
      <c r="K238" s="3">
        <f>C238*7000</f>
        <v>0</v>
      </c>
      <c r="L238" s="294"/>
      <c r="M238" s="299">
        <f>E238*0</f>
        <v>0</v>
      </c>
      <c r="N238" s="282"/>
      <c r="O238" s="282">
        <f>H238*1680</f>
        <v>0</v>
      </c>
      <c r="P238" s="485"/>
      <c r="Q238" s="286"/>
      <c r="R238" s="4">
        <f>SUM(K238:Q238)</f>
        <v>0</v>
      </c>
      <c r="S238" s="4">
        <f>J238*1957</f>
        <v>0</v>
      </c>
    </row>
    <row r="239" spans="1:19">
      <c r="A239" s="129" t="s">
        <v>255</v>
      </c>
      <c r="B239" s="378" t="s">
        <v>254</v>
      </c>
      <c r="C239" s="215"/>
      <c r="D239" s="32"/>
      <c r="E239" s="33"/>
      <c r="F239" s="191"/>
      <c r="G239" s="197"/>
      <c r="H239" s="36"/>
      <c r="I239" s="191"/>
      <c r="J239" s="35">
        <f>SUM(C239:I239)</f>
        <v>0</v>
      </c>
      <c r="K239" s="284">
        <f>C239*7800</f>
        <v>0</v>
      </c>
      <c r="L239" s="294"/>
      <c r="M239" s="299">
        <f>E239*0</f>
        <v>0</v>
      </c>
      <c r="N239" s="282"/>
      <c r="O239" s="282">
        <f>H239*1680</f>
        <v>0</v>
      </c>
      <c r="P239" s="485"/>
      <c r="Q239" s="286"/>
      <c r="R239" s="4">
        <f t="shared" ref="R239:R240" si="99">SUM(K239:Q239)</f>
        <v>0</v>
      </c>
      <c r="S239" s="4">
        <f>J239*10200</f>
        <v>0</v>
      </c>
    </row>
    <row r="240" spans="1:19">
      <c r="A240" s="128" t="s">
        <v>256</v>
      </c>
      <c r="B240" s="374" t="s">
        <v>252</v>
      </c>
      <c r="C240" s="237"/>
      <c r="D240" s="235"/>
      <c r="E240" s="33"/>
      <c r="F240" s="191"/>
      <c r="G240" s="197"/>
      <c r="H240" s="191"/>
      <c r="I240" s="36"/>
      <c r="J240" s="35">
        <f>SUM(C240:I240)</f>
        <v>0</v>
      </c>
      <c r="K240" s="254">
        <f>C240*600</f>
        <v>0</v>
      </c>
      <c r="L240" s="294">
        <f>D240*600</f>
        <v>0</v>
      </c>
      <c r="M240" s="299">
        <f>E240*600</f>
        <v>0</v>
      </c>
      <c r="N240" s="282"/>
      <c r="O240" s="282">
        <f>H240*1680</f>
        <v>0</v>
      </c>
      <c r="P240" s="485"/>
      <c r="Q240" s="286"/>
      <c r="R240" s="4">
        <f t="shared" si="99"/>
        <v>0</v>
      </c>
      <c r="S240" s="4">
        <f>J240*480</f>
        <v>0</v>
      </c>
    </row>
    <row r="241" spans="1:19" s="24" customFormat="1" ht="27">
      <c r="B241" s="74"/>
      <c r="C241" s="74"/>
      <c r="D241" s="55" t="s">
        <v>573</v>
      </c>
      <c r="E241" s="125" t="s">
        <v>458</v>
      </c>
      <c r="F241" s="130" t="s">
        <v>741</v>
      </c>
      <c r="G241" s="10" t="s">
        <v>456</v>
      </c>
      <c r="H241" s="130"/>
      <c r="I241" s="131" t="s">
        <v>257</v>
      </c>
      <c r="J241" s="58" t="s">
        <v>6</v>
      </c>
      <c r="K241" s="118">
        <f t="shared" ref="K241:S241" si="100">SUM(K238:K240)</f>
        <v>0</v>
      </c>
      <c r="L241" s="297">
        <f t="shared" si="100"/>
        <v>0</v>
      </c>
      <c r="M241" s="304">
        <f t="shared" si="100"/>
        <v>0</v>
      </c>
      <c r="N241" s="280">
        <f t="shared" si="100"/>
        <v>0</v>
      </c>
      <c r="O241" s="280">
        <f t="shared" si="100"/>
        <v>0</v>
      </c>
      <c r="P241" s="280">
        <f t="shared" si="100"/>
        <v>0</v>
      </c>
      <c r="Q241" s="280">
        <f t="shared" si="100"/>
        <v>0</v>
      </c>
      <c r="R241" s="119">
        <f t="shared" si="100"/>
        <v>0</v>
      </c>
      <c r="S241" s="119">
        <f t="shared" si="100"/>
        <v>0</v>
      </c>
    </row>
    <row r="242" spans="1:19">
      <c r="C242" s="592" t="s">
        <v>738</v>
      </c>
      <c r="D242" s="404" t="s">
        <v>457</v>
      </c>
      <c r="E242" s="400" t="s">
        <v>375</v>
      </c>
      <c r="F242" s="399" t="s">
        <v>244</v>
      </c>
      <c r="G242" s="396" t="s">
        <v>243</v>
      </c>
      <c r="H242" s="103"/>
      <c r="I242" s="103" t="s">
        <v>360</v>
      </c>
      <c r="J242" s="107"/>
      <c r="P242" s="210"/>
    </row>
    <row r="243" spans="1:19">
      <c r="D243" s="404"/>
      <c r="E243" s="402" t="s">
        <v>242</v>
      </c>
      <c r="F243" s="402"/>
      <c r="G243" s="405"/>
      <c r="H243" s="399"/>
      <c r="I243" s="400"/>
      <c r="J243" s="124"/>
      <c r="P243" s="210"/>
    </row>
    <row r="244" spans="1:19">
      <c r="D244" s="88"/>
      <c r="E244" s="403" t="s">
        <v>185</v>
      </c>
      <c r="F244" s="400"/>
      <c r="G244" s="209"/>
      <c r="H244" s="132"/>
      <c r="I244" s="132"/>
      <c r="J244" s="124" t="s">
        <v>368</v>
      </c>
      <c r="P244" s="210"/>
    </row>
    <row r="245" spans="1:19">
      <c r="A245" s="74"/>
      <c r="D245" s="133"/>
      <c r="E245" s="402" t="s">
        <v>511</v>
      </c>
      <c r="F245" s="402" t="s">
        <v>508</v>
      </c>
      <c r="G245" s="209"/>
      <c r="H245" s="122"/>
      <c r="I245" s="536" t="s">
        <v>412</v>
      </c>
      <c r="J245" s="102"/>
      <c r="P245" s="210"/>
    </row>
    <row r="246" spans="1:19">
      <c r="C246" s="2" t="s">
        <v>2</v>
      </c>
      <c r="D246" s="134"/>
      <c r="E246" s="108"/>
      <c r="F246" s="350"/>
      <c r="G246" s="206"/>
      <c r="H246" s="109"/>
      <c r="I246" s="64"/>
      <c r="J246" s="108"/>
      <c r="K246" s="28" t="s">
        <v>2</v>
      </c>
      <c r="L246" s="597" t="s">
        <v>742</v>
      </c>
      <c r="M246" s="285" t="s">
        <v>482</v>
      </c>
      <c r="N246" s="596" t="s">
        <v>740</v>
      </c>
      <c r="O246" s="315"/>
      <c r="P246" s="293" t="s">
        <v>257</v>
      </c>
      <c r="Q246" s="293"/>
      <c r="R246" s="28" t="s">
        <v>18</v>
      </c>
      <c r="S246" s="4" t="s">
        <v>19</v>
      </c>
    </row>
    <row r="247" spans="1:19">
      <c r="A247" s="79" t="s">
        <v>951</v>
      </c>
      <c r="B247" s="374" t="s">
        <v>259</v>
      </c>
      <c r="C247" s="233">
        <v>210</v>
      </c>
      <c r="D247" s="235"/>
      <c r="E247" s="215">
        <v>1650</v>
      </c>
      <c r="F247" s="234">
        <v>350</v>
      </c>
      <c r="G247" s="234"/>
      <c r="H247" s="234"/>
      <c r="I247" s="234"/>
      <c r="J247" s="35">
        <f>SUM(C247:I247)+I246</f>
        <v>2210</v>
      </c>
      <c r="K247" s="254">
        <f>C247*1750</f>
        <v>367500</v>
      </c>
      <c r="L247" s="294">
        <f>D247*1750</f>
        <v>0</v>
      </c>
      <c r="M247" s="283">
        <f>E247*1400</f>
        <v>2310000</v>
      </c>
      <c r="N247" s="299">
        <f>F247*1400</f>
        <v>490000</v>
      </c>
      <c r="O247" s="315">
        <f>G247*1750</f>
        <v>0</v>
      </c>
      <c r="P247" s="299">
        <f>H247*1200</f>
        <v>0</v>
      </c>
      <c r="Q247" s="299"/>
      <c r="R247" s="3">
        <f>SUM(K247:Q247)</f>
        <v>3167500</v>
      </c>
      <c r="S247" s="3">
        <f>J247*289</f>
        <v>638690</v>
      </c>
    </row>
    <row r="248" spans="1:19">
      <c r="A248" s="128" t="s">
        <v>952</v>
      </c>
      <c r="B248" s="374" t="s">
        <v>492</v>
      </c>
      <c r="C248" s="237">
        <v>90</v>
      </c>
      <c r="D248" s="235"/>
      <c r="E248" s="215">
        <v>2400</v>
      </c>
      <c r="F248" s="234">
        <v>200</v>
      </c>
      <c r="G248" s="234"/>
      <c r="H248" s="234"/>
      <c r="I248" s="242"/>
      <c r="J248" s="35">
        <f>SUM(C248:I248)</f>
        <v>2690</v>
      </c>
      <c r="K248" s="254">
        <f>C248*1750</f>
        <v>157500</v>
      </c>
      <c r="L248" s="294">
        <f>D248*1750</f>
        <v>0</v>
      </c>
      <c r="M248" s="283">
        <f>E248*1400</f>
        <v>3360000</v>
      </c>
      <c r="N248" s="299">
        <f>F248*1400</f>
        <v>280000</v>
      </c>
      <c r="O248" s="315">
        <f>G248*1750</f>
        <v>0</v>
      </c>
      <c r="P248" s="299">
        <f>H248*1200</f>
        <v>0</v>
      </c>
      <c r="Q248" s="299"/>
      <c r="R248" s="3">
        <f t="shared" ref="R248" si="101">SUM(I248:Q248)</f>
        <v>3800190</v>
      </c>
      <c r="S248" s="3">
        <f>J248*305</f>
        <v>820450</v>
      </c>
    </row>
    <row r="249" spans="1:19" s="24" customFormat="1">
      <c r="B249" s="74"/>
      <c r="C249" s="486"/>
      <c r="D249" s="486"/>
      <c r="E249" s="273"/>
      <c r="F249" s="272"/>
      <c r="G249" s="272"/>
      <c r="H249" s="272"/>
      <c r="I249" s="84" t="s">
        <v>141</v>
      </c>
      <c r="J249" s="58" t="s">
        <v>6</v>
      </c>
      <c r="K249" s="118">
        <f t="shared" ref="K249:S249" si="102">SUM(K247:K248)</f>
        <v>525000</v>
      </c>
      <c r="L249" s="297">
        <f t="shared" si="102"/>
        <v>0</v>
      </c>
      <c r="M249" s="118">
        <f t="shared" si="102"/>
        <v>5670000</v>
      </c>
      <c r="N249" s="118">
        <f t="shared" si="102"/>
        <v>770000</v>
      </c>
      <c r="O249" s="303">
        <f t="shared" si="102"/>
        <v>0</v>
      </c>
      <c r="P249" s="118">
        <f t="shared" si="102"/>
        <v>0</v>
      </c>
      <c r="Q249" s="118">
        <f t="shared" si="102"/>
        <v>0</v>
      </c>
      <c r="R249" s="135">
        <f t="shared" si="102"/>
        <v>6967690</v>
      </c>
      <c r="S249" s="136">
        <f t="shared" si="102"/>
        <v>1459140</v>
      </c>
    </row>
    <row r="250" spans="1:19" s="24" customFormat="1">
      <c r="B250" s="74"/>
      <c r="C250" s="74"/>
      <c r="D250" s="142"/>
      <c r="E250" s="143"/>
      <c r="F250" s="22"/>
      <c r="G250" s="26"/>
      <c r="H250" s="144"/>
      <c r="I250" s="22"/>
      <c r="J250" s="22"/>
      <c r="K250" s="492"/>
      <c r="L250" s="492"/>
      <c r="M250" s="493"/>
      <c r="N250" s="493"/>
      <c r="O250" s="494"/>
      <c r="P250" s="495"/>
      <c r="Q250" s="496"/>
      <c r="R250" s="492"/>
      <c r="S250" s="497"/>
    </row>
    <row r="251" spans="1:19" s="24" customFormat="1">
      <c r="B251" s="74"/>
      <c r="C251" s="74"/>
      <c r="D251" s="607" t="s">
        <v>262</v>
      </c>
      <c r="E251" s="143" t="s">
        <v>4</v>
      </c>
      <c r="F251" s="498" t="s">
        <v>263</v>
      </c>
      <c r="G251" s="12" t="s">
        <v>264</v>
      </c>
      <c r="H251" s="144"/>
      <c r="I251" s="498"/>
      <c r="J251" s="499" t="s">
        <v>465</v>
      </c>
      <c r="K251" s="492"/>
      <c r="L251" s="492"/>
      <c r="M251" s="493"/>
      <c r="N251" s="493"/>
      <c r="O251" s="494"/>
      <c r="P251" s="495"/>
      <c r="Q251" s="496"/>
      <c r="R251" s="492"/>
      <c r="S251" s="497"/>
    </row>
    <row r="252" spans="1:19" s="244" customFormat="1" ht="24">
      <c r="B252" s="245"/>
      <c r="C252" s="245"/>
      <c r="D252" s="406" t="s">
        <v>265</v>
      </c>
      <c r="E252" s="19" t="s">
        <v>266</v>
      </c>
      <c r="F252" s="20" t="s">
        <v>14</v>
      </c>
      <c r="G252" s="26" t="s">
        <v>15</v>
      </c>
      <c r="H252" s="491"/>
      <c r="I252" s="20" t="s">
        <v>0</v>
      </c>
      <c r="J252" s="77" t="s">
        <v>1</v>
      </c>
      <c r="K252" s="492"/>
      <c r="L252" s="492"/>
      <c r="M252" s="493"/>
      <c r="N252" s="493"/>
      <c r="O252" s="494"/>
      <c r="P252" s="495"/>
      <c r="Q252" s="496"/>
      <c r="R252" s="492"/>
      <c r="S252" s="497"/>
    </row>
    <row r="253" spans="1:19">
      <c r="A253" s="24" t="s">
        <v>267</v>
      </c>
      <c r="C253" s="2" t="s">
        <v>2</v>
      </c>
      <c r="D253" s="406" t="s">
        <v>268</v>
      </c>
      <c r="E253" s="91"/>
      <c r="F253" s="20" t="s">
        <v>10</v>
      </c>
      <c r="G253" s="110" t="s">
        <v>11</v>
      </c>
      <c r="I253" s="102"/>
      <c r="J253" s="140"/>
      <c r="K253" s="219" t="s">
        <v>2</v>
      </c>
      <c r="L253" s="664" t="s">
        <v>733</v>
      </c>
      <c r="M253" s="664"/>
      <c r="N253" s="419"/>
      <c r="O253" s="419" t="s">
        <v>748</v>
      </c>
      <c r="P253" s="594"/>
      <c r="Q253" s="278" t="s">
        <v>557</v>
      </c>
      <c r="R253" s="220" t="s">
        <v>18</v>
      </c>
      <c r="S253" s="593" t="s">
        <v>19</v>
      </c>
    </row>
    <row r="254" spans="1:19">
      <c r="A254" s="79" t="s">
        <v>844</v>
      </c>
      <c r="B254" s="548" t="s">
        <v>269</v>
      </c>
      <c r="C254" s="233">
        <v>28</v>
      </c>
      <c r="D254" s="235"/>
      <c r="E254" s="234">
        <v>4</v>
      </c>
      <c r="F254" s="215">
        <v>1</v>
      </c>
      <c r="G254" s="242"/>
      <c r="H254" s="231"/>
      <c r="I254" s="230"/>
      <c r="J254" s="35">
        <f t="shared" ref="J254:J260" si="103">SUM(C254:I254)</f>
        <v>33</v>
      </c>
      <c r="K254" s="254">
        <f>C254*204000</f>
        <v>5712000</v>
      </c>
      <c r="L254" s="294">
        <f>D254*176000</f>
        <v>0</v>
      </c>
      <c r="M254" s="299">
        <f>E254*176000</f>
        <v>704000</v>
      </c>
      <c r="N254" s="276"/>
      <c r="O254" s="276">
        <f>F254*163200</f>
        <v>163200</v>
      </c>
      <c r="P254" s="210"/>
      <c r="Q254" s="279"/>
      <c r="R254" s="4">
        <f t="shared" ref="R254:R260" si="104">SUM(K254:Q254)</f>
        <v>6579200</v>
      </c>
      <c r="S254" s="4">
        <f>J254*55000</f>
        <v>1815000</v>
      </c>
    </row>
    <row r="255" spans="1:19">
      <c r="A255" s="79" t="s">
        <v>271</v>
      </c>
      <c r="B255" s="548" t="s">
        <v>269</v>
      </c>
      <c r="C255" s="233">
        <v>9</v>
      </c>
      <c r="D255" s="235"/>
      <c r="E255" s="234"/>
      <c r="F255" s="215">
        <v>2</v>
      </c>
      <c r="G255" s="242"/>
      <c r="H255" s="231"/>
      <c r="I255" s="215">
        <v>2</v>
      </c>
      <c r="J255" s="35">
        <f t="shared" si="103"/>
        <v>13</v>
      </c>
      <c r="K255" s="254">
        <f>C255*46200</f>
        <v>415800</v>
      </c>
      <c r="L255" s="294">
        <f>D255*44000</f>
        <v>0</v>
      </c>
      <c r="M255" s="299">
        <f>E255*44000</f>
        <v>0</v>
      </c>
      <c r="N255" s="276"/>
      <c r="O255" s="276">
        <f>F255*36920</f>
        <v>73840</v>
      </c>
      <c r="P255" s="210"/>
      <c r="Q255" s="279">
        <f>I255*30800</f>
        <v>61600</v>
      </c>
      <c r="R255" s="4">
        <f t="shared" si="104"/>
        <v>551240</v>
      </c>
      <c r="S255" s="4">
        <f>J255*13500</f>
        <v>175500</v>
      </c>
    </row>
    <row r="256" spans="1:19">
      <c r="A256" s="79" t="s">
        <v>272</v>
      </c>
      <c r="B256" s="377" t="s">
        <v>273</v>
      </c>
      <c r="C256" s="233">
        <v>15</v>
      </c>
      <c r="D256" s="235"/>
      <c r="E256" s="234"/>
      <c r="F256" s="229"/>
      <c r="G256" s="236"/>
      <c r="H256" s="231"/>
      <c r="I256" s="231"/>
      <c r="J256" s="35">
        <f t="shared" si="103"/>
        <v>15</v>
      </c>
      <c r="K256" s="254">
        <f>C256*21000</f>
        <v>315000</v>
      </c>
      <c r="L256" s="294">
        <f>D256*15400</f>
        <v>0</v>
      </c>
      <c r="M256" s="299">
        <f>E256*15400</f>
        <v>0</v>
      </c>
      <c r="N256" s="276"/>
      <c r="P256" s="210"/>
      <c r="Q256" s="279"/>
      <c r="R256" s="4">
        <f t="shared" si="104"/>
        <v>315000</v>
      </c>
      <c r="S256" s="4">
        <f>J256*4500</f>
        <v>67500</v>
      </c>
    </row>
    <row r="257" spans="1:19">
      <c r="A257" s="128" t="s">
        <v>274</v>
      </c>
      <c r="B257" s="377" t="s">
        <v>273</v>
      </c>
      <c r="C257" s="233">
        <v>21</v>
      </c>
      <c r="D257" s="235"/>
      <c r="E257" s="234">
        <v>1</v>
      </c>
      <c r="F257" s="230"/>
      <c r="G257" s="236"/>
      <c r="H257" s="231"/>
      <c r="I257" s="231"/>
      <c r="J257" s="35">
        <f t="shared" si="103"/>
        <v>22</v>
      </c>
      <c r="K257" s="254">
        <f>C257*21000</f>
        <v>441000</v>
      </c>
      <c r="L257" s="294">
        <f>D257*15400</f>
        <v>0</v>
      </c>
      <c r="M257" s="299">
        <f>E257*15400</f>
        <v>15400</v>
      </c>
      <c r="N257" s="276"/>
      <c r="P257" s="210"/>
      <c r="Q257" s="279"/>
      <c r="R257" s="4">
        <f t="shared" si="104"/>
        <v>456400</v>
      </c>
      <c r="S257" s="4">
        <f>J257*4700</f>
        <v>103400</v>
      </c>
    </row>
    <row r="258" spans="1:19">
      <c r="A258" s="128" t="s">
        <v>275</v>
      </c>
      <c r="B258" s="377" t="s">
        <v>273</v>
      </c>
      <c r="C258" s="233">
        <v>7</v>
      </c>
      <c r="D258" s="235"/>
      <c r="E258" s="234"/>
      <c r="F258" s="230"/>
      <c r="G258" s="236"/>
      <c r="H258" s="231"/>
      <c r="I258" s="230"/>
      <c r="J258" s="35">
        <f t="shared" si="103"/>
        <v>7</v>
      </c>
      <c r="K258" s="254">
        <f>C258*10400</f>
        <v>72800</v>
      </c>
      <c r="L258" s="294">
        <f>D258*10400</f>
        <v>0</v>
      </c>
      <c r="M258" s="299">
        <f>E258*10400</f>
        <v>0</v>
      </c>
      <c r="N258" s="276"/>
      <c r="P258" s="210"/>
      <c r="Q258" s="279"/>
      <c r="R258" s="4">
        <f t="shared" si="104"/>
        <v>72800</v>
      </c>
      <c r="S258" s="4">
        <f>J258*2700</f>
        <v>18900</v>
      </c>
    </row>
    <row r="259" spans="1:19">
      <c r="A259" s="79" t="s">
        <v>276</v>
      </c>
      <c r="B259" s="377" t="s">
        <v>277</v>
      </c>
      <c r="C259" s="237"/>
      <c r="D259" s="235"/>
      <c r="E259" s="234"/>
      <c r="F259" s="230"/>
      <c r="G259" s="236"/>
      <c r="H259" s="231"/>
      <c r="I259" s="231"/>
      <c r="J259" s="35">
        <f t="shared" si="103"/>
        <v>0</v>
      </c>
      <c r="K259" s="3">
        <f>C259*150000</f>
        <v>0</v>
      </c>
      <c r="L259" s="294">
        <f>D259*120000</f>
        <v>0</v>
      </c>
      <c r="M259" s="299">
        <f>E259*120000</f>
        <v>0</v>
      </c>
      <c r="N259" s="276"/>
      <c r="P259" s="210"/>
      <c r="Q259" s="279"/>
      <c r="R259" s="4">
        <f t="shared" si="104"/>
        <v>0</v>
      </c>
      <c r="S259" s="4">
        <f>J259*79000</f>
        <v>0</v>
      </c>
    </row>
    <row r="260" spans="1:19">
      <c r="A260" s="109" t="s">
        <v>278</v>
      </c>
      <c r="B260" s="378" t="s">
        <v>254</v>
      </c>
      <c r="C260" s="230"/>
      <c r="D260" s="32"/>
      <c r="E260" s="33"/>
      <c r="F260" s="191"/>
      <c r="G260" s="197"/>
      <c r="H260" s="80"/>
      <c r="I260" s="80"/>
      <c r="J260" s="35">
        <f t="shared" si="103"/>
        <v>0</v>
      </c>
      <c r="K260" s="268">
        <f>C260*12000</f>
        <v>0</v>
      </c>
      <c r="L260" s="294"/>
      <c r="M260" s="299"/>
      <c r="N260" s="276"/>
      <c r="P260" s="210"/>
      <c r="Q260" s="279">
        <f>F260*12000</f>
        <v>0</v>
      </c>
      <c r="R260" s="4">
        <f t="shared" si="104"/>
        <v>0</v>
      </c>
      <c r="S260" s="4">
        <f>J260*8230</f>
        <v>0</v>
      </c>
    </row>
    <row r="261" spans="1:19" s="244" customFormat="1">
      <c r="B261" s="245"/>
      <c r="C261" s="486"/>
      <c r="D261" s="475"/>
      <c r="E261" s="487"/>
      <c r="F261" s="488"/>
      <c r="G261" s="488"/>
      <c r="H261" s="488"/>
      <c r="I261" s="246"/>
      <c r="J261" s="247"/>
      <c r="K261" s="248"/>
      <c r="L261" s="318"/>
      <c r="M261" s="248"/>
      <c r="N261" s="248"/>
      <c r="O261" s="480"/>
      <c r="P261" s="248"/>
      <c r="Q261" s="248"/>
      <c r="R261" s="248"/>
      <c r="S261" s="252"/>
    </row>
    <row r="262" spans="1:19" s="24" customFormat="1">
      <c r="B262" s="74"/>
      <c r="C262" s="74"/>
      <c r="D262" s="9"/>
      <c r="E262" s="10"/>
      <c r="F262" s="12"/>
      <c r="G262" s="12"/>
      <c r="H262" s="12"/>
      <c r="I262" s="12"/>
      <c r="J262" s="117" t="s">
        <v>6</v>
      </c>
      <c r="K262" s="145">
        <f>SUM(K254:K261)</f>
        <v>6956600</v>
      </c>
      <c r="L262" s="145">
        <f t="shared" ref="L262:R262" si="105">SUM(L254:L261)</f>
        <v>0</v>
      </c>
      <c r="M262" s="145">
        <f t="shared" si="105"/>
        <v>719400</v>
      </c>
      <c r="N262" s="145">
        <f t="shared" si="105"/>
        <v>0</v>
      </c>
      <c r="O262" s="145">
        <f t="shared" si="105"/>
        <v>237040</v>
      </c>
      <c r="P262" s="145">
        <f t="shared" si="105"/>
        <v>0</v>
      </c>
      <c r="Q262" s="145">
        <f t="shared" si="105"/>
        <v>61600</v>
      </c>
      <c r="R262" s="145">
        <f t="shared" si="105"/>
        <v>7974640</v>
      </c>
      <c r="S262" s="145">
        <f>SUM(S254:S261)</f>
        <v>2180300</v>
      </c>
    </row>
    <row r="263" spans="1:19">
      <c r="C263" s="106"/>
      <c r="D263" s="55"/>
      <c r="E263" s="10" t="s">
        <v>4</v>
      </c>
      <c r="F263" s="12" t="s">
        <v>5</v>
      </c>
      <c r="G263" s="12"/>
      <c r="H263" s="12"/>
      <c r="I263" s="12" t="s">
        <v>261</v>
      </c>
      <c r="J263" s="110"/>
      <c r="P263" s="210"/>
    </row>
    <row r="264" spans="1:19">
      <c r="A264" s="74" t="s">
        <v>281</v>
      </c>
      <c r="C264" s="106" t="s">
        <v>347</v>
      </c>
      <c r="D264" s="55"/>
      <c r="E264" s="15" t="s">
        <v>280</v>
      </c>
      <c r="F264" s="20"/>
      <c r="G264" s="110"/>
      <c r="H264" s="137"/>
      <c r="I264" s="20" t="s">
        <v>10</v>
      </c>
      <c r="J264" s="110" t="s">
        <v>11</v>
      </c>
      <c r="P264" s="210"/>
    </row>
    <row r="265" spans="1:19" ht="24">
      <c r="C265" s="106" t="s">
        <v>282</v>
      </c>
      <c r="D265" s="105"/>
      <c r="E265" s="15" t="s">
        <v>284</v>
      </c>
      <c r="F265" s="19" t="s">
        <v>729</v>
      </c>
      <c r="G265" s="146"/>
      <c r="H265" s="146"/>
      <c r="I265" s="20" t="s">
        <v>14</v>
      </c>
      <c r="J265" s="26" t="s">
        <v>15</v>
      </c>
      <c r="P265" s="210"/>
    </row>
    <row r="266" spans="1:19">
      <c r="C266" s="106" t="s">
        <v>285</v>
      </c>
      <c r="D266" s="545"/>
      <c r="E266" s="19" t="s">
        <v>287</v>
      </c>
      <c r="F266" s="19" t="s">
        <v>772</v>
      </c>
      <c r="G266" s="146"/>
      <c r="H266" s="146"/>
      <c r="I266" s="20"/>
      <c r="J266" s="309"/>
      <c r="P266" s="210"/>
    </row>
    <row r="267" spans="1:19">
      <c r="A267" s="148"/>
      <c r="B267" s="2" t="s">
        <v>2</v>
      </c>
      <c r="C267" s="106" t="s">
        <v>350</v>
      </c>
      <c r="D267" s="105"/>
      <c r="E267" s="19" t="s">
        <v>728</v>
      </c>
      <c r="F267" s="20"/>
      <c r="G267" s="26"/>
      <c r="H267" s="146"/>
      <c r="I267" s="124" t="s">
        <v>408</v>
      </c>
      <c r="J267" s="140"/>
      <c r="K267" s="219" t="s">
        <v>2</v>
      </c>
      <c r="L267" s="664" t="s">
        <v>733</v>
      </c>
      <c r="M267" s="664"/>
      <c r="N267" s="348" t="s">
        <v>559</v>
      </c>
      <c r="O267" s="348" t="s">
        <v>557</v>
      </c>
      <c r="P267" s="348" t="s">
        <v>464</v>
      </c>
      <c r="Q267" s="220"/>
      <c r="R267" s="220" t="s">
        <v>18</v>
      </c>
      <c r="S267" s="593" t="s">
        <v>19</v>
      </c>
    </row>
    <row r="268" spans="1:19" s="3" customFormat="1">
      <c r="A268" s="115" t="s">
        <v>288</v>
      </c>
      <c r="B268" s="684" t="s">
        <v>289</v>
      </c>
      <c r="C268" s="237">
        <v>10</v>
      </c>
      <c r="D268" s="235"/>
      <c r="E268" s="234">
        <v>4</v>
      </c>
      <c r="F268" s="230"/>
      <c r="G268" s="236"/>
      <c r="H268" s="231"/>
      <c r="I268" s="230"/>
      <c r="J268" s="35">
        <f t="shared" ref="J268:J330" si="106">SUM(C268:I268)</f>
        <v>14</v>
      </c>
      <c r="K268" s="254">
        <f>C268*25000</f>
        <v>250000</v>
      </c>
      <c r="L268" s="294">
        <f>D268*22000</f>
        <v>0</v>
      </c>
      <c r="M268" s="299">
        <f>E268*22000</f>
        <v>88000</v>
      </c>
      <c r="N268" s="282">
        <f>F268*10000</f>
        <v>0</v>
      </c>
      <c r="O268" s="282"/>
      <c r="P268" s="282"/>
      <c r="Q268" s="5"/>
      <c r="R268" s="4">
        <f>SUM(K268:Q268)</f>
        <v>338000</v>
      </c>
      <c r="S268" s="4">
        <f>J268*15400</f>
        <v>215600</v>
      </c>
    </row>
    <row r="269" spans="1:19" s="3" customFormat="1">
      <c r="A269" s="115" t="s">
        <v>290</v>
      </c>
      <c r="B269" s="685"/>
      <c r="C269" s="233">
        <v>42</v>
      </c>
      <c r="D269" s="235"/>
      <c r="E269" s="234"/>
      <c r="F269" s="230"/>
      <c r="G269" s="236"/>
      <c r="H269" s="231"/>
      <c r="I269" s="242"/>
      <c r="J269" s="35">
        <f t="shared" si="106"/>
        <v>42</v>
      </c>
      <c r="K269" s="254">
        <f>C269*12000</f>
        <v>504000</v>
      </c>
      <c r="L269" s="294">
        <f>D269*12000</f>
        <v>0</v>
      </c>
      <c r="M269" s="299">
        <f>E269*12000</f>
        <v>0</v>
      </c>
      <c r="N269" s="282"/>
      <c r="O269" s="282"/>
      <c r="P269" s="282"/>
      <c r="Q269" s="5"/>
      <c r="R269" s="4">
        <f t="shared" ref="R269:R306" si="107">SUM(K269:Q269)</f>
        <v>504000</v>
      </c>
      <c r="S269" s="4">
        <f>J269*7150</f>
        <v>300300</v>
      </c>
    </row>
    <row r="270" spans="1:19" s="3" customFormat="1">
      <c r="A270" s="115" t="s">
        <v>291</v>
      </c>
      <c r="B270" s="369" t="s">
        <v>510</v>
      </c>
      <c r="C270" s="233">
        <v>11</v>
      </c>
      <c r="D270" s="235"/>
      <c r="E270" s="234">
        <v>14</v>
      </c>
      <c r="F270" s="229"/>
      <c r="G270" s="236"/>
      <c r="H270" s="231"/>
      <c r="I270" s="230"/>
      <c r="J270" s="35">
        <f t="shared" si="106"/>
        <v>25</v>
      </c>
      <c r="K270" s="254">
        <f>C270*22000</f>
        <v>242000</v>
      </c>
      <c r="L270" s="294">
        <f>D270*22000</f>
        <v>0</v>
      </c>
      <c r="M270" s="299">
        <f>E270*15000</f>
        <v>210000</v>
      </c>
      <c r="N270" s="282"/>
      <c r="O270" s="282"/>
      <c r="P270" s="282"/>
      <c r="Q270" s="5"/>
      <c r="R270" s="4">
        <f t="shared" si="107"/>
        <v>452000</v>
      </c>
      <c r="S270" s="4">
        <f>J270*10835</f>
        <v>270875</v>
      </c>
    </row>
    <row r="271" spans="1:19" s="3" customFormat="1">
      <c r="A271" s="115" t="s">
        <v>292</v>
      </c>
      <c r="B271" s="370" t="s">
        <v>293</v>
      </c>
      <c r="C271" s="233">
        <v>35</v>
      </c>
      <c r="D271" s="235"/>
      <c r="E271" s="234">
        <v>8</v>
      </c>
      <c r="F271" s="230"/>
      <c r="G271" s="236"/>
      <c r="H271" s="231"/>
      <c r="I271" s="242"/>
      <c r="J271" s="35">
        <f t="shared" si="106"/>
        <v>43</v>
      </c>
      <c r="K271" s="254">
        <f>C271*22000</f>
        <v>770000</v>
      </c>
      <c r="L271" s="294">
        <f>D271*22000</f>
        <v>0</v>
      </c>
      <c r="M271" s="299">
        <f>E271*22000</f>
        <v>176000</v>
      </c>
      <c r="N271" s="282"/>
      <c r="O271" s="282"/>
      <c r="P271" s="282"/>
      <c r="Q271" s="5"/>
      <c r="R271" s="4">
        <f t="shared" si="107"/>
        <v>946000</v>
      </c>
      <c r="S271" s="4">
        <f>J271*9361</f>
        <v>402523</v>
      </c>
    </row>
    <row r="272" spans="1:19" s="3" customFormat="1">
      <c r="A272" s="115" t="s">
        <v>294</v>
      </c>
      <c r="B272" s="370" t="s">
        <v>295</v>
      </c>
      <c r="C272" s="257">
        <v>14</v>
      </c>
      <c r="D272" s="235"/>
      <c r="E272" s="234">
        <v>14</v>
      </c>
      <c r="F272" s="230"/>
      <c r="G272" s="236"/>
      <c r="H272" s="231"/>
      <c r="I272" s="215">
        <v>1</v>
      </c>
      <c r="J272" s="35">
        <f t="shared" si="106"/>
        <v>29</v>
      </c>
      <c r="K272" s="254">
        <f>C272*18000</f>
        <v>252000</v>
      </c>
      <c r="L272" s="294">
        <f>D272*15000</f>
        <v>0</v>
      </c>
      <c r="M272" s="299">
        <f>E272*15000</f>
        <v>210000</v>
      </c>
      <c r="N272" s="282"/>
      <c r="O272" s="282">
        <f>I272*14400</f>
        <v>14400</v>
      </c>
      <c r="P272" s="282"/>
      <c r="Q272" s="286"/>
      <c r="R272" s="4">
        <f t="shared" si="107"/>
        <v>476400</v>
      </c>
      <c r="S272" s="4">
        <f>J272*4238</f>
        <v>122902</v>
      </c>
    </row>
    <row r="273" spans="1:19" s="3" customFormat="1">
      <c r="A273" s="115" t="s">
        <v>296</v>
      </c>
      <c r="B273" s="370" t="s">
        <v>297</v>
      </c>
      <c r="C273" s="237">
        <v>10</v>
      </c>
      <c r="D273" s="235"/>
      <c r="E273" s="234"/>
      <c r="F273" s="230"/>
      <c r="G273" s="236"/>
      <c r="H273" s="231"/>
      <c r="I273" s="215"/>
      <c r="J273" s="35">
        <f t="shared" si="106"/>
        <v>10</v>
      </c>
      <c r="K273" s="254">
        <f>C273*15000</f>
        <v>150000</v>
      </c>
      <c r="L273" s="294">
        <f>D273*11600</f>
        <v>0</v>
      </c>
      <c r="M273" s="299">
        <f>E273*11600</f>
        <v>0</v>
      </c>
      <c r="N273" s="282"/>
      <c r="O273" s="282"/>
      <c r="P273" s="282"/>
      <c r="Q273" s="5"/>
      <c r="R273" s="4">
        <f t="shared" si="107"/>
        <v>150000</v>
      </c>
      <c r="S273" s="4">
        <f>J273*3719</f>
        <v>37190</v>
      </c>
    </row>
    <row r="274" spans="1:19" s="3" customFormat="1">
      <c r="A274" s="115" t="s">
        <v>348</v>
      </c>
      <c r="B274" s="383" t="s">
        <v>349</v>
      </c>
      <c r="C274" s="237">
        <v>9</v>
      </c>
      <c r="D274" s="235"/>
      <c r="E274" s="234"/>
      <c r="F274" s="230"/>
      <c r="G274" s="236"/>
      <c r="H274" s="231"/>
      <c r="I274" s="215"/>
      <c r="J274" s="35">
        <f t="shared" si="106"/>
        <v>9</v>
      </c>
      <c r="K274" s="254">
        <f>C274*33000</f>
        <v>297000</v>
      </c>
      <c r="L274" s="294">
        <f>D274*33000</f>
        <v>0</v>
      </c>
      <c r="M274" s="302">
        <f>E274*33000</f>
        <v>0</v>
      </c>
      <c r="N274" s="284"/>
      <c r="O274" s="284"/>
      <c r="P274" s="284"/>
      <c r="Q274" s="5"/>
      <c r="R274" s="4">
        <f t="shared" si="107"/>
        <v>297000</v>
      </c>
      <c r="S274" s="4">
        <f>J274*16500</f>
        <v>148500</v>
      </c>
    </row>
    <row r="275" spans="1:19" s="3" customFormat="1">
      <c r="A275" s="211" t="s">
        <v>362</v>
      </c>
      <c r="B275" s="383" t="s">
        <v>366</v>
      </c>
      <c r="C275" s="237"/>
      <c r="D275" s="235"/>
      <c r="E275" s="234"/>
      <c r="F275" s="230"/>
      <c r="G275" s="236"/>
      <c r="H275" s="231"/>
      <c r="I275" s="215"/>
      <c r="J275" s="35">
        <f t="shared" si="106"/>
        <v>0</v>
      </c>
      <c r="K275" s="3">
        <f>C275*77000</f>
        <v>0</v>
      </c>
      <c r="L275" s="294">
        <f>D275*77000</f>
        <v>0</v>
      </c>
      <c r="M275" s="302">
        <f>E275*77000</f>
        <v>0</v>
      </c>
      <c r="N275" s="284"/>
      <c r="O275" s="284"/>
      <c r="P275" s="284"/>
      <c r="Q275" s="286"/>
      <c r="R275" s="4">
        <f t="shared" si="107"/>
        <v>0</v>
      </c>
      <c r="S275" s="4">
        <f>J275*38500</f>
        <v>0</v>
      </c>
    </row>
    <row r="276" spans="1:19" s="3" customFormat="1" ht="21.75" customHeight="1">
      <c r="A276" s="149" t="s">
        <v>300</v>
      </c>
      <c r="B276" s="383" t="s">
        <v>351</v>
      </c>
      <c r="C276" s="233">
        <v>74</v>
      </c>
      <c r="D276" s="235"/>
      <c r="E276" s="234"/>
      <c r="F276" s="230"/>
      <c r="G276" s="236"/>
      <c r="H276" s="231"/>
      <c r="I276" s="214"/>
      <c r="J276" s="35">
        <f t="shared" si="106"/>
        <v>74</v>
      </c>
      <c r="K276" s="364">
        <f>C276*2500</f>
        <v>185000</v>
      </c>
      <c r="L276" s="294"/>
      <c r="M276" s="299"/>
      <c r="N276" s="282"/>
      <c r="O276" s="282"/>
      <c r="P276" s="282"/>
      <c r="Q276" s="286"/>
      <c r="R276" s="4">
        <f t="shared" si="107"/>
        <v>185000</v>
      </c>
      <c r="S276" s="4">
        <f>J276*1070</f>
        <v>79180</v>
      </c>
    </row>
    <row r="277" spans="1:19" s="3" customFormat="1">
      <c r="A277" s="150" t="s">
        <v>301</v>
      </c>
      <c r="B277" s="371" t="s">
        <v>371</v>
      </c>
      <c r="C277" s="215">
        <v>400</v>
      </c>
      <c r="D277" s="235"/>
      <c r="E277" s="234"/>
      <c r="F277" s="230"/>
      <c r="G277" s="236"/>
      <c r="H277" s="231"/>
      <c r="I277" s="215">
        <v>1</v>
      </c>
      <c r="J277" s="35">
        <f t="shared" si="106"/>
        <v>401</v>
      </c>
      <c r="K277" s="284">
        <f>C277*1700</f>
        <v>680000</v>
      </c>
      <c r="L277" s="294">
        <f>D277*1700</f>
        <v>0</v>
      </c>
      <c r="M277" s="299">
        <f>E277*1700</f>
        <v>0</v>
      </c>
      <c r="N277" s="282"/>
      <c r="O277" s="282">
        <f>I277*2000</f>
        <v>2000</v>
      </c>
      <c r="P277" s="282"/>
      <c r="Q277" s="286"/>
      <c r="R277" s="4">
        <f t="shared" si="107"/>
        <v>682000</v>
      </c>
      <c r="S277" s="4">
        <f>J277*1070</f>
        <v>429070</v>
      </c>
    </row>
    <row r="278" spans="1:19" s="3" customFormat="1">
      <c r="A278" s="151" t="s">
        <v>303</v>
      </c>
      <c r="B278" s="383" t="s">
        <v>304</v>
      </c>
      <c r="C278" s="239">
        <v>60</v>
      </c>
      <c r="D278" s="235"/>
      <c r="E278" s="234"/>
      <c r="F278" s="230"/>
      <c r="G278" s="236"/>
      <c r="H278" s="231"/>
      <c r="I278" s="215"/>
      <c r="J278" s="35">
        <f t="shared" si="106"/>
        <v>60</v>
      </c>
      <c r="K278" s="364">
        <f>C278*2500</f>
        <v>150000</v>
      </c>
      <c r="L278" s="294"/>
      <c r="M278" s="299">
        <f t="shared" ref="M278" si="108">E278*1500</f>
        <v>0</v>
      </c>
      <c r="N278" s="282"/>
      <c r="O278" s="282"/>
      <c r="P278" s="282"/>
      <c r="Q278" s="5"/>
      <c r="R278" s="4">
        <f t="shared" si="107"/>
        <v>150000</v>
      </c>
      <c r="S278" s="4">
        <f>J278*495</f>
        <v>29700</v>
      </c>
    </row>
    <row r="279" spans="1:19" s="3" customFormat="1">
      <c r="A279" s="152" t="s">
        <v>305</v>
      </c>
      <c r="B279" s="372" t="s">
        <v>302</v>
      </c>
      <c r="C279" s="215"/>
      <c r="D279" s="235"/>
      <c r="E279" s="234"/>
      <c r="F279" s="230"/>
      <c r="G279" s="236"/>
      <c r="H279" s="231"/>
      <c r="I279" s="215"/>
      <c r="J279" s="35">
        <f t="shared" si="106"/>
        <v>0</v>
      </c>
      <c r="K279" s="284">
        <f>C279*1700</f>
        <v>0</v>
      </c>
      <c r="L279" s="294">
        <f>D279*1700</f>
        <v>0</v>
      </c>
      <c r="M279" s="299">
        <f>E279*1700</f>
        <v>0</v>
      </c>
      <c r="N279" s="282"/>
      <c r="O279" s="282">
        <f>I279*2000</f>
        <v>0</v>
      </c>
      <c r="P279" s="282"/>
      <c r="Q279" s="5"/>
      <c r="R279" s="4">
        <f t="shared" si="107"/>
        <v>0</v>
      </c>
      <c r="S279" s="4">
        <f>J279*495</f>
        <v>0</v>
      </c>
    </row>
    <row r="280" spans="1:19" s="3" customFormat="1">
      <c r="A280" s="153" t="s">
        <v>306</v>
      </c>
      <c r="B280" s="384" t="s">
        <v>307</v>
      </c>
      <c r="C280" s="239">
        <v>171</v>
      </c>
      <c r="D280" s="235"/>
      <c r="E280" s="234"/>
      <c r="F280" s="230"/>
      <c r="G280" s="236"/>
      <c r="H280" s="231"/>
      <c r="I280" s="214"/>
      <c r="J280" s="35">
        <f t="shared" si="106"/>
        <v>171</v>
      </c>
      <c r="K280" s="364">
        <f>C280*2500</f>
        <v>427500</v>
      </c>
      <c r="L280" s="294"/>
      <c r="M280" s="299"/>
      <c r="N280" s="282"/>
      <c r="O280" s="282"/>
      <c r="P280" s="282"/>
      <c r="Q280" s="286"/>
      <c r="R280" s="4">
        <f t="shared" si="107"/>
        <v>427500</v>
      </c>
      <c r="S280" s="4">
        <f>J280*310</f>
        <v>53010</v>
      </c>
    </row>
    <row r="281" spans="1:19" s="3" customFormat="1">
      <c r="A281" s="154" t="s">
        <v>308</v>
      </c>
      <c r="B281" s="372" t="s">
        <v>302</v>
      </c>
      <c r="C281" s="215">
        <v>100</v>
      </c>
      <c r="D281" s="235"/>
      <c r="E281" s="234">
        <v>200</v>
      </c>
      <c r="F281" s="229"/>
      <c r="G281" s="236"/>
      <c r="H281" s="231"/>
      <c r="I281" s="215">
        <v>3</v>
      </c>
      <c r="J281" s="35">
        <f t="shared" si="106"/>
        <v>303</v>
      </c>
      <c r="K281" s="284">
        <f>C281*1700</f>
        <v>170000</v>
      </c>
      <c r="L281" s="294">
        <f>D281*1700</f>
        <v>0</v>
      </c>
      <c r="M281" s="299">
        <f>E281*1700</f>
        <v>340000</v>
      </c>
      <c r="N281" s="282"/>
      <c r="O281" s="282">
        <f>I281*2000</f>
        <v>6000</v>
      </c>
      <c r="P281" s="282"/>
      <c r="Q281" s="286"/>
      <c r="R281" s="4">
        <f t="shared" si="107"/>
        <v>516000</v>
      </c>
      <c r="S281" s="4">
        <f>J281*310</f>
        <v>93930</v>
      </c>
    </row>
    <row r="282" spans="1:19" s="3" customFormat="1">
      <c r="A282" s="260" t="s">
        <v>377</v>
      </c>
      <c r="B282" s="666" t="s">
        <v>378</v>
      </c>
      <c r="C282" s="239">
        <v>14</v>
      </c>
      <c r="D282" s="235"/>
      <c r="E282" s="234">
        <v>3</v>
      </c>
      <c r="F282" s="233"/>
      <c r="G282" s="233"/>
      <c r="H282" s="242"/>
      <c r="I282" s="215">
        <v>1</v>
      </c>
      <c r="J282" s="35">
        <f t="shared" si="106"/>
        <v>18</v>
      </c>
      <c r="K282" s="254">
        <f>C282*18900</f>
        <v>264600</v>
      </c>
      <c r="L282" s="294">
        <f>D282*15400</f>
        <v>0</v>
      </c>
      <c r="M282" s="302">
        <f>E282*15400</f>
        <v>46200</v>
      </c>
      <c r="N282" s="284"/>
      <c r="O282" s="551">
        <f>I282*15120</f>
        <v>15120</v>
      </c>
      <c r="P282" s="284"/>
      <c r="Q282" s="284"/>
      <c r="R282" s="4">
        <f t="shared" si="107"/>
        <v>325920</v>
      </c>
      <c r="S282" s="4">
        <f>J282*4794</f>
        <v>86292</v>
      </c>
    </row>
    <row r="283" spans="1:19" s="3" customFormat="1">
      <c r="A283" s="155" t="s">
        <v>379</v>
      </c>
      <c r="B283" s="667"/>
      <c r="C283" s="239"/>
      <c r="D283" s="235"/>
      <c r="E283" s="234"/>
      <c r="F283" s="229"/>
      <c r="G283" s="236"/>
      <c r="H283" s="231"/>
      <c r="I283" s="215"/>
      <c r="J283" s="35">
        <f t="shared" si="106"/>
        <v>0</v>
      </c>
      <c r="K283" s="3">
        <f>C283*11000</f>
        <v>0</v>
      </c>
      <c r="L283" s="294">
        <f>D283*7000</f>
        <v>0</v>
      </c>
      <c r="M283" s="299">
        <f>E283*7000</f>
        <v>0</v>
      </c>
      <c r="N283" s="282"/>
      <c r="O283" s="282"/>
      <c r="P283" s="282"/>
      <c r="Q283" s="5"/>
      <c r="R283" s="4">
        <f t="shared" si="107"/>
        <v>0</v>
      </c>
      <c r="S283" s="4">
        <f>J283*1200</f>
        <v>0</v>
      </c>
    </row>
    <row r="284" spans="1:19">
      <c r="A284" s="115" t="s">
        <v>872</v>
      </c>
      <c r="B284" s="383" t="s">
        <v>299</v>
      </c>
      <c r="C284" s="237">
        <v>2</v>
      </c>
      <c r="D284" s="235"/>
      <c r="E284" s="234">
        <v>1</v>
      </c>
      <c r="F284" s="230"/>
      <c r="G284" s="236"/>
      <c r="H284" s="231"/>
      <c r="I284" s="238"/>
      <c r="J284" s="35">
        <f t="shared" si="106"/>
        <v>3</v>
      </c>
      <c r="K284" s="254">
        <f>C284*25000</f>
        <v>50000</v>
      </c>
      <c r="L284" s="294">
        <f>D284*20000</f>
        <v>0</v>
      </c>
      <c r="M284" s="299">
        <f>E284*20000</f>
        <v>20000</v>
      </c>
      <c r="N284" s="282"/>
      <c r="O284" s="282"/>
      <c r="P284" s="282"/>
      <c r="R284" s="4">
        <f t="shared" si="107"/>
        <v>70000</v>
      </c>
      <c r="S284" s="4">
        <f>J284*12400</f>
        <v>37200</v>
      </c>
    </row>
    <row r="285" spans="1:19">
      <c r="A285" s="155" t="s">
        <v>873</v>
      </c>
      <c r="B285" s="666" t="s">
        <v>393</v>
      </c>
      <c r="C285" s="237">
        <v>1</v>
      </c>
      <c r="D285" s="235"/>
      <c r="E285" s="234"/>
      <c r="F285" s="237"/>
      <c r="G285" s="236"/>
      <c r="H285" s="241"/>
      <c r="I285" s="237"/>
      <c r="J285" s="35">
        <f t="shared" si="106"/>
        <v>1</v>
      </c>
      <c r="K285" s="254">
        <f>C285*40000</f>
        <v>40000</v>
      </c>
      <c r="L285" s="294">
        <f>D285*40000</f>
        <v>0</v>
      </c>
      <c r="M285" s="299">
        <f>E285*38000</f>
        <v>0</v>
      </c>
      <c r="N285" s="282"/>
      <c r="O285" s="550"/>
      <c r="P285" s="282"/>
      <c r="R285" s="4">
        <f t="shared" si="107"/>
        <v>40000</v>
      </c>
      <c r="S285" s="4">
        <f>J285*26400</f>
        <v>26400</v>
      </c>
    </row>
    <row r="286" spans="1:19">
      <c r="A286" s="155" t="s">
        <v>874</v>
      </c>
      <c r="B286" s="670"/>
      <c r="C286" s="237">
        <v>1</v>
      </c>
      <c r="D286" s="235"/>
      <c r="E286" s="234"/>
      <c r="F286" s="237"/>
      <c r="G286" s="236"/>
      <c r="H286" s="241"/>
      <c r="I286" s="237"/>
      <c r="J286" s="35">
        <f t="shared" si="106"/>
        <v>1</v>
      </c>
      <c r="K286" s="254">
        <f>C286*22000</f>
        <v>22000</v>
      </c>
      <c r="L286" s="294">
        <f>D286*22000</f>
        <v>0</v>
      </c>
      <c r="M286" s="299">
        <f>E286*18000</f>
        <v>0</v>
      </c>
      <c r="N286" s="282"/>
      <c r="O286" s="282"/>
      <c r="P286" s="282"/>
      <c r="R286" s="4">
        <f t="shared" si="107"/>
        <v>22000</v>
      </c>
      <c r="S286" s="4">
        <f>J286*11000</f>
        <v>11000</v>
      </c>
    </row>
    <row r="287" spans="1:19">
      <c r="A287" s="155" t="s">
        <v>875</v>
      </c>
      <c r="B287" s="667"/>
      <c r="C287" s="237"/>
      <c r="D287" s="235"/>
      <c r="E287" s="234">
        <v>50</v>
      </c>
      <c r="F287" s="237"/>
      <c r="G287" s="236"/>
      <c r="H287" s="241"/>
      <c r="I287" s="237"/>
      <c r="J287" s="35">
        <f t="shared" si="106"/>
        <v>50</v>
      </c>
      <c r="K287" s="3">
        <f>C287*4000</f>
        <v>0</v>
      </c>
      <c r="L287" s="294">
        <f>D287*4000</f>
        <v>0</v>
      </c>
      <c r="M287" s="299">
        <f>E287*3000</f>
        <v>150000</v>
      </c>
      <c r="N287" s="282"/>
      <c r="O287" s="282"/>
      <c r="P287" s="282"/>
      <c r="R287" s="4">
        <f t="shared" si="107"/>
        <v>150000</v>
      </c>
      <c r="S287" s="4">
        <f>J287*1760</f>
        <v>88000</v>
      </c>
    </row>
    <row r="288" spans="1:19">
      <c r="A288" s="155" t="s">
        <v>315</v>
      </c>
      <c r="B288" s="385" t="s">
        <v>316</v>
      </c>
      <c r="C288" s="233">
        <v>4</v>
      </c>
      <c r="D288" s="237"/>
      <c r="E288" s="234"/>
      <c r="F288" s="237"/>
      <c r="G288" s="236"/>
      <c r="H288" s="241"/>
      <c r="I288" s="237"/>
      <c r="J288" s="35">
        <f t="shared" si="106"/>
        <v>4</v>
      </c>
      <c r="K288" s="254">
        <f>C288*25000</f>
        <v>100000</v>
      </c>
      <c r="L288" s="294">
        <f>D288*25000</f>
        <v>0</v>
      </c>
      <c r="M288" s="299">
        <f>E288*25000</f>
        <v>0</v>
      </c>
      <c r="N288" s="282"/>
      <c r="O288" s="282"/>
      <c r="P288" s="282"/>
      <c r="R288" s="4">
        <f t="shared" si="107"/>
        <v>100000</v>
      </c>
      <c r="S288" s="4">
        <f>J288*18000</f>
        <v>72000</v>
      </c>
    </row>
    <row r="289" spans="1:19">
      <c r="A289" s="155" t="s">
        <v>871</v>
      </c>
      <c r="B289" s="385" t="s">
        <v>399</v>
      </c>
      <c r="C289" s="237">
        <v>1</v>
      </c>
      <c r="D289" s="235"/>
      <c r="E289" s="234"/>
      <c r="F289" s="237"/>
      <c r="G289" s="236"/>
      <c r="H289" s="241"/>
      <c r="I289" s="237"/>
      <c r="J289" s="35">
        <f t="shared" si="106"/>
        <v>1</v>
      </c>
      <c r="K289" s="254">
        <f>C289*5000</f>
        <v>5000</v>
      </c>
      <c r="L289" s="294">
        <f>D289*5000</f>
        <v>0</v>
      </c>
      <c r="M289" s="299">
        <f>E289*4500</f>
        <v>0</v>
      </c>
      <c r="N289" s="282"/>
      <c r="O289" s="282"/>
      <c r="P289" s="282"/>
      <c r="R289" s="4">
        <f t="shared" si="107"/>
        <v>5000</v>
      </c>
      <c r="S289" s="4">
        <f>J289*1800</f>
        <v>1800</v>
      </c>
    </row>
    <row r="290" spans="1:19">
      <c r="A290" s="128" t="s">
        <v>783</v>
      </c>
      <c r="B290" s="156"/>
      <c r="C290" s="237"/>
      <c r="D290" s="235"/>
      <c r="E290" s="234"/>
      <c r="F290" s="237"/>
      <c r="G290" s="236"/>
      <c r="H290" s="241"/>
      <c r="I290" s="242"/>
      <c r="J290" s="35">
        <f t="shared" si="106"/>
        <v>0</v>
      </c>
      <c r="K290" s="254">
        <f>C290*27000</f>
        <v>0</v>
      </c>
      <c r="L290" s="294">
        <f>D290*20000</f>
        <v>0</v>
      </c>
      <c r="M290" s="299">
        <f>E290*20000</f>
        <v>0</v>
      </c>
      <c r="N290" s="282"/>
      <c r="O290" s="282"/>
      <c r="P290" s="282"/>
      <c r="R290" s="4">
        <f t="shared" si="107"/>
        <v>0</v>
      </c>
      <c r="S290" s="4">
        <f>J290*14850</f>
        <v>0</v>
      </c>
    </row>
    <row r="291" spans="1:19">
      <c r="A291" s="155" t="s">
        <v>318</v>
      </c>
      <c r="B291" s="373"/>
      <c r="C291" s="237"/>
      <c r="D291" s="235"/>
      <c r="E291" s="234"/>
      <c r="F291" s="237"/>
      <c r="G291" s="236"/>
      <c r="H291" s="241"/>
      <c r="I291" s="237"/>
      <c r="J291" s="35">
        <f t="shared" si="106"/>
        <v>0</v>
      </c>
      <c r="K291" s="3">
        <f>C291*4000</f>
        <v>0</v>
      </c>
      <c r="L291" s="294">
        <f>D291*4000</f>
        <v>0</v>
      </c>
      <c r="M291" s="299">
        <f>E291*4000</f>
        <v>0</v>
      </c>
      <c r="N291" s="282"/>
      <c r="O291" s="282"/>
      <c r="P291" s="282"/>
      <c r="R291" s="4">
        <f t="shared" si="107"/>
        <v>0</v>
      </c>
      <c r="S291" s="4">
        <f>J291*2600</f>
        <v>0</v>
      </c>
    </row>
    <row r="292" spans="1:19">
      <c r="A292" s="155" t="s">
        <v>876</v>
      </c>
      <c r="B292" s="385" t="s">
        <v>352</v>
      </c>
      <c r="C292" s="233">
        <v>163</v>
      </c>
      <c r="D292" s="235"/>
      <c r="E292" s="234"/>
      <c r="F292" s="237"/>
      <c r="G292" s="236"/>
      <c r="H292" s="241"/>
      <c r="I292" s="230"/>
      <c r="J292" s="35">
        <f t="shared" si="106"/>
        <v>163</v>
      </c>
      <c r="K292" s="3">
        <f>C292*3900</f>
        <v>635700</v>
      </c>
      <c r="L292" s="294">
        <f>D292*3900</f>
        <v>0</v>
      </c>
      <c r="M292" s="299">
        <f>E292*3900</f>
        <v>0</v>
      </c>
      <c r="N292" s="282"/>
      <c r="O292" s="282"/>
      <c r="P292" s="282"/>
      <c r="R292" s="4">
        <f t="shared" si="107"/>
        <v>635700</v>
      </c>
      <c r="S292" s="4">
        <f>J292*3000</f>
        <v>489000</v>
      </c>
    </row>
    <row r="293" spans="1:19">
      <c r="A293" s="155" t="s">
        <v>822</v>
      </c>
      <c r="B293" s="385" t="s">
        <v>654</v>
      </c>
      <c r="C293" s="233">
        <v>8</v>
      </c>
      <c r="D293" s="235"/>
      <c r="E293" s="234"/>
      <c r="F293" s="237"/>
      <c r="G293" s="236"/>
      <c r="H293" s="241"/>
      <c r="I293" s="230"/>
      <c r="J293" s="35">
        <f t="shared" si="106"/>
        <v>8</v>
      </c>
      <c r="K293" s="3">
        <f>C293*6600</f>
        <v>52800</v>
      </c>
      <c r="L293" s="294">
        <f>D293*6600</f>
        <v>0</v>
      </c>
      <c r="M293" s="299">
        <f>E293*6600</f>
        <v>0</v>
      </c>
      <c r="N293" s="282"/>
      <c r="O293" s="282"/>
      <c r="P293" s="282"/>
      <c r="R293" s="4">
        <f t="shared" si="107"/>
        <v>52800</v>
      </c>
      <c r="S293" s="4">
        <f>J293*4400</f>
        <v>35200</v>
      </c>
    </row>
    <row r="294" spans="1:19">
      <c r="A294" s="155" t="s">
        <v>319</v>
      </c>
      <c r="B294" s="373"/>
      <c r="C294" s="237"/>
      <c r="D294" s="235"/>
      <c r="E294" s="234"/>
      <c r="F294" s="237"/>
      <c r="G294" s="236"/>
      <c r="H294" s="241"/>
      <c r="I294" s="241"/>
      <c r="J294" s="35">
        <f t="shared" si="106"/>
        <v>0</v>
      </c>
      <c r="K294" s="3">
        <f>C294*25000</f>
        <v>0</v>
      </c>
      <c r="L294" s="294">
        <f>D294*20000</f>
        <v>0</v>
      </c>
      <c r="M294" s="299">
        <f>E294*20000</f>
        <v>0</v>
      </c>
      <c r="N294" s="282"/>
      <c r="O294" s="282"/>
      <c r="P294" s="282"/>
      <c r="R294" s="4">
        <f t="shared" si="107"/>
        <v>0</v>
      </c>
      <c r="S294" s="4">
        <f>J294*8800</f>
        <v>0</v>
      </c>
    </row>
    <row r="295" spans="1:19">
      <c r="A295" s="155" t="s">
        <v>446</v>
      </c>
      <c r="B295" s="370" t="s">
        <v>448</v>
      </c>
      <c r="C295" s="237">
        <v>1</v>
      </c>
      <c r="D295" s="235"/>
      <c r="E295" s="234"/>
      <c r="F295" s="237"/>
      <c r="G295" s="236"/>
      <c r="H295" s="241"/>
      <c r="I295" s="241"/>
      <c r="J295" s="35">
        <f t="shared" si="106"/>
        <v>1</v>
      </c>
      <c r="K295" s="254">
        <f>C295*15000</f>
        <v>15000</v>
      </c>
      <c r="L295" s="294">
        <f>D295*10000</f>
        <v>0</v>
      </c>
      <c r="M295" s="299">
        <f>E295*10000</f>
        <v>0</v>
      </c>
      <c r="N295" s="282"/>
      <c r="O295" s="282"/>
      <c r="P295" s="282"/>
      <c r="R295" s="4">
        <f t="shared" si="107"/>
        <v>15000</v>
      </c>
      <c r="S295" s="4">
        <f>J295*4000</f>
        <v>4000</v>
      </c>
    </row>
    <row r="296" spans="1:19">
      <c r="A296" s="155" t="s">
        <v>447</v>
      </c>
      <c r="B296" s="370" t="s">
        <v>449</v>
      </c>
      <c r="C296" s="237"/>
      <c r="D296" s="235"/>
      <c r="E296" s="234"/>
      <c r="F296" s="237"/>
      <c r="G296" s="236"/>
      <c r="H296" s="241"/>
      <c r="I296" s="241"/>
      <c r="J296" s="35">
        <f t="shared" si="106"/>
        <v>0</v>
      </c>
      <c r="K296" s="254">
        <f>C296*15000</f>
        <v>0</v>
      </c>
      <c r="L296" s="294">
        <f>D296*10000</f>
        <v>0</v>
      </c>
      <c r="M296" s="299">
        <f>E296*10000</f>
        <v>0</v>
      </c>
      <c r="N296" s="282"/>
      <c r="O296" s="282"/>
      <c r="P296" s="282"/>
      <c r="R296" s="4">
        <f t="shared" si="107"/>
        <v>0</v>
      </c>
      <c r="S296" s="4">
        <f>J296*4000</f>
        <v>0</v>
      </c>
    </row>
    <row r="297" spans="1:19" s="161" customFormat="1">
      <c r="A297" s="128" t="s">
        <v>320</v>
      </c>
      <c r="B297" s="385" t="s">
        <v>321</v>
      </c>
      <c r="C297" s="237">
        <v>2</v>
      </c>
      <c r="D297" s="237"/>
      <c r="E297" s="234"/>
      <c r="F297" s="237"/>
      <c r="G297" s="236"/>
      <c r="H297" s="243"/>
      <c r="I297" s="243"/>
      <c r="J297" s="35">
        <f t="shared" si="106"/>
        <v>2</v>
      </c>
      <c r="K297" s="364">
        <f>C297*30000</f>
        <v>60000</v>
      </c>
      <c r="L297" s="294">
        <f>D297*25000</f>
        <v>0</v>
      </c>
      <c r="M297" s="299">
        <f>E297*25000</f>
        <v>0</v>
      </c>
      <c r="N297" s="282"/>
      <c r="O297" s="282"/>
      <c r="P297" s="282"/>
      <c r="Q297" s="160"/>
      <c r="R297" s="4">
        <f t="shared" si="107"/>
        <v>60000</v>
      </c>
      <c r="S297" s="4">
        <f>J297*16500</f>
        <v>33000</v>
      </c>
    </row>
    <row r="298" spans="1:19">
      <c r="A298" s="128" t="s">
        <v>322</v>
      </c>
      <c r="B298" s="385" t="s">
        <v>323</v>
      </c>
      <c r="C298" s="237"/>
      <c r="D298" s="237"/>
      <c r="E298" s="234"/>
      <c r="F298" s="237"/>
      <c r="G298" s="236"/>
      <c r="H298" s="241"/>
      <c r="I298" s="241"/>
      <c r="J298" s="35">
        <f t="shared" si="106"/>
        <v>0</v>
      </c>
      <c r="K298" s="3">
        <f>C298*24000</f>
        <v>0</v>
      </c>
      <c r="L298" s="294">
        <f>D298*20000</f>
        <v>0</v>
      </c>
      <c r="M298" s="299">
        <f>E298*18000</f>
        <v>0</v>
      </c>
      <c r="N298" s="282"/>
      <c r="O298" s="282"/>
      <c r="P298" s="282"/>
      <c r="R298" s="4">
        <f t="shared" si="107"/>
        <v>0</v>
      </c>
      <c r="S298" s="4">
        <f>J298*9945</f>
        <v>0</v>
      </c>
    </row>
    <row r="299" spans="1:19">
      <c r="A299" t="s">
        <v>364</v>
      </c>
      <c r="B299" s="666" t="s">
        <v>316</v>
      </c>
      <c r="C299" s="237"/>
      <c r="D299" s="235"/>
      <c r="E299" s="234"/>
      <c r="F299" s="230"/>
      <c r="G299" s="236"/>
      <c r="H299" s="231"/>
      <c r="I299" s="215"/>
      <c r="J299" s="35">
        <f t="shared" si="106"/>
        <v>0</v>
      </c>
      <c r="K299" s="3">
        <f>C299*25000</f>
        <v>0</v>
      </c>
      <c r="L299" s="294">
        <f>D299*25000</f>
        <v>0</v>
      </c>
      <c r="M299" s="299">
        <f>E299*25000</f>
        <v>0</v>
      </c>
      <c r="N299" s="282"/>
      <c r="O299" s="282"/>
      <c r="P299" s="282"/>
      <c r="R299" s="4">
        <f t="shared" si="107"/>
        <v>0</v>
      </c>
      <c r="S299" s="4">
        <f>J299*18000</f>
        <v>0</v>
      </c>
    </row>
    <row r="300" spans="1:19">
      <c r="A300" s="128" t="s">
        <v>324</v>
      </c>
      <c r="B300" s="670"/>
      <c r="C300" s="237"/>
      <c r="D300" s="237"/>
      <c r="E300" s="234"/>
      <c r="F300" s="237"/>
      <c r="G300" s="236"/>
      <c r="H300" s="241"/>
      <c r="I300" s="241"/>
      <c r="J300" s="35">
        <f t="shared" si="106"/>
        <v>0</v>
      </c>
      <c r="K300" s="254">
        <f>C300*10000</f>
        <v>0</v>
      </c>
      <c r="L300" s="294"/>
      <c r="M300" s="299"/>
      <c r="N300" s="282"/>
      <c r="O300" s="282"/>
      <c r="P300" s="282"/>
      <c r="R300" s="4">
        <f t="shared" si="107"/>
        <v>0</v>
      </c>
      <c r="S300" s="4">
        <f>J300*9000</f>
        <v>0</v>
      </c>
    </row>
    <row r="301" spans="1:19">
      <c r="A301" s="128" t="s">
        <v>325</v>
      </c>
      <c r="B301" s="670"/>
      <c r="C301" s="237"/>
      <c r="D301" s="237"/>
      <c r="E301" s="234"/>
      <c r="F301" s="237"/>
      <c r="G301" s="236"/>
      <c r="H301" s="241"/>
      <c r="I301" s="241"/>
      <c r="J301" s="35">
        <f t="shared" si="106"/>
        <v>0</v>
      </c>
      <c r="K301" s="3">
        <f>C301*24000</f>
        <v>0</v>
      </c>
      <c r="L301" s="294"/>
      <c r="M301" s="299"/>
      <c r="N301" s="282"/>
      <c r="O301" s="282"/>
      <c r="P301" s="282"/>
      <c r="R301" s="4">
        <f t="shared" si="107"/>
        <v>0</v>
      </c>
      <c r="S301" s="4">
        <f>J301*18000</f>
        <v>0</v>
      </c>
    </row>
    <row r="302" spans="1:19">
      <c r="A302" s="128" t="s">
        <v>326</v>
      </c>
      <c r="B302" s="667"/>
      <c r="C302" s="237"/>
      <c r="D302" s="237"/>
      <c r="E302" s="234"/>
      <c r="F302" s="237"/>
      <c r="G302" s="236"/>
      <c r="H302" s="241"/>
      <c r="I302" s="241"/>
      <c r="J302" s="35">
        <f t="shared" si="106"/>
        <v>0</v>
      </c>
      <c r="K302" s="3">
        <f>C302*7000</f>
        <v>0</v>
      </c>
      <c r="L302" s="294">
        <f>D302*7000</f>
        <v>0</v>
      </c>
      <c r="M302" s="299">
        <f>E302*7000</f>
        <v>0</v>
      </c>
      <c r="N302" s="282"/>
      <c r="O302" s="282"/>
      <c r="P302" s="282"/>
      <c r="R302" s="4">
        <f t="shared" si="107"/>
        <v>0</v>
      </c>
      <c r="S302" s="4">
        <f>J302*4000</f>
        <v>0</v>
      </c>
    </row>
    <row r="303" spans="1:19">
      <c r="A303" s="128" t="s">
        <v>745</v>
      </c>
      <c r="B303" s="598"/>
      <c r="C303" s="237"/>
      <c r="D303" s="237"/>
      <c r="E303" s="234"/>
      <c r="F303" s="237"/>
      <c r="G303" s="236"/>
      <c r="H303" s="241"/>
      <c r="I303" s="241"/>
      <c r="J303" s="35">
        <f t="shared" si="106"/>
        <v>0</v>
      </c>
      <c r="K303" s="3">
        <f>C303*10000</f>
        <v>0</v>
      </c>
      <c r="L303" s="294">
        <f>D303*10000</f>
        <v>0</v>
      </c>
      <c r="M303" s="299">
        <f>E303*10000</f>
        <v>0</v>
      </c>
      <c r="N303" s="282"/>
      <c r="O303" s="282"/>
      <c r="P303" s="282"/>
      <c r="R303" s="4">
        <f t="shared" si="107"/>
        <v>0</v>
      </c>
      <c r="S303" s="4">
        <f>J303*2664</f>
        <v>0</v>
      </c>
    </row>
    <row r="304" spans="1:19">
      <c r="A304" s="128" t="s">
        <v>442</v>
      </c>
      <c r="B304" s="386" t="s">
        <v>443</v>
      </c>
      <c r="C304" s="237">
        <v>460</v>
      </c>
      <c r="D304" s="237"/>
      <c r="E304" s="234"/>
      <c r="F304" s="237"/>
      <c r="G304" s="236"/>
      <c r="H304" s="241"/>
      <c r="I304" s="242"/>
      <c r="J304" s="35">
        <f t="shared" si="106"/>
        <v>460</v>
      </c>
      <c r="K304" s="254">
        <f t="shared" ref="K304:M305" si="109">C304*200</f>
        <v>92000</v>
      </c>
      <c r="L304" s="294">
        <f t="shared" si="109"/>
        <v>0</v>
      </c>
      <c r="M304" s="299">
        <f t="shared" si="109"/>
        <v>0</v>
      </c>
      <c r="N304" s="282"/>
      <c r="O304" s="282"/>
      <c r="P304" s="282"/>
      <c r="R304" s="4">
        <f t="shared" si="107"/>
        <v>92000</v>
      </c>
      <c r="S304" s="4">
        <f>J304*110</f>
        <v>50600</v>
      </c>
    </row>
    <row r="305" spans="1:19">
      <c r="A305" s="162" t="s">
        <v>444</v>
      </c>
      <c r="B305" s="386" t="s">
        <v>445</v>
      </c>
      <c r="C305" s="237">
        <v>40</v>
      </c>
      <c r="D305" s="237"/>
      <c r="E305" s="234"/>
      <c r="F305" s="237"/>
      <c r="G305" s="236"/>
      <c r="H305" s="241"/>
      <c r="I305" s="241"/>
      <c r="J305" s="35">
        <f t="shared" si="106"/>
        <v>40</v>
      </c>
      <c r="K305" s="254">
        <f t="shared" si="109"/>
        <v>8000</v>
      </c>
      <c r="L305" s="294">
        <f t="shared" si="109"/>
        <v>0</v>
      </c>
      <c r="M305" s="299">
        <f t="shared" si="109"/>
        <v>0</v>
      </c>
      <c r="N305" s="282"/>
      <c r="O305" s="282"/>
      <c r="P305" s="282"/>
      <c r="R305" s="4">
        <f t="shared" si="107"/>
        <v>8000</v>
      </c>
      <c r="S305" s="4">
        <f>J305*110</f>
        <v>4400</v>
      </c>
    </row>
    <row r="306" spans="1:19">
      <c r="A306" s="162" t="s">
        <v>713</v>
      </c>
      <c r="B306" s="386"/>
      <c r="C306" s="237"/>
      <c r="D306" s="237"/>
      <c r="E306" s="234">
        <v>120</v>
      </c>
      <c r="F306" s="237"/>
      <c r="G306" s="236"/>
      <c r="H306" s="241"/>
      <c r="I306" s="241"/>
      <c r="J306" s="35">
        <f t="shared" si="106"/>
        <v>120</v>
      </c>
      <c r="K306" s="254"/>
      <c r="L306" s="294"/>
      <c r="M306" s="299">
        <f>E306*150</f>
        <v>18000</v>
      </c>
      <c r="N306" s="282"/>
      <c r="O306" s="282"/>
      <c r="P306" s="282"/>
      <c r="R306" s="4">
        <f t="shared" si="107"/>
        <v>18000</v>
      </c>
      <c r="S306" s="4">
        <f>J306*127</f>
        <v>15240</v>
      </c>
    </row>
    <row r="307" spans="1:19">
      <c r="A307" s="162" t="s">
        <v>815</v>
      </c>
      <c r="B307" s="386"/>
      <c r="C307" s="237"/>
      <c r="D307" s="237"/>
      <c r="E307" s="234"/>
      <c r="F307" s="237"/>
      <c r="G307" s="236"/>
      <c r="H307" s="241"/>
      <c r="I307" s="241"/>
      <c r="J307" s="35">
        <f t="shared" si="106"/>
        <v>0</v>
      </c>
      <c r="K307" s="254"/>
      <c r="L307" s="294"/>
      <c r="M307" s="299">
        <f>E307*15000</f>
        <v>0</v>
      </c>
      <c r="N307" s="282"/>
      <c r="O307" s="282"/>
      <c r="P307" s="282"/>
      <c r="R307" s="4">
        <f>SUM(K307:Q307)</f>
        <v>0</v>
      </c>
      <c r="S307" s="4">
        <f>J307*9680</f>
        <v>0</v>
      </c>
    </row>
    <row r="308" spans="1:19">
      <c r="A308" s="128" t="s">
        <v>332</v>
      </c>
      <c r="B308" s="385" t="s">
        <v>394</v>
      </c>
      <c r="C308" s="237"/>
      <c r="D308" s="235"/>
      <c r="E308" s="234"/>
      <c r="F308" s="237"/>
      <c r="G308" s="236"/>
      <c r="H308" s="241"/>
      <c r="I308" s="241"/>
      <c r="J308" s="35">
        <f t="shared" si="106"/>
        <v>0</v>
      </c>
      <c r="K308" s="3">
        <f>C308*3000</f>
        <v>0</v>
      </c>
      <c r="L308" s="294">
        <f>D308*3000</f>
        <v>0</v>
      </c>
      <c r="M308" s="299">
        <f>E308*3000</f>
        <v>0</v>
      </c>
      <c r="N308" s="282"/>
      <c r="O308" s="282"/>
      <c r="P308" s="282"/>
      <c r="R308" s="4">
        <f t="shared" ref="R308:R335" si="110">SUM(K308:Q308)</f>
        <v>0</v>
      </c>
      <c r="S308" s="4">
        <f>J308*1320</f>
        <v>0</v>
      </c>
    </row>
    <row r="309" spans="1:19" s="3" customFormat="1">
      <c r="A309" s="155" t="s">
        <v>309</v>
      </c>
      <c r="B309" s="666" t="s">
        <v>310</v>
      </c>
      <c r="C309" s="237">
        <v>10</v>
      </c>
      <c r="D309" s="237"/>
      <c r="E309" s="234"/>
      <c r="F309" s="237"/>
      <c r="G309" s="236"/>
      <c r="H309" s="241"/>
      <c r="I309" s="240"/>
      <c r="J309" s="35">
        <f t="shared" si="106"/>
        <v>10</v>
      </c>
      <c r="K309" s="254">
        <f>C309*1100</f>
        <v>11000</v>
      </c>
      <c r="L309" s="294">
        <f>D309*850</f>
        <v>0</v>
      </c>
      <c r="M309" s="299">
        <f>E309*850</f>
        <v>0</v>
      </c>
      <c r="N309" s="282"/>
      <c r="O309" s="282"/>
      <c r="P309" s="282"/>
      <c r="Q309" s="5"/>
      <c r="R309" s="4">
        <f t="shared" si="110"/>
        <v>11000</v>
      </c>
      <c r="S309" s="4">
        <f>J309*780</f>
        <v>7800</v>
      </c>
    </row>
    <row r="310" spans="1:19" s="3" customFormat="1">
      <c r="A310" s="155" t="s">
        <v>311</v>
      </c>
      <c r="B310" s="667"/>
      <c r="C310" s="237">
        <v>10</v>
      </c>
      <c r="D310" s="237"/>
      <c r="E310" s="234"/>
      <c r="F310" s="237"/>
      <c r="G310" s="236"/>
      <c r="H310" s="241"/>
      <c r="I310" s="237"/>
      <c r="J310" s="35">
        <f t="shared" si="106"/>
        <v>10</v>
      </c>
      <c r="K310" s="254">
        <f>C310*1200</f>
        <v>12000</v>
      </c>
      <c r="L310" s="294">
        <f>D310*980</f>
        <v>0</v>
      </c>
      <c r="M310" s="299">
        <f>E310*980</f>
        <v>0</v>
      </c>
      <c r="N310" s="282"/>
      <c r="O310" s="282"/>
      <c r="P310" s="282"/>
      <c r="Q310" s="5"/>
      <c r="R310" s="4">
        <f t="shared" si="110"/>
        <v>12000</v>
      </c>
      <c r="S310" s="4">
        <f>J310*836</f>
        <v>8360</v>
      </c>
    </row>
    <row r="311" spans="1:19" s="3" customFormat="1">
      <c r="A311" s="155" t="s">
        <v>708</v>
      </c>
      <c r="B311" s="385" t="s">
        <v>709</v>
      </c>
      <c r="C311" s="237"/>
      <c r="D311" s="237"/>
      <c r="E311" s="234"/>
      <c r="F311" s="237"/>
      <c r="G311" s="236"/>
      <c r="H311" s="241"/>
      <c r="I311" s="242"/>
      <c r="J311" s="35">
        <f t="shared" si="106"/>
        <v>0</v>
      </c>
      <c r="K311" s="254">
        <f>C311*2500</f>
        <v>0</v>
      </c>
      <c r="L311" s="294">
        <f>D311*1100</f>
        <v>0</v>
      </c>
      <c r="M311" s="299">
        <f>E311*1100</f>
        <v>0</v>
      </c>
      <c r="N311" s="282"/>
      <c r="O311" s="282"/>
      <c r="P311" s="282"/>
      <c r="Q311" s="5"/>
      <c r="R311" s="4">
        <f t="shared" si="110"/>
        <v>0</v>
      </c>
      <c r="S311" s="4">
        <f>J311*1628</f>
        <v>0</v>
      </c>
    </row>
    <row r="312" spans="1:19" s="3" customFormat="1">
      <c r="A312" s="155" t="s">
        <v>450</v>
      </c>
      <c r="B312" s="671" t="s">
        <v>453</v>
      </c>
      <c r="C312" s="237">
        <v>10</v>
      </c>
      <c r="D312" s="237"/>
      <c r="E312" s="234"/>
      <c r="F312" s="237"/>
      <c r="G312" s="236"/>
      <c r="H312" s="241"/>
      <c r="I312" s="237"/>
      <c r="J312" s="35">
        <f t="shared" si="106"/>
        <v>10</v>
      </c>
      <c r="K312" s="3">
        <f t="shared" ref="K312:M314" si="111">C312*550</f>
        <v>5500</v>
      </c>
      <c r="L312" s="294">
        <f t="shared" si="111"/>
        <v>0</v>
      </c>
      <c r="M312" s="299">
        <f t="shared" si="111"/>
        <v>0</v>
      </c>
      <c r="N312" s="282"/>
      <c r="O312" s="282"/>
      <c r="P312" s="282"/>
      <c r="Q312" s="5"/>
      <c r="R312" s="4">
        <f t="shared" si="110"/>
        <v>5500</v>
      </c>
      <c r="S312" s="4">
        <f>J312*389</f>
        <v>3890</v>
      </c>
    </row>
    <row r="313" spans="1:19" s="3" customFormat="1">
      <c r="A313" s="155" t="s">
        <v>451</v>
      </c>
      <c r="B313" s="672"/>
      <c r="C313" s="237">
        <v>20</v>
      </c>
      <c r="D313" s="237"/>
      <c r="E313" s="234"/>
      <c r="F313" s="237"/>
      <c r="G313" s="236"/>
      <c r="H313" s="241"/>
      <c r="I313" s="237"/>
      <c r="J313" s="35">
        <f t="shared" si="106"/>
        <v>20</v>
      </c>
      <c r="K313" s="3">
        <f t="shared" si="111"/>
        <v>11000</v>
      </c>
      <c r="L313" s="294">
        <f t="shared" si="111"/>
        <v>0</v>
      </c>
      <c r="M313" s="299">
        <f t="shared" si="111"/>
        <v>0</v>
      </c>
      <c r="N313" s="282"/>
      <c r="O313" s="282"/>
      <c r="P313" s="282"/>
      <c r="Q313" s="5"/>
      <c r="R313" s="4">
        <f t="shared" si="110"/>
        <v>11000</v>
      </c>
      <c r="S313" s="4">
        <f>J313*389</f>
        <v>7780</v>
      </c>
    </row>
    <row r="314" spans="1:19" s="3" customFormat="1">
      <c r="A314" s="155" t="s">
        <v>452</v>
      </c>
      <c r="B314" s="673"/>
      <c r="C314" s="237">
        <v>10</v>
      </c>
      <c r="D314" s="237"/>
      <c r="E314" s="234"/>
      <c r="F314" s="237"/>
      <c r="G314" s="236"/>
      <c r="H314" s="241"/>
      <c r="I314" s="237"/>
      <c r="J314" s="35">
        <f t="shared" si="106"/>
        <v>10</v>
      </c>
      <c r="K314" s="3">
        <f t="shared" si="111"/>
        <v>5500</v>
      </c>
      <c r="L314" s="294">
        <f t="shared" si="111"/>
        <v>0</v>
      </c>
      <c r="M314" s="299">
        <f t="shared" si="111"/>
        <v>0</v>
      </c>
      <c r="N314" s="282"/>
      <c r="O314" s="282"/>
      <c r="P314" s="282"/>
      <c r="Q314" s="5"/>
      <c r="R314" s="4">
        <f t="shared" si="110"/>
        <v>5500</v>
      </c>
      <c r="S314" s="4">
        <f>J314*389</f>
        <v>3890</v>
      </c>
    </row>
    <row r="315" spans="1:19" s="3" customFormat="1">
      <c r="A315" s="155" t="s">
        <v>846</v>
      </c>
      <c r="B315" s="387" t="s">
        <v>507</v>
      </c>
      <c r="C315" s="237">
        <v>4</v>
      </c>
      <c r="D315" s="235"/>
      <c r="E315" s="234"/>
      <c r="F315" s="237"/>
      <c r="G315" s="236"/>
      <c r="H315" s="241"/>
      <c r="I315" s="242"/>
      <c r="J315" s="35">
        <f t="shared" si="106"/>
        <v>4</v>
      </c>
      <c r="K315" s="254">
        <f>C315*2500</f>
        <v>10000</v>
      </c>
      <c r="L315" s="294">
        <f>D315*2500</f>
        <v>0</v>
      </c>
      <c r="M315" s="299">
        <f>E315*2500</f>
        <v>0</v>
      </c>
      <c r="N315" s="282"/>
      <c r="O315" s="282"/>
      <c r="P315" s="282"/>
      <c r="Q315" s="5"/>
      <c r="R315" s="4">
        <f t="shared" si="110"/>
        <v>10000</v>
      </c>
      <c r="S315" s="4">
        <f>J315*1412</f>
        <v>5648</v>
      </c>
    </row>
    <row r="316" spans="1:19" s="3" customFormat="1">
      <c r="A316" s="155" t="s">
        <v>843</v>
      </c>
      <c r="B316" s="386" t="s">
        <v>514</v>
      </c>
      <c r="C316" s="237">
        <v>100</v>
      </c>
      <c r="D316" s="237"/>
      <c r="E316" s="234"/>
      <c r="F316" s="237"/>
      <c r="G316" s="236"/>
      <c r="H316" s="241"/>
      <c r="I316" s="242">
        <v>57</v>
      </c>
      <c r="J316" s="35">
        <f t="shared" si="106"/>
        <v>157</v>
      </c>
      <c r="K316" s="254">
        <f>C316*110</f>
        <v>11000</v>
      </c>
      <c r="L316" s="294"/>
      <c r="M316" s="299"/>
      <c r="N316" s="282"/>
      <c r="O316" s="282"/>
      <c r="P316" s="282"/>
      <c r="Q316" s="5"/>
      <c r="R316" s="4">
        <f t="shared" si="110"/>
        <v>11000</v>
      </c>
      <c r="S316" s="4">
        <f>J316*60</f>
        <v>9420</v>
      </c>
    </row>
    <row r="317" spans="1:19" s="3" customFormat="1">
      <c r="A317" s="155" t="s">
        <v>611</v>
      </c>
      <c r="B317" s="386" t="s">
        <v>604</v>
      </c>
      <c r="C317" s="237"/>
      <c r="D317" s="237"/>
      <c r="E317" s="234"/>
      <c r="F317" s="237"/>
      <c r="G317" s="236"/>
      <c r="H317" s="241"/>
      <c r="I317" s="242"/>
      <c r="J317" s="35">
        <f t="shared" si="106"/>
        <v>0</v>
      </c>
      <c r="K317" s="254">
        <f>C317*75000</f>
        <v>0</v>
      </c>
      <c r="L317" s="294"/>
      <c r="M317" s="299"/>
      <c r="N317" s="282"/>
      <c r="O317" s="282"/>
      <c r="P317" s="282"/>
      <c r="Q317" s="5"/>
      <c r="R317" s="4">
        <f t="shared" si="110"/>
        <v>0</v>
      </c>
      <c r="S317" s="4">
        <f>J317*27500</f>
        <v>0</v>
      </c>
    </row>
    <row r="318" spans="1:19" s="3" customFormat="1">
      <c r="A318" s="155" t="s">
        <v>609</v>
      </c>
      <c r="B318" s="671" t="s">
        <v>603</v>
      </c>
      <c r="C318" s="237"/>
      <c r="D318" s="237"/>
      <c r="E318" s="234"/>
      <c r="F318" s="237"/>
      <c r="G318" s="236"/>
      <c r="H318" s="241"/>
      <c r="I318" s="242"/>
      <c r="J318" s="35">
        <f t="shared" si="106"/>
        <v>0</v>
      </c>
      <c r="K318" s="254">
        <f>C318*120000</f>
        <v>0</v>
      </c>
      <c r="L318" s="294"/>
      <c r="M318" s="299"/>
      <c r="N318" s="282"/>
      <c r="O318" s="282"/>
      <c r="P318" s="282"/>
      <c r="Q318" s="5"/>
      <c r="R318" s="4">
        <f t="shared" si="110"/>
        <v>0</v>
      </c>
      <c r="S318" s="4">
        <f>J318*59400</f>
        <v>0</v>
      </c>
    </row>
    <row r="319" spans="1:19" s="3" customFormat="1">
      <c r="A319" s="155" t="s">
        <v>610</v>
      </c>
      <c r="B319" s="673"/>
      <c r="C319" s="237"/>
      <c r="D319" s="237"/>
      <c r="E319" s="234"/>
      <c r="F319" s="237"/>
      <c r="G319" s="236"/>
      <c r="H319" s="241"/>
      <c r="I319" s="242"/>
      <c r="J319" s="35">
        <f t="shared" si="106"/>
        <v>0</v>
      </c>
      <c r="K319" s="254">
        <f>C319*75000</f>
        <v>0</v>
      </c>
      <c r="L319" s="294"/>
      <c r="M319" s="299"/>
      <c r="N319" s="282"/>
      <c r="O319" s="282"/>
      <c r="P319" s="282"/>
      <c r="Q319" s="5"/>
      <c r="R319" s="4">
        <f t="shared" si="110"/>
        <v>0</v>
      </c>
      <c r="S319" s="4">
        <f>J319*33000</f>
        <v>0</v>
      </c>
    </row>
    <row r="320" spans="1:19" s="3" customFormat="1">
      <c r="A320" s="155" t="s">
        <v>596</v>
      </c>
      <c r="B320" s="386" t="s">
        <v>605</v>
      </c>
      <c r="C320" s="237"/>
      <c r="D320" s="237"/>
      <c r="E320" s="234"/>
      <c r="F320" s="237"/>
      <c r="G320" s="236"/>
      <c r="H320" s="241"/>
      <c r="I320" s="242"/>
      <c r="J320" s="35">
        <f t="shared" si="106"/>
        <v>0</v>
      </c>
      <c r="K320" s="254">
        <f>C320*35000</f>
        <v>0</v>
      </c>
      <c r="L320" s="294"/>
      <c r="M320" s="299"/>
      <c r="N320" s="282"/>
      <c r="O320" s="282"/>
      <c r="P320" s="282"/>
      <c r="Q320" s="5"/>
      <c r="R320" s="4">
        <f t="shared" si="110"/>
        <v>0</v>
      </c>
      <c r="S320" s="4">
        <f>J320*15400</f>
        <v>0</v>
      </c>
    </row>
    <row r="321" spans="1:19" s="3" customFormat="1">
      <c r="A321" s="155" t="s">
        <v>606</v>
      </c>
      <c r="B321" s="671" t="s">
        <v>607</v>
      </c>
      <c r="C321" s="237"/>
      <c r="D321" s="237"/>
      <c r="E321" s="234"/>
      <c r="F321" s="237"/>
      <c r="G321" s="236"/>
      <c r="H321" s="241"/>
      <c r="I321" s="242"/>
      <c r="J321" s="35">
        <f t="shared" si="106"/>
        <v>0</v>
      </c>
      <c r="K321" s="254">
        <f>C321*36000</f>
        <v>0</v>
      </c>
      <c r="L321" s="294"/>
      <c r="M321" s="299"/>
      <c r="N321" s="282"/>
      <c r="O321" s="282"/>
      <c r="P321" s="282"/>
      <c r="Q321" s="5"/>
      <c r="R321" s="4">
        <f t="shared" si="110"/>
        <v>0</v>
      </c>
      <c r="S321" s="4">
        <f>J321*12000</f>
        <v>0</v>
      </c>
    </row>
    <row r="322" spans="1:19" s="3" customFormat="1">
      <c r="A322" s="155" t="s">
        <v>608</v>
      </c>
      <c r="B322" s="673"/>
      <c r="C322" s="237"/>
      <c r="D322" s="237"/>
      <c r="E322" s="234"/>
      <c r="F322" s="237"/>
      <c r="G322" s="236"/>
      <c r="H322" s="241"/>
      <c r="I322" s="242"/>
      <c r="J322" s="35">
        <f t="shared" si="106"/>
        <v>0</v>
      </c>
      <c r="K322" s="254">
        <f>C322*81000</f>
        <v>0</v>
      </c>
      <c r="L322" s="294"/>
      <c r="M322" s="299"/>
      <c r="N322" s="282"/>
      <c r="O322" s="282"/>
      <c r="P322" s="282"/>
      <c r="Q322" s="5"/>
      <c r="R322" s="4">
        <f t="shared" si="110"/>
        <v>0</v>
      </c>
      <c r="S322" s="4">
        <f>J322*34000</f>
        <v>0</v>
      </c>
    </row>
    <row r="323" spans="1:19" s="3" customFormat="1">
      <c r="A323" s="155" t="s">
        <v>730</v>
      </c>
      <c r="B323" s="386" t="s">
        <v>602</v>
      </c>
      <c r="C323" s="237">
        <v>1</v>
      </c>
      <c r="D323" s="237"/>
      <c r="E323" s="234"/>
      <c r="F323" s="237"/>
      <c r="G323" s="236"/>
      <c r="H323" s="241"/>
      <c r="I323" s="242"/>
      <c r="J323" s="35">
        <f t="shared" si="106"/>
        <v>1</v>
      </c>
      <c r="K323" s="254">
        <f>C323*36000</f>
        <v>36000</v>
      </c>
      <c r="L323" s="294"/>
      <c r="M323" s="299"/>
      <c r="N323" s="282"/>
      <c r="O323" s="282"/>
      <c r="P323" s="282"/>
      <c r="Q323" s="5"/>
      <c r="R323" s="4">
        <f t="shared" si="110"/>
        <v>36000</v>
      </c>
      <c r="S323" s="4">
        <f>J323*12000</f>
        <v>12000</v>
      </c>
    </row>
    <row r="324" spans="1:19" s="3" customFormat="1">
      <c r="A324" s="155" t="s">
        <v>600</v>
      </c>
      <c r="B324" s="386" t="s">
        <v>601</v>
      </c>
      <c r="C324" s="237"/>
      <c r="D324" s="237"/>
      <c r="E324" s="234"/>
      <c r="F324" s="237"/>
      <c r="G324" s="236"/>
      <c r="H324" s="241"/>
      <c r="I324" s="242"/>
      <c r="J324" s="35">
        <f t="shared" si="106"/>
        <v>0</v>
      </c>
      <c r="K324" s="254">
        <f>C324*81000</f>
        <v>0</v>
      </c>
      <c r="L324" s="294"/>
      <c r="M324" s="299"/>
      <c r="N324" s="282"/>
      <c r="O324" s="282"/>
      <c r="P324" s="282"/>
      <c r="Q324" s="5"/>
      <c r="R324" s="4">
        <f t="shared" si="110"/>
        <v>0</v>
      </c>
      <c r="S324" s="4">
        <f>J324*12000</f>
        <v>0</v>
      </c>
    </row>
    <row r="325" spans="1:19" s="3" customFormat="1">
      <c r="A325" s="155" t="s">
        <v>823</v>
      </c>
      <c r="B325" s="386" t="s">
        <v>619</v>
      </c>
      <c r="C325" s="237"/>
      <c r="D325" s="237"/>
      <c r="E325" s="234"/>
      <c r="F325" s="237"/>
      <c r="G325" s="236"/>
      <c r="H325" s="241"/>
      <c r="I325" s="242"/>
      <c r="J325" s="35">
        <f t="shared" si="106"/>
        <v>0</v>
      </c>
      <c r="K325" s="254">
        <f>C325*1100</f>
        <v>0</v>
      </c>
      <c r="L325" s="294"/>
      <c r="M325" s="299"/>
      <c r="N325" s="282"/>
      <c r="O325" s="282"/>
      <c r="P325" s="282"/>
      <c r="Q325" s="5"/>
      <c r="R325" s="4">
        <f t="shared" si="110"/>
        <v>0</v>
      </c>
      <c r="S325" s="4">
        <f>J325*915</f>
        <v>0</v>
      </c>
    </row>
    <row r="326" spans="1:19">
      <c r="A326" s="155" t="s">
        <v>817</v>
      </c>
      <c r="B326" s="386" t="s">
        <v>653</v>
      </c>
      <c r="C326" s="237">
        <v>17</v>
      </c>
      <c r="D326" s="237"/>
      <c r="E326" s="234"/>
      <c r="F326" s="237"/>
      <c r="G326" s="236"/>
      <c r="H326" s="241"/>
      <c r="I326" s="242"/>
      <c r="J326" s="35">
        <f t="shared" si="106"/>
        <v>17</v>
      </c>
      <c r="K326" s="225">
        <f>C326*3000</f>
        <v>51000</v>
      </c>
      <c r="L326" s="294"/>
      <c r="M326" s="299"/>
      <c r="N326" s="282"/>
      <c r="O326" s="282"/>
      <c r="P326" s="282"/>
      <c r="R326" s="4">
        <f t="shared" si="110"/>
        <v>51000</v>
      </c>
      <c r="S326" s="4">
        <f>J326*2000</f>
        <v>34000</v>
      </c>
    </row>
    <row r="327" spans="1:19">
      <c r="A327" s="128" t="s">
        <v>327</v>
      </c>
      <c r="B327" s="385" t="s">
        <v>328</v>
      </c>
      <c r="C327" s="257">
        <v>30</v>
      </c>
      <c r="D327" s="237"/>
      <c r="E327" s="234"/>
      <c r="F327" s="237"/>
      <c r="G327" s="236"/>
      <c r="H327" s="241"/>
      <c r="I327" s="241"/>
      <c r="J327" s="35">
        <f t="shared" si="106"/>
        <v>30</v>
      </c>
      <c r="K327" s="225">
        <f>C327*1000</f>
        <v>30000</v>
      </c>
      <c r="L327" s="294">
        <f>D327*10000</f>
        <v>0</v>
      </c>
      <c r="M327" s="299">
        <f>E327*10000</f>
        <v>0</v>
      </c>
      <c r="N327" s="282"/>
      <c r="O327" s="282"/>
      <c r="P327" s="282"/>
      <c r="R327" s="4">
        <f t="shared" si="110"/>
        <v>30000</v>
      </c>
      <c r="S327" s="4">
        <f>J327*528</f>
        <v>15840</v>
      </c>
    </row>
    <row r="328" spans="1:19">
      <c r="A328" s="79" t="s">
        <v>356</v>
      </c>
      <c r="B328" s="666" t="s">
        <v>705</v>
      </c>
      <c r="C328" s="237"/>
      <c r="D328" s="237"/>
      <c r="E328" s="234"/>
      <c r="F328" s="237"/>
      <c r="G328" s="236"/>
      <c r="H328" s="241"/>
      <c r="I328" s="241"/>
      <c r="J328" s="35">
        <f t="shared" si="106"/>
        <v>0</v>
      </c>
      <c r="K328" s="3">
        <f>C328*600</f>
        <v>0</v>
      </c>
      <c r="L328" s="294">
        <f>D328*600</f>
        <v>0</v>
      </c>
      <c r="M328" s="299">
        <f>E328*600</f>
        <v>0</v>
      </c>
      <c r="N328" s="282"/>
      <c r="O328" s="282"/>
      <c r="P328" s="282"/>
      <c r="R328" s="4">
        <f t="shared" si="110"/>
        <v>0</v>
      </c>
      <c r="S328" s="4">
        <f>J328*484</f>
        <v>0</v>
      </c>
    </row>
    <row r="329" spans="1:19" s="1" customFormat="1">
      <c r="A329" s="128" t="s">
        <v>334</v>
      </c>
      <c r="B329" s="667"/>
      <c r="C329" s="237"/>
      <c r="D329" s="237"/>
      <c r="E329" s="234"/>
      <c r="F329" s="237"/>
      <c r="G329" s="236"/>
      <c r="H329" s="241"/>
      <c r="I329" s="242"/>
      <c r="J329" s="35">
        <f t="shared" si="106"/>
        <v>0</v>
      </c>
      <c r="K329" s="254">
        <f>C329*1500</f>
        <v>0</v>
      </c>
      <c r="L329" s="294">
        <f>D329*1500</f>
        <v>0</v>
      </c>
      <c r="M329" s="299">
        <f>E329*1500</f>
        <v>0</v>
      </c>
      <c r="N329" s="282"/>
      <c r="O329" s="282"/>
      <c r="P329" s="282"/>
      <c r="Q329" s="5"/>
      <c r="R329" s="4">
        <f t="shared" si="110"/>
        <v>0</v>
      </c>
      <c r="S329" s="4">
        <f>J329*1155</f>
        <v>0</v>
      </c>
    </row>
    <row r="330" spans="1:19" s="1" customFormat="1">
      <c r="A330" s="79" t="s">
        <v>330</v>
      </c>
      <c r="B330" s="385" t="s">
        <v>331</v>
      </c>
      <c r="C330" s="237"/>
      <c r="D330" s="237"/>
      <c r="E330" s="234"/>
      <c r="F330" s="237"/>
      <c r="G330" s="236"/>
      <c r="H330" s="241"/>
      <c r="I330" s="241"/>
      <c r="J330" s="35">
        <f t="shared" si="106"/>
        <v>0</v>
      </c>
      <c r="K330" s="3">
        <f>C330*1100</f>
        <v>0</v>
      </c>
      <c r="L330" s="294">
        <f>D330*110</f>
        <v>0</v>
      </c>
      <c r="M330" s="299">
        <f>E330*110</f>
        <v>0</v>
      </c>
      <c r="N330" s="282"/>
      <c r="O330" s="282"/>
      <c r="P330" s="282"/>
      <c r="Q330" s="5"/>
      <c r="R330" s="4">
        <f t="shared" si="110"/>
        <v>0</v>
      </c>
      <c r="S330" s="4">
        <f>J330*968</f>
        <v>0</v>
      </c>
    </row>
    <row r="331" spans="1:19" s="1" customFormat="1">
      <c r="A331" s="79" t="s">
        <v>786</v>
      </c>
      <c r="B331" s="385"/>
      <c r="C331" s="237"/>
      <c r="D331" s="237"/>
      <c r="E331" s="234"/>
      <c r="F331" s="237"/>
      <c r="G331" s="236"/>
      <c r="H331" s="241"/>
      <c r="I331" s="241"/>
      <c r="J331" s="35"/>
      <c r="K331" s="3">
        <f>C331*30000</f>
        <v>0</v>
      </c>
      <c r="L331" s="294"/>
      <c r="M331" s="299"/>
      <c r="N331" s="282"/>
      <c r="O331" s="282"/>
      <c r="P331" s="282"/>
      <c r="Q331" s="5"/>
      <c r="R331" s="4">
        <f t="shared" si="110"/>
        <v>0</v>
      </c>
      <c r="S331" s="4">
        <f>J331*9600</f>
        <v>0</v>
      </c>
    </row>
    <row r="332" spans="1:19" s="1" customFormat="1">
      <c r="A332" s="79" t="s">
        <v>784</v>
      </c>
      <c r="B332" s="385"/>
      <c r="C332" s="237"/>
      <c r="D332" s="237"/>
      <c r="E332" s="234"/>
      <c r="F332" s="237"/>
      <c r="G332" s="236"/>
      <c r="H332" s="241"/>
      <c r="I332" s="241"/>
      <c r="J332" s="35"/>
      <c r="K332" s="3">
        <f>C332*55000</f>
        <v>0</v>
      </c>
      <c r="L332" s="294"/>
      <c r="M332" s="299"/>
      <c r="N332" s="282"/>
      <c r="O332" s="282"/>
      <c r="P332" s="282"/>
      <c r="Q332" s="5"/>
      <c r="R332" s="4">
        <f t="shared" si="110"/>
        <v>0</v>
      </c>
      <c r="S332" s="4">
        <f>J332*26550</f>
        <v>0</v>
      </c>
    </row>
    <row r="333" spans="1:19" s="1" customFormat="1">
      <c r="A333" s="79" t="s">
        <v>785</v>
      </c>
      <c r="B333" s="385"/>
      <c r="C333" s="237"/>
      <c r="D333" s="237"/>
      <c r="E333" s="234"/>
      <c r="F333" s="237"/>
      <c r="G333" s="236"/>
      <c r="H333" s="241"/>
      <c r="I333" s="241"/>
      <c r="J333" s="35"/>
      <c r="K333" s="3">
        <f>C333*6000</f>
        <v>0</v>
      </c>
      <c r="L333" s="294"/>
      <c r="M333" s="299"/>
      <c r="N333" s="282"/>
      <c r="O333" s="282"/>
      <c r="P333" s="282"/>
      <c r="Q333" s="5"/>
      <c r="R333" s="4">
        <f t="shared" si="110"/>
        <v>0</v>
      </c>
      <c r="S333" s="4">
        <f>J333*2910</f>
        <v>0</v>
      </c>
    </row>
    <row r="334" spans="1:19" s="1" customFormat="1">
      <c r="A334" s="79" t="s">
        <v>358</v>
      </c>
      <c r="B334" s="385" t="s">
        <v>363</v>
      </c>
      <c r="C334" s="237"/>
      <c r="D334" s="237"/>
      <c r="E334" s="234"/>
      <c r="F334" s="237"/>
      <c r="G334" s="236"/>
      <c r="H334" s="241"/>
      <c r="I334" s="241"/>
      <c r="J334" s="35">
        <f t="shared" ref="J334:J335" si="112">SUM(C334:I334)</f>
        <v>0</v>
      </c>
      <c r="K334" s="3">
        <f>C334*88000</f>
        <v>0</v>
      </c>
      <c r="L334" s="294">
        <f>D334*88000</f>
        <v>0</v>
      </c>
      <c r="M334" s="302">
        <f>E334*88000</f>
        <v>0</v>
      </c>
      <c r="N334" s="284"/>
      <c r="O334" s="282"/>
      <c r="P334" s="282"/>
      <c r="Q334" s="5"/>
      <c r="R334" s="4">
        <f t="shared" si="110"/>
        <v>0</v>
      </c>
      <c r="S334" s="4">
        <f>J334*66000</f>
        <v>0</v>
      </c>
    </row>
    <row r="335" spans="1:19" s="1" customFormat="1">
      <c r="A335" s="128" t="s">
        <v>333</v>
      </c>
      <c r="B335" s="385" t="s">
        <v>436</v>
      </c>
      <c r="C335" s="237"/>
      <c r="D335" s="235"/>
      <c r="E335" s="234"/>
      <c r="F335" s="237"/>
      <c r="G335" s="236"/>
      <c r="H335" s="241"/>
      <c r="I335" s="241"/>
      <c r="J335" s="35">
        <f t="shared" si="112"/>
        <v>0</v>
      </c>
      <c r="K335" s="254">
        <f>C335*650</f>
        <v>0</v>
      </c>
      <c r="L335" s="294">
        <f>D335*650</f>
        <v>0</v>
      </c>
      <c r="M335" s="299">
        <f>E335*650</f>
        <v>0</v>
      </c>
      <c r="N335" s="282"/>
      <c r="O335" s="282"/>
      <c r="P335" s="282"/>
      <c r="Q335" s="5"/>
      <c r="R335" s="4">
        <f t="shared" si="110"/>
        <v>0</v>
      </c>
      <c r="S335" s="4">
        <f>J335*517</f>
        <v>0</v>
      </c>
    </row>
    <row r="336" spans="1:19" s="1" customFormat="1">
      <c r="A336"/>
      <c r="C336" s="2"/>
      <c r="K336" s="145">
        <f t="shared" ref="K336:S336" si="113">SUM(K268:K335)</f>
        <v>5605600</v>
      </c>
      <c r="L336" s="298">
        <f t="shared" si="113"/>
        <v>0</v>
      </c>
      <c r="M336" s="298">
        <f t="shared" si="113"/>
        <v>1258200</v>
      </c>
      <c r="N336" s="298">
        <f t="shared" si="113"/>
        <v>0</v>
      </c>
      <c r="O336" s="298">
        <f t="shared" si="113"/>
        <v>37520</v>
      </c>
      <c r="P336" s="298">
        <f t="shared" si="113"/>
        <v>0</v>
      </c>
      <c r="Q336" s="298">
        <f t="shared" si="113"/>
        <v>0</v>
      </c>
      <c r="R336" s="298">
        <f t="shared" si="113"/>
        <v>6901320</v>
      </c>
      <c r="S336" s="298">
        <f t="shared" si="113"/>
        <v>3245540</v>
      </c>
    </row>
    <row r="337" spans="1:19" s="244" customFormat="1">
      <c r="B337" s="245"/>
      <c r="C337" s="113"/>
      <c r="D337" s="274"/>
      <c r="E337" s="407"/>
      <c r="F337" s="272"/>
      <c r="G337" s="272"/>
      <c r="H337" s="272"/>
      <c r="I337" s="246"/>
      <c r="J337" s="247"/>
      <c r="K337" s="248"/>
      <c r="L337" s="248"/>
      <c r="M337" s="249"/>
      <c r="N337" s="249"/>
      <c r="O337" s="281"/>
      <c r="P337" s="250"/>
      <c r="Q337" s="251"/>
      <c r="R337" s="249"/>
      <c r="S337" s="249"/>
    </row>
    <row r="338" spans="1:19" s="244" customFormat="1">
      <c r="B338" s="245"/>
      <c r="C338" s="271"/>
      <c r="D338" s="274"/>
      <c r="E338" s="407"/>
      <c r="F338" s="272"/>
      <c r="G338" s="272"/>
      <c r="H338" s="272"/>
      <c r="I338" s="246"/>
      <c r="J338" s="247"/>
      <c r="K338" s="248"/>
      <c r="L338" s="248"/>
      <c r="M338" s="249"/>
      <c r="N338" s="249"/>
      <c r="O338" s="281"/>
      <c r="P338" s="250"/>
      <c r="Q338" s="251"/>
      <c r="R338" s="249"/>
      <c r="S338" s="249"/>
    </row>
    <row r="339" spans="1:19" s="244" customFormat="1">
      <c r="B339" s="245"/>
      <c r="C339" s="409" t="s">
        <v>380</v>
      </c>
      <c r="D339" s="409"/>
      <c r="E339" s="489" t="s">
        <v>382</v>
      </c>
      <c r="F339" s="272"/>
      <c r="G339" s="272"/>
      <c r="H339" s="272"/>
      <c r="I339" s="246"/>
      <c r="J339" s="247"/>
      <c r="K339" s="248"/>
      <c r="L339" s="248"/>
      <c r="M339" s="249"/>
      <c r="N339" s="249"/>
      <c r="O339" s="281"/>
      <c r="P339" s="250"/>
      <c r="Q339" s="251"/>
      <c r="R339" s="249"/>
      <c r="S339" s="249"/>
    </row>
    <row r="340" spans="1:19">
      <c r="D340" s="410"/>
      <c r="E340" s="408"/>
      <c r="F340" s="272"/>
      <c r="G340" s="272"/>
      <c r="H340" s="138"/>
      <c r="I340" s="138"/>
      <c r="J340" s="139"/>
      <c r="P340" s="210"/>
    </row>
    <row r="341" spans="1:19">
      <c r="A341" s="74" t="s">
        <v>483</v>
      </c>
      <c r="D341" s="410"/>
      <c r="E341" s="408"/>
      <c r="F341" s="272"/>
      <c r="G341" s="272"/>
      <c r="I341" s="20"/>
      <c r="J341" s="140"/>
      <c r="P341" s="210"/>
    </row>
    <row r="342" spans="1:19" ht="48">
      <c r="A342" s="111" t="s">
        <v>830</v>
      </c>
      <c r="B342" s="554" t="s">
        <v>711</v>
      </c>
      <c r="C342" s="410"/>
      <c r="D342" s="275"/>
      <c r="E342" s="408"/>
      <c r="F342" s="272"/>
      <c r="G342" s="272"/>
      <c r="H342" s="141"/>
      <c r="I342" s="141" t="s">
        <v>261</v>
      </c>
      <c r="J342" s="140"/>
      <c r="K342" s="28" t="s">
        <v>2</v>
      </c>
      <c r="L342" s="301"/>
      <c r="M342" s="301" t="s">
        <v>382</v>
      </c>
      <c r="N342" s="301"/>
      <c r="O342" s="279"/>
      <c r="P342" s="483"/>
      <c r="R342" s="28" t="s">
        <v>18</v>
      </c>
      <c r="S342" s="4" t="s">
        <v>19</v>
      </c>
    </row>
    <row r="343" spans="1:19" s="1" customFormat="1">
      <c r="A343" s="356" t="s">
        <v>558</v>
      </c>
      <c r="B343" s="374"/>
      <c r="C343" s="237"/>
      <c r="D343" s="234"/>
      <c r="E343" s="242"/>
      <c r="F343" s="230"/>
      <c r="G343" s="345"/>
      <c r="H343" s="80"/>
      <c r="I343" s="64"/>
      <c r="J343" s="35">
        <f t="shared" ref="J343:J406" si="114">SUM(B343:I343)</f>
        <v>0</v>
      </c>
      <c r="K343" s="3">
        <f>C343*4400</f>
        <v>0</v>
      </c>
      <c r="L343" s="302"/>
      <c r="M343" s="299"/>
      <c r="N343" s="283"/>
      <c r="O343" s="276"/>
      <c r="P343" s="482"/>
      <c r="Q343" s="5"/>
      <c r="R343" s="3">
        <f t="shared" ref="R343:R496" si="115">SUM(K343:Q343)</f>
        <v>0</v>
      </c>
      <c r="S343" s="3">
        <f>J343*1340</f>
        <v>0</v>
      </c>
    </row>
    <row r="344" spans="1:19" s="1" customFormat="1">
      <c r="A344" s="356" t="s">
        <v>655</v>
      </c>
      <c r="B344" s="568"/>
      <c r="C344" s="237"/>
      <c r="D344" s="234"/>
      <c r="E344" s="242"/>
      <c r="F344" s="230"/>
      <c r="G344" s="345"/>
      <c r="H344" s="80"/>
      <c r="I344" s="64"/>
      <c r="J344" s="35">
        <f t="shared" si="114"/>
        <v>0</v>
      </c>
      <c r="K344" s="3"/>
      <c r="L344" s="302"/>
      <c r="M344" s="299"/>
      <c r="N344" s="283"/>
      <c r="O344" s="276"/>
      <c r="P344" s="482"/>
      <c r="Q344" s="5"/>
      <c r="R344" s="3">
        <f t="shared" si="115"/>
        <v>0</v>
      </c>
      <c r="S344" s="3">
        <f>J344*1349</f>
        <v>0</v>
      </c>
    </row>
    <row r="345" spans="1:19" s="1" customFormat="1">
      <c r="A345" s="356" t="s">
        <v>685</v>
      </c>
      <c r="B345" s="568"/>
      <c r="C345" s="237"/>
      <c r="D345" s="234"/>
      <c r="E345" s="242"/>
      <c r="F345" s="230"/>
      <c r="G345" s="345"/>
      <c r="H345" s="80"/>
      <c r="I345" s="64"/>
      <c r="J345" s="35">
        <f t="shared" si="114"/>
        <v>0</v>
      </c>
      <c r="K345" s="3">
        <f>C345*60000</f>
        <v>0</v>
      </c>
      <c r="L345" s="302"/>
      <c r="M345" s="299"/>
      <c r="N345" s="283">
        <f>F345*54000</f>
        <v>0</v>
      </c>
      <c r="O345" s="276"/>
      <c r="P345" s="482"/>
      <c r="Q345" s="5"/>
      <c r="R345" s="3">
        <f t="shared" si="115"/>
        <v>0</v>
      </c>
      <c r="S345" s="3">
        <f>J345*5060</f>
        <v>0</v>
      </c>
    </row>
    <row r="346" spans="1:19" s="1" customFormat="1" ht="16.5" customHeight="1">
      <c r="A346" s="356" t="s">
        <v>658</v>
      </c>
      <c r="B346" s="674" t="s">
        <v>831</v>
      </c>
      <c r="C346" s="218">
        <v>2</v>
      </c>
      <c r="D346" s="234"/>
      <c r="E346" s="234"/>
      <c r="F346" s="191"/>
      <c r="G346" s="345"/>
      <c r="H346" s="80"/>
      <c r="I346" s="114"/>
      <c r="J346" s="35">
        <f t="shared" si="114"/>
        <v>2</v>
      </c>
      <c r="K346" s="3">
        <f>C346*VLOOKUP(A346,[1]오일단가!$A:$S,16,0)</f>
        <v>20000</v>
      </c>
      <c r="L346" s="302"/>
      <c r="M346" s="299"/>
      <c r="N346" s="283">
        <f>F346*VLOOKUP(A346,[1]오일단가!$A:$S,17,0)</f>
        <v>0</v>
      </c>
      <c r="O346" s="276"/>
      <c r="P346" s="482"/>
      <c r="Q346" s="5"/>
      <c r="R346" s="3">
        <f>SUM(K346:Q346)</f>
        <v>20000</v>
      </c>
      <c r="S346" s="3">
        <f>J346*2850</f>
        <v>5700</v>
      </c>
    </row>
    <row r="347" spans="1:19" s="1" customFormat="1" ht="16.5" customHeight="1">
      <c r="A347" s="356" t="s">
        <v>697</v>
      </c>
      <c r="B347" s="675"/>
      <c r="C347" s="218"/>
      <c r="D347" s="234"/>
      <c r="E347" s="234"/>
      <c r="F347" s="191"/>
      <c r="G347" s="345"/>
      <c r="H347" s="80"/>
      <c r="I347" s="114"/>
      <c r="J347" s="35">
        <f t="shared" si="114"/>
        <v>0</v>
      </c>
      <c r="K347" s="3">
        <f>C347*17000</f>
        <v>0</v>
      </c>
      <c r="L347" s="302"/>
      <c r="M347" s="299"/>
      <c r="N347" s="283">
        <f>F347*15000</f>
        <v>0</v>
      </c>
      <c r="O347" s="276"/>
      <c r="P347" s="482"/>
      <c r="Q347" s="5"/>
      <c r="R347" s="3">
        <f t="shared" ref="R347:R358" si="116">SUM(K347:Q347)</f>
        <v>0</v>
      </c>
      <c r="S347" s="3">
        <f>J347*2670</f>
        <v>0</v>
      </c>
    </row>
    <row r="348" spans="1:19" s="1" customFormat="1">
      <c r="A348" s="356" t="s">
        <v>659</v>
      </c>
      <c r="B348" s="675"/>
      <c r="C348" s="237"/>
      <c r="D348" s="234"/>
      <c r="E348" s="234"/>
      <c r="F348" s="230"/>
      <c r="G348" s="345"/>
      <c r="H348" s="80"/>
      <c r="I348" s="114"/>
      <c r="J348" s="35">
        <f t="shared" si="114"/>
        <v>0</v>
      </c>
      <c r="K348" s="3">
        <f>C348*VLOOKUP(A348,[1]오일단가!$A:$S,16,0)</f>
        <v>0</v>
      </c>
      <c r="L348" s="302"/>
      <c r="M348" s="299"/>
      <c r="N348" s="283">
        <f>F348*VLOOKUP(A348,[1]오일단가!$A:$S,17,0)</f>
        <v>0</v>
      </c>
      <c r="O348" s="276"/>
      <c r="P348" s="482"/>
      <c r="Q348" s="5"/>
      <c r="R348" s="3">
        <f t="shared" si="116"/>
        <v>0</v>
      </c>
      <c r="S348" s="3">
        <f>J348*2870</f>
        <v>0</v>
      </c>
    </row>
    <row r="349" spans="1:19" s="1" customFormat="1">
      <c r="A349" s="356" t="s">
        <v>686</v>
      </c>
      <c r="B349" s="675"/>
      <c r="C349" s="237"/>
      <c r="D349" s="234"/>
      <c r="E349" s="234"/>
      <c r="F349" s="230"/>
      <c r="G349" s="345"/>
      <c r="H349" s="80"/>
      <c r="I349" s="114"/>
      <c r="J349" s="35">
        <f t="shared" si="114"/>
        <v>0</v>
      </c>
      <c r="K349" s="3">
        <f>C349*16000</f>
        <v>0</v>
      </c>
      <c r="L349" s="302"/>
      <c r="M349" s="299"/>
      <c r="N349" s="283">
        <f>F349*14000</f>
        <v>0</v>
      </c>
      <c r="O349" s="276"/>
      <c r="P349" s="482"/>
      <c r="Q349" s="5"/>
      <c r="R349" s="3">
        <f t="shared" si="116"/>
        <v>0</v>
      </c>
      <c r="S349" s="3">
        <f>J349*2380</f>
        <v>0</v>
      </c>
    </row>
    <row r="350" spans="1:19" s="1" customFormat="1">
      <c r="A350" s="354" t="s">
        <v>660</v>
      </c>
      <c r="B350" s="675"/>
      <c r="C350" s="233">
        <v>2</v>
      </c>
      <c r="D350" s="242"/>
      <c r="E350" s="234"/>
      <c r="F350" s="230">
        <v>1</v>
      </c>
      <c r="G350" s="345"/>
      <c r="H350" s="80"/>
      <c r="I350" s="114"/>
      <c r="J350" s="35">
        <f t="shared" si="114"/>
        <v>3</v>
      </c>
      <c r="K350" s="3">
        <f>C350*VLOOKUP(A350,[1]오일단가!$A:$S,16,0)</f>
        <v>28000</v>
      </c>
      <c r="L350" s="302"/>
      <c r="M350" s="299"/>
      <c r="N350" s="283">
        <f>F350*VLOOKUP(A350,[1]오일단가!$A:$S,17,0)</f>
        <v>13000</v>
      </c>
      <c r="O350" s="276"/>
      <c r="P350" s="482"/>
      <c r="Q350" s="5"/>
      <c r="R350" s="3">
        <f t="shared" si="116"/>
        <v>41000</v>
      </c>
      <c r="S350" s="3">
        <f>J350*2440</f>
        <v>7320</v>
      </c>
    </row>
    <row r="351" spans="1:19" s="1" customFormat="1">
      <c r="A351" s="354" t="s">
        <v>532</v>
      </c>
      <c r="B351" s="675"/>
      <c r="C351" s="233">
        <v>1</v>
      </c>
      <c r="D351" s="234"/>
      <c r="E351" s="234"/>
      <c r="F351" s="230"/>
      <c r="G351" s="345"/>
      <c r="H351" s="80"/>
      <c r="I351" s="114"/>
      <c r="J351" s="35">
        <f t="shared" si="114"/>
        <v>1</v>
      </c>
      <c r="K351" s="3">
        <f>C351*VLOOKUP(A351,[1]오일단가!$A:$S,16,0)</f>
        <v>10000</v>
      </c>
      <c r="L351" s="302"/>
      <c r="M351" s="299"/>
      <c r="N351" s="283">
        <f>F351*VLOOKUP(A351,[1]오일단가!$A:$S,17,0)</f>
        <v>0</v>
      </c>
      <c r="O351" s="276"/>
      <c r="P351" s="482"/>
      <c r="Q351" s="5"/>
      <c r="R351" s="3">
        <f t="shared" si="116"/>
        <v>10000</v>
      </c>
      <c r="S351" s="3">
        <f>J351*2740</f>
        <v>2740</v>
      </c>
    </row>
    <row r="352" spans="1:19" s="1" customFormat="1">
      <c r="A352" s="354" t="s">
        <v>663</v>
      </c>
      <c r="B352" s="675"/>
      <c r="C352" s="233">
        <v>3</v>
      </c>
      <c r="D352" s="234"/>
      <c r="E352" s="234"/>
      <c r="F352" s="230"/>
      <c r="G352" s="345"/>
      <c r="H352" s="80"/>
      <c r="I352" s="114"/>
      <c r="J352" s="35">
        <f t="shared" ref="J352:J353" si="117">SUM(B352:I352)</f>
        <v>3</v>
      </c>
      <c r="K352" s="3">
        <f>C352*VLOOKUP(A352,[1]오일단가!$A:$S,16,0)</f>
        <v>21000</v>
      </c>
      <c r="L352" s="302"/>
      <c r="M352" s="299"/>
      <c r="N352" s="283">
        <f>F352*VLOOKUP(A352,[1]오일단가!$A:$S,17,0)</f>
        <v>0</v>
      </c>
      <c r="O352" s="276"/>
      <c r="P352" s="482"/>
      <c r="Q352" s="5"/>
      <c r="R352" s="3">
        <f t="shared" ref="R352:R353" si="118">SUM(K352:Q352)</f>
        <v>21000</v>
      </c>
      <c r="S352" s="3">
        <f>J352*2300</f>
        <v>6900</v>
      </c>
    </row>
    <row r="353" spans="1:19" s="1" customFormat="1">
      <c r="A353" s="354" t="s">
        <v>664</v>
      </c>
      <c r="B353" s="675"/>
      <c r="C353" s="233">
        <v>1</v>
      </c>
      <c r="D353" s="234"/>
      <c r="E353" s="234"/>
      <c r="F353" s="230">
        <v>1</v>
      </c>
      <c r="G353" s="345"/>
      <c r="H353" s="80"/>
      <c r="I353" s="114"/>
      <c r="J353" s="35">
        <f t="shared" si="117"/>
        <v>2</v>
      </c>
      <c r="K353" s="3">
        <f>C353*VLOOKUP(A353,[1]오일단가!$A:$S,16,0)</f>
        <v>9000</v>
      </c>
      <c r="L353" s="302"/>
      <c r="M353" s="299"/>
      <c r="N353" s="283">
        <f>F353*VLOOKUP(A353,[1]오일단가!$A:$S,17,0)</f>
        <v>8000</v>
      </c>
      <c r="O353" s="276"/>
      <c r="P353" s="482"/>
      <c r="Q353" s="5"/>
      <c r="R353" s="3">
        <f t="shared" si="118"/>
        <v>17000</v>
      </c>
      <c r="S353" s="3">
        <f>J353*1920</f>
        <v>3840</v>
      </c>
    </row>
    <row r="354" spans="1:19" s="1" customFormat="1">
      <c r="A354" s="355" t="s">
        <v>661</v>
      </c>
      <c r="B354" s="675"/>
      <c r="C354" s="233"/>
      <c r="D354" s="242"/>
      <c r="E354" s="234"/>
      <c r="F354" s="230">
        <v>1</v>
      </c>
      <c r="G354" s="345"/>
      <c r="H354" s="80"/>
      <c r="I354" s="114"/>
      <c r="J354" s="35">
        <f t="shared" si="114"/>
        <v>1</v>
      </c>
      <c r="K354" s="3">
        <f>C354*20000</f>
        <v>0</v>
      </c>
      <c r="L354" s="302"/>
      <c r="M354" s="299"/>
      <c r="N354" s="283">
        <f>F354*18000</f>
        <v>18000</v>
      </c>
      <c r="O354" s="276"/>
      <c r="P354" s="482"/>
      <c r="Q354" s="5"/>
      <c r="R354" s="3">
        <f t="shared" si="116"/>
        <v>18000</v>
      </c>
      <c r="S354" s="3">
        <f>J354*4940</f>
        <v>4940</v>
      </c>
    </row>
    <row r="355" spans="1:19" s="1" customFormat="1">
      <c r="A355" s="354" t="s">
        <v>680</v>
      </c>
      <c r="B355" s="675"/>
      <c r="C355" s="233">
        <v>4</v>
      </c>
      <c r="D355" s="242"/>
      <c r="E355" s="234"/>
      <c r="F355" s="230"/>
      <c r="G355" s="345"/>
      <c r="H355" s="80"/>
      <c r="I355" s="114"/>
      <c r="J355" s="35">
        <f t="shared" si="114"/>
        <v>4</v>
      </c>
      <c r="K355" s="3">
        <f>C355*VLOOKUP(A355,[1]오일단가!$A:$S,16,0)</f>
        <v>48000</v>
      </c>
      <c r="L355" s="302"/>
      <c r="M355" s="299"/>
      <c r="N355" s="283">
        <f>F355*VLOOKUP(A355,[1]오일단가!$A:$S,17,0)</f>
        <v>0</v>
      </c>
      <c r="O355" s="276"/>
      <c r="P355" s="482"/>
      <c r="Q355" s="5"/>
      <c r="R355" s="3">
        <f t="shared" si="116"/>
        <v>48000</v>
      </c>
      <c r="S355" s="3">
        <f>J355*2470</f>
        <v>9880</v>
      </c>
    </row>
    <row r="356" spans="1:19" s="1" customFormat="1">
      <c r="A356" s="354" t="s">
        <v>662</v>
      </c>
      <c r="B356" s="675"/>
      <c r="C356" s="233">
        <v>1</v>
      </c>
      <c r="D356" s="234"/>
      <c r="E356" s="234"/>
      <c r="F356" s="230"/>
      <c r="G356" s="345"/>
      <c r="H356" s="80"/>
      <c r="I356" s="114"/>
      <c r="J356" s="35">
        <f t="shared" si="114"/>
        <v>1</v>
      </c>
      <c r="K356" s="3">
        <f>C356*VLOOKUP(A356,[1]오일단가!$A:$S,16,0)</f>
        <v>92000</v>
      </c>
      <c r="L356" s="302"/>
      <c r="M356" s="299"/>
      <c r="N356" s="283">
        <f>F356*VLOOKUP(A356,[1]오일단가!$A:$S,17,0)</f>
        <v>0</v>
      </c>
      <c r="O356" s="276"/>
      <c r="P356" s="482"/>
      <c r="Q356" s="5"/>
      <c r="R356" s="3">
        <f t="shared" si="116"/>
        <v>92000</v>
      </c>
      <c r="S356" s="3">
        <f>J356*28700</f>
        <v>28700</v>
      </c>
    </row>
    <row r="357" spans="1:19" s="1" customFormat="1">
      <c r="A357" s="354" t="s">
        <v>687</v>
      </c>
      <c r="B357" s="675"/>
      <c r="C357" s="233"/>
      <c r="D357" s="234"/>
      <c r="E357" s="234"/>
      <c r="F357" s="230"/>
      <c r="G357" s="345"/>
      <c r="H357" s="80"/>
      <c r="I357" s="114"/>
      <c r="J357" s="35">
        <f t="shared" si="114"/>
        <v>0</v>
      </c>
      <c r="K357" s="3">
        <f>C357*23000</f>
        <v>0</v>
      </c>
      <c r="L357" s="302"/>
      <c r="M357" s="299"/>
      <c r="N357" s="283">
        <f>F357*21000</f>
        <v>0</v>
      </c>
      <c r="O357" s="276"/>
      <c r="P357" s="482"/>
      <c r="Q357" s="5"/>
      <c r="R357" s="3">
        <f t="shared" si="116"/>
        <v>0</v>
      </c>
      <c r="S357" s="3">
        <f>J357*3170</f>
        <v>0</v>
      </c>
    </row>
    <row r="358" spans="1:19" s="1" customFormat="1">
      <c r="A358" s="356" t="s">
        <v>491</v>
      </c>
      <c r="B358" s="675"/>
      <c r="C358" s="218"/>
      <c r="D358" s="234"/>
      <c r="E358" s="234"/>
      <c r="F358" s="191"/>
      <c r="G358" s="195"/>
      <c r="H358" s="80"/>
      <c r="I358" s="114"/>
      <c r="J358" s="35">
        <f t="shared" si="114"/>
        <v>0</v>
      </c>
      <c r="K358" s="3">
        <f>C358*VLOOKUP(A358,[1]오일단가!$A:$S,16,0)</f>
        <v>0</v>
      </c>
      <c r="L358" s="302"/>
      <c r="M358" s="299"/>
      <c r="N358" s="283">
        <f>F358*VLOOKUP(A358,[1]오일단가!$A:$S,17,0)</f>
        <v>0</v>
      </c>
      <c r="O358" s="276"/>
      <c r="P358" s="482"/>
      <c r="Q358" s="5"/>
      <c r="R358" s="3">
        <f t="shared" si="116"/>
        <v>0</v>
      </c>
      <c r="S358" s="3">
        <f>J358*5710</f>
        <v>0</v>
      </c>
    </row>
    <row r="359" spans="1:19" s="1" customFormat="1">
      <c r="A359" s="356" t="s">
        <v>542</v>
      </c>
      <c r="B359" s="675"/>
      <c r="C359" s="218">
        <v>1</v>
      </c>
      <c r="D359" s="234"/>
      <c r="E359" s="234"/>
      <c r="F359" s="191"/>
      <c r="G359" s="195"/>
      <c r="H359" s="80"/>
      <c r="I359" s="114"/>
      <c r="J359" s="35">
        <f t="shared" si="114"/>
        <v>1</v>
      </c>
      <c r="K359" s="3">
        <f>C359*VLOOKUP(A359,[1]오일단가!$A:$S,16,0)</f>
        <v>18000</v>
      </c>
      <c r="L359" s="302"/>
      <c r="M359" s="299"/>
      <c r="N359" s="283">
        <f>F359*VLOOKUP(A359,[1]오일단가!$A:$S,17,0)</f>
        <v>0</v>
      </c>
      <c r="O359" s="276"/>
      <c r="P359" s="482"/>
      <c r="Q359" s="5"/>
      <c r="R359" s="3">
        <f t="shared" si="115"/>
        <v>18000</v>
      </c>
      <c r="S359" s="3">
        <f>J359*4170</f>
        <v>4170</v>
      </c>
    </row>
    <row r="360" spans="1:19" s="1" customFormat="1">
      <c r="A360" s="356" t="s">
        <v>533</v>
      </c>
      <c r="B360" s="675"/>
      <c r="C360" s="218"/>
      <c r="D360" s="234"/>
      <c r="E360" s="234"/>
      <c r="F360" s="191"/>
      <c r="G360" s="195"/>
      <c r="H360" s="80"/>
      <c r="I360" s="114"/>
      <c r="J360" s="35">
        <f t="shared" si="114"/>
        <v>0</v>
      </c>
      <c r="K360" s="3">
        <f>C360*VLOOKUP(A360,[1]오일단가!$A:$S,16,0)</f>
        <v>0</v>
      </c>
      <c r="L360" s="302"/>
      <c r="M360" s="299"/>
      <c r="N360" s="283">
        <f>F360*VLOOKUP(A360,[1]오일단가!$A:$S,17,0)</f>
        <v>0</v>
      </c>
      <c r="O360" s="276"/>
      <c r="P360" s="482"/>
      <c r="Q360" s="5"/>
      <c r="R360" s="3">
        <f t="shared" si="115"/>
        <v>0</v>
      </c>
      <c r="S360" s="3">
        <f>J360*8570</f>
        <v>0</v>
      </c>
    </row>
    <row r="361" spans="1:19" s="1" customFormat="1">
      <c r="A361" s="356" t="s">
        <v>682</v>
      </c>
      <c r="B361" s="675"/>
      <c r="C361" s="218"/>
      <c r="D361" s="234"/>
      <c r="E361" s="234"/>
      <c r="F361" s="191"/>
      <c r="G361" s="195"/>
      <c r="H361" s="80"/>
      <c r="I361" s="114"/>
      <c r="J361" s="35">
        <f t="shared" si="114"/>
        <v>0</v>
      </c>
      <c r="K361" s="3">
        <f>C361*VLOOKUP(A361,[1]오일단가!$A:$S,16,0)</f>
        <v>0</v>
      </c>
      <c r="L361" s="302"/>
      <c r="M361" s="299"/>
      <c r="N361" s="283">
        <f>F361*VLOOKUP(A361,[1]오일단가!$A:$S,17,0)</f>
        <v>0</v>
      </c>
      <c r="O361" s="276"/>
      <c r="P361" s="482"/>
      <c r="Q361" s="5"/>
      <c r="R361" s="3">
        <f t="shared" si="115"/>
        <v>0</v>
      </c>
      <c r="S361" s="3">
        <f>J361*2260</f>
        <v>0</v>
      </c>
    </row>
    <row r="362" spans="1:19" s="1" customFormat="1">
      <c r="A362" s="354" t="s">
        <v>665</v>
      </c>
      <c r="B362" s="675"/>
      <c r="C362" s="233"/>
      <c r="D362" s="242"/>
      <c r="E362" s="234"/>
      <c r="F362" s="230"/>
      <c r="G362" s="345"/>
      <c r="H362" s="80"/>
      <c r="I362" s="114"/>
      <c r="J362" s="35">
        <f t="shared" si="114"/>
        <v>0</v>
      </c>
      <c r="K362" s="3">
        <f>C362*VLOOKUP(A362,[1]오일단가!$A:$S,16,0)</f>
        <v>0</v>
      </c>
      <c r="L362" s="302"/>
      <c r="M362" s="299"/>
      <c r="N362" s="283">
        <f>F362*VLOOKUP(A362,[1]오일단가!$A:$S,17,0)</f>
        <v>0</v>
      </c>
      <c r="O362" s="276"/>
      <c r="P362" s="482"/>
      <c r="Q362" s="5"/>
      <c r="R362" s="3">
        <f t="shared" si="115"/>
        <v>0</v>
      </c>
      <c r="S362" s="3">
        <f>J362*16916</f>
        <v>0</v>
      </c>
    </row>
    <row r="363" spans="1:19" s="1" customFormat="1">
      <c r="A363" s="356" t="s">
        <v>666</v>
      </c>
      <c r="B363" s="675"/>
      <c r="C363" s="218"/>
      <c r="D363" s="234"/>
      <c r="E363" s="234"/>
      <c r="F363" s="191"/>
      <c r="G363" s="195"/>
      <c r="H363" s="80"/>
      <c r="I363" s="114"/>
      <c r="J363" s="35">
        <f t="shared" si="114"/>
        <v>0</v>
      </c>
      <c r="K363" s="3">
        <f>C363*VLOOKUP(A363,[1]오일단가!$A:$S,16,0)</f>
        <v>0</v>
      </c>
      <c r="L363" s="302"/>
      <c r="M363" s="299"/>
      <c r="N363" s="283">
        <f>F363*VLOOKUP(A363,[1]오일단가!$A:$S,17,0)</f>
        <v>0</v>
      </c>
      <c r="O363" s="276"/>
      <c r="P363" s="482"/>
      <c r="Q363" s="5"/>
      <c r="R363" s="3">
        <f t="shared" si="115"/>
        <v>0</v>
      </c>
      <c r="S363" s="3">
        <f>J363*2470</f>
        <v>0</v>
      </c>
    </row>
    <row r="364" spans="1:19" s="1" customFormat="1">
      <c r="A364" s="356" t="s">
        <v>534</v>
      </c>
      <c r="B364" s="675"/>
      <c r="C364" s="218"/>
      <c r="D364" s="234"/>
      <c r="E364" s="234"/>
      <c r="F364" s="191"/>
      <c r="G364" s="195"/>
      <c r="H364" s="80"/>
      <c r="I364" s="114"/>
      <c r="J364" s="35">
        <f t="shared" si="114"/>
        <v>0</v>
      </c>
      <c r="K364" s="3">
        <f>C364*VLOOKUP(A364,[1]오일단가!$A:$S,16,0)</f>
        <v>0</v>
      </c>
      <c r="L364" s="302"/>
      <c r="M364" s="299"/>
      <c r="N364" s="283">
        <f>F364*VLOOKUP(A364,[1]오일단가!$A:$S,17,0)</f>
        <v>0</v>
      </c>
      <c r="O364" s="276"/>
      <c r="P364" s="482"/>
      <c r="Q364" s="5"/>
      <c r="R364" s="3">
        <f t="shared" si="115"/>
        <v>0</v>
      </c>
      <c r="S364" s="3">
        <f>J364*2160</f>
        <v>0</v>
      </c>
    </row>
    <row r="365" spans="1:19" s="1" customFormat="1">
      <c r="A365" s="356" t="s">
        <v>688</v>
      </c>
      <c r="B365" s="675"/>
      <c r="C365" s="218"/>
      <c r="D365" s="234"/>
      <c r="E365" s="234"/>
      <c r="F365" s="191"/>
      <c r="G365" s="195"/>
      <c r="H365" s="80"/>
      <c r="I365" s="114"/>
      <c r="J365" s="35">
        <f t="shared" si="114"/>
        <v>0</v>
      </c>
      <c r="K365" s="3">
        <f>C365*23000</f>
        <v>0</v>
      </c>
      <c r="L365" s="302"/>
      <c r="M365" s="299"/>
      <c r="N365" s="283">
        <f>F365*21000</f>
        <v>0</v>
      </c>
      <c r="O365" s="276"/>
      <c r="P365" s="482"/>
      <c r="Q365" s="5"/>
      <c r="R365" s="3">
        <f t="shared" si="115"/>
        <v>0</v>
      </c>
      <c r="S365" s="3">
        <f>J365*2540</f>
        <v>0</v>
      </c>
    </row>
    <row r="366" spans="1:19" s="1" customFormat="1">
      <c r="A366" s="354" t="s">
        <v>667</v>
      </c>
      <c r="B366" s="675"/>
      <c r="C366" s="233"/>
      <c r="D366" s="234"/>
      <c r="E366" s="234"/>
      <c r="F366" s="230"/>
      <c r="G366" s="345"/>
      <c r="H366" s="80"/>
      <c r="I366" s="114"/>
      <c r="J366" s="35">
        <f t="shared" si="114"/>
        <v>0</v>
      </c>
      <c r="K366" s="3">
        <f>C366*VLOOKUP(A366,[1]오일단가!$A:$S,16,0)</f>
        <v>0</v>
      </c>
      <c r="L366" s="302"/>
      <c r="M366" s="299"/>
      <c r="N366" s="283">
        <f>F366*VLOOKUP(A366,[1]오일단가!$A:$S,17,0)</f>
        <v>0</v>
      </c>
      <c r="O366" s="276"/>
      <c r="P366" s="482"/>
      <c r="Q366" s="5"/>
      <c r="R366" s="3">
        <f t="shared" si="115"/>
        <v>0</v>
      </c>
      <c r="S366" s="3">
        <f>J366*1690</f>
        <v>0</v>
      </c>
    </row>
    <row r="367" spans="1:19" s="1" customFormat="1">
      <c r="A367" s="356" t="s">
        <v>668</v>
      </c>
      <c r="B367" s="675"/>
      <c r="C367" s="218"/>
      <c r="D367" s="234"/>
      <c r="E367" s="234"/>
      <c r="F367" s="191"/>
      <c r="G367" s="195"/>
      <c r="H367" s="80"/>
      <c r="I367" s="114"/>
      <c r="J367" s="35">
        <f t="shared" si="114"/>
        <v>0</v>
      </c>
      <c r="K367" s="3">
        <f>C367*VLOOKUP(A367,[1]오일단가!$A:$S,16,0)</f>
        <v>0</v>
      </c>
      <c r="L367" s="302"/>
      <c r="M367" s="299"/>
      <c r="N367" s="283">
        <f>F367*VLOOKUP(A367,[1]오일단가!$A:$S,17,0)</f>
        <v>0</v>
      </c>
      <c r="O367" s="276"/>
      <c r="P367" s="482"/>
      <c r="Q367" s="5"/>
      <c r="R367" s="3">
        <f t="shared" si="115"/>
        <v>0</v>
      </c>
      <c r="S367" s="3">
        <f>J367*10990</f>
        <v>0</v>
      </c>
    </row>
    <row r="368" spans="1:19" s="1" customFormat="1">
      <c r="A368" s="356" t="s">
        <v>681</v>
      </c>
      <c r="B368" s="675"/>
      <c r="C368" s="218"/>
      <c r="D368" s="234"/>
      <c r="E368" s="234"/>
      <c r="F368" s="191"/>
      <c r="G368" s="195"/>
      <c r="H368" s="80"/>
      <c r="I368" s="114"/>
      <c r="J368" s="35">
        <f t="shared" si="114"/>
        <v>0</v>
      </c>
      <c r="K368" s="3">
        <f>C368*VLOOKUP(A368,[1]오일단가!$A:$S,16,0)</f>
        <v>0</v>
      </c>
      <c r="L368" s="302"/>
      <c r="M368" s="299"/>
      <c r="N368" s="283">
        <f>F368*VLOOKUP(A368,[1]오일단가!$A:$S,17,0)</f>
        <v>0</v>
      </c>
      <c r="O368" s="276"/>
      <c r="P368" s="482"/>
      <c r="Q368" s="5"/>
      <c r="R368" s="3">
        <f t="shared" si="115"/>
        <v>0</v>
      </c>
      <c r="S368" s="3">
        <f>J368*2180</f>
        <v>0</v>
      </c>
    </row>
    <row r="369" spans="1:19" s="1" customFormat="1">
      <c r="A369" s="356" t="s">
        <v>669</v>
      </c>
      <c r="B369" s="675"/>
      <c r="C369" s="218"/>
      <c r="D369" s="234"/>
      <c r="E369" s="234"/>
      <c r="F369" s="191"/>
      <c r="G369" s="195"/>
      <c r="H369" s="80"/>
      <c r="I369" s="114"/>
      <c r="J369" s="35">
        <f t="shared" si="114"/>
        <v>0</v>
      </c>
      <c r="K369" s="3">
        <f>C369*VLOOKUP(A369,[1]오일단가!$A:$S,16,0)</f>
        <v>0</v>
      </c>
      <c r="L369" s="302"/>
      <c r="M369" s="299"/>
      <c r="N369" s="283">
        <f>F369*VLOOKUP(A369,[1]오일단가!$A:$S,17,0)</f>
        <v>0</v>
      </c>
      <c r="O369" s="276"/>
      <c r="P369" s="482"/>
      <c r="Q369" s="5"/>
      <c r="R369" s="3">
        <f t="shared" si="115"/>
        <v>0</v>
      </c>
      <c r="S369" s="3">
        <f>J369*7800</f>
        <v>0</v>
      </c>
    </row>
    <row r="370" spans="1:19" s="1" customFormat="1">
      <c r="A370" s="354" t="s">
        <v>670</v>
      </c>
      <c r="B370" s="675"/>
      <c r="C370" s="233"/>
      <c r="D370" s="234"/>
      <c r="E370" s="234"/>
      <c r="F370" s="230"/>
      <c r="G370" s="345"/>
      <c r="H370" s="80"/>
      <c r="I370" s="114"/>
      <c r="J370" s="35">
        <f t="shared" si="114"/>
        <v>0</v>
      </c>
      <c r="K370" s="3">
        <f>C370*VLOOKUP(A370,[1]오일단가!$A:$S,16,0)</f>
        <v>0</v>
      </c>
      <c r="L370" s="302"/>
      <c r="M370" s="299"/>
      <c r="N370" s="283">
        <f>F370*VLOOKUP(A370,[1]오일단가!$A:$S,17,0)</f>
        <v>0</v>
      </c>
      <c r="O370" s="276"/>
      <c r="P370" s="482"/>
      <c r="Q370" s="5"/>
      <c r="R370" s="3">
        <f t="shared" si="115"/>
        <v>0</v>
      </c>
      <c r="S370" s="3">
        <f>J370*4225</f>
        <v>0</v>
      </c>
    </row>
    <row r="371" spans="1:19" s="1" customFormat="1">
      <c r="A371" s="356" t="s">
        <v>671</v>
      </c>
      <c r="B371" s="675"/>
      <c r="C371" s="218">
        <v>1</v>
      </c>
      <c r="D371" s="234"/>
      <c r="E371" s="234"/>
      <c r="F371" s="191"/>
      <c r="G371" s="195"/>
      <c r="H371" s="80"/>
      <c r="I371" s="114"/>
      <c r="J371" s="35">
        <f t="shared" si="114"/>
        <v>1</v>
      </c>
      <c r="K371" s="3">
        <f>C371*VLOOKUP(A371,[1]오일단가!$A:$S,16,0)</f>
        <v>10000</v>
      </c>
      <c r="L371" s="302"/>
      <c r="M371" s="299"/>
      <c r="N371" s="283">
        <f>F371*VLOOKUP(A371,[1]오일단가!$A:$S,17,0)</f>
        <v>0</v>
      </c>
      <c r="O371" s="276"/>
      <c r="P371" s="482"/>
      <c r="Q371" s="5"/>
      <c r="R371" s="3">
        <f t="shared" si="115"/>
        <v>10000</v>
      </c>
      <c r="S371" s="3">
        <f>J371*2652</f>
        <v>2652</v>
      </c>
    </row>
    <row r="372" spans="1:19" s="1" customFormat="1">
      <c r="A372" s="356" t="s">
        <v>535</v>
      </c>
      <c r="B372" s="675"/>
      <c r="C372" s="218">
        <v>1</v>
      </c>
      <c r="D372" s="234"/>
      <c r="E372" s="234"/>
      <c r="F372" s="191">
        <v>1</v>
      </c>
      <c r="G372" s="195"/>
      <c r="H372" s="80"/>
      <c r="I372" s="114"/>
      <c r="J372" s="35">
        <f t="shared" si="114"/>
        <v>2</v>
      </c>
      <c r="K372" s="3">
        <f>C372*VLOOKUP(A372,[1]오일단가!$A:$S,16,0)</f>
        <v>10000</v>
      </c>
      <c r="L372" s="302"/>
      <c r="M372" s="299"/>
      <c r="N372" s="283">
        <f>F372*VLOOKUP(A372,[1]오일단가!$A:$S,17,0)</f>
        <v>9000</v>
      </c>
      <c r="O372" s="276"/>
      <c r="P372" s="482"/>
      <c r="Q372" s="5"/>
      <c r="R372" s="3">
        <f t="shared" si="115"/>
        <v>19000</v>
      </c>
      <c r="S372" s="3">
        <f>J372*2410</f>
        <v>4820</v>
      </c>
    </row>
    <row r="373" spans="1:19" s="1" customFormat="1">
      <c r="A373" s="356" t="s">
        <v>614</v>
      </c>
      <c r="B373" s="675"/>
      <c r="C373" s="218"/>
      <c r="D373" s="234"/>
      <c r="E373" s="234"/>
      <c r="F373" s="191"/>
      <c r="G373" s="195"/>
      <c r="H373" s="80"/>
      <c r="I373" s="114"/>
      <c r="J373" s="35">
        <f t="shared" si="114"/>
        <v>0</v>
      </c>
      <c r="K373" s="3">
        <f>C373*VLOOKUP(A373,[1]오일단가!$A:$S,16,0)</f>
        <v>0</v>
      </c>
      <c r="L373" s="302"/>
      <c r="M373" s="299"/>
      <c r="N373" s="283">
        <f>F373*VLOOKUP(A373,[1]오일단가!$A:$S,17,0)</f>
        <v>0</v>
      </c>
      <c r="O373" s="276"/>
      <c r="P373" s="482"/>
      <c r="Q373" s="5"/>
      <c r="R373" s="3">
        <f t="shared" si="115"/>
        <v>0</v>
      </c>
      <c r="S373" s="3">
        <f>J373*1820</f>
        <v>0</v>
      </c>
    </row>
    <row r="374" spans="1:19" s="1" customFormat="1">
      <c r="A374" s="354" t="s">
        <v>484</v>
      </c>
      <c r="B374" s="675"/>
      <c r="C374" s="233"/>
      <c r="D374" s="234"/>
      <c r="E374" s="234"/>
      <c r="F374" s="230"/>
      <c r="G374" s="345"/>
      <c r="H374" s="80"/>
      <c r="I374" s="114"/>
      <c r="J374" s="35">
        <f t="shared" si="114"/>
        <v>0</v>
      </c>
      <c r="K374" s="3">
        <f>C374*VLOOKUP(A374,[1]오일단가!$A:$S,16,0)</f>
        <v>0</v>
      </c>
      <c r="L374" s="302"/>
      <c r="M374" s="299"/>
      <c r="N374" s="283">
        <f>F374*VLOOKUP(A374,[1]오일단가!$A:$S,17,0)</f>
        <v>0</v>
      </c>
      <c r="O374" s="276"/>
      <c r="P374" s="482"/>
      <c r="Q374" s="5"/>
      <c r="R374" s="3">
        <f t="shared" si="115"/>
        <v>0</v>
      </c>
      <c r="S374" s="3">
        <f>J374*4170</f>
        <v>0</v>
      </c>
    </row>
    <row r="375" spans="1:19" s="1" customFormat="1">
      <c r="A375" s="354" t="s">
        <v>698</v>
      </c>
      <c r="B375" s="675"/>
      <c r="C375" s="233"/>
      <c r="D375" s="234"/>
      <c r="E375" s="234"/>
      <c r="F375" s="230"/>
      <c r="G375" s="345"/>
      <c r="H375" s="80"/>
      <c r="I375" s="114"/>
      <c r="J375" s="35">
        <f t="shared" si="114"/>
        <v>0</v>
      </c>
      <c r="K375" s="3">
        <f>C375*125000</f>
        <v>0</v>
      </c>
      <c r="L375" s="302"/>
      <c r="M375" s="299"/>
      <c r="N375" s="283">
        <f>F375*113000</f>
        <v>0</v>
      </c>
      <c r="O375" s="276"/>
      <c r="P375" s="482"/>
      <c r="Q375" s="5"/>
      <c r="R375" s="3">
        <f t="shared" si="115"/>
        <v>0</v>
      </c>
      <c r="S375" s="3">
        <f>J375*9020</f>
        <v>0</v>
      </c>
    </row>
    <row r="376" spans="1:19" s="1" customFormat="1">
      <c r="A376" s="354" t="s">
        <v>689</v>
      </c>
      <c r="B376" s="675"/>
      <c r="C376" s="233"/>
      <c r="D376" s="234"/>
      <c r="E376" s="234"/>
      <c r="F376" s="230"/>
      <c r="G376" s="345"/>
      <c r="H376" s="80"/>
      <c r="I376" s="114"/>
      <c r="J376" s="35">
        <f t="shared" si="114"/>
        <v>0</v>
      </c>
      <c r="K376" s="3">
        <f>C376*110000</f>
        <v>0</v>
      </c>
      <c r="L376" s="302"/>
      <c r="M376" s="299"/>
      <c r="N376" s="283">
        <f>F376*99000</f>
        <v>0</v>
      </c>
      <c r="O376" s="276"/>
      <c r="P376" s="482"/>
      <c r="Q376" s="5"/>
      <c r="R376" s="3">
        <f t="shared" si="115"/>
        <v>0</v>
      </c>
      <c r="S376" s="3">
        <f>J376*5930</f>
        <v>0</v>
      </c>
    </row>
    <row r="377" spans="1:19" s="1" customFormat="1">
      <c r="A377" s="356" t="s">
        <v>536</v>
      </c>
      <c r="B377" s="675"/>
      <c r="C377" s="218"/>
      <c r="D377" s="234"/>
      <c r="E377" s="234"/>
      <c r="F377" s="191"/>
      <c r="G377" s="195"/>
      <c r="H377" s="80"/>
      <c r="I377" s="114"/>
      <c r="J377" s="35">
        <f t="shared" si="114"/>
        <v>0</v>
      </c>
      <c r="K377" s="3">
        <f>C377*VLOOKUP(A377,[1]오일단가!$A:$S,16,0)</f>
        <v>0</v>
      </c>
      <c r="L377" s="302"/>
      <c r="M377" s="299"/>
      <c r="N377" s="283">
        <f>F377*VLOOKUP(A377,[1]오일단가!$A:$S,17,0)</f>
        <v>0</v>
      </c>
      <c r="O377" s="276"/>
      <c r="P377" s="482"/>
      <c r="Q377" s="5"/>
      <c r="R377" s="3">
        <f t="shared" si="115"/>
        <v>0</v>
      </c>
      <c r="S377" s="3">
        <f>J377*17940</f>
        <v>0</v>
      </c>
    </row>
    <row r="378" spans="1:19" s="1" customFormat="1">
      <c r="A378" s="356" t="s">
        <v>683</v>
      </c>
      <c r="B378" s="675"/>
      <c r="C378" s="218"/>
      <c r="D378" s="234"/>
      <c r="E378" s="234"/>
      <c r="F378" s="191"/>
      <c r="G378" s="195"/>
      <c r="H378" s="80"/>
      <c r="I378" s="114"/>
      <c r="J378" s="35">
        <f t="shared" si="114"/>
        <v>0</v>
      </c>
      <c r="K378" s="3">
        <f>C378*VLOOKUP(A378,[1]오일단가!$A:$S,16,0)</f>
        <v>0</v>
      </c>
      <c r="L378" s="302"/>
      <c r="M378" s="299"/>
      <c r="N378" s="283">
        <f>F378*VLOOKUP(A378,[1]오일단가!$A:$S,17,0)</f>
        <v>0</v>
      </c>
      <c r="O378" s="276"/>
      <c r="P378" s="482"/>
      <c r="Q378" s="5"/>
      <c r="R378" s="3">
        <f t="shared" si="115"/>
        <v>0</v>
      </c>
      <c r="S378" s="3">
        <f>J378*2110</f>
        <v>0</v>
      </c>
    </row>
    <row r="379" spans="1:19" s="1" customFormat="1">
      <c r="A379" s="354" t="s">
        <v>487</v>
      </c>
      <c r="B379" s="675"/>
      <c r="C379" s="233">
        <v>4</v>
      </c>
      <c r="D379" s="234"/>
      <c r="E379" s="234"/>
      <c r="F379" s="230"/>
      <c r="G379" s="345"/>
      <c r="H379" s="80"/>
      <c r="I379" s="114"/>
      <c r="J379" s="35">
        <f t="shared" si="114"/>
        <v>4</v>
      </c>
      <c r="K379" s="3">
        <f>C379*VLOOKUP(A379,[1]오일단가!$A:$S,16,0)</f>
        <v>24000</v>
      </c>
      <c r="L379" s="302"/>
      <c r="M379" s="299"/>
      <c r="N379" s="283">
        <f>F379*VLOOKUP(A379,[1]오일단가!$A:$S,17,0)</f>
        <v>0</v>
      </c>
      <c r="O379" s="276"/>
      <c r="P379" s="482"/>
      <c r="Q379" s="5"/>
      <c r="R379" s="3">
        <f t="shared" si="115"/>
        <v>24000</v>
      </c>
      <c r="S379" s="3">
        <f>J379*1728</f>
        <v>6912</v>
      </c>
    </row>
    <row r="380" spans="1:19" s="1" customFormat="1">
      <c r="A380" s="354" t="s">
        <v>690</v>
      </c>
      <c r="B380" s="675"/>
      <c r="C380" s="233"/>
      <c r="D380" s="234"/>
      <c r="E380" s="234"/>
      <c r="F380" s="230"/>
      <c r="G380" s="345"/>
      <c r="H380" s="80"/>
      <c r="I380" s="114"/>
      <c r="J380" s="35">
        <f t="shared" si="114"/>
        <v>0</v>
      </c>
      <c r="K380" s="3">
        <f>C380*17000</f>
        <v>0</v>
      </c>
      <c r="L380" s="302"/>
      <c r="M380" s="299"/>
      <c r="N380" s="283">
        <f>F380*15000</f>
        <v>0</v>
      </c>
      <c r="O380" s="276"/>
      <c r="P380" s="482"/>
      <c r="Q380" s="5"/>
      <c r="R380" s="3">
        <f t="shared" si="115"/>
        <v>0</v>
      </c>
      <c r="S380" s="3">
        <f>J380*2620</f>
        <v>0</v>
      </c>
    </row>
    <row r="381" spans="1:19" s="1" customFormat="1">
      <c r="A381" s="354" t="s">
        <v>488</v>
      </c>
      <c r="B381" s="675"/>
      <c r="C381" s="233">
        <v>2</v>
      </c>
      <c r="D381" s="234"/>
      <c r="E381" s="234"/>
      <c r="F381" s="230"/>
      <c r="G381" s="345"/>
      <c r="H381" s="80"/>
      <c r="I381" s="114"/>
      <c r="J381" s="35">
        <f t="shared" si="114"/>
        <v>2</v>
      </c>
      <c r="K381" s="3">
        <f>C381*VLOOKUP(A381,[1]오일단가!$A:$S,16,0)</f>
        <v>24000</v>
      </c>
      <c r="L381" s="302"/>
      <c r="M381" s="299"/>
      <c r="N381" s="283">
        <f>F381*VLOOKUP(A381,[1]오일단가!$A:$S,17,0)</f>
        <v>0</v>
      </c>
      <c r="O381" s="276"/>
      <c r="P381" s="482"/>
      <c r="Q381" s="5"/>
      <c r="R381" s="3">
        <f t="shared" si="115"/>
        <v>24000</v>
      </c>
      <c r="S381" s="3">
        <f>J381*1996</f>
        <v>3992</v>
      </c>
    </row>
    <row r="382" spans="1:19" s="1" customFormat="1">
      <c r="A382" s="354" t="s">
        <v>613</v>
      </c>
      <c r="B382" s="675"/>
      <c r="C382" s="233"/>
      <c r="D382" s="234"/>
      <c r="E382" s="234"/>
      <c r="F382" s="230"/>
      <c r="G382" s="345"/>
      <c r="H382" s="80"/>
      <c r="I382" s="114"/>
      <c r="J382" s="35">
        <f t="shared" si="114"/>
        <v>0</v>
      </c>
      <c r="K382" s="3">
        <f>C382*VLOOKUP(A382,[1]오일단가!$A:$S,16,0)</f>
        <v>0</v>
      </c>
      <c r="L382" s="302"/>
      <c r="M382" s="299"/>
      <c r="N382" s="283">
        <f>F382*VLOOKUP(A382,[1]오일단가!$A:$S,17,0)</f>
        <v>0</v>
      </c>
      <c r="O382" s="276"/>
      <c r="P382" s="482"/>
      <c r="Q382" s="5"/>
      <c r="R382" s="3">
        <f t="shared" si="115"/>
        <v>0</v>
      </c>
      <c r="S382" s="3">
        <f>J382*2080</f>
        <v>0</v>
      </c>
    </row>
    <row r="383" spans="1:19" s="1" customFormat="1">
      <c r="A383" s="356" t="s">
        <v>489</v>
      </c>
      <c r="B383" s="675"/>
      <c r="C383" s="218">
        <v>1</v>
      </c>
      <c r="D383" s="33"/>
      <c r="E383" s="33"/>
      <c r="F383" s="191">
        <v>1</v>
      </c>
      <c r="G383" s="195"/>
      <c r="H383" s="80"/>
      <c r="I383" s="114"/>
      <c r="J383" s="35">
        <f t="shared" si="114"/>
        <v>2</v>
      </c>
      <c r="K383" s="3">
        <f>C383*VLOOKUP(A383,[1]오일단가!$A:$S,16,0)</f>
        <v>27000</v>
      </c>
      <c r="L383" s="302"/>
      <c r="M383" s="299"/>
      <c r="N383" s="283">
        <f>F383*VLOOKUP(A383,[1]오일단가!$A:$S,17,0)</f>
        <v>24000</v>
      </c>
      <c r="O383" s="276"/>
      <c r="P383" s="482"/>
      <c r="Q383" s="5"/>
      <c r="R383" s="3">
        <f t="shared" si="115"/>
        <v>51000</v>
      </c>
      <c r="S383" s="3">
        <f>J383*5556</f>
        <v>11112</v>
      </c>
    </row>
    <row r="384" spans="1:19" s="1" customFormat="1">
      <c r="A384" s="356" t="s">
        <v>672</v>
      </c>
      <c r="B384" s="675"/>
      <c r="C384" s="218">
        <v>1</v>
      </c>
      <c r="D384" s="234"/>
      <c r="E384" s="234"/>
      <c r="F384" s="191"/>
      <c r="G384" s="195"/>
      <c r="H384" s="80"/>
      <c r="I384" s="114"/>
      <c r="J384" s="35">
        <f t="shared" si="114"/>
        <v>1</v>
      </c>
      <c r="K384" s="3">
        <f>C384*VLOOKUP(A384,[1]오일단가!$A:$S,16,0)</f>
        <v>27000</v>
      </c>
      <c r="L384" s="302"/>
      <c r="M384" s="299"/>
      <c r="N384" s="283">
        <f>F384*VLOOKUP(A384,[1]오일단가!$A:$S,17,0)</f>
        <v>0</v>
      </c>
      <c r="O384" s="276"/>
      <c r="P384" s="482"/>
      <c r="Q384" s="5"/>
      <c r="R384" s="3">
        <f t="shared" si="115"/>
        <v>27000</v>
      </c>
      <c r="S384" s="3">
        <f>J384*5480</f>
        <v>5480</v>
      </c>
    </row>
    <row r="385" spans="1:19" s="1" customFormat="1">
      <c r="A385" s="354" t="s">
        <v>673</v>
      </c>
      <c r="B385" s="675"/>
      <c r="C385" s="233"/>
      <c r="D385" s="234"/>
      <c r="E385" s="234"/>
      <c r="F385" s="230"/>
      <c r="G385" s="345"/>
      <c r="H385" s="80"/>
      <c r="I385" s="114"/>
      <c r="J385" s="35">
        <f t="shared" si="114"/>
        <v>0</v>
      </c>
      <c r="K385" s="3">
        <f>C385*VLOOKUP(A385,[1]오일단가!$A:$S,16,0)</f>
        <v>0</v>
      </c>
      <c r="L385" s="302"/>
      <c r="M385" s="299"/>
      <c r="N385" s="283">
        <f>F385*VLOOKUP(A385,[1]오일단가!$A:$S,17,0)</f>
        <v>0</v>
      </c>
      <c r="O385" s="276"/>
      <c r="P385" s="482"/>
      <c r="Q385" s="5"/>
      <c r="R385" s="3">
        <f t="shared" si="115"/>
        <v>0</v>
      </c>
      <c r="S385" s="3">
        <f>J385*6700</f>
        <v>0</v>
      </c>
    </row>
    <row r="386" spans="1:19" s="1" customFormat="1">
      <c r="A386" s="356" t="s">
        <v>537</v>
      </c>
      <c r="B386" s="675"/>
      <c r="C386" s="218"/>
      <c r="D386" s="234"/>
      <c r="E386" s="234"/>
      <c r="F386" s="191"/>
      <c r="G386" s="195"/>
      <c r="H386" s="80"/>
      <c r="I386" s="114"/>
      <c r="J386" s="35">
        <f t="shared" si="114"/>
        <v>0</v>
      </c>
      <c r="K386" s="3">
        <f>C386*VLOOKUP(A386,[1]오일단가!$A:$S,16,0)</f>
        <v>0</v>
      </c>
      <c r="L386" s="302"/>
      <c r="M386" s="299"/>
      <c r="N386" s="283">
        <f>F386*VLOOKUP(A386,[1]오일단가!$A:$S,17,0)</f>
        <v>0</v>
      </c>
      <c r="O386" s="276"/>
      <c r="P386" s="482"/>
      <c r="Q386" s="5"/>
      <c r="R386" s="3">
        <f t="shared" si="115"/>
        <v>0</v>
      </c>
      <c r="S386" s="3">
        <f>J386*4225</f>
        <v>0</v>
      </c>
    </row>
    <row r="387" spans="1:19" s="1" customFormat="1">
      <c r="A387" s="356" t="s">
        <v>538</v>
      </c>
      <c r="B387" s="675"/>
      <c r="C387" s="218"/>
      <c r="D387" s="234"/>
      <c r="E387" s="234"/>
      <c r="F387" s="191"/>
      <c r="G387" s="195"/>
      <c r="H387" s="80"/>
      <c r="I387" s="114"/>
      <c r="J387" s="35">
        <f t="shared" si="114"/>
        <v>0</v>
      </c>
      <c r="K387" s="3">
        <f>C387*VLOOKUP(A387,[1]오일단가!$A:$S,16,0)</f>
        <v>0</v>
      </c>
      <c r="L387" s="302"/>
      <c r="M387" s="299"/>
      <c r="N387" s="283">
        <f>F387*VLOOKUP(A387,[1]오일단가!$A:$S,17,0)</f>
        <v>0</v>
      </c>
      <c r="O387" s="276"/>
      <c r="P387" s="482"/>
      <c r="Q387" s="5"/>
      <c r="R387" s="3">
        <f t="shared" si="115"/>
        <v>0</v>
      </c>
      <c r="S387" s="3">
        <f>J387*5380</f>
        <v>0</v>
      </c>
    </row>
    <row r="388" spans="1:19" s="1" customFormat="1">
      <c r="A388" s="356" t="s">
        <v>699</v>
      </c>
      <c r="B388" s="675"/>
      <c r="C388" s="218"/>
      <c r="D388" s="234"/>
      <c r="E388" s="234"/>
      <c r="F388" s="191"/>
      <c r="G388" s="195"/>
      <c r="H388" s="80"/>
      <c r="I388" s="114"/>
      <c r="J388" s="35">
        <f t="shared" si="114"/>
        <v>0</v>
      </c>
      <c r="K388" s="3">
        <f>C388*23000</f>
        <v>0</v>
      </c>
      <c r="L388" s="302"/>
      <c r="M388" s="299"/>
      <c r="N388" s="283">
        <f>F388*21000</f>
        <v>0</v>
      </c>
      <c r="O388" s="276"/>
      <c r="P388" s="482"/>
      <c r="Q388" s="5"/>
      <c r="R388" s="3">
        <f t="shared" si="115"/>
        <v>0</v>
      </c>
      <c r="S388" s="3">
        <f>J388*3220</f>
        <v>0</v>
      </c>
    </row>
    <row r="389" spans="1:19" s="1" customFormat="1">
      <c r="A389" s="356" t="s">
        <v>700</v>
      </c>
      <c r="B389" s="675"/>
      <c r="C389" s="218"/>
      <c r="D389" s="234"/>
      <c r="E389" s="234"/>
      <c r="F389" s="191"/>
      <c r="G389" s="195"/>
      <c r="H389" s="80"/>
      <c r="I389" s="114"/>
      <c r="J389" s="35">
        <f t="shared" si="114"/>
        <v>0</v>
      </c>
      <c r="K389" s="3">
        <f>C389*29000</f>
        <v>0</v>
      </c>
      <c r="L389" s="302"/>
      <c r="M389" s="299"/>
      <c r="N389" s="283">
        <f>F389*26000</f>
        <v>0</v>
      </c>
      <c r="O389" s="276"/>
      <c r="P389" s="482"/>
      <c r="Q389" s="5"/>
      <c r="R389" s="3">
        <f t="shared" si="115"/>
        <v>0</v>
      </c>
      <c r="S389" s="3">
        <f>J389*5340</f>
        <v>0</v>
      </c>
    </row>
    <row r="390" spans="1:19" s="1" customFormat="1">
      <c r="A390" s="356" t="s">
        <v>615</v>
      </c>
      <c r="B390" s="675"/>
      <c r="C390" s="218"/>
      <c r="D390" s="234"/>
      <c r="E390" s="234"/>
      <c r="F390" s="191"/>
      <c r="G390" s="195"/>
      <c r="H390" s="80"/>
      <c r="I390" s="114"/>
      <c r="J390" s="35">
        <f t="shared" si="114"/>
        <v>0</v>
      </c>
      <c r="K390" s="3">
        <f>C390*VLOOKUP(A390,[1]오일단가!$A:$S,16,0)</f>
        <v>0</v>
      </c>
      <c r="L390" s="302"/>
      <c r="M390" s="299"/>
      <c r="N390" s="283">
        <f>F390*VLOOKUP(A390,[1]오일단가!$A:$S,17,0)</f>
        <v>0</v>
      </c>
      <c r="O390" s="276"/>
      <c r="P390" s="482"/>
      <c r="Q390" s="5"/>
      <c r="R390" s="3">
        <f t="shared" si="115"/>
        <v>0</v>
      </c>
      <c r="S390" s="3">
        <f>J390*5600</f>
        <v>0</v>
      </c>
    </row>
    <row r="391" spans="1:19" s="1" customFormat="1">
      <c r="A391" s="356" t="s">
        <v>684</v>
      </c>
      <c r="B391" s="675"/>
      <c r="C391" s="218"/>
      <c r="D391" s="234"/>
      <c r="E391" s="234"/>
      <c r="F391" s="191"/>
      <c r="G391" s="195"/>
      <c r="H391" s="80"/>
      <c r="I391" s="114"/>
      <c r="J391" s="35">
        <f t="shared" si="114"/>
        <v>0</v>
      </c>
      <c r="K391" s="3">
        <f>C391*VLOOKUP(A391,[1]오일단가!$A:$S,16,0)</f>
        <v>0</v>
      </c>
      <c r="L391" s="302"/>
      <c r="M391" s="299"/>
      <c r="N391" s="283">
        <f>F391*VLOOKUP(A391,[1]오일단가!$A:$S,17,0)</f>
        <v>0</v>
      </c>
      <c r="O391" s="276"/>
      <c r="P391" s="482"/>
      <c r="Q391" s="5"/>
      <c r="R391" s="3">
        <f t="shared" si="115"/>
        <v>0</v>
      </c>
      <c r="S391" s="3">
        <f>J391*2570</f>
        <v>0</v>
      </c>
    </row>
    <row r="392" spans="1:19" s="1" customFormat="1">
      <c r="A392" s="356" t="s">
        <v>691</v>
      </c>
      <c r="B392" s="675"/>
      <c r="C392" s="218"/>
      <c r="D392" s="234"/>
      <c r="E392" s="234"/>
      <c r="F392" s="191"/>
      <c r="G392" s="195"/>
      <c r="H392" s="80"/>
      <c r="I392" s="114"/>
      <c r="J392" s="35">
        <f t="shared" si="114"/>
        <v>0</v>
      </c>
      <c r="K392" s="3">
        <f>C392*23000</f>
        <v>0</v>
      </c>
      <c r="L392" s="302"/>
      <c r="M392" s="299"/>
      <c r="N392" s="283">
        <f>F392*21000</f>
        <v>0</v>
      </c>
      <c r="O392" s="276"/>
      <c r="P392" s="482"/>
      <c r="Q392" s="5"/>
      <c r="R392" s="3">
        <f t="shared" si="115"/>
        <v>0</v>
      </c>
      <c r="S392" s="3">
        <f>J392*3330</f>
        <v>0</v>
      </c>
    </row>
    <row r="393" spans="1:19" s="1" customFormat="1">
      <c r="A393" s="356" t="s">
        <v>692</v>
      </c>
      <c r="B393" s="675"/>
      <c r="C393" s="218"/>
      <c r="D393" s="234"/>
      <c r="E393" s="234"/>
      <c r="F393" s="191"/>
      <c r="G393" s="195"/>
      <c r="H393" s="80"/>
      <c r="I393" s="114"/>
      <c r="J393" s="35">
        <f t="shared" si="114"/>
        <v>0</v>
      </c>
      <c r="K393" s="3">
        <f>C393*16000</f>
        <v>0</v>
      </c>
      <c r="L393" s="302"/>
      <c r="M393" s="299"/>
      <c r="N393" s="283">
        <f>F393*14000</f>
        <v>0</v>
      </c>
      <c r="O393" s="276"/>
      <c r="P393" s="482"/>
      <c r="Q393" s="5"/>
      <c r="R393" s="3">
        <f t="shared" si="115"/>
        <v>0</v>
      </c>
      <c r="S393" s="3">
        <f>J393*2090</f>
        <v>0</v>
      </c>
    </row>
    <row r="394" spans="1:19" s="1" customFormat="1">
      <c r="A394" s="356" t="s">
        <v>693</v>
      </c>
      <c r="B394" s="675"/>
      <c r="C394" s="218"/>
      <c r="D394" s="234"/>
      <c r="E394" s="234"/>
      <c r="F394" s="191"/>
      <c r="G394" s="195"/>
      <c r="H394" s="80"/>
      <c r="I394" s="114"/>
      <c r="J394" s="35">
        <f t="shared" si="114"/>
        <v>0</v>
      </c>
      <c r="K394" s="3">
        <f>C394*23000</f>
        <v>0</v>
      </c>
      <c r="L394" s="302"/>
      <c r="M394" s="299"/>
      <c r="N394" s="283">
        <f>F394*21000</f>
        <v>0</v>
      </c>
      <c r="O394" s="276"/>
      <c r="P394" s="482"/>
      <c r="Q394" s="5"/>
      <c r="R394" s="3">
        <f t="shared" si="115"/>
        <v>0</v>
      </c>
      <c r="S394" s="3">
        <f>J394*3170</f>
        <v>0</v>
      </c>
    </row>
    <row r="395" spans="1:19" s="1" customFormat="1">
      <c r="A395" s="356" t="s">
        <v>490</v>
      </c>
      <c r="B395" s="675"/>
      <c r="C395" s="218"/>
      <c r="D395" s="234"/>
      <c r="E395" s="234"/>
      <c r="F395" s="191"/>
      <c r="G395" s="195"/>
      <c r="H395" s="80"/>
      <c r="I395" s="114"/>
      <c r="J395" s="35">
        <f t="shared" si="114"/>
        <v>0</v>
      </c>
      <c r="K395" s="3">
        <f>C395*VLOOKUP(A395,[1]오일단가!$A:$S,16,0)</f>
        <v>0</v>
      </c>
      <c r="L395" s="302"/>
      <c r="M395" s="299"/>
      <c r="N395" s="283">
        <f>F395*VLOOKUP(A395,[1]오일단가!$A:$S,17,0)</f>
        <v>0</v>
      </c>
      <c r="O395" s="276"/>
      <c r="P395" s="482"/>
      <c r="Q395" s="5"/>
      <c r="R395" s="3">
        <f t="shared" si="115"/>
        <v>0</v>
      </c>
      <c r="S395" s="3">
        <f>J395*4720</f>
        <v>0</v>
      </c>
    </row>
    <row r="396" spans="1:19" s="1" customFormat="1">
      <c r="A396" s="356" t="s">
        <v>616</v>
      </c>
      <c r="B396" s="675"/>
      <c r="C396" s="218"/>
      <c r="D396" s="234"/>
      <c r="E396" s="234"/>
      <c r="F396" s="191"/>
      <c r="G396" s="195"/>
      <c r="H396" s="80"/>
      <c r="I396" s="114"/>
      <c r="J396" s="35">
        <f t="shared" si="114"/>
        <v>0</v>
      </c>
      <c r="K396" s="3">
        <f>C396*VLOOKUP(A396,[1]오일단가!$A:$S,16,0)</f>
        <v>0</v>
      </c>
      <c r="L396" s="302"/>
      <c r="M396" s="299"/>
      <c r="N396" s="283">
        <f>F396*VLOOKUP(A396,[1]오일단가!$A:$S,17,0)</f>
        <v>0</v>
      </c>
      <c r="O396" s="276"/>
      <c r="P396" s="482"/>
      <c r="Q396" s="5"/>
      <c r="R396" s="3">
        <f t="shared" si="115"/>
        <v>0</v>
      </c>
      <c r="S396" s="3">
        <f>J396*3048</f>
        <v>0</v>
      </c>
    </row>
    <row r="397" spans="1:19" s="1" customFormat="1">
      <c r="A397" s="356" t="s">
        <v>539</v>
      </c>
      <c r="B397" s="675"/>
      <c r="C397" s="218"/>
      <c r="D397" s="234"/>
      <c r="E397" s="234"/>
      <c r="F397" s="191"/>
      <c r="G397" s="195"/>
      <c r="H397" s="80"/>
      <c r="I397" s="114"/>
      <c r="J397" s="35">
        <f t="shared" si="114"/>
        <v>0</v>
      </c>
      <c r="K397" s="3">
        <f>C397*VLOOKUP(A397,[1]오일단가!$A:$S,16,0)</f>
        <v>0</v>
      </c>
      <c r="L397" s="302"/>
      <c r="M397" s="299"/>
      <c r="N397" s="283">
        <f>F397*VLOOKUP(A397,[1]오일단가!$A:$S,17,0)</f>
        <v>0</v>
      </c>
      <c r="O397" s="276"/>
      <c r="P397" s="482"/>
      <c r="Q397" s="5"/>
      <c r="R397" s="3">
        <f t="shared" si="115"/>
        <v>0</v>
      </c>
      <c r="S397" s="3">
        <f>J397*2740</f>
        <v>0</v>
      </c>
    </row>
    <row r="398" spans="1:19" s="1" customFormat="1">
      <c r="A398" s="356" t="s">
        <v>694</v>
      </c>
      <c r="B398" s="675"/>
      <c r="C398" s="218"/>
      <c r="D398" s="234"/>
      <c r="E398" s="234"/>
      <c r="F398" s="191"/>
      <c r="G398" s="195"/>
      <c r="H398" s="80"/>
      <c r="I398" s="114"/>
      <c r="J398" s="35">
        <f t="shared" si="114"/>
        <v>0</v>
      </c>
      <c r="K398" s="3">
        <f>C398*16000</f>
        <v>0</v>
      </c>
      <c r="L398" s="302"/>
      <c r="M398" s="299"/>
      <c r="N398" s="283">
        <f>F398*14000</f>
        <v>0</v>
      </c>
      <c r="O398" s="276"/>
      <c r="P398" s="482"/>
      <c r="Q398" s="5"/>
      <c r="R398" s="3">
        <f t="shared" si="115"/>
        <v>0</v>
      </c>
      <c r="S398" s="3">
        <f>J398*2160</f>
        <v>0</v>
      </c>
    </row>
    <row r="399" spans="1:19" s="1" customFormat="1">
      <c r="A399" s="354" t="s">
        <v>485</v>
      </c>
      <c r="B399" s="675"/>
      <c r="C399" s="233"/>
      <c r="D399" s="234"/>
      <c r="E399" s="234"/>
      <c r="F399" s="230">
        <v>1</v>
      </c>
      <c r="G399" s="345"/>
      <c r="H399" s="80"/>
      <c r="I399" s="114"/>
      <c r="J399" s="35">
        <f t="shared" si="114"/>
        <v>1</v>
      </c>
      <c r="K399" s="3">
        <f>C399*VLOOKUP(A399,[1]오일단가!$A:$S,16,0)</f>
        <v>0</v>
      </c>
      <c r="L399" s="302"/>
      <c r="M399" s="299"/>
      <c r="N399" s="283">
        <f>F399*20000</f>
        <v>20000</v>
      </c>
      <c r="O399" s="276"/>
      <c r="P399" s="482"/>
      <c r="Q399" s="5"/>
      <c r="R399" s="3">
        <f t="shared" si="115"/>
        <v>20000</v>
      </c>
      <c r="S399" s="3">
        <f>J399*2060</f>
        <v>2060</v>
      </c>
    </row>
    <row r="400" spans="1:19" s="1" customFormat="1">
      <c r="A400" s="356" t="s">
        <v>540</v>
      </c>
      <c r="B400" s="675"/>
      <c r="C400" s="218"/>
      <c r="D400" s="234"/>
      <c r="E400" s="234"/>
      <c r="F400" s="191"/>
      <c r="G400" s="195"/>
      <c r="H400" s="80"/>
      <c r="I400" s="114"/>
      <c r="J400" s="35">
        <f t="shared" si="114"/>
        <v>0</v>
      </c>
      <c r="K400" s="3">
        <f>C400*VLOOKUP(A400,[1]오일단가!$A:$S,16,0)</f>
        <v>0</v>
      </c>
      <c r="L400" s="302"/>
      <c r="M400" s="299"/>
      <c r="N400" s="283">
        <f>F400*VLOOKUP(A400,[1]오일단가!$A:$S,17,0)</f>
        <v>0</v>
      </c>
      <c r="O400" s="276"/>
      <c r="P400" s="482"/>
      <c r="Q400" s="5"/>
      <c r="R400" s="3">
        <f t="shared" si="115"/>
        <v>0</v>
      </c>
      <c r="S400" s="3">
        <f>J400*3730</f>
        <v>0</v>
      </c>
    </row>
    <row r="401" spans="1:19" s="1" customFormat="1">
      <c r="A401" s="356" t="s">
        <v>656</v>
      </c>
      <c r="B401" s="675"/>
      <c r="C401" s="218"/>
      <c r="D401" s="234"/>
      <c r="E401" s="234"/>
      <c r="F401" s="191"/>
      <c r="G401" s="195"/>
      <c r="H401" s="80"/>
      <c r="I401" s="114"/>
      <c r="J401" s="35">
        <f t="shared" si="114"/>
        <v>0</v>
      </c>
      <c r="K401" s="3">
        <f>C401*VLOOKUP(A401,[1]오일단가!$A:$S,16,0)</f>
        <v>0</v>
      </c>
      <c r="L401" s="302"/>
      <c r="M401" s="299"/>
      <c r="N401" s="283">
        <f>F401*VLOOKUP(A401,[1]오일단가!$A:$S,17,0)</f>
        <v>0</v>
      </c>
      <c r="O401" s="276"/>
      <c r="P401" s="482"/>
      <c r="Q401" s="5"/>
      <c r="R401" s="3">
        <f t="shared" si="115"/>
        <v>0</v>
      </c>
      <c r="S401" s="3">
        <f>J401*2360</f>
        <v>0</v>
      </c>
    </row>
    <row r="402" spans="1:19" s="1" customFormat="1">
      <c r="A402" s="354" t="s">
        <v>486</v>
      </c>
      <c r="B402" s="675"/>
      <c r="C402" s="233">
        <v>4</v>
      </c>
      <c r="D402" s="234"/>
      <c r="E402" s="234"/>
      <c r="F402" s="230">
        <v>3</v>
      </c>
      <c r="G402" s="345"/>
      <c r="H402" s="80"/>
      <c r="I402" s="114"/>
      <c r="J402" s="35">
        <f t="shared" si="114"/>
        <v>7</v>
      </c>
      <c r="K402" s="3">
        <f>C402*VLOOKUP(A402,[1]오일단가!$A:$S,16,0)</f>
        <v>40000</v>
      </c>
      <c r="L402" s="302"/>
      <c r="M402" s="299"/>
      <c r="N402" s="283">
        <f>F402*VLOOKUP(A402,[1]오일단가!$A:$S,17,0)</f>
        <v>27000</v>
      </c>
      <c r="O402" s="276"/>
      <c r="P402" s="482"/>
      <c r="Q402" s="5"/>
      <c r="R402" s="3">
        <f t="shared" si="115"/>
        <v>67000</v>
      </c>
      <c r="S402" s="3">
        <f>J402*1790</f>
        <v>12530</v>
      </c>
    </row>
    <row r="403" spans="1:19" s="1" customFormat="1">
      <c r="A403" s="356" t="s">
        <v>541</v>
      </c>
      <c r="B403" s="675"/>
      <c r="C403" s="218"/>
      <c r="D403" s="234"/>
      <c r="E403" s="234"/>
      <c r="F403" s="191"/>
      <c r="G403" s="195"/>
      <c r="H403" s="80"/>
      <c r="I403" s="114"/>
      <c r="J403" s="35">
        <f t="shared" si="114"/>
        <v>0</v>
      </c>
      <c r="K403" s="3">
        <f>C403*VLOOKUP(A403,[1]오일단가!$A:$S,16,0)</f>
        <v>0</v>
      </c>
      <c r="L403" s="302"/>
      <c r="M403" s="299"/>
      <c r="N403" s="283">
        <f>F403*VLOOKUP(A403,[1]오일단가!$A:$S,17,0)</f>
        <v>0</v>
      </c>
      <c r="O403" s="276"/>
      <c r="P403" s="482"/>
      <c r="Q403" s="5"/>
      <c r="R403" s="3">
        <f t="shared" si="115"/>
        <v>0</v>
      </c>
      <c r="S403" s="3">
        <f>J403*4060</f>
        <v>0</v>
      </c>
    </row>
    <row r="404" spans="1:19" s="1" customFormat="1">
      <c r="A404" s="356" t="s">
        <v>543</v>
      </c>
      <c r="B404" s="675"/>
      <c r="C404" s="218"/>
      <c r="D404" s="234"/>
      <c r="E404" s="234"/>
      <c r="F404" s="191"/>
      <c r="G404" s="195"/>
      <c r="H404" s="80"/>
      <c r="I404" s="114"/>
      <c r="J404" s="35">
        <f t="shared" si="114"/>
        <v>0</v>
      </c>
      <c r="K404" s="3">
        <f>C404*VLOOKUP(A404,[1]오일단가!$A:$S,16,0)</f>
        <v>0</v>
      </c>
      <c r="L404" s="302"/>
      <c r="M404" s="299"/>
      <c r="N404" s="283">
        <f>F404*VLOOKUP(A404,[1]오일단가!$A:$S,17,0)</f>
        <v>0</v>
      </c>
      <c r="O404" s="276"/>
      <c r="P404" s="482"/>
      <c r="Q404" s="5"/>
      <c r="R404" s="3">
        <f t="shared" si="115"/>
        <v>0</v>
      </c>
      <c r="S404" s="3">
        <f>J404*7690</f>
        <v>0</v>
      </c>
    </row>
    <row r="405" spans="1:19" s="1" customFormat="1">
      <c r="A405" s="356" t="s">
        <v>617</v>
      </c>
      <c r="B405" s="675"/>
      <c r="C405" s="218"/>
      <c r="D405" s="234"/>
      <c r="E405" s="234"/>
      <c r="F405" s="191"/>
      <c r="G405" s="195"/>
      <c r="H405" s="80"/>
      <c r="I405" s="114"/>
      <c r="J405" s="35">
        <f t="shared" si="114"/>
        <v>0</v>
      </c>
      <c r="K405" s="3">
        <f>C405*VLOOKUP(A405,[1]오일단가!$A:$S,16,0)</f>
        <v>0</v>
      </c>
      <c r="L405" s="302"/>
      <c r="M405" s="299"/>
      <c r="N405" s="283">
        <f>F405*VLOOKUP(A405,[1]오일단가!$A:$S,17,0)</f>
        <v>0</v>
      </c>
      <c r="O405" s="276"/>
      <c r="P405" s="482"/>
      <c r="Q405" s="5"/>
      <c r="R405" s="3">
        <f t="shared" si="115"/>
        <v>0</v>
      </c>
      <c r="S405" s="3">
        <f>J405*3730</f>
        <v>0</v>
      </c>
    </row>
    <row r="406" spans="1:19" s="1" customFormat="1">
      <c r="A406" s="356" t="s">
        <v>674</v>
      </c>
      <c r="B406" s="675"/>
      <c r="C406" s="233">
        <v>1</v>
      </c>
      <c r="D406" s="234"/>
      <c r="E406" s="234"/>
      <c r="F406" s="230"/>
      <c r="G406" s="345"/>
      <c r="H406" s="80"/>
      <c r="I406" s="114"/>
      <c r="J406" s="35">
        <f t="shared" si="114"/>
        <v>1</v>
      </c>
      <c r="K406" s="3">
        <f>C406*VLOOKUP(A406,[1]오일단가!$A:$S,16,0)</f>
        <v>24000</v>
      </c>
      <c r="L406" s="302"/>
      <c r="M406" s="299"/>
      <c r="N406" s="283">
        <f>F406*VLOOKUP(A406,[1]오일단가!$A:$S,17,0)</f>
        <v>0</v>
      </c>
      <c r="O406" s="276"/>
      <c r="P406" s="482"/>
      <c r="Q406" s="5"/>
      <c r="R406" s="3">
        <f t="shared" si="115"/>
        <v>24000</v>
      </c>
      <c r="S406" s="3">
        <f>J406*5160</f>
        <v>5160</v>
      </c>
    </row>
    <row r="407" spans="1:19" s="1" customFormat="1">
      <c r="A407" s="356" t="s">
        <v>695</v>
      </c>
      <c r="B407" s="675"/>
      <c r="C407" s="233"/>
      <c r="D407" s="234"/>
      <c r="E407" s="234"/>
      <c r="F407" s="230"/>
      <c r="G407" s="345"/>
      <c r="H407" s="80"/>
      <c r="I407" s="114"/>
      <c r="J407" s="35">
        <f t="shared" ref="J407:J496" si="119">SUM(B407:I407)</f>
        <v>0</v>
      </c>
      <c r="K407" s="3">
        <f>C407*125000</f>
        <v>0</v>
      </c>
      <c r="L407" s="302"/>
      <c r="M407" s="299"/>
      <c r="N407" s="283">
        <f>F407*113000</f>
        <v>0</v>
      </c>
      <c r="O407" s="276"/>
      <c r="P407" s="482"/>
      <c r="Q407" s="5"/>
      <c r="R407" s="3">
        <f t="shared" si="115"/>
        <v>0</v>
      </c>
      <c r="S407" s="3">
        <f>J407*3640</f>
        <v>0</v>
      </c>
    </row>
    <row r="408" spans="1:19" s="1" customFormat="1">
      <c r="A408" s="356" t="s">
        <v>696</v>
      </c>
      <c r="B408" s="675"/>
      <c r="C408" s="233"/>
      <c r="D408" s="234"/>
      <c r="E408" s="234"/>
      <c r="F408" s="230"/>
      <c r="G408" s="345"/>
      <c r="H408" s="80"/>
      <c r="I408" s="114"/>
      <c r="J408" s="35">
        <f t="shared" si="119"/>
        <v>0</v>
      </c>
      <c r="K408" s="3">
        <f>C408*23000</f>
        <v>0</v>
      </c>
      <c r="L408" s="302"/>
      <c r="M408" s="299"/>
      <c r="N408" s="283">
        <f>F408*21000</f>
        <v>0</v>
      </c>
      <c r="O408" s="276"/>
      <c r="P408" s="482"/>
      <c r="Q408" s="5"/>
      <c r="R408" s="3">
        <f t="shared" si="115"/>
        <v>0</v>
      </c>
      <c r="S408" s="3">
        <f>J408*3220</f>
        <v>0</v>
      </c>
    </row>
    <row r="409" spans="1:19" s="1" customFormat="1">
      <c r="A409" s="356" t="s">
        <v>675</v>
      </c>
      <c r="B409" s="675"/>
      <c r="C409" s="35"/>
      <c r="D409" s="234"/>
      <c r="E409" s="234"/>
      <c r="F409" s="191"/>
      <c r="G409" s="195"/>
      <c r="H409" s="80"/>
      <c r="I409" s="114"/>
      <c r="J409" s="35">
        <f t="shared" si="119"/>
        <v>0</v>
      </c>
      <c r="K409" s="3">
        <f>C409*VLOOKUP(A409,[1]오일단가!$A:$S,16,0)</f>
        <v>0</v>
      </c>
      <c r="L409" s="302"/>
      <c r="M409" s="299"/>
      <c r="N409" s="283">
        <f>F409*VLOOKUP(A409,[1]오일단가!$A:$S,17,0)</f>
        <v>0</v>
      </c>
      <c r="O409" s="276"/>
      <c r="P409" s="482"/>
      <c r="Q409" s="5"/>
      <c r="R409" s="3">
        <f t="shared" si="115"/>
        <v>0</v>
      </c>
      <c r="S409" s="3">
        <f>J409*8130</f>
        <v>0</v>
      </c>
    </row>
    <row r="410" spans="1:19" s="1" customFormat="1">
      <c r="A410" s="356" t="s">
        <v>676</v>
      </c>
      <c r="B410" s="675"/>
      <c r="C410" s="35"/>
      <c r="D410" s="234"/>
      <c r="E410" s="234"/>
      <c r="F410" s="191"/>
      <c r="G410" s="195"/>
      <c r="H410" s="80"/>
      <c r="I410" s="114"/>
      <c r="J410" s="35">
        <f t="shared" si="119"/>
        <v>0</v>
      </c>
      <c r="K410" s="3">
        <f>C410*VLOOKUP(A410,[1]오일단가!$A:$S,16,0)</f>
        <v>0</v>
      </c>
      <c r="L410" s="302"/>
      <c r="M410" s="299"/>
      <c r="N410" s="283">
        <f>F410*VLOOKUP(A410,[1]오일단가!$A:$S,17,0)</f>
        <v>0</v>
      </c>
      <c r="O410" s="276"/>
      <c r="P410" s="482"/>
      <c r="Q410" s="5"/>
      <c r="R410" s="3">
        <f t="shared" si="115"/>
        <v>0</v>
      </c>
      <c r="S410" s="3">
        <f>J410*2960</f>
        <v>0</v>
      </c>
    </row>
    <row r="411" spans="1:19" s="1" customFormat="1">
      <c r="A411" s="356" t="s">
        <v>544</v>
      </c>
      <c r="B411" s="675"/>
      <c r="C411" s="35"/>
      <c r="D411" s="234"/>
      <c r="E411" s="234"/>
      <c r="F411" s="191"/>
      <c r="G411" s="195"/>
      <c r="H411" s="80"/>
      <c r="I411" s="114"/>
      <c r="J411" s="35">
        <f t="shared" si="119"/>
        <v>0</v>
      </c>
      <c r="K411" s="3">
        <f>C411*VLOOKUP(A411,[1]오일단가!$A:$S,16,0)</f>
        <v>0</v>
      </c>
      <c r="L411" s="302"/>
      <c r="M411" s="299"/>
      <c r="N411" s="283">
        <f>F411*VLOOKUP(A411,[1]오일단가!$A:$S,17,0)</f>
        <v>0</v>
      </c>
      <c r="O411" s="276"/>
      <c r="P411" s="482"/>
      <c r="Q411" s="5"/>
      <c r="R411" s="3">
        <f t="shared" si="115"/>
        <v>0</v>
      </c>
      <c r="S411" s="3">
        <f>J411*4270</f>
        <v>0</v>
      </c>
    </row>
    <row r="412" spans="1:19" s="1" customFormat="1">
      <c r="A412" s="356" t="s">
        <v>545</v>
      </c>
      <c r="B412" s="675"/>
      <c r="C412" s="35"/>
      <c r="D412" s="234"/>
      <c r="E412" s="234"/>
      <c r="F412" s="191"/>
      <c r="G412" s="195"/>
      <c r="H412" s="80"/>
      <c r="I412" s="114"/>
      <c r="J412" s="35">
        <f t="shared" si="119"/>
        <v>0</v>
      </c>
      <c r="K412" s="3">
        <f>C412*VLOOKUP(A412,[1]오일단가!$A:$S,16,0)</f>
        <v>0</v>
      </c>
      <c r="L412" s="302"/>
      <c r="M412" s="299"/>
      <c r="N412" s="283">
        <f>F412*VLOOKUP(A412,[1]오일단가!$A:$S,17,0)</f>
        <v>0</v>
      </c>
      <c r="O412" s="276"/>
      <c r="P412" s="482"/>
      <c r="Q412" s="5"/>
      <c r="R412" s="3">
        <f t="shared" si="115"/>
        <v>0</v>
      </c>
      <c r="S412" s="3">
        <f>J412*5610</f>
        <v>0</v>
      </c>
    </row>
    <row r="413" spans="1:19" s="1" customFormat="1">
      <c r="A413" s="356" t="s">
        <v>546</v>
      </c>
      <c r="B413" s="675"/>
      <c r="C413" s="35"/>
      <c r="D413" s="234"/>
      <c r="E413" s="234"/>
      <c r="F413" s="191"/>
      <c r="G413" s="195"/>
      <c r="H413" s="80"/>
      <c r="I413" s="114"/>
      <c r="J413" s="35">
        <f t="shared" si="119"/>
        <v>0</v>
      </c>
      <c r="K413" s="3">
        <f>C413*VLOOKUP(A413,[1]오일단가!$A:$S,16,0)</f>
        <v>0</v>
      </c>
      <c r="L413" s="302"/>
      <c r="M413" s="299"/>
      <c r="N413" s="283">
        <f>F413*VLOOKUP(A413,[1]오일단가!$A:$S,17,0)</f>
        <v>0</v>
      </c>
      <c r="O413" s="276"/>
      <c r="P413" s="482"/>
      <c r="Q413" s="5"/>
      <c r="R413" s="3">
        <f t="shared" si="115"/>
        <v>0</v>
      </c>
      <c r="S413" s="3">
        <f>J413*7310</f>
        <v>0</v>
      </c>
    </row>
    <row r="414" spans="1:19" s="1" customFormat="1">
      <c r="A414" s="356" t="s">
        <v>547</v>
      </c>
      <c r="B414" s="675"/>
      <c r="C414" s="35"/>
      <c r="D414" s="234"/>
      <c r="E414" s="234"/>
      <c r="F414" s="191"/>
      <c r="G414" s="195"/>
      <c r="H414" s="80"/>
      <c r="I414" s="114"/>
      <c r="J414" s="35">
        <f t="shared" si="119"/>
        <v>0</v>
      </c>
      <c r="K414" s="3">
        <f>C414*VLOOKUP(A414,[1]오일단가!$A:$S,16,0)</f>
        <v>0</v>
      </c>
      <c r="L414" s="302"/>
      <c r="M414" s="299"/>
      <c r="N414" s="283">
        <f>F414*VLOOKUP(A414,[1]오일단가!$A:$S,17,0)</f>
        <v>0</v>
      </c>
      <c r="O414" s="276"/>
      <c r="P414" s="482"/>
      <c r="Q414" s="5"/>
      <c r="R414" s="3">
        <f t="shared" si="115"/>
        <v>0</v>
      </c>
      <c r="S414" s="3">
        <f>J414*3980</f>
        <v>0</v>
      </c>
    </row>
    <row r="415" spans="1:19" s="1" customFormat="1">
      <c r="A415" s="356" t="s">
        <v>548</v>
      </c>
      <c r="B415" s="676"/>
      <c r="C415" s="35"/>
      <c r="D415" s="234"/>
      <c r="E415" s="234"/>
      <c r="F415" s="191"/>
      <c r="G415" s="195"/>
      <c r="H415" s="80"/>
      <c r="I415" s="114"/>
      <c r="J415" s="35">
        <f t="shared" si="119"/>
        <v>0</v>
      </c>
      <c r="K415" s="3">
        <f>C415*VLOOKUP(A415,[1]오일단가!$A:$S,16,0)</f>
        <v>0</v>
      </c>
      <c r="L415" s="302"/>
      <c r="M415" s="299"/>
      <c r="N415" s="283">
        <f>F415*VLOOKUP(A415,[1]오일단가!$A:$S,17,0)</f>
        <v>0</v>
      </c>
      <c r="O415" s="276"/>
      <c r="P415" s="482"/>
      <c r="Q415" s="5"/>
      <c r="R415" s="3">
        <f t="shared" si="115"/>
        <v>0</v>
      </c>
      <c r="S415" s="3">
        <f>J415*3920</f>
        <v>0</v>
      </c>
    </row>
    <row r="416" spans="1:19" s="1" customFormat="1">
      <c r="A416" s="356"/>
      <c r="B416" s="417"/>
      <c r="C416" s="35"/>
      <c r="D416" s="234"/>
      <c r="E416" s="234"/>
      <c r="F416" s="191"/>
      <c r="G416" s="195"/>
      <c r="H416" s="80"/>
      <c r="I416" s="114"/>
      <c r="J416" s="35"/>
      <c r="K416" s="3"/>
      <c r="L416" s="302"/>
      <c r="M416" s="299"/>
      <c r="N416" s="283"/>
      <c r="O416" s="276"/>
      <c r="P416" s="482"/>
      <c r="Q416" s="5"/>
      <c r="R416" s="3"/>
      <c r="S416" s="3"/>
    </row>
    <row r="417" spans="1:19" s="74" customFormat="1">
      <c r="A417" s="504" t="s">
        <v>575</v>
      </c>
      <c r="B417" s="503"/>
      <c r="C417" s="450">
        <f t="shared" ref="C417:J417" si="120">SUM(C346:C416)</f>
        <v>30</v>
      </c>
      <c r="D417" s="450">
        <f t="shared" si="120"/>
        <v>0</v>
      </c>
      <c r="E417" s="450">
        <f t="shared" si="120"/>
        <v>0</v>
      </c>
      <c r="F417" s="450">
        <f t="shared" si="120"/>
        <v>9</v>
      </c>
      <c r="G417" s="450">
        <f t="shared" si="120"/>
        <v>0</v>
      </c>
      <c r="H417" s="450">
        <f t="shared" si="120"/>
        <v>0</v>
      </c>
      <c r="I417" s="450">
        <f t="shared" si="120"/>
        <v>0</v>
      </c>
      <c r="J417" s="450">
        <f t="shared" si="120"/>
        <v>39</v>
      </c>
      <c r="K417" s="457">
        <f t="shared" ref="K417:Q417" si="121">SUM(K343:K416)</f>
        <v>432000</v>
      </c>
      <c r="L417" s="457">
        <f t="shared" si="121"/>
        <v>0</v>
      </c>
      <c r="M417" s="457">
        <f t="shared" si="121"/>
        <v>0</v>
      </c>
      <c r="N417" s="540">
        <f t="shared" si="121"/>
        <v>119000</v>
      </c>
      <c r="O417" s="457">
        <f t="shared" si="121"/>
        <v>0</v>
      </c>
      <c r="P417" s="457">
        <f t="shared" si="121"/>
        <v>0</v>
      </c>
      <c r="Q417" s="457">
        <f t="shared" si="121"/>
        <v>0</v>
      </c>
      <c r="R417" s="457">
        <f>SUM(K417:Q417)</f>
        <v>551000</v>
      </c>
      <c r="S417" s="457">
        <f>SUM(S343:S416)</f>
        <v>128908</v>
      </c>
    </row>
    <row r="418" spans="1:19" s="245" customFormat="1">
      <c r="A418" s="570" t="s">
        <v>685</v>
      </c>
      <c r="B418" s="571"/>
      <c r="C418" s="237"/>
      <c r="D418" s="237"/>
      <c r="E418" s="237"/>
      <c r="F418" s="237"/>
      <c r="G418" s="237"/>
      <c r="H418" s="237"/>
      <c r="I418" s="237"/>
      <c r="J418" s="35">
        <f t="shared" si="119"/>
        <v>0</v>
      </c>
      <c r="K418" s="458">
        <f>C418*480000</f>
        <v>0</v>
      </c>
      <c r="L418" s="458"/>
      <c r="M418" s="458"/>
      <c r="N418" s="461">
        <f>F418*432000</f>
        <v>0</v>
      </c>
      <c r="O418" s="458"/>
      <c r="P418" s="458"/>
      <c r="Q418" s="458"/>
      <c r="R418" s="3">
        <f>SUM(K418:Q418)</f>
        <v>0</v>
      </c>
      <c r="S418" s="458">
        <f>J418*40100</f>
        <v>0</v>
      </c>
    </row>
    <row r="419" spans="1:19" s="1" customFormat="1" ht="16.5" customHeight="1">
      <c r="A419" s="356" t="s">
        <v>658</v>
      </c>
      <c r="B419" s="674" t="s">
        <v>832</v>
      </c>
      <c r="C419" s="237"/>
      <c r="D419" s="234"/>
      <c r="E419" s="234"/>
      <c r="F419" s="230"/>
      <c r="G419" s="345"/>
      <c r="H419" s="80"/>
      <c r="I419" s="114"/>
      <c r="J419" s="35">
        <f t="shared" si="119"/>
        <v>0</v>
      </c>
      <c r="K419" s="3">
        <f>C419*VLOOKUP(A419,[1]오일단가!$A:$S,13,0)</f>
        <v>0</v>
      </c>
      <c r="L419" s="302"/>
      <c r="M419" s="299"/>
      <c r="N419" s="283">
        <f>F419*VLOOKUP(A419,[1]오일단가!$A:$S,14,0)</f>
        <v>0</v>
      </c>
      <c r="O419" s="276"/>
      <c r="P419" s="482"/>
      <c r="Q419" s="5"/>
      <c r="R419" s="3">
        <f t="shared" ref="R419:R488" si="122">SUM(K419:Q419)</f>
        <v>0</v>
      </c>
      <c r="S419" s="3">
        <f>J419*18000</f>
        <v>0</v>
      </c>
    </row>
    <row r="420" spans="1:19" s="1" customFormat="1" ht="16.5" customHeight="1">
      <c r="A420" s="356" t="s">
        <v>697</v>
      </c>
      <c r="B420" s="675"/>
      <c r="C420" s="237"/>
      <c r="D420" s="234"/>
      <c r="E420" s="234"/>
      <c r="F420" s="230"/>
      <c r="G420" s="345"/>
      <c r="H420" s="80"/>
      <c r="I420" s="114"/>
      <c r="J420" s="35">
        <f t="shared" si="119"/>
        <v>0</v>
      </c>
      <c r="K420" s="3">
        <f>C420*136000</f>
        <v>0</v>
      </c>
      <c r="L420" s="302"/>
      <c r="M420" s="299"/>
      <c r="N420" s="283">
        <f>F420*122000</f>
        <v>0</v>
      </c>
      <c r="O420" s="276"/>
      <c r="P420" s="482"/>
      <c r="Q420" s="5"/>
      <c r="R420" s="3">
        <f t="shared" si="122"/>
        <v>0</v>
      </c>
      <c r="S420" s="3">
        <f>J420*16200</f>
        <v>0</v>
      </c>
    </row>
    <row r="421" spans="1:19" s="1" customFormat="1">
      <c r="A421" s="356" t="s">
        <v>659</v>
      </c>
      <c r="B421" s="675"/>
      <c r="C421" s="237"/>
      <c r="D421" s="234"/>
      <c r="E421" s="234"/>
      <c r="F421" s="230"/>
      <c r="G421" s="345"/>
      <c r="H421" s="80"/>
      <c r="I421" s="114"/>
      <c r="J421" s="35">
        <f t="shared" si="119"/>
        <v>0</v>
      </c>
      <c r="K421" s="3">
        <f>C421*VLOOKUP(A421,[1]오일단가!$A:$S,13,0)</f>
        <v>0</v>
      </c>
      <c r="L421" s="302"/>
      <c r="M421" s="299"/>
      <c r="N421" s="283">
        <f>F421*VLOOKUP(A421,[1]오일단가!$A:$S,14,0)</f>
        <v>0</v>
      </c>
      <c r="O421" s="276"/>
      <c r="P421" s="482"/>
      <c r="Q421" s="5"/>
      <c r="R421" s="3">
        <f t="shared" si="122"/>
        <v>0</v>
      </c>
      <c r="S421" s="3">
        <f>J421*18200</f>
        <v>0</v>
      </c>
    </row>
    <row r="422" spans="1:19" s="1" customFormat="1">
      <c r="A422" s="356" t="s">
        <v>686</v>
      </c>
      <c r="B422" s="675"/>
      <c r="C422" s="237"/>
      <c r="D422" s="234"/>
      <c r="E422" s="234"/>
      <c r="F422" s="230"/>
      <c r="G422" s="345"/>
      <c r="H422" s="80"/>
      <c r="I422" s="114"/>
      <c r="J422" s="35">
        <f t="shared" si="119"/>
        <v>0</v>
      </c>
      <c r="K422" s="3">
        <f>C422*128000</f>
        <v>0</v>
      </c>
      <c r="L422" s="302"/>
      <c r="M422" s="299"/>
      <c r="N422" s="283">
        <f>F422*115000</f>
        <v>0</v>
      </c>
      <c r="O422" s="276"/>
      <c r="P422" s="482"/>
      <c r="Q422" s="5"/>
      <c r="R422" s="3">
        <f t="shared" si="122"/>
        <v>0</v>
      </c>
      <c r="S422" s="3">
        <f>J422*13300</f>
        <v>0</v>
      </c>
    </row>
    <row r="423" spans="1:19" s="1" customFormat="1">
      <c r="A423" s="354" t="s">
        <v>660</v>
      </c>
      <c r="B423" s="675"/>
      <c r="C423" s="237"/>
      <c r="D423" s="242"/>
      <c r="E423" s="234"/>
      <c r="F423" s="230">
        <v>2</v>
      </c>
      <c r="G423" s="345"/>
      <c r="H423" s="80"/>
      <c r="I423" s="114"/>
      <c r="J423" s="35">
        <f t="shared" si="119"/>
        <v>2</v>
      </c>
      <c r="K423" s="3">
        <f>C423*VLOOKUP(A423,[1]오일단가!$A:$S,13,0)</f>
        <v>0</v>
      </c>
      <c r="L423" s="302"/>
      <c r="M423" s="299"/>
      <c r="N423" s="283">
        <f>F423*VLOOKUP(A423,[1]오일단가!$A:$S,14,0)</f>
        <v>158000</v>
      </c>
      <c r="O423" s="276"/>
      <c r="P423" s="482"/>
      <c r="Q423" s="5"/>
      <c r="R423" s="3">
        <f t="shared" si="122"/>
        <v>158000</v>
      </c>
      <c r="S423" s="3">
        <f>J423*13900</f>
        <v>27800</v>
      </c>
    </row>
    <row r="424" spans="1:19" s="1" customFormat="1">
      <c r="A424" s="354" t="s">
        <v>532</v>
      </c>
      <c r="B424" s="675"/>
      <c r="C424" s="237"/>
      <c r="D424" s="234"/>
      <c r="E424" s="234"/>
      <c r="F424" s="230"/>
      <c r="G424" s="345"/>
      <c r="H424" s="80"/>
      <c r="I424" s="114"/>
      <c r="J424" s="35">
        <f t="shared" si="119"/>
        <v>0</v>
      </c>
      <c r="K424" s="3">
        <f>C424*VLOOKUP(A424,[1]오일단가!$A:$S,13,0)</f>
        <v>0</v>
      </c>
      <c r="L424" s="302"/>
      <c r="M424" s="299"/>
      <c r="N424" s="283">
        <f>F424*VLOOKUP(A424,[1]오일단가!$A:$S,14,0)</f>
        <v>0</v>
      </c>
      <c r="O424" s="276"/>
      <c r="P424" s="482"/>
      <c r="Q424" s="5"/>
      <c r="R424" s="3">
        <f t="shared" si="122"/>
        <v>0</v>
      </c>
      <c r="S424" s="3">
        <f>J424*16900</f>
        <v>0</v>
      </c>
    </row>
    <row r="425" spans="1:19" s="1" customFormat="1">
      <c r="A425" s="354" t="s">
        <v>663</v>
      </c>
      <c r="B425" s="675"/>
      <c r="C425" s="237"/>
      <c r="D425" s="234"/>
      <c r="E425" s="234"/>
      <c r="F425" s="230">
        <v>1</v>
      </c>
      <c r="G425" s="345"/>
      <c r="H425" s="80"/>
      <c r="I425" s="114"/>
      <c r="J425" s="35">
        <f t="shared" ref="J425:J426" si="123">SUM(B425:I425)</f>
        <v>1</v>
      </c>
      <c r="K425" s="3">
        <f>C425*VLOOKUP(A425,[1]오일단가!$A:$S,13,0)</f>
        <v>0</v>
      </c>
      <c r="L425" s="302"/>
      <c r="M425" s="299"/>
      <c r="N425" s="283">
        <f>F425*VLOOKUP(A425,[1]오일단가!$A:$S,14,0)</f>
        <v>41000</v>
      </c>
      <c r="O425" s="276"/>
      <c r="P425" s="482"/>
      <c r="Q425" s="5"/>
      <c r="R425" s="3">
        <f t="shared" ref="R425:R426" si="124">SUM(K425:Q425)</f>
        <v>41000</v>
      </c>
      <c r="S425" s="3">
        <f>J425*12500</f>
        <v>12500</v>
      </c>
    </row>
    <row r="426" spans="1:19" s="1" customFormat="1">
      <c r="A426" s="354" t="s">
        <v>664</v>
      </c>
      <c r="B426" s="675"/>
      <c r="C426" s="237"/>
      <c r="D426" s="234"/>
      <c r="E426" s="234"/>
      <c r="F426" s="230">
        <v>1</v>
      </c>
      <c r="G426" s="345"/>
      <c r="H426" s="80"/>
      <c r="I426" s="114"/>
      <c r="J426" s="35">
        <f t="shared" si="123"/>
        <v>1</v>
      </c>
      <c r="K426" s="3">
        <f>C426*VLOOKUP(A426,[1]오일단가!$A:$S,13,0)</f>
        <v>0</v>
      </c>
      <c r="L426" s="302"/>
      <c r="M426" s="299"/>
      <c r="N426" s="283">
        <f>F426*VLOOKUP(A426,[1]오일단가!$A:$S,14,0)</f>
        <v>49000</v>
      </c>
      <c r="O426" s="276"/>
      <c r="P426" s="482"/>
      <c r="Q426" s="5"/>
      <c r="R426" s="3">
        <f t="shared" si="124"/>
        <v>49000</v>
      </c>
      <c r="S426" s="3">
        <f>J426*8700</f>
        <v>8700</v>
      </c>
    </row>
    <row r="427" spans="1:19" s="1" customFormat="1">
      <c r="A427" s="355" t="s">
        <v>661</v>
      </c>
      <c r="B427" s="675"/>
      <c r="C427" s="237"/>
      <c r="D427" s="242"/>
      <c r="E427" s="234"/>
      <c r="F427" s="230"/>
      <c r="G427" s="345"/>
      <c r="H427" s="80"/>
      <c r="I427" s="114"/>
      <c r="J427" s="35">
        <f t="shared" si="119"/>
        <v>0</v>
      </c>
      <c r="K427" s="3">
        <f>C427*146000</f>
        <v>0</v>
      </c>
      <c r="L427" s="302"/>
      <c r="M427" s="299"/>
      <c r="N427" s="283">
        <f>F427*131000</f>
        <v>0</v>
      </c>
      <c r="O427" s="276"/>
      <c r="P427" s="482"/>
      <c r="Q427" s="5"/>
      <c r="R427" s="3">
        <f t="shared" si="122"/>
        <v>0</v>
      </c>
      <c r="S427" s="3">
        <f>J427*38900</f>
        <v>0</v>
      </c>
    </row>
    <row r="428" spans="1:19" s="1" customFormat="1">
      <c r="A428" s="354" t="s">
        <v>680</v>
      </c>
      <c r="B428" s="675"/>
      <c r="C428" s="237"/>
      <c r="D428" s="242"/>
      <c r="E428" s="234"/>
      <c r="F428" s="230"/>
      <c r="G428" s="345"/>
      <c r="H428" s="80"/>
      <c r="I428" s="114"/>
      <c r="J428" s="35">
        <f t="shared" si="119"/>
        <v>0</v>
      </c>
      <c r="K428" s="3">
        <f>C428*VLOOKUP(A428,[1]오일단가!$A:$S,13,0)</f>
        <v>0</v>
      </c>
      <c r="L428" s="302"/>
      <c r="M428" s="299"/>
      <c r="N428" s="283">
        <f>F428*VLOOKUP(A428,[1]오일단가!$A:$S,14,0)</f>
        <v>0</v>
      </c>
      <c r="O428" s="276"/>
      <c r="P428" s="482"/>
      <c r="Q428" s="5"/>
      <c r="R428" s="3">
        <f t="shared" si="122"/>
        <v>0</v>
      </c>
      <c r="S428" s="3">
        <f>J428*14200</f>
        <v>0</v>
      </c>
    </row>
    <row r="429" spans="1:19" s="1" customFormat="1">
      <c r="A429" s="354" t="s">
        <v>662</v>
      </c>
      <c r="B429" s="675"/>
      <c r="C429" s="237"/>
      <c r="D429" s="234"/>
      <c r="E429" s="234"/>
      <c r="F429" s="230"/>
      <c r="G429" s="345"/>
      <c r="H429" s="80"/>
      <c r="I429" s="114"/>
      <c r="J429" s="35">
        <f t="shared" si="119"/>
        <v>0</v>
      </c>
      <c r="K429" s="3">
        <f>C429*VLOOKUP(A429,[1]오일단가!$A:$S,13,0)</f>
        <v>0</v>
      </c>
      <c r="L429" s="302"/>
      <c r="M429" s="299"/>
      <c r="N429" s="283">
        <f>F429*VLOOKUP(A429,[1]오일단가!$A:$S,14,0)</f>
        <v>0</v>
      </c>
      <c r="O429" s="276"/>
      <c r="P429" s="482"/>
      <c r="Q429" s="5"/>
      <c r="R429" s="3">
        <f t="shared" si="122"/>
        <v>0</v>
      </c>
      <c r="S429" s="3">
        <f>J429*276500</f>
        <v>0</v>
      </c>
    </row>
    <row r="430" spans="1:19" s="1" customFormat="1">
      <c r="A430" s="354" t="s">
        <v>687</v>
      </c>
      <c r="B430" s="675"/>
      <c r="C430" s="237"/>
      <c r="D430" s="234"/>
      <c r="E430" s="234"/>
      <c r="F430" s="230"/>
      <c r="G430" s="345"/>
      <c r="H430" s="80"/>
      <c r="I430" s="114"/>
      <c r="J430" s="35">
        <f t="shared" si="119"/>
        <v>0</v>
      </c>
      <c r="K430" s="3">
        <f>C430*184000</f>
        <v>0</v>
      </c>
      <c r="L430" s="302"/>
      <c r="M430" s="299"/>
      <c r="N430" s="283">
        <f>F430*166000</f>
        <v>0</v>
      </c>
      <c r="O430" s="276"/>
      <c r="P430" s="482"/>
      <c r="Q430" s="5"/>
      <c r="R430" s="3">
        <f t="shared" si="122"/>
        <v>0</v>
      </c>
      <c r="S430" s="3">
        <f>J430*21200</f>
        <v>0</v>
      </c>
    </row>
    <row r="431" spans="1:19" s="1" customFormat="1">
      <c r="A431" s="356" t="s">
        <v>491</v>
      </c>
      <c r="B431" s="675"/>
      <c r="C431" s="35"/>
      <c r="D431" s="234"/>
      <c r="E431" s="234"/>
      <c r="F431" s="191"/>
      <c r="G431" s="195"/>
      <c r="H431" s="80"/>
      <c r="I431" s="114"/>
      <c r="J431" s="35">
        <f t="shared" si="119"/>
        <v>0</v>
      </c>
      <c r="K431" s="3">
        <f>C431*VLOOKUP(A431,[1]오일단가!$A:$S,13,0)</f>
        <v>0</v>
      </c>
      <c r="L431" s="302"/>
      <c r="M431" s="299"/>
      <c r="N431" s="283">
        <f>F431*VLOOKUP(A431,[1]오일단가!$A:$S,14,0)</f>
        <v>0</v>
      </c>
      <c r="O431" s="276"/>
      <c r="P431" s="482"/>
      <c r="Q431" s="5"/>
      <c r="R431" s="3">
        <f t="shared" si="122"/>
        <v>0</v>
      </c>
      <c r="S431" s="3">
        <f>J431*46600</f>
        <v>0</v>
      </c>
    </row>
    <row r="432" spans="1:19" s="1" customFormat="1">
      <c r="A432" s="356" t="s">
        <v>542</v>
      </c>
      <c r="B432" s="675"/>
      <c r="C432" s="35"/>
      <c r="D432" s="234"/>
      <c r="E432" s="234"/>
      <c r="F432" s="191"/>
      <c r="G432" s="195"/>
      <c r="H432" s="80"/>
      <c r="I432" s="114"/>
      <c r="J432" s="35">
        <f t="shared" si="119"/>
        <v>0</v>
      </c>
      <c r="K432" s="3">
        <f>C432*VLOOKUP(A432,[1]오일단가!$A:$S,13,0)</f>
        <v>0</v>
      </c>
      <c r="L432" s="302"/>
      <c r="M432" s="299"/>
      <c r="N432" s="283">
        <f>F432*VLOOKUP(A432,[1]오일단가!$A:$S,14,0)</f>
        <v>0</v>
      </c>
      <c r="O432" s="276"/>
      <c r="P432" s="482"/>
      <c r="Q432" s="5"/>
      <c r="R432" s="3">
        <f t="shared" si="122"/>
        <v>0</v>
      </c>
      <c r="S432" s="3">
        <f>J432*31200</f>
        <v>0</v>
      </c>
    </row>
    <row r="433" spans="1:19" s="1" customFormat="1">
      <c r="A433" s="356" t="s">
        <v>533</v>
      </c>
      <c r="B433" s="675"/>
      <c r="C433" s="35"/>
      <c r="D433" s="234"/>
      <c r="E433" s="234"/>
      <c r="F433" s="191"/>
      <c r="G433" s="195"/>
      <c r="H433" s="80"/>
      <c r="I433" s="114"/>
      <c r="J433" s="35">
        <f t="shared" si="119"/>
        <v>0</v>
      </c>
      <c r="K433" s="3">
        <f>C433*VLOOKUP(A433,[1]오일단가!$A:$S,13,0)</f>
        <v>0</v>
      </c>
      <c r="L433" s="302"/>
      <c r="M433" s="299"/>
      <c r="N433" s="283">
        <f>F433*VLOOKUP(A433,[1]오일단가!$A:$S,14,0)</f>
        <v>0</v>
      </c>
      <c r="O433" s="276"/>
      <c r="P433" s="482"/>
      <c r="Q433" s="5"/>
      <c r="R433" s="3">
        <f t="shared" si="122"/>
        <v>0</v>
      </c>
      <c r="S433" s="3">
        <f>J433*75200</f>
        <v>0</v>
      </c>
    </row>
    <row r="434" spans="1:19" s="1" customFormat="1">
      <c r="A434" s="356" t="s">
        <v>682</v>
      </c>
      <c r="B434" s="675"/>
      <c r="C434" s="35"/>
      <c r="D434" s="234"/>
      <c r="E434" s="234"/>
      <c r="F434" s="191"/>
      <c r="G434" s="195"/>
      <c r="H434" s="80"/>
      <c r="I434" s="114"/>
      <c r="J434" s="35">
        <f t="shared" si="119"/>
        <v>0</v>
      </c>
      <c r="K434" s="3">
        <f>C434*VLOOKUP(A434,[1]오일단가!$A:$S,13,0)</f>
        <v>0</v>
      </c>
      <c r="L434" s="302"/>
      <c r="M434" s="299"/>
      <c r="N434" s="283">
        <f>F434*VLOOKUP(A434,[1]오일단가!$A:$S,14,0)</f>
        <v>0</v>
      </c>
      <c r="O434" s="276"/>
      <c r="P434" s="482"/>
      <c r="Q434" s="5"/>
      <c r="R434" s="3">
        <f t="shared" si="122"/>
        <v>0</v>
      </c>
      <c r="S434" s="3">
        <f>J434*12100</f>
        <v>0</v>
      </c>
    </row>
    <row r="435" spans="1:19" s="1" customFormat="1">
      <c r="A435" s="354" t="s">
        <v>665</v>
      </c>
      <c r="B435" s="675"/>
      <c r="C435" s="237"/>
      <c r="D435" s="242"/>
      <c r="E435" s="234"/>
      <c r="F435" s="230"/>
      <c r="G435" s="345"/>
      <c r="H435" s="80"/>
      <c r="I435" s="114"/>
      <c r="J435" s="35">
        <f t="shared" si="119"/>
        <v>0</v>
      </c>
      <c r="K435" s="3">
        <f>C435*VLOOKUP(A435,[1]오일단가!$A:$S,13,0)</f>
        <v>0</v>
      </c>
      <c r="L435" s="302"/>
      <c r="M435" s="299"/>
      <c r="N435" s="283">
        <f>F435*VLOOKUP(A435,[1]오일단가!$A:$S,14,0)</f>
        <v>0</v>
      </c>
      <c r="O435" s="276"/>
      <c r="P435" s="482"/>
      <c r="Q435" s="5"/>
      <c r="R435" s="3">
        <f t="shared" si="122"/>
        <v>0</v>
      </c>
      <c r="S435" s="3">
        <f>J435*158660</f>
        <v>0</v>
      </c>
    </row>
    <row r="436" spans="1:19" s="1" customFormat="1">
      <c r="A436" s="356" t="s">
        <v>666</v>
      </c>
      <c r="B436" s="675"/>
      <c r="C436" s="35"/>
      <c r="D436" s="234"/>
      <c r="E436" s="234"/>
      <c r="F436" s="191"/>
      <c r="G436" s="195"/>
      <c r="H436" s="80"/>
      <c r="I436" s="114"/>
      <c r="J436" s="35">
        <f t="shared" si="119"/>
        <v>0</v>
      </c>
      <c r="K436" s="3">
        <f>C436*VLOOKUP(A436,[1]오일단가!$A:$S,13,0)</f>
        <v>0</v>
      </c>
      <c r="L436" s="302"/>
      <c r="M436" s="299"/>
      <c r="N436" s="283">
        <f>F436*VLOOKUP(A436,[1]오일단가!$A:$S,14,0)</f>
        <v>0</v>
      </c>
      <c r="O436" s="276"/>
      <c r="P436" s="482"/>
      <c r="Q436" s="5"/>
      <c r="R436" s="3">
        <f t="shared" si="122"/>
        <v>0</v>
      </c>
      <c r="S436" s="3">
        <f>J436*14200</f>
        <v>0</v>
      </c>
    </row>
    <row r="437" spans="1:19" s="1" customFormat="1">
      <c r="A437" s="356" t="s">
        <v>534</v>
      </c>
      <c r="B437" s="675"/>
      <c r="C437" s="35"/>
      <c r="D437" s="234"/>
      <c r="E437" s="234"/>
      <c r="F437" s="191"/>
      <c r="G437" s="195"/>
      <c r="H437" s="80"/>
      <c r="I437" s="114"/>
      <c r="J437" s="35">
        <f t="shared" si="119"/>
        <v>0</v>
      </c>
      <c r="K437" s="3">
        <f>C437*VLOOKUP(A437,[1]오일단가!$A:$S,13,0)</f>
        <v>0</v>
      </c>
      <c r="L437" s="302"/>
      <c r="M437" s="299"/>
      <c r="N437" s="283">
        <f>F437*VLOOKUP(A437,[1]오일단가!$A:$S,14,0)</f>
        <v>0</v>
      </c>
      <c r="O437" s="276"/>
      <c r="P437" s="482"/>
      <c r="Q437" s="5"/>
      <c r="R437" s="3">
        <f t="shared" si="122"/>
        <v>0</v>
      </c>
      <c r="S437" s="3">
        <f>J437*11100</f>
        <v>0</v>
      </c>
    </row>
    <row r="438" spans="1:19" s="1" customFormat="1">
      <c r="A438" s="356" t="s">
        <v>688</v>
      </c>
      <c r="B438" s="675"/>
      <c r="C438" s="35"/>
      <c r="D438" s="234"/>
      <c r="E438" s="234"/>
      <c r="F438" s="191"/>
      <c r="G438" s="195"/>
      <c r="H438" s="80"/>
      <c r="I438" s="114"/>
      <c r="J438" s="35">
        <f t="shared" si="119"/>
        <v>0</v>
      </c>
      <c r="K438" s="3">
        <f>C438*184000</f>
        <v>0</v>
      </c>
      <c r="L438" s="302"/>
      <c r="M438" s="299"/>
      <c r="N438" s="283">
        <f>F438*166000</f>
        <v>0</v>
      </c>
      <c r="O438" s="276"/>
      <c r="P438" s="482"/>
      <c r="Q438" s="5"/>
      <c r="R438" s="3">
        <f t="shared" si="122"/>
        <v>0</v>
      </c>
      <c r="S438" s="3">
        <f>J438*14900</f>
        <v>0</v>
      </c>
    </row>
    <row r="439" spans="1:19" s="1" customFormat="1">
      <c r="A439" s="354" t="s">
        <v>667</v>
      </c>
      <c r="B439" s="675"/>
      <c r="C439" s="237"/>
      <c r="D439" s="234"/>
      <c r="E439" s="234"/>
      <c r="F439" s="230"/>
      <c r="G439" s="345"/>
      <c r="H439" s="80"/>
      <c r="I439" s="114"/>
      <c r="J439" s="35">
        <f t="shared" si="119"/>
        <v>0</v>
      </c>
      <c r="K439" s="3">
        <f>C439*VLOOKUP(A439,[1]오일단가!$A:$S,13,0)</f>
        <v>0</v>
      </c>
      <c r="L439" s="302"/>
      <c r="M439" s="299"/>
      <c r="N439" s="283">
        <f>F439*VLOOKUP(A439,[1]오일단가!$A:$S,14,0)</f>
        <v>0</v>
      </c>
      <c r="O439" s="276"/>
      <c r="P439" s="482"/>
      <c r="Q439" s="5"/>
      <c r="R439" s="3">
        <f t="shared" si="122"/>
        <v>0</v>
      </c>
      <c r="S439" s="3">
        <f>J439*6400</f>
        <v>0</v>
      </c>
    </row>
    <row r="440" spans="1:19" s="1" customFormat="1">
      <c r="A440" s="356" t="s">
        <v>668</v>
      </c>
      <c r="B440" s="675"/>
      <c r="C440" s="35"/>
      <c r="D440" s="234"/>
      <c r="E440" s="234"/>
      <c r="F440" s="191"/>
      <c r="G440" s="195"/>
      <c r="H440" s="80"/>
      <c r="I440" s="114"/>
      <c r="J440" s="35">
        <f t="shared" si="119"/>
        <v>0</v>
      </c>
      <c r="K440" s="3">
        <f>C440*VLOOKUP(A440,[1]오일단가!$A:$S,13,0)</f>
        <v>0</v>
      </c>
      <c r="L440" s="302"/>
      <c r="M440" s="299"/>
      <c r="N440" s="283">
        <f>F440*VLOOKUP(A440,[1]오일단가!$A:$S,14,0)</f>
        <v>0</v>
      </c>
      <c r="O440" s="276"/>
      <c r="P440" s="482"/>
      <c r="Q440" s="5"/>
      <c r="R440" s="3">
        <f t="shared" si="122"/>
        <v>0</v>
      </c>
      <c r="S440" s="3">
        <f>J440*99400</f>
        <v>0</v>
      </c>
    </row>
    <row r="441" spans="1:19" s="1" customFormat="1">
      <c r="A441" s="356" t="s">
        <v>681</v>
      </c>
      <c r="B441" s="675"/>
      <c r="C441" s="35"/>
      <c r="D441" s="234"/>
      <c r="E441" s="234"/>
      <c r="F441" s="191"/>
      <c r="G441" s="195"/>
      <c r="H441" s="80"/>
      <c r="I441" s="114"/>
      <c r="J441" s="35">
        <f t="shared" si="119"/>
        <v>0</v>
      </c>
      <c r="K441" s="3">
        <f>C441*VLOOKUP(A441,[1]오일단가!$A:$S,13,0)</f>
        <v>0</v>
      </c>
      <c r="L441" s="302"/>
      <c r="M441" s="299"/>
      <c r="N441" s="283">
        <f>F441*VLOOKUP(A441,[1]오일단가!$A:$S,14,0)</f>
        <v>0</v>
      </c>
      <c r="O441" s="276"/>
      <c r="P441" s="482"/>
      <c r="Q441" s="5"/>
      <c r="R441" s="3">
        <f t="shared" si="122"/>
        <v>0</v>
      </c>
      <c r="S441" s="3">
        <f>J441*11300</f>
        <v>0</v>
      </c>
    </row>
    <row r="442" spans="1:19" s="1" customFormat="1">
      <c r="A442" s="356" t="s">
        <v>669</v>
      </c>
      <c r="B442" s="675"/>
      <c r="C442" s="35"/>
      <c r="D442" s="234"/>
      <c r="E442" s="234"/>
      <c r="F442" s="191"/>
      <c r="G442" s="195"/>
      <c r="H442" s="80"/>
      <c r="I442" s="114"/>
      <c r="J442" s="35">
        <f t="shared" si="119"/>
        <v>0</v>
      </c>
      <c r="K442" s="3">
        <f>C442*VLOOKUP(A442,[1]오일단가!$A:$S,13,0)</f>
        <v>0</v>
      </c>
      <c r="L442" s="302"/>
      <c r="M442" s="299"/>
      <c r="N442" s="283">
        <f>F442*VLOOKUP(A442,[1]오일단가!$A:$S,14,0)</f>
        <v>0</v>
      </c>
      <c r="O442" s="276"/>
      <c r="P442" s="482"/>
      <c r="Q442" s="5"/>
      <c r="R442" s="3">
        <f t="shared" si="122"/>
        <v>0</v>
      </c>
      <c r="S442" s="3">
        <f>J442*67500</f>
        <v>0</v>
      </c>
    </row>
    <row r="443" spans="1:19" s="1" customFormat="1">
      <c r="A443" s="354" t="s">
        <v>670</v>
      </c>
      <c r="B443" s="675"/>
      <c r="C443" s="237"/>
      <c r="D443" s="234"/>
      <c r="E443" s="234"/>
      <c r="F443" s="230"/>
      <c r="G443" s="345"/>
      <c r="H443" s="80"/>
      <c r="I443" s="114"/>
      <c r="J443" s="35">
        <f t="shared" si="119"/>
        <v>0</v>
      </c>
      <c r="K443" s="3">
        <f>C443*VLOOKUP(A443,[1]오일단가!$A:$S,13,0)</f>
        <v>0</v>
      </c>
      <c r="L443" s="302"/>
      <c r="M443" s="299"/>
      <c r="N443" s="283">
        <f>F443*VLOOKUP(A443,[1]오일단가!$A:$S,14,0)</f>
        <v>0</v>
      </c>
      <c r="O443" s="276"/>
      <c r="P443" s="482"/>
      <c r="Q443" s="5"/>
      <c r="R443" s="3">
        <f t="shared" si="122"/>
        <v>0</v>
      </c>
      <c r="S443" s="3">
        <f>J443*31750</f>
        <v>0</v>
      </c>
    </row>
    <row r="444" spans="1:19" s="1" customFormat="1">
      <c r="A444" s="356" t="s">
        <v>671</v>
      </c>
      <c r="B444" s="675"/>
      <c r="C444" s="35"/>
      <c r="D444" s="234"/>
      <c r="E444" s="234"/>
      <c r="F444" s="191"/>
      <c r="G444" s="195"/>
      <c r="H444" s="80"/>
      <c r="I444" s="114"/>
      <c r="J444" s="35">
        <f t="shared" si="119"/>
        <v>0</v>
      </c>
      <c r="K444" s="3">
        <f>C444*VLOOKUP(A444,[1]오일단가!$A:$S,13,0)</f>
        <v>0</v>
      </c>
      <c r="L444" s="302"/>
      <c r="M444" s="299"/>
      <c r="N444" s="283">
        <f>F444*VLOOKUP(A444,[1]오일단가!$A:$S,14,0)</f>
        <v>0</v>
      </c>
      <c r="O444" s="276"/>
      <c r="P444" s="482"/>
      <c r="Q444" s="5"/>
      <c r="R444" s="3">
        <f t="shared" si="122"/>
        <v>0</v>
      </c>
      <c r="S444" s="3">
        <f>J444*16020</f>
        <v>0</v>
      </c>
    </row>
    <row r="445" spans="1:19" s="1" customFormat="1">
      <c r="A445" s="356" t="s">
        <v>535</v>
      </c>
      <c r="B445" s="675"/>
      <c r="C445" s="35"/>
      <c r="D445" s="234"/>
      <c r="E445" s="234"/>
      <c r="F445" s="191"/>
      <c r="G445" s="195"/>
      <c r="H445" s="80"/>
      <c r="I445" s="114"/>
      <c r="J445" s="35">
        <f t="shared" si="119"/>
        <v>0</v>
      </c>
      <c r="K445" s="3">
        <f>C445*VLOOKUP(A445,[1]오일단가!$A:$S,13,0)</f>
        <v>0</v>
      </c>
      <c r="L445" s="302"/>
      <c r="M445" s="299"/>
      <c r="N445" s="283">
        <f>F445*VLOOKUP(A445,[1]오일단가!$A:$S,14,0)</f>
        <v>0</v>
      </c>
      <c r="O445" s="276"/>
      <c r="P445" s="482"/>
      <c r="Q445" s="5"/>
      <c r="R445" s="3">
        <f t="shared" si="122"/>
        <v>0</v>
      </c>
      <c r="S445" s="3">
        <f>J445*13600</f>
        <v>0</v>
      </c>
    </row>
    <row r="446" spans="1:19" s="1" customFormat="1">
      <c r="A446" s="356" t="s">
        <v>677</v>
      </c>
      <c r="B446" s="675"/>
      <c r="C446" s="35"/>
      <c r="D446" s="234"/>
      <c r="E446" s="234"/>
      <c r="F446" s="191"/>
      <c r="G446" s="195"/>
      <c r="H446" s="80"/>
      <c r="I446" s="114"/>
      <c r="J446" s="35">
        <f t="shared" si="119"/>
        <v>0</v>
      </c>
      <c r="K446" s="3">
        <f>C446*VLOOKUP(A446,[1]오일단가!$A:$S,13,0)</f>
        <v>0</v>
      </c>
      <c r="L446" s="302"/>
      <c r="M446" s="299"/>
      <c r="N446" s="283">
        <f>F446*VLOOKUP(A446,[1]오일단가!$A:$S,14,0)</f>
        <v>0</v>
      </c>
      <c r="O446" s="276"/>
      <c r="P446" s="482"/>
      <c r="Q446" s="5"/>
      <c r="R446" s="3">
        <f t="shared" si="122"/>
        <v>0</v>
      </c>
      <c r="S446" s="3">
        <f>J446*13600</f>
        <v>0</v>
      </c>
    </row>
    <row r="447" spans="1:19" s="1" customFormat="1">
      <c r="A447" s="354" t="s">
        <v>484</v>
      </c>
      <c r="B447" s="675"/>
      <c r="C447" s="237"/>
      <c r="D447" s="234"/>
      <c r="E447" s="234"/>
      <c r="F447" s="230"/>
      <c r="G447" s="345"/>
      <c r="H447" s="80"/>
      <c r="I447" s="114"/>
      <c r="J447" s="35">
        <f t="shared" si="119"/>
        <v>0</v>
      </c>
      <c r="K447" s="3">
        <f>C447*VLOOKUP(A447,[1]오일단가!$A:$S,13,0)</f>
        <v>0</v>
      </c>
      <c r="L447" s="302"/>
      <c r="M447" s="299"/>
      <c r="N447" s="283">
        <f>F447*VLOOKUP(A447,[1]오일단가!$A:$S,14,0)</f>
        <v>0</v>
      </c>
      <c r="O447" s="276"/>
      <c r="P447" s="482"/>
      <c r="Q447" s="5"/>
      <c r="R447" s="3">
        <f t="shared" si="122"/>
        <v>0</v>
      </c>
      <c r="S447" s="3">
        <f>J447*31200</f>
        <v>0</v>
      </c>
    </row>
    <row r="448" spans="1:19" s="1" customFormat="1">
      <c r="A448" s="354" t="s">
        <v>689</v>
      </c>
      <c r="B448" s="675"/>
      <c r="C448" s="237"/>
      <c r="D448" s="234"/>
      <c r="E448" s="234"/>
      <c r="F448" s="230"/>
      <c r="G448" s="345"/>
      <c r="H448" s="80"/>
      <c r="I448" s="114"/>
      <c r="J448" s="35">
        <f t="shared" si="119"/>
        <v>0</v>
      </c>
      <c r="K448" s="3">
        <f>C448*880000</f>
        <v>0</v>
      </c>
      <c r="L448" s="302"/>
      <c r="M448" s="299"/>
      <c r="N448" s="283">
        <f>F448*792000</f>
        <v>0</v>
      </c>
      <c r="O448" s="276"/>
      <c r="P448" s="482"/>
      <c r="Q448" s="5"/>
      <c r="R448" s="3">
        <f t="shared" si="122"/>
        <v>0</v>
      </c>
      <c r="S448" s="3">
        <f>J448*48800</f>
        <v>0</v>
      </c>
    </row>
    <row r="449" spans="1:19" s="1" customFormat="1">
      <c r="A449" s="354" t="s">
        <v>698</v>
      </c>
      <c r="B449" s="675"/>
      <c r="C449" s="237"/>
      <c r="D449" s="234"/>
      <c r="E449" s="234"/>
      <c r="F449" s="230"/>
      <c r="G449" s="345"/>
      <c r="H449" s="80"/>
      <c r="I449" s="114"/>
      <c r="J449" s="35">
        <f t="shared" si="119"/>
        <v>0</v>
      </c>
      <c r="K449" s="3">
        <f>C449*1000000</f>
        <v>0</v>
      </c>
      <c r="L449" s="302"/>
      <c r="M449" s="299"/>
      <c r="N449" s="283">
        <f>F449*900000</f>
        <v>0</v>
      </c>
      <c r="O449" s="276"/>
      <c r="P449" s="482"/>
      <c r="Q449" s="5"/>
      <c r="R449" s="3">
        <f t="shared" si="122"/>
        <v>0</v>
      </c>
      <c r="S449" s="3">
        <f>J449*79700</f>
        <v>0</v>
      </c>
    </row>
    <row r="450" spans="1:19" s="1" customFormat="1">
      <c r="A450" s="356" t="s">
        <v>536</v>
      </c>
      <c r="B450" s="675"/>
      <c r="C450" s="35"/>
      <c r="D450" s="234"/>
      <c r="E450" s="234"/>
      <c r="F450" s="191"/>
      <c r="G450" s="195"/>
      <c r="H450" s="80"/>
      <c r="I450" s="114"/>
      <c r="J450" s="35">
        <f t="shared" si="119"/>
        <v>0</v>
      </c>
      <c r="K450" s="3">
        <f>C450*VLOOKUP(A450,[1]오일단가!$A:$S,13,0)</f>
        <v>0</v>
      </c>
      <c r="L450" s="302"/>
      <c r="M450" s="299"/>
      <c r="N450" s="283">
        <f>F450*VLOOKUP(A450,[1]오일단가!$A:$S,14,0)</f>
        <v>0</v>
      </c>
      <c r="O450" s="276"/>
      <c r="P450" s="482"/>
      <c r="Q450" s="5"/>
      <c r="R450" s="3">
        <f t="shared" si="122"/>
        <v>0</v>
      </c>
      <c r="S450" s="3">
        <f>J450*168900</f>
        <v>0</v>
      </c>
    </row>
    <row r="451" spans="1:19" s="1" customFormat="1">
      <c r="A451" s="356" t="s">
        <v>683</v>
      </c>
      <c r="B451" s="675"/>
      <c r="C451" s="35"/>
      <c r="D451" s="234"/>
      <c r="E451" s="234"/>
      <c r="F451" s="191"/>
      <c r="G451" s="195"/>
      <c r="H451" s="80"/>
      <c r="I451" s="114"/>
      <c r="J451" s="35">
        <f t="shared" si="119"/>
        <v>0</v>
      </c>
      <c r="K451" s="3">
        <f>C451*VLOOKUP(A451,[1]오일단가!$A:$S,13,0)</f>
        <v>0</v>
      </c>
      <c r="L451" s="302"/>
      <c r="M451" s="299"/>
      <c r="N451" s="283">
        <f>F451*VLOOKUP(A451,[1]오일단가!$A:$S,14,0)</f>
        <v>0</v>
      </c>
      <c r="O451" s="276"/>
      <c r="P451" s="482"/>
      <c r="Q451" s="5"/>
      <c r="R451" s="3">
        <f t="shared" si="122"/>
        <v>0</v>
      </c>
      <c r="S451" s="3">
        <f>J451*10600</f>
        <v>0</v>
      </c>
    </row>
    <row r="452" spans="1:19" s="1" customFormat="1">
      <c r="A452" s="354" t="s">
        <v>487</v>
      </c>
      <c r="B452" s="675"/>
      <c r="C452" s="237"/>
      <c r="D452" s="234"/>
      <c r="E452" s="234"/>
      <c r="F452" s="230"/>
      <c r="G452" s="345"/>
      <c r="H452" s="80"/>
      <c r="I452" s="114"/>
      <c r="J452" s="35">
        <f t="shared" si="119"/>
        <v>0</v>
      </c>
      <c r="K452" s="3">
        <f>C452*VLOOKUP(A452,[1]오일단가!$A:$S,13,0)</f>
        <v>0</v>
      </c>
      <c r="L452" s="302"/>
      <c r="M452" s="299"/>
      <c r="N452" s="283">
        <f>F452*VLOOKUP(A452,[1]오일단가!$A:$S,14,0)</f>
        <v>0</v>
      </c>
      <c r="O452" s="276"/>
      <c r="P452" s="482"/>
      <c r="Q452" s="5"/>
      <c r="R452" s="3">
        <f t="shared" si="122"/>
        <v>0</v>
      </c>
      <c r="S452" s="3">
        <f>J452*6780</f>
        <v>0</v>
      </c>
    </row>
    <row r="453" spans="1:19" s="1" customFormat="1">
      <c r="A453" s="354" t="s">
        <v>690</v>
      </c>
      <c r="B453" s="675"/>
      <c r="C453" s="237"/>
      <c r="D453" s="234"/>
      <c r="E453" s="234"/>
      <c r="F453" s="230"/>
      <c r="G453" s="345"/>
      <c r="H453" s="80"/>
      <c r="I453" s="114"/>
      <c r="J453" s="35">
        <f t="shared" si="119"/>
        <v>0</v>
      </c>
      <c r="K453" s="3">
        <f>C453*136000</f>
        <v>0</v>
      </c>
      <c r="L453" s="302"/>
      <c r="M453" s="299"/>
      <c r="N453" s="283">
        <f>F453*122000</f>
        <v>0</v>
      </c>
      <c r="O453" s="276"/>
      <c r="P453" s="482"/>
      <c r="Q453" s="5"/>
      <c r="R453" s="3">
        <f t="shared" si="122"/>
        <v>0</v>
      </c>
      <c r="S453" s="3">
        <f>J453*15700</f>
        <v>0</v>
      </c>
    </row>
    <row r="454" spans="1:19" s="1" customFormat="1">
      <c r="A454" s="354" t="s">
        <v>488</v>
      </c>
      <c r="B454" s="675"/>
      <c r="C454" s="237"/>
      <c r="D454" s="234"/>
      <c r="E454" s="234"/>
      <c r="F454" s="230"/>
      <c r="G454" s="345"/>
      <c r="H454" s="80"/>
      <c r="I454" s="114"/>
      <c r="J454" s="35">
        <f t="shared" si="119"/>
        <v>0</v>
      </c>
      <c r="K454" s="3">
        <f>C454*VLOOKUP(A454,[1]오일단가!$A:$S,13,0)</f>
        <v>0</v>
      </c>
      <c r="L454" s="302"/>
      <c r="M454" s="299"/>
      <c r="N454" s="283">
        <f>F454*VLOOKUP(A454,[1]오일단가!$A:$S,14,0)</f>
        <v>0</v>
      </c>
      <c r="O454" s="276"/>
      <c r="P454" s="482"/>
      <c r="Q454" s="5"/>
      <c r="R454" s="3">
        <f t="shared" si="122"/>
        <v>0</v>
      </c>
      <c r="S454" s="3">
        <f>J454*9459</f>
        <v>0</v>
      </c>
    </row>
    <row r="455" spans="1:19" s="1" customFormat="1">
      <c r="A455" s="354" t="s">
        <v>678</v>
      </c>
      <c r="B455" s="675"/>
      <c r="C455" s="237"/>
      <c r="D455" s="234"/>
      <c r="E455" s="234"/>
      <c r="F455" s="191"/>
      <c r="G455" s="195"/>
      <c r="H455" s="80"/>
      <c r="I455" s="114"/>
      <c r="J455" s="35">
        <f t="shared" si="119"/>
        <v>0</v>
      </c>
      <c r="K455" s="3">
        <f>C455*VLOOKUP(A455,[1]오일단가!$A:$S,13,0)</f>
        <v>0</v>
      </c>
      <c r="L455" s="302"/>
      <c r="M455" s="299"/>
      <c r="N455" s="283">
        <f>F455*VLOOKUP(A455,[1]오일단가!$A:$S,14,0)</f>
        <v>0</v>
      </c>
      <c r="O455" s="276"/>
      <c r="P455" s="482"/>
      <c r="Q455" s="5"/>
      <c r="R455" s="3">
        <f t="shared" si="122"/>
        <v>0</v>
      </c>
      <c r="S455" s="3">
        <f>J455*13600</f>
        <v>0</v>
      </c>
    </row>
    <row r="456" spans="1:19" s="1" customFormat="1">
      <c r="A456" s="356" t="s">
        <v>489</v>
      </c>
      <c r="B456" s="675"/>
      <c r="C456" s="35"/>
      <c r="D456" s="33"/>
      <c r="E456" s="33"/>
      <c r="F456" s="191"/>
      <c r="G456" s="195"/>
      <c r="H456" s="80"/>
      <c r="I456" s="114"/>
      <c r="J456" s="35">
        <f t="shared" si="119"/>
        <v>0</v>
      </c>
      <c r="K456" s="3">
        <f>C456*VLOOKUP(A456,[1]오일단가!$A:$S,13,0)</f>
        <v>0</v>
      </c>
      <c r="L456" s="302"/>
      <c r="M456" s="299"/>
      <c r="N456" s="283">
        <f>F456*VLOOKUP(A456,[1]오일단가!$A:$S,14,0)</f>
        <v>0</v>
      </c>
      <c r="O456" s="276"/>
      <c r="P456" s="482"/>
      <c r="Q456" s="5"/>
      <c r="R456" s="3">
        <f t="shared" si="122"/>
        <v>0</v>
      </c>
      <c r="S456" s="3">
        <f>J456*45060</f>
        <v>0</v>
      </c>
    </row>
    <row r="457" spans="1:19" s="1" customFormat="1">
      <c r="A457" s="356" t="s">
        <v>672</v>
      </c>
      <c r="B457" s="675"/>
      <c r="C457" s="35"/>
      <c r="D457" s="234"/>
      <c r="E457" s="234"/>
      <c r="F457" s="191">
        <v>1</v>
      </c>
      <c r="G457" s="195"/>
      <c r="H457" s="80"/>
      <c r="I457" s="114"/>
      <c r="J457" s="35">
        <f t="shared" si="119"/>
        <v>1</v>
      </c>
      <c r="K457" s="3">
        <f>C457*VLOOKUP(A457,[1]오일단가!$A:$S,13,0)</f>
        <v>0</v>
      </c>
      <c r="L457" s="302"/>
      <c r="M457" s="299"/>
      <c r="N457" s="283">
        <f>F457*VLOOKUP(A457,[1]오일단가!$A:$S,14,0)</f>
        <v>162000</v>
      </c>
      <c r="O457" s="276"/>
      <c r="P457" s="482"/>
      <c r="Q457" s="5"/>
      <c r="R457" s="3">
        <f t="shared" si="122"/>
        <v>162000</v>
      </c>
      <c r="S457" s="3">
        <f>J457*44300</f>
        <v>44300</v>
      </c>
    </row>
    <row r="458" spans="1:19" s="1" customFormat="1">
      <c r="A458" s="354" t="s">
        <v>673</v>
      </c>
      <c r="B458" s="675"/>
      <c r="C458" s="237"/>
      <c r="D458" s="234"/>
      <c r="E458" s="234"/>
      <c r="F458" s="230">
        <v>1</v>
      </c>
      <c r="G458" s="345"/>
      <c r="H458" s="80"/>
      <c r="I458" s="114"/>
      <c r="J458" s="35">
        <f t="shared" si="119"/>
        <v>1</v>
      </c>
      <c r="K458" s="3">
        <f>C458*VLOOKUP(A458,[1]오일단가!$A:$S,13,0)</f>
        <v>0</v>
      </c>
      <c r="L458" s="302"/>
      <c r="M458" s="299"/>
      <c r="N458" s="283">
        <f>F458*VLOOKUP(A458,[1]오일단가!$A:$S,14,0)</f>
        <v>151000</v>
      </c>
      <c r="O458" s="276"/>
      <c r="P458" s="482"/>
      <c r="Q458" s="5"/>
      <c r="R458" s="3">
        <f t="shared" si="122"/>
        <v>151000</v>
      </c>
      <c r="S458" s="3">
        <f>J458*56500</f>
        <v>56500</v>
      </c>
    </row>
    <row r="459" spans="1:19" s="1" customFormat="1">
      <c r="A459" s="356" t="s">
        <v>537</v>
      </c>
      <c r="B459" s="675"/>
      <c r="C459" s="35"/>
      <c r="D459" s="234"/>
      <c r="E459" s="234"/>
      <c r="F459" s="191"/>
      <c r="G459" s="195"/>
      <c r="H459" s="80"/>
      <c r="I459" s="114"/>
      <c r="J459" s="35">
        <f t="shared" si="119"/>
        <v>0</v>
      </c>
      <c r="K459" s="3">
        <f>C459*VLOOKUP(A459,[1]오일단가!$A:$S,13,0)</f>
        <v>0</v>
      </c>
      <c r="L459" s="302"/>
      <c r="M459" s="299"/>
      <c r="N459" s="283">
        <f>F459*VLOOKUP(A459,[1]오일단가!$A:$S,14,0)</f>
        <v>0</v>
      </c>
      <c r="O459" s="276"/>
      <c r="P459" s="482"/>
      <c r="Q459" s="5"/>
      <c r="R459" s="3">
        <f t="shared" si="122"/>
        <v>0</v>
      </c>
      <c r="S459" s="3">
        <f>J459*31750</f>
        <v>0</v>
      </c>
    </row>
    <row r="460" spans="1:19" s="1" customFormat="1">
      <c r="A460" s="356" t="s">
        <v>538</v>
      </c>
      <c r="B460" s="675"/>
      <c r="C460" s="35"/>
      <c r="D460" s="234"/>
      <c r="E460" s="234"/>
      <c r="F460" s="191"/>
      <c r="G460" s="195"/>
      <c r="H460" s="80"/>
      <c r="I460" s="114"/>
      <c r="J460" s="35">
        <f t="shared" si="119"/>
        <v>0</v>
      </c>
      <c r="K460" s="3">
        <f>C460*VLOOKUP(A460,[1]오일단가!$A:$S,13,0)</f>
        <v>0</v>
      </c>
      <c r="L460" s="302"/>
      <c r="M460" s="299"/>
      <c r="N460" s="283">
        <f>F460*VLOOKUP(A460,[1]오일단가!$A:$S,14,0)</f>
        <v>0</v>
      </c>
      <c r="O460" s="276"/>
      <c r="P460" s="482"/>
      <c r="Q460" s="5"/>
      <c r="R460" s="3">
        <f t="shared" si="122"/>
        <v>0</v>
      </c>
      <c r="S460" s="3">
        <f>J460*43300</f>
        <v>0</v>
      </c>
    </row>
    <row r="461" spans="1:19" s="1" customFormat="1">
      <c r="A461" s="356" t="s">
        <v>699</v>
      </c>
      <c r="B461" s="675"/>
      <c r="C461" s="35"/>
      <c r="D461" s="234"/>
      <c r="E461" s="234"/>
      <c r="F461" s="191"/>
      <c r="G461" s="195"/>
      <c r="H461" s="80"/>
      <c r="I461" s="114"/>
      <c r="J461" s="35">
        <f t="shared" si="119"/>
        <v>0</v>
      </c>
      <c r="K461" s="3">
        <f>C461*184000</f>
        <v>0</v>
      </c>
      <c r="L461" s="302"/>
      <c r="M461" s="299"/>
      <c r="N461" s="283">
        <f>F461*166000</f>
        <v>0</v>
      </c>
      <c r="O461" s="276"/>
      <c r="P461" s="482"/>
      <c r="Q461" s="5"/>
      <c r="R461" s="3">
        <f t="shared" si="122"/>
        <v>0</v>
      </c>
      <c r="S461" s="3">
        <f>J461*21700</f>
        <v>0</v>
      </c>
    </row>
    <row r="462" spans="1:19" s="1" customFormat="1">
      <c r="A462" s="356" t="s">
        <v>700</v>
      </c>
      <c r="B462" s="675"/>
      <c r="C462" s="35"/>
      <c r="D462" s="234"/>
      <c r="E462" s="234"/>
      <c r="F462" s="191"/>
      <c r="G462" s="195"/>
      <c r="H462" s="80"/>
      <c r="I462" s="114"/>
      <c r="J462" s="35">
        <f t="shared" si="119"/>
        <v>0</v>
      </c>
      <c r="K462" s="3">
        <f>C462*228000</f>
        <v>0</v>
      </c>
      <c r="L462" s="302"/>
      <c r="M462" s="299"/>
      <c r="N462" s="283">
        <f>F462*205000</f>
        <v>0</v>
      </c>
      <c r="O462" s="276"/>
      <c r="P462" s="482"/>
      <c r="Q462" s="5"/>
      <c r="R462" s="3">
        <f t="shared" si="122"/>
        <v>0</v>
      </c>
      <c r="S462" s="3">
        <f>J462*42900</f>
        <v>0</v>
      </c>
    </row>
    <row r="463" spans="1:19" s="1" customFormat="1">
      <c r="A463" s="356" t="s">
        <v>715</v>
      </c>
      <c r="B463" s="675"/>
      <c r="C463" s="35"/>
      <c r="D463" s="234"/>
      <c r="E463" s="234"/>
      <c r="F463" s="191"/>
      <c r="G463" s="195"/>
      <c r="H463" s="80"/>
      <c r="I463" s="114"/>
      <c r="J463" s="35">
        <f t="shared" si="119"/>
        <v>0</v>
      </c>
      <c r="K463" s="3">
        <f>C463*184000</f>
        <v>0</v>
      </c>
      <c r="L463" s="302"/>
      <c r="M463" s="299"/>
      <c r="N463" s="283">
        <f>F463*166000</f>
        <v>0</v>
      </c>
      <c r="O463" s="276"/>
      <c r="P463" s="482"/>
      <c r="Q463" s="5"/>
      <c r="R463" s="3">
        <f t="shared" si="122"/>
        <v>0</v>
      </c>
      <c r="S463" s="3">
        <f>J463*21200</f>
        <v>0</v>
      </c>
    </row>
    <row r="464" spans="1:19" s="1" customFormat="1">
      <c r="A464" s="356" t="s">
        <v>615</v>
      </c>
      <c r="B464" s="675"/>
      <c r="C464" s="35"/>
      <c r="D464" s="234"/>
      <c r="E464" s="234"/>
      <c r="F464" s="191"/>
      <c r="G464" s="195"/>
      <c r="H464" s="80"/>
      <c r="I464" s="114"/>
      <c r="J464" s="35">
        <f t="shared" si="119"/>
        <v>0</v>
      </c>
      <c r="K464" s="3">
        <f>C464*VLOOKUP(A464,[1]오일단가!$A:$S,13,0)</f>
        <v>0</v>
      </c>
      <c r="L464" s="302"/>
      <c r="M464" s="299"/>
      <c r="N464" s="283">
        <f>F464*VLOOKUP(A464,[1]오일단가!$A:$S,14,0)</f>
        <v>0</v>
      </c>
      <c r="O464" s="276"/>
      <c r="P464" s="482"/>
      <c r="Q464" s="5"/>
      <c r="R464" s="3">
        <f t="shared" si="122"/>
        <v>0</v>
      </c>
      <c r="S464" s="3">
        <f>J464*45500</f>
        <v>0</v>
      </c>
    </row>
    <row r="465" spans="1:19" s="1" customFormat="1">
      <c r="A465" s="356" t="s">
        <v>684</v>
      </c>
      <c r="B465" s="675"/>
      <c r="C465" s="35"/>
      <c r="D465" s="234"/>
      <c r="E465" s="234"/>
      <c r="F465" s="191"/>
      <c r="G465" s="195"/>
      <c r="H465" s="80"/>
      <c r="I465" s="114"/>
      <c r="J465" s="35">
        <f t="shared" si="119"/>
        <v>0</v>
      </c>
      <c r="K465" s="3">
        <f>C465*VLOOKUP(A465,[1]오일단가!$A:$S,13,0)</f>
        <v>0</v>
      </c>
      <c r="L465" s="302"/>
      <c r="M465" s="299"/>
      <c r="N465" s="283">
        <f>F465*VLOOKUP(A465,[1]오일단가!$A:$S,14,0)</f>
        <v>0</v>
      </c>
      <c r="O465" s="276"/>
      <c r="P465" s="482"/>
      <c r="Q465" s="5"/>
      <c r="R465" s="3">
        <f t="shared" si="122"/>
        <v>0</v>
      </c>
      <c r="S465" s="3">
        <f>J465*15200</f>
        <v>0</v>
      </c>
    </row>
    <row r="466" spans="1:19" s="1" customFormat="1">
      <c r="A466" s="356" t="s">
        <v>691</v>
      </c>
      <c r="B466" s="675"/>
      <c r="C466" s="35"/>
      <c r="D466" s="234"/>
      <c r="E466" s="234"/>
      <c r="F466" s="191"/>
      <c r="G466" s="195"/>
      <c r="H466" s="80"/>
      <c r="I466" s="114"/>
      <c r="J466" s="35">
        <f t="shared" si="119"/>
        <v>0</v>
      </c>
      <c r="K466" s="3">
        <f>C466*184000</f>
        <v>0</v>
      </c>
      <c r="L466" s="302"/>
      <c r="M466" s="299"/>
      <c r="N466" s="283">
        <f>F466*166000</f>
        <v>0</v>
      </c>
      <c r="O466" s="276"/>
      <c r="P466" s="482"/>
      <c r="Q466" s="5"/>
      <c r="R466" s="3">
        <f t="shared" si="122"/>
        <v>0</v>
      </c>
      <c r="S466" s="3">
        <f>J466*22800</f>
        <v>0</v>
      </c>
    </row>
    <row r="467" spans="1:19" s="1" customFormat="1">
      <c r="A467" s="356" t="s">
        <v>692</v>
      </c>
      <c r="B467" s="675"/>
      <c r="C467" s="35"/>
      <c r="D467" s="234"/>
      <c r="E467" s="234"/>
      <c r="F467" s="191"/>
      <c r="G467" s="195"/>
      <c r="H467" s="80"/>
      <c r="I467" s="114"/>
      <c r="J467" s="35">
        <f t="shared" si="119"/>
        <v>0</v>
      </c>
      <c r="K467" s="3">
        <f>C467*128000</f>
        <v>0</v>
      </c>
      <c r="L467" s="302"/>
      <c r="M467" s="299"/>
      <c r="N467" s="283">
        <f>F467*115000</f>
        <v>0</v>
      </c>
      <c r="O467" s="276"/>
      <c r="P467" s="482"/>
      <c r="Q467" s="5"/>
      <c r="R467" s="3">
        <f t="shared" si="122"/>
        <v>0</v>
      </c>
      <c r="S467" s="3">
        <f>J467*10400</f>
        <v>0</v>
      </c>
    </row>
    <row r="468" spans="1:19" s="1" customFormat="1">
      <c r="A468" s="356" t="s">
        <v>490</v>
      </c>
      <c r="B468" s="675"/>
      <c r="C468" s="35"/>
      <c r="D468" s="234"/>
      <c r="E468" s="234"/>
      <c r="F468" s="191"/>
      <c r="G468" s="195"/>
      <c r="H468" s="80"/>
      <c r="I468" s="114"/>
      <c r="J468" s="35">
        <f t="shared" si="119"/>
        <v>0</v>
      </c>
      <c r="K468" s="3">
        <f>C468*VLOOKUP(A468,[1]오일단가!$A:$S,13,0)</f>
        <v>0</v>
      </c>
      <c r="L468" s="302"/>
      <c r="M468" s="299"/>
      <c r="N468" s="283">
        <f>F468*VLOOKUP(A468,[1]오일단가!$A:$S,14,0)</f>
        <v>0</v>
      </c>
      <c r="O468" s="276"/>
      <c r="P468" s="482"/>
      <c r="Q468" s="5"/>
      <c r="R468" s="3">
        <f t="shared" si="122"/>
        <v>0</v>
      </c>
      <c r="S468" s="3">
        <f>J468*36700</f>
        <v>0</v>
      </c>
    </row>
    <row r="469" spans="1:19" s="1" customFormat="1">
      <c r="A469" s="356" t="s">
        <v>616</v>
      </c>
      <c r="B469" s="675"/>
      <c r="C469" s="35"/>
      <c r="D469" s="234"/>
      <c r="E469" s="234"/>
      <c r="F469" s="191"/>
      <c r="G469" s="195"/>
      <c r="H469" s="80"/>
      <c r="I469" s="114"/>
      <c r="J469" s="35">
        <f t="shared" si="119"/>
        <v>0</v>
      </c>
      <c r="K469" s="3">
        <f>C469*VLOOKUP(A469,[1]오일단가!$A:$S,13,0)</f>
        <v>0</v>
      </c>
      <c r="L469" s="302"/>
      <c r="M469" s="299"/>
      <c r="N469" s="283">
        <f>F469*VLOOKUP(A469,[1]오일단가!$A:$S,14,0)</f>
        <v>0</v>
      </c>
      <c r="O469" s="276"/>
      <c r="P469" s="482"/>
      <c r="Q469" s="5"/>
      <c r="R469" s="3">
        <f t="shared" si="122"/>
        <v>0</v>
      </c>
      <c r="S469" s="3">
        <f>J469*19980</f>
        <v>0</v>
      </c>
    </row>
    <row r="470" spans="1:19" s="1" customFormat="1">
      <c r="A470" s="356" t="s">
        <v>539</v>
      </c>
      <c r="B470" s="675"/>
      <c r="C470" s="35"/>
      <c r="D470" s="234"/>
      <c r="E470" s="234"/>
      <c r="F470" s="191"/>
      <c r="G470" s="195"/>
      <c r="H470" s="80"/>
      <c r="I470" s="114"/>
      <c r="J470" s="35">
        <f t="shared" si="119"/>
        <v>0</v>
      </c>
      <c r="K470" s="3">
        <f>C470*VLOOKUP(A470,[1]오일단가!$A:$S,13,0)</f>
        <v>0</v>
      </c>
      <c r="L470" s="302"/>
      <c r="M470" s="299"/>
      <c r="N470" s="283">
        <f>F470*VLOOKUP(A470,[1]오일단가!$A:$S,14,0)</f>
        <v>0</v>
      </c>
      <c r="O470" s="276"/>
      <c r="P470" s="482"/>
      <c r="Q470" s="5"/>
      <c r="R470" s="3">
        <f t="shared" si="122"/>
        <v>0</v>
      </c>
      <c r="S470" s="3">
        <f>J470*16900</f>
        <v>0</v>
      </c>
    </row>
    <row r="471" spans="1:19" s="1" customFormat="1">
      <c r="A471" s="356" t="s">
        <v>694</v>
      </c>
      <c r="B471" s="675"/>
      <c r="C471" s="35"/>
      <c r="D471" s="234"/>
      <c r="E471" s="234"/>
      <c r="F471" s="191"/>
      <c r="G471" s="195"/>
      <c r="H471" s="80"/>
      <c r="I471" s="114"/>
      <c r="J471" s="35">
        <f t="shared" si="119"/>
        <v>0</v>
      </c>
      <c r="K471" s="3">
        <f>C471*128000</f>
        <v>0</v>
      </c>
      <c r="L471" s="302"/>
      <c r="M471" s="299"/>
      <c r="N471" s="283">
        <f>F471*115000</f>
        <v>0</v>
      </c>
      <c r="O471" s="276"/>
      <c r="P471" s="482"/>
      <c r="Q471" s="5"/>
      <c r="R471" s="3">
        <f t="shared" si="122"/>
        <v>0</v>
      </c>
      <c r="S471" s="3">
        <f>J471*11100</f>
        <v>0</v>
      </c>
    </row>
    <row r="472" spans="1:19" s="1" customFormat="1">
      <c r="A472" s="354" t="s">
        <v>485</v>
      </c>
      <c r="B472" s="675"/>
      <c r="C472" s="237"/>
      <c r="D472" s="234"/>
      <c r="E472" s="234"/>
      <c r="F472" s="230"/>
      <c r="G472" s="345"/>
      <c r="H472" s="80"/>
      <c r="I472" s="114"/>
      <c r="J472" s="35">
        <f t="shared" si="119"/>
        <v>0</v>
      </c>
      <c r="K472" s="3">
        <f>C472*VLOOKUP(A472,[1]오일단가!$A:$S,13,0)</f>
        <v>0</v>
      </c>
      <c r="L472" s="302"/>
      <c r="M472" s="299"/>
      <c r="N472" s="283">
        <f>F472*VLOOKUP(A472,[1]오일단가!$A:$S,14,0)</f>
        <v>0</v>
      </c>
      <c r="O472" s="276"/>
      <c r="P472" s="482"/>
      <c r="Q472" s="5"/>
      <c r="R472" s="3">
        <f t="shared" si="122"/>
        <v>0</v>
      </c>
      <c r="S472" s="3">
        <f>J472*10100</f>
        <v>0</v>
      </c>
    </row>
    <row r="473" spans="1:19" s="1" customFormat="1">
      <c r="A473" s="356" t="s">
        <v>540</v>
      </c>
      <c r="B473" s="675"/>
      <c r="C473" s="35"/>
      <c r="D473" s="234"/>
      <c r="E473" s="234"/>
      <c r="F473" s="191"/>
      <c r="G473" s="195"/>
      <c r="H473" s="80"/>
      <c r="I473" s="114"/>
      <c r="J473" s="35">
        <f t="shared" si="119"/>
        <v>0</v>
      </c>
      <c r="K473" s="3">
        <f>C473*VLOOKUP(A473,[1]오일단가!$A:$S,13,0)</f>
        <v>0</v>
      </c>
      <c r="L473" s="302"/>
      <c r="M473" s="299"/>
      <c r="N473" s="283">
        <f>F473*VLOOKUP(A473,[1]오일단가!$A:$S,14,0)</f>
        <v>0</v>
      </c>
      <c r="O473" s="276"/>
      <c r="P473" s="482"/>
      <c r="Q473" s="5"/>
      <c r="R473" s="3">
        <f t="shared" si="122"/>
        <v>0</v>
      </c>
      <c r="S473" s="3">
        <f>J473*26800</f>
        <v>0</v>
      </c>
    </row>
    <row r="474" spans="1:19" s="1" customFormat="1">
      <c r="A474" s="356" t="s">
        <v>679</v>
      </c>
      <c r="B474" s="675"/>
      <c r="C474" s="35"/>
      <c r="D474" s="234"/>
      <c r="E474" s="234"/>
      <c r="F474" s="191"/>
      <c r="G474" s="195"/>
      <c r="H474" s="80"/>
      <c r="I474" s="114"/>
      <c r="J474" s="35">
        <f t="shared" si="119"/>
        <v>0</v>
      </c>
      <c r="K474" s="3">
        <f>C474*VLOOKUP(A474,[1]오일단가!$A:$S,13,0)</f>
        <v>0</v>
      </c>
      <c r="L474" s="302"/>
      <c r="M474" s="299"/>
      <c r="N474" s="283">
        <f>F474*VLOOKUP(A474,[1]오일단가!$A:$S,14,0)</f>
        <v>0</v>
      </c>
      <c r="O474" s="276"/>
      <c r="P474" s="482"/>
      <c r="Q474" s="5"/>
      <c r="R474" s="3">
        <f t="shared" si="122"/>
        <v>0</v>
      </c>
      <c r="S474" s="3">
        <f>J474*13100</f>
        <v>0</v>
      </c>
    </row>
    <row r="475" spans="1:19" s="1" customFormat="1">
      <c r="A475" s="354" t="s">
        <v>486</v>
      </c>
      <c r="B475" s="675"/>
      <c r="C475" s="237"/>
      <c r="D475" s="234"/>
      <c r="E475" s="234"/>
      <c r="F475" s="230"/>
      <c r="G475" s="345"/>
      <c r="H475" s="80"/>
      <c r="I475" s="114"/>
      <c r="J475" s="35">
        <f t="shared" si="119"/>
        <v>0</v>
      </c>
      <c r="K475" s="3">
        <f>C475*VLOOKUP(A475,[1]오일단가!$A:$S,13,0)</f>
        <v>0</v>
      </c>
      <c r="L475" s="302"/>
      <c r="M475" s="299"/>
      <c r="N475" s="283">
        <f>F475*40000</f>
        <v>0</v>
      </c>
      <c r="O475" s="276"/>
      <c r="P475" s="482"/>
      <c r="Q475" s="5"/>
      <c r="R475" s="3">
        <f t="shared" si="122"/>
        <v>0</v>
      </c>
      <c r="S475" s="3">
        <f>J475*7400</f>
        <v>0</v>
      </c>
    </row>
    <row r="476" spans="1:19" s="1" customFormat="1">
      <c r="A476" s="356" t="s">
        <v>541</v>
      </c>
      <c r="B476" s="675"/>
      <c r="C476" s="35"/>
      <c r="D476" s="234"/>
      <c r="E476" s="234"/>
      <c r="F476" s="191"/>
      <c r="G476" s="195"/>
      <c r="H476" s="80"/>
      <c r="I476" s="114"/>
      <c r="J476" s="35">
        <f t="shared" si="119"/>
        <v>0</v>
      </c>
      <c r="K476" s="3">
        <f>C476*VLOOKUP(A476,[1]오일단가!$A:$S,13,0)</f>
        <v>0</v>
      </c>
      <c r="L476" s="302"/>
      <c r="M476" s="299"/>
      <c r="N476" s="283">
        <f>F476*VLOOKUP(A476,[1]오일단가!$A:$S,14,0)</f>
        <v>0</v>
      </c>
      <c r="O476" s="276"/>
      <c r="P476" s="482"/>
      <c r="Q476" s="5"/>
      <c r="R476" s="3">
        <f t="shared" si="122"/>
        <v>0</v>
      </c>
      <c r="S476" s="3">
        <f>J476*30100</f>
        <v>0</v>
      </c>
    </row>
    <row r="477" spans="1:19" s="1" customFormat="1">
      <c r="A477" s="356" t="s">
        <v>543</v>
      </c>
      <c r="B477" s="675"/>
      <c r="C477" s="35"/>
      <c r="D477" s="234"/>
      <c r="E477" s="234"/>
      <c r="F477" s="191"/>
      <c r="G477" s="195"/>
      <c r="H477" s="80"/>
      <c r="I477" s="114"/>
      <c r="J477" s="35">
        <f t="shared" si="119"/>
        <v>0</v>
      </c>
      <c r="K477" s="3">
        <f>C477*VLOOKUP(A477,[1]오일단가!$A:$S,13,0)</f>
        <v>0</v>
      </c>
      <c r="L477" s="302"/>
      <c r="M477" s="299"/>
      <c r="N477" s="283">
        <f>F477*VLOOKUP(A477,[1]오일단가!$A:$S,14,0)</f>
        <v>0</v>
      </c>
      <c r="O477" s="276"/>
      <c r="P477" s="482"/>
      <c r="Q477" s="5"/>
      <c r="R477" s="3">
        <f t="shared" si="122"/>
        <v>0</v>
      </c>
      <c r="S477" s="3">
        <f>J477*66400</f>
        <v>0</v>
      </c>
    </row>
    <row r="478" spans="1:19" s="1" customFormat="1">
      <c r="A478" s="356" t="s">
        <v>617</v>
      </c>
      <c r="B478" s="675"/>
      <c r="C478" s="35"/>
      <c r="D478" s="234"/>
      <c r="E478" s="234"/>
      <c r="F478" s="191"/>
      <c r="G478" s="195"/>
      <c r="H478" s="80"/>
      <c r="I478" s="114"/>
      <c r="J478" s="35">
        <f t="shared" si="119"/>
        <v>0</v>
      </c>
      <c r="K478" s="3">
        <f>C478*VLOOKUP(A478,[1]오일단가!$A:$S,13,0)</f>
        <v>0</v>
      </c>
      <c r="L478" s="302"/>
      <c r="M478" s="299"/>
      <c r="N478" s="283">
        <f>F478*VLOOKUP(A478,[1]오일단가!$A:$S,14,0)</f>
        <v>0</v>
      </c>
      <c r="O478" s="276"/>
      <c r="P478" s="482"/>
      <c r="Q478" s="5"/>
      <c r="R478" s="3">
        <f t="shared" si="122"/>
        <v>0</v>
      </c>
      <c r="S478" s="3">
        <f>J478*26800</f>
        <v>0</v>
      </c>
    </row>
    <row r="479" spans="1:19" s="1" customFormat="1">
      <c r="A479" s="356" t="s">
        <v>674</v>
      </c>
      <c r="B479" s="675"/>
      <c r="C479" s="237"/>
      <c r="D479" s="234"/>
      <c r="E479" s="234"/>
      <c r="F479" s="230"/>
      <c r="G479" s="345"/>
      <c r="H479" s="80"/>
      <c r="I479" s="114"/>
      <c r="J479" s="35">
        <f t="shared" si="119"/>
        <v>0</v>
      </c>
      <c r="K479" s="3">
        <f>C479*VLOOKUP(A479,[1]오일단가!$A:$S,13,0)</f>
        <v>0</v>
      </c>
      <c r="L479" s="302"/>
      <c r="M479" s="299"/>
      <c r="N479" s="283">
        <f>F479*VLOOKUP(A479,[1]오일단가!$A:$S,14,0)</f>
        <v>0</v>
      </c>
      <c r="O479" s="276"/>
      <c r="P479" s="482"/>
      <c r="Q479" s="5"/>
      <c r="R479" s="3">
        <f t="shared" si="122"/>
        <v>0</v>
      </c>
      <c r="S479" s="3">
        <f>J479*41100</f>
        <v>0</v>
      </c>
    </row>
    <row r="480" spans="1:19" s="1" customFormat="1">
      <c r="A480" s="356" t="s">
        <v>695</v>
      </c>
      <c r="B480" s="675"/>
      <c r="C480" s="237"/>
      <c r="D480" s="234"/>
      <c r="E480" s="234"/>
      <c r="F480" s="230"/>
      <c r="G480" s="345"/>
      <c r="H480" s="80"/>
      <c r="I480" s="114"/>
      <c r="J480" s="35">
        <f t="shared" si="119"/>
        <v>0</v>
      </c>
      <c r="K480" s="3">
        <f>C480*1000000</f>
        <v>0</v>
      </c>
      <c r="L480" s="302"/>
      <c r="M480" s="299"/>
      <c r="N480" s="283">
        <f>F480*900000</f>
        <v>0</v>
      </c>
      <c r="O480" s="276"/>
      <c r="P480" s="482"/>
      <c r="Q480" s="5"/>
      <c r="R480" s="3">
        <f t="shared" si="122"/>
        <v>0</v>
      </c>
      <c r="S480" s="3">
        <f>J480*25900</f>
        <v>0</v>
      </c>
    </row>
    <row r="481" spans="1:19" s="1" customFormat="1">
      <c r="A481" s="356" t="s">
        <v>675</v>
      </c>
      <c r="B481" s="675"/>
      <c r="C481" s="35"/>
      <c r="D481" s="234"/>
      <c r="E481" s="234"/>
      <c r="F481" s="191"/>
      <c r="G481" s="195"/>
      <c r="H481" s="80"/>
      <c r="I481" s="114"/>
      <c r="J481" s="35">
        <f t="shared" si="119"/>
        <v>0</v>
      </c>
      <c r="K481" s="3">
        <f>C481*VLOOKUP(A481,[1]오일단가!$A:$S,13,0)</f>
        <v>0</v>
      </c>
      <c r="L481" s="302"/>
      <c r="M481" s="299"/>
      <c r="N481" s="283">
        <f>F481*VLOOKUP(A481,[1]오일단가!$A:$S,14,0)</f>
        <v>0</v>
      </c>
      <c r="O481" s="276"/>
      <c r="P481" s="482"/>
      <c r="Q481" s="5"/>
      <c r="R481" s="3">
        <f t="shared" si="122"/>
        <v>0</v>
      </c>
      <c r="S481" s="3">
        <f>J481*70800</f>
        <v>0</v>
      </c>
    </row>
    <row r="482" spans="1:19" s="1" customFormat="1">
      <c r="A482" s="356" t="s">
        <v>696</v>
      </c>
      <c r="B482" s="675"/>
      <c r="C482" s="35"/>
      <c r="D482" s="234"/>
      <c r="E482" s="234"/>
      <c r="F482" s="191"/>
      <c r="G482" s="195"/>
      <c r="H482" s="80"/>
      <c r="I482" s="114"/>
      <c r="J482" s="35">
        <f t="shared" si="119"/>
        <v>0</v>
      </c>
      <c r="K482" s="3">
        <f>C482*184000</f>
        <v>0</v>
      </c>
      <c r="L482" s="302"/>
      <c r="M482" s="299"/>
      <c r="N482" s="283">
        <f>F482*166000</f>
        <v>0</v>
      </c>
      <c r="O482" s="276"/>
      <c r="P482" s="482"/>
      <c r="Q482" s="5"/>
      <c r="R482" s="3">
        <f t="shared" si="122"/>
        <v>0</v>
      </c>
      <c r="S482" s="3">
        <f>J482*21700</f>
        <v>0</v>
      </c>
    </row>
    <row r="483" spans="1:19" s="1" customFormat="1">
      <c r="A483" s="356" t="s">
        <v>676</v>
      </c>
      <c r="B483" s="675"/>
      <c r="C483" s="35"/>
      <c r="D483" s="234"/>
      <c r="E483" s="234"/>
      <c r="F483" s="191"/>
      <c r="G483" s="195"/>
      <c r="H483" s="80"/>
      <c r="I483" s="114"/>
      <c r="J483" s="35">
        <f t="shared" si="119"/>
        <v>0</v>
      </c>
      <c r="K483" s="3">
        <f>C483*VLOOKUP(A483,[1]오일단가!$A:$S,13,0)</f>
        <v>0</v>
      </c>
      <c r="L483" s="302"/>
      <c r="M483" s="299"/>
      <c r="N483" s="283">
        <f>F483*VLOOKUP(A483,[1]오일단가!$A:$S,14,0)</f>
        <v>0</v>
      </c>
      <c r="O483" s="276"/>
      <c r="P483" s="482"/>
      <c r="Q483" s="5"/>
      <c r="R483" s="3">
        <f t="shared" si="122"/>
        <v>0</v>
      </c>
      <c r="S483" s="3">
        <f>J483*19100</f>
        <v>0</v>
      </c>
    </row>
    <row r="484" spans="1:19" s="1" customFormat="1">
      <c r="A484" s="356" t="s">
        <v>544</v>
      </c>
      <c r="B484" s="675"/>
      <c r="C484" s="35"/>
      <c r="D484" s="234"/>
      <c r="E484" s="234"/>
      <c r="F484" s="191"/>
      <c r="G484" s="195"/>
      <c r="H484" s="80"/>
      <c r="I484" s="114"/>
      <c r="J484" s="35">
        <f t="shared" si="119"/>
        <v>0</v>
      </c>
      <c r="K484" s="3">
        <f>C484*VLOOKUP(A484,[1]오일단가!$A:$S,13,0)</f>
        <v>0</v>
      </c>
      <c r="L484" s="302"/>
      <c r="M484" s="299"/>
      <c r="N484" s="283">
        <f>F484*VLOOKUP(A484,[1]오일단가!$A:$S,14,0)</f>
        <v>0</v>
      </c>
      <c r="O484" s="276"/>
      <c r="P484" s="482"/>
      <c r="Q484" s="5"/>
      <c r="R484" s="3">
        <f t="shared" si="122"/>
        <v>0</v>
      </c>
      <c r="S484" s="3">
        <f>J484*32200</f>
        <v>0</v>
      </c>
    </row>
    <row r="485" spans="1:19" s="1" customFormat="1">
      <c r="A485" s="356" t="s">
        <v>545</v>
      </c>
      <c r="B485" s="675"/>
      <c r="C485" s="35"/>
      <c r="D485" s="234"/>
      <c r="E485" s="234"/>
      <c r="F485" s="191"/>
      <c r="G485" s="195"/>
      <c r="H485" s="80"/>
      <c r="I485" s="114"/>
      <c r="J485" s="35">
        <f t="shared" si="119"/>
        <v>0</v>
      </c>
      <c r="K485" s="3">
        <f>C485*VLOOKUP(A485,[1]오일단가!$A:$S,13,0)</f>
        <v>0</v>
      </c>
      <c r="L485" s="302"/>
      <c r="M485" s="299"/>
      <c r="N485" s="283">
        <f>F485*VLOOKUP(A485,[1]오일단가!$A:$S,14,0)</f>
        <v>0</v>
      </c>
      <c r="O485" s="276"/>
      <c r="P485" s="482"/>
      <c r="Q485" s="5"/>
      <c r="R485" s="3">
        <f t="shared" si="122"/>
        <v>0</v>
      </c>
      <c r="S485" s="3">
        <f>J485*45600</f>
        <v>0</v>
      </c>
    </row>
    <row r="486" spans="1:19" s="1" customFormat="1">
      <c r="A486" s="356" t="s">
        <v>546</v>
      </c>
      <c r="B486" s="675"/>
      <c r="C486" s="35"/>
      <c r="D486" s="234"/>
      <c r="E486" s="234"/>
      <c r="F486" s="191"/>
      <c r="G486" s="195"/>
      <c r="H486" s="80"/>
      <c r="I486" s="114"/>
      <c r="J486" s="35">
        <f t="shared" si="119"/>
        <v>0</v>
      </c>
      <c r="K486" s="3">
        <f>C486*VLOOKUP(A486,[1]오일단가!$A:$S,13,0)</f>
        <v>0</v>
      </c>
      <c r="L486" s="302"/>
      <c r="M486" s="299"/>
      <c r="N486" s="283">
        <f>F486*VLOOKUP(A486,[1]오일단가!$A:$S,14,0)</f>
        <v>0</v>
      </c>
      <c r="O486" s="276"/>
      <c r="P486" s="482"/>
      <c r="Q486" s="5"/>
      <c r="R486" s="3">
        <f t="shared" si="122"/>
        <v>0</v>
      </c>
      <c r="S486" s="3">
        <f>J486*62600</f>
        <v>0</v>
      </c>
    </row>
    <row r="487" spans="1:19" s="1" customFormat="1">
      <c r="A487" s="356" t="s">
        <v>547</v>
      </c>
      <c r="B487" s="675"/>
      <c r="C487" s="35"/>
      <c r="D487" s="234"/>
      <c r="E487" s="234"/>
      <c r="F487" s="191"/>
      <c r="G487" s="195"/>
      <c r="H487" s="80"/>
      <c r="I487" s="114"/>
      <c r="J487" s="35">
        <f t="shared" si="119"/>
        <v>0</v>
      </c>
      <c r="K487" s="3">
        <f>C487*VLOOKUP(A487,[1]오일단가!$A:$S,13,0)</f>
        <v>0</v>
      </c>
      <c r="L487" s="302"/>
      <c r="M487" s="299"/>
      <c r="N487" s="283">
        <f>F487*VLOOKUP(A487,[1]오일단가!$A:$S,14,0)</f>
        <v>0</v>
      </c>
      <c r="O487" s="276"/>
      <c r="P487" s="482"/>
      <c r="Q487" s="5"/>
      <c r="R487" s="3">
        <f t="shared" si="122"/>
        <v>0</v>
      </c>
      <c r="S487" s="3">
        <f>J487*29300</f>
        <v>0</v>
      </c>
    </row>
    <row r="488" spans="1:19" s="1" customFormat="1">
      <c r="A488" s="356" t="s">
        <v>548</v>
      </c>
      <c r="B488" s="676"/>
      <c r="C488" s="35"/>
      <c r="D488" s="234"/>
      <c r="E488" s="234"/>
      <c r="F488" s="191"/>
      <c r="G488" s="195"/>
      <c r="H488" s="80"/>
      <c r="I488" s="114"/>
      <c r="J488" s="35">
        <f t="shared" si="119"/>
        <v>0</v>
      </c>
      <c r="K488" s="3">
        <f>C488*VLOOKUP(A488,[1]오일단가!$A:$S,13,0)</f>
        <v>0</v>
      </c>
      <c r="L488" s="302"/>
      <c r="M488" s="299"/>
      <c r="N488" s="283">
        <f>F488*VLOOKUP(A488,[1]오일단가!$A:$S,14,0)</f>
        <v>0</v>
      </c>
      <c r="O488" s="276"/>
      <c r="P488" s="482"/>
      <c r="Q488" s="5"/>
      <c r="R488" s="3">
        <f t="shared" si="122"/>
        <v>0</v>
      </c>
      <c r="S488" s="3">
        <f>J488*28700</f>
        <v>0</v>
      </c>
    </row>
    <row r="489" spans="1:19" s="1" customFormat="1">
      <c r="A489" s="356"/>
      <c r="B489" s="418"/>
      <c r="C489" s="35"/>
      <c r="D489" s="234"/>
      <c r="E489" s="234"/>
      <c r="F489" s="191"/>
      <c r="G489" s="195"/>
      <c r="H489" s="80"/>
      <c r="I489" s="114"/>
      <c r="J489" s="35"/>
      <c r="K489" s="3"/>
      <c r="L489" s="302"/>
      <c r="M489" s="299"/>
      <c r="N489" s="283"/>
      <c r="O489" s="276"/>
      <c r="P489" s="482"/>
      <c r="Q489" s="5"/>
      <c r="R489" s="3"/>
      <c r="S489" s="3"/>
    </row>
    <row r="490" spans="1:19" s="74" customFormat="1">
      <c r="A490" s="504" t="s">
        <v>576</v>
      </c>
      <c r="B490" s="506"/>
      <c r="C490" s="450">
        <f t="shared" ref="C490:Q490" si="125">SUM(C419:C489)</f>
        <v>0</v>
      </c>
      <c r="D490" s="450">
        <f t="shared" si="125"/>
        <v>0</v>
      </c>
      <c r="E490" s="450">
        <f t="shared" si="125"/>
        <v>0</v>
      </c>
      <c r="F490" s="450">
        <f t="shared" si="125"/>
        <v>6</v>
      </c>
      <c r="G490" s="450">
        <f t="shared" si="125"/>
        <v>0</v>
      </c>
      <c r="H490" s="450">
        <f t="shared" si="125"/>
        <v>0</v>
      </c>
      <c r="I490" s="450">
        <f t="shared" si="125"/>
        <v>0</v>
      </c>
      <c r="J490" s="450">
        <f t="shared" si="125"/>
        <v>6</v>
      </c>
      <c r="K490" s="457">
        <f t="shared" si="125"/>
        <v>0</v>
      </c>
      <c r="L490" s="457">
        <f t="shared" si="125"/>
        <v>0</v>
      </c>
      <c r="M490" s="457">
        <f t="shared" si="125"/>
        <v>0</v>
      </c>
      <c r="N490" s="457">
        <f t="shared" si="125"/>
        <v>561000</v>
      </c>
      <c r="O490" s="457">
        <f t="shared" si="125"/>
        <v>0</v>
      </c>
      <c r="P490" s="457">
        <f t="shared" si="125"/>
        <v>0</v>
      </c>
      <c r="Q490" s="457">
        <f t="shared" si="125"/>
        <v>0</v>
      </c>
      <c r="R490" s="457">
        <f>SUM(K490:Q490)</f>
        <v>561000</v>
      </c>
      <c r="S490" s="457">
        <f>SUM(S419:S489)</f>
        <v>149800</v>
      </c>
    </row>
    <row r="491" spans="1:19" s="1" customFormat="1">
      <c r="A491" s="356"/>
      <c r="B491" s="505"/>
      <c r="C491" s="35"/>
      <c r="D491" s="234"/>
      <c r="E491" s="234"/>
      <c r="F491" s="191"/>
      <c r="G491" s="195"/>
      <c r="H491" s="80"/>
      <c r="I491" s="114"/>
      <c r="J491" s="35"/>
      <c r="K491" s="364"/>
      <c r="L491" s="302"/>
      <c r="M491" s="299"/>
      <c r="N491" s="282"/>
      <c r="O491" s="276"/>
      <c r="P491" s="482"/>
      <c r="Q491" s="5"/>
      <c r="R491" s="3"/>
      <c r="S491" s="3"/>
    </row>
    <row r="492" spans="1:19" s="1" customFormat="1" ht="16.5" customHeight="1">
      <c r="A492" s="356" t="s">
        <v>549</v>
      </c>
      <c r="B492" s="674" t="s">
        <v>840</v>
      </c>
      <c r="C492" s="35"/>
      <c r="D492" s="234"/>
      <c r="E492" s="234"/>
      <c r="F492" s="191">
        <v>1</v>
      </c>
      <c r="G492" s="195"/>
      <c r="H492" s="80"/>
      <c r="I492" s="114"/>
      <c r="J492" s="35">
        <f t="shared" si="119"/>
        <v>1</v>
      </c>
      <c r="K492" s="364">
        <f>C492*156000</f>
        <v>0</v>
      </c>
      <c r="L492" s="302"/>
      <c r="M492" s="299">
        <f>E492*156000</f>
        <v>0</v>
      </c>
      <c r="N492" s="282">
        <f>F492*124800</f>
        <v>124800</v>
      </c>
      <c r="O492" s="276"/>
      <c r="P492" s="482"/>
      <c r="Q492" s="5"/>
      <c r="R492" s="3">
        <f t="shared" si="115"/>
        <v>124800</v>
      </c>
      <c r="S492" s="3">
        <f>J492*22320</f>
        <v>22320</v>
      </c>
    </row>
    <row r="493" spans="1:19" s="275" customFormat="1">
      <c r="A493" s="356" t="s">
        <v>550</v>
      </c>
      <c r="B493" s="675"/>
      <c r="C493" s="539">
        <v>1</v>
      </c>
      <c r="D493" s="233"/>
      <c r="E493" s="233"/>
      <c r="F493" s="218"/>
      <c r="G493" s="413"/>
      <c r="H493" s="413"/>
      <c r="I493" s="413"/>
      <c r="J493" s="218">
        <f t="shared" si="119"/>
        <v>1</v>
      </c>
      <c r="K493" s="364">
        <f>C493*44000</f>
        <v>44000</v>
      </c>
      <c r="L493" s="175"/>
      <c r="M493" s="299">
        <f>E493*44000</f>
        <v>0</v>
      </c>
      <c r="N493" s="282">
        <f>F493*35200</f>
        <v>0</v>
      </c>
      <c r="O493" s="175"/>
      <c r="P493" s="490"/>
      <c r="Q493" s="411"/>
      <c r="R493" s="3">
        <f t="shared" si="115"/>
        <v>44000</v>
      </c>
      <c r="S493" s="3">
        <f>J493*10230</f>
        <v>10230</v>
      </c>
    </row>
    <row r="494" spans="1:19" s="275" customFormat="1">
      <c r="A494" s="356" t="s">
        <v>551</v>
      </c>
      <c r="B494" s="675"/>
      <c r="C494" s="539"/>
      <c r="D494" s="233"/>
      <c r="E494" s="233"/>
      <c r="F494" s="218"/>
      <c r="G494" s="413"/>
      <c r="H494" s="413"/>
      <c r="I494" s="413"/>
      <c r="J494" s="218">
        <f t="shared" si="119"/>
        <v>0</v>
      </c>
      <c r="K494" s="364">
        <f>C494*44000</f>
        <v>0</v>
      </c>
      <c r="L494" s="175"/>
      <c r="M494" s="299">
        <f>E494*44000</f>
        <v>0</v>
      </c>
      <c r="N494" s="282">
        <f>F494*35200</f>
        <v>0</v>
      </c>
      <c r="O494" s="175"/>
      <c r="P494" s="490"/>
      <c r="Q494" s="411"/>
      <c r="R494" s="3">
        <f t="shared" si="115"/>
        <v>0</v>
      </c>
      <c r="S494" s="3">
        <f>J494*10780</f>
        <v>0</v>
      </c>
    </row>
    <row r="495" spans="1:19" s="275" customFormat="1">
      <c r="A495" s="356" t="s">
        <v>552</v>
      </c>
      <c r="B495" s="675"/>
      <c r="C495" s="218"/>
      <c r="D495" s="233"/>
      <c r="E495" s="234"/>
      <c r="F495" s="218"/>
      <c r="G495" s="413"/>
      <c r="H495" s="413"/>
      <c r="I495" s="413"/>
      <c r="J495" s="218">
        <f t="shared" si="119"/>
        <v>0</v>
      </c>
      <c r="K495" s="364">
        <f>C495*66000</f>
        <v>0</v>
      </c>
      <c r="L495" s="175"/>
      <c r="M495" s="299">
        <f>E495*66000</f>
        <v>0</v>
      </c>
      <c r="N495" s="282">
        <f>F495*52800</f>
        <v>0</v>
      </c>
      <c r="O495" s="175"/>
      <c r="P495" s="490"/>
      <c r="Q495" s="411"/>
      <c r="R495" s="3">
        <f t="shared" si="115"/>
        <v>0</v>
      </c>
      <c r="S495" s="3">
        <f>J495*14300</f>
        <v>0</v>
      </c>
    </row>
    <row r="496" spans="1:19" s="412" customFormat="1">
      <c r="A496" s="356" t="s">
        <v>553</v>
      </c>
      <c r="B496" s="676"/>
      <c r="C496" s="218"/>
      <c r="D496" s="233"/>
      <c r="E496" s="234"/>
      <c r="F496" s="191"/>
      <c r="G496" s="413"/>
      <c r="H496" s="413"/>
      <c r="I496" s="413"/>
      <c r="J496" s="218">
        <f t="shared" si="119"/>
        <v>0</v>
      </c>
      <c r="K496" s="364">
        <f>C496*36000</f>
        <v>0</v>
      </c>
      <c r="L496" s="175"/>
      <c r="M496" s="299">
        <f>E496*36000</f>
        <v>0</v>
      </c>
      <c r="N496" s="282">
        <f>F496*28800</f>
        <v>0</v>
      </c>
      <c r="O496" s="175"/>
      <c r="P496" s="490"/>
      <c r="Q496" s="411"/>
      <c r="R496" s="3">
        <f t="shared" si="115"/>
        <v>0</v>
      </c>
      <c r="S496" s="3">
        <f>J496*6600</f>
        <v>0</v>
      </c>
    </row>
    <row r="497" spans="1:19">
      <c r="A497" s="515" t="s">
        <v>579</v>
      </c>
      <c r="B497" s="516"/>
      <c r="C497" s="541">
        <f>SUM(C492:C496)</f>
        <v>1</v>
      </c>
      <c r="D497" s="541">
        <f t="shared" ref="D497:J497" si="126">SUM(D492:D496)</f>
        <v>0</v>
      </c>
      <c r="E497" s="541">
        <f t="shared" si="126"/>
        <v>0</v>
      </c>
      <c r="F497" s="541">
        <f t="shared" si="126"/>
        <v>1</v>
      </c>
      <c r="G497" s="541">
        <f t="shared" si="126"/>
        <v>0</v>
      </c>
      <c r="H497" s="541">
        <f t="shared" si="126"/>
        <v>0</v>
      </c>
      <c r="I497" s="541">
        <f t="shared" si="126"/>
        <v>0</v>
      </c>
      <c r="J497" s="541">
        <f t="shared" si="126"/>
        <v>2</v>
      </c>
      <c r="K497" s="507">
        <f>SUM(K491:K496)</f>
        <v>44000</v>
      </c>
      <c r="L497" s="507">
        <f t="shared" ref="L497:Q497" si="127">SUM(L491:L496)</f>
        <v>0</v>
      </c>
      <c r="M497" s="507">
        <f t="shared" si="127"/>
        <v>0</v>
      </c>
      <c r="N497" s="507">
        <f t="shared" si="127"/>
        <v>124800</v>
      </c>
      <c r="O497" s="507">
        <f t="shared" si="127"/>
        <v>0</v>
      </c>
      <c r="P497" s="507">
        <f t="shared" si="127"/>
        <v>0</v>
      </c>
      <c r="Q497" s="507">
        <f t="shared" si="127"/>
        <v>0</v>
      </c>
      <c r="R497" s="508">
        <f>SUM(K497:Q497)</f>
        <v>168800</v>
      </c>
      <c r="S497" s="509">
        <f>SUM(S491:S496)</f>
        <v>32550</v>
      </c>
    </row>
    <row r="498" spans="1:19">
      <c r="A498" s="517"/>
      <c r="D498" s="142"/>
      <c r="E498" s="143"/>
      <c r="F498" s="498"/>
      <c r="G498" s="12"/>
      <c r="H498" s="498"/>
      <c r="I498" s="677" t="s">
        <v>580</v>
      </c>
      <c r="J498" s="677"/>
      <c r="K498" s="518">
        <f>K497+K490+K417</f>
        <v>476000</v>
      </c>
      <c r="L498" s="510"/>
      <c r="M498" s="511"/>
      <c r="N498" s="511"/>
      <c r="O498" s="511"/>
      <c r="P498" s="512"/>
      <c r="Q498" s="513"/>
      <c r="R498" s="518">
        <f>R497+R490+R417</f>
        <v>1280800</v>
      </c>
      <c r="S498" s="519">
        <f>S497+S490+S417</f>
        <v>311258</v>
      </c>
    </row>
    <row r="499" spans="1:19" s="244" customFormat="1">
      <c r="B499" s="245"/>
      <c r="C499" s="245"/>
      <c r="D499" s="514"/>
      <c r="E499" s="500"/>
      <c r="F499" s="501"/>
      <c r="G499" s="502"/>
      <c r="H499" s="491"/>
      <c r="I499" s="501"/>
      <c r="J499" s="501"/>
      <c r="K499" s="492"/>
      <c r="L499" s="492"/>
      <c r="M499" s="493"/>
      <c r="N499" s="493"/>
      <c r="O499" s="494"/>
      <c r="P499" s="495"/>
      <c r="Q499" s="496"/>
      <c r="R499" s="492"/>
      <c r="S499" s="497"/>
    </row>
    <row r="500" spans="1:19" s="1" customFormat="1" ht="17.25" thickBot="1">
      <c r="A500" t="s">
        <v>335</v>
      </c>
      <c r="C500" s="2"/>
      <c r="F500" s="163"/>
      <c r="J500" s="164"/>
      <c r="K500" s="165"/>
      <c r="L500" s="165"/>
      <c r="M500" s="165"/>
      <c r="N500" s="165"/>
      <c r="O500" s="284"/>
      <c r="P500" s="165"/>
      <c r="Q500" s="165"/>
      <c r="R500"/>
    </row>
    <row r="501" spans="1:19" s="1" customFormat="1">
      <c r="A501" t="s">
        <v>337</v>
      </c>
      <c r="C501" s="2"/>
      <c r="F501" s="163"/>
      <c r="J501" s="141"/>
      <c r="K501" s="521" t="s">
        <v>577</v>
      </c>
      <c r="L501" s="524" t="s">
        <v>373</v>
      </c>
      <c r="M501" s="526" t="s">
        <v>578</v>
      </c>
      <c r="N501" s="528" t="s">
        <v>581</v>
      </c>
      <c r="O501" s="166"/>
      <c r="P501" s="601" t="s">
        <v>372</v>
      </c>
      <c r="Q501" s="158"/>
      <c r="R501" s="159"/>
      <c r="S501"/>
    </row>
    <row r="502" spans="1:19" s="1" customFormat="1">
      <c r="A502"/>
      <c r="C502" s="2"/>
      <c r="F502" s="163"/>
      <c r="J502" s="141" t="s">
        <v>582</v>
      </c>
      <c r="K502" s="522">
        <f>R24+R44+R60+R84+R101+R119+R126+R132+R140+R158</f>
        <v>253906310</v>
      </c>
      <c r="L502" s="296">
        <f>R225+R235+R241+R249</f>
        <v>36542570</v>
      </c>
      <c r="M502" s="286">
        <f>R498</f>
        <v>1280800</v>
      </c>
      <c r="N502" s="602">
        <f>R262+R336</f>
        <v>14875960</v>
      </c>
      <c r="O502" s="159"/>
      <c r="P502" s="603">
        <f>SUM(K502:O502)</f>
        <v>306605640</v>
      </c>
      <c r="Q502" s="158"/>
      <c r="R502" s="159"/>
      <c r="S502"/>
    </row>
    <row r="503" spans="1:19" s="1" customFormat="1" ht="17.25" thickBot="1">
      <c r="A503" t="s">
        <v>338</v>
      </c>
      <c r="C503" s="2"/>
      <c r="F503" s="163"/>
      <c r="J503" s="520" t="s">
        <v>506</v>
      </c>
      <c r="K503" s="523">
        <f>S24+S44+S60+S84+S101+S119+S126+S132+S140+S158</f>
        <v>122185664</v>
      </c>
      <c r="L503" s="525">
        <f>S225+S235+S241+S249</f>
        <v>7785900</v>
      </c>
      <c r="M503" s="527">
        <f>S498</f>
        <v>311258</v>
      </c>
      <c r="N503" s="604">
        <f>S262+S336</f>
        <v>5425840</v>
      </c>
      <c r="O503" s="605"/>
      <c r="P503" s="606">
        <f>SUM(K503:O503)</f>
        <v>135708662</v>
      </c>
      <c r="Q503" s="158"/>
      <c r="R503" s="158"/>
      <c r="S503"/>
    </row>
    <row r="504" spans="1:19" s="1" customFormat="1">
      <c r="A504" t="s">
        <v>505</v>
      </c>
      <c r="C504" s="2"/>
      <c r="F504" s="163"/>
      <c r="K504" s="3"/>
      <c r="L504" s="3"/>
      <c r="M504" s="4"/>
      <c r="N504" s="167"/>
      <c r="O504" s="573" t="s">
        <v>339</v>
      </c>
      <c r="P504" s="600" t="s">
        <v>340</v>
      </c>
      <c r="Q504" s="5"/>
      <c r="R504" s="4"/>
      <c r="S504"/>
    </row>
    <row r="505" spans="1:19" s="1" customFormat="1">
      <c r="A505"/>
      <c r="C505" s="2"/>
      <c r="F505" s="163"/>
      <c r="K505" s="3"/>
      <c r="L505" s="3"/>
      <c r="M505" s="4"/>
      <c r="N505" s="167" t="s">
        <v>341</v>
      </c>
      <c r="O505" s="529">
        <f>K502</f>
        <v>253906310</v>
      </c>
      <c r="P505" s="168">
        <f>K503</f>
        <v>122185664</v>
      </c>
      <c r="Q505" s="464"/>
      <c r="R505" s="42"/>
      <c r="S505"/>
    </row>
    <row r="506" spans="1:19" s="1" customFormat="1">
      <c r="A506" t="s">
        <v>369</v>
      </c>
      <c r="B506" s="144"/>
      <c r="C506" s="2"/>
      <c r="F506" s="163"/>
      <c r="H506" s="216"/>
      <c r="I506" s="216"/>
      <c r="J506" s="217"/>
      <c r="K506" s="3"/>
      <c r="L506" s="3"/>
      <c r="M506" s="4"/>
      <c r="N506" s="169" t="s">
        <v>342</v>
      </c>
      <c r="O506" s="170">
        <f>L502</f>
        <v>36542570</v>
      </c>
      <c r="P506" s="171">
        <f>L503</f>
        <v>7785900</v>
      </c>
      <c r="Q506" s="172"/>
      <c r="R506" s="172"/>
      <c r="S506"/>
    </row>
    <row r="507" spans="1:19" s="1" customFormat="1">
      <c r="A507" t="s">
        <v>343</v>
      </c>
      <c r="C507" s="2"/>
      <c r="F507" s="163"/>
      <c r="K507" s="3"/>
      <c r="L507" s="3"/>
      <c r="M507" s="4"/>
      <c r="N507" s="174" t="s">
        <v>336</v>
      </c>
      <c r="O507" s="175">
        <f>N502</f>
        <v>14875960</v>
      </c>
      <c r="P507" s="176">
        <f>N503</f>
        <v>5425840</v>
      </c>
      <c r="Q507" s="177"/>
      <c r="R507" s="177"/>
      <c r="S507"/>
    </row>
    <row r="508" spans="1:19" s="1" customFormat="1">
      <c r="A508" t="s">
        <v>344</v>
      </c>
      <c r="C508" s="2"/>
      <c r="F508" s="163"/>
      <c r="K508" s="3"/>
      <c r="L508" s="226"/>
      <c r="M508" s="4"/>
      <c r="N508" s="359" t="s">
        <v>578</v>
      </c>
      <c r="O508" s="283">
        <f>M502</f>
        <v>1280800</v>
      </c>
      <c r="P508" s="360">
        <f>M503</f>
        <v>311258</v>
      </c>
      <c r="Q508" s="283"/>
      <c r="R508" s="180"/>
      <c r="S508"/>
    </row>
    <row r="509" spans="1:19" s="1" customFormat="1">
      <c r="A509" t="s">
        <v>354</v>
      </c>
      <c r="C509" s="2"/>
      <c r="F509" s="213"/>
      <c r="G509" s="212"/>
      <c r="K509" s="3"/>
      <c r="L509" s="226"/>
      <c r="M509" s="4"/>
      <c r="N509" s="178"/>
      <c r="O509" s="530"/>
      <c r="P509" s="179"/>
      <c r="Q509" s="180"/>
      <c r="R509" s="183"/>
      <c r="S509"/>
    </row>
    <row r="510" spans="1:19" s="1" customFormat="1">
      <c r="A510" t="s">
        <v>355</v>
      </c>
      <c r="C510" s="2"/>
      <c r="F510" s="213"/>
      <c r="K510" s="3"/>
      <c r="L510" s="3"/>
      <c r="M510" s="4"/>
      <c r="N510" s="182" t="s">
        <v>372</v>
      </c>
      <c r="O510" s="367">
        <f>SUM(O505:O509)</f>
        <v>306605640</v>
      </c>
      <c r="P510" s="368">
        <f>SUM(P505:P509)</f>
        <v>135708662</v>
      </c>
      <c r="Q510" s="464"/>
      <c r="R510" s="4"/>
      <c r="S510"/>
    </row>
    <row r="511" spans="1:19" s="1" customFormat="1">
      <c r="A511" t="s">
        <v>703</v>
      </c>
      <c r="B511" s="572">
        <v>7</v>
      </c>
      <c r="C511" s="2"/>
      <c r="K511" s="4"/>
      <c r="L511" s="175" t="s">
        <v>383</v>
      </c>
      <c r="M511" s="4" t="s">
        <v>384</v>
      </c>
      <c r="N511" s="264" t="s">
        <v>385</v>
      </c>
      <c r="O511" s="283" t="s">
        <v>578</v>
      </c>
      <c r="P511" s="599" t="s">
        <v>387</v>
      </c>
      <c r="Q511" s="28" t="s">
        <v>386</v>
      </c>
      <c r="R511" s="1" t="s">
        <v>391</v>
      </c>
      <c r="S511" s="599"/>
    </row>
    <row r="512" spans="1:19">
      <c r="A512" t="s">
        <v>704</v>
      </c>
      <c r="B512" s="1">
        <v>1</v>
      </c>
      <c r="E512" s="270"/>
      <c r="K512" s="4" t="s">
        <v>380</v>
      </c>
      <c r="L512" s="175">
        <v>12898360</v>
      </c>
      <c r="M512" s="4">
        <v>215502510</v>
      </c>
      <c r="N512" s="265">
        <v>29033370</v>
      </c>
      <c r="O512" s="283">
        <v>1280800</v>
      </c>
      <c r="P512" s="269">
        <f>SUM(L512:O512)</f>
        <v>258715040</v>
      </c>
      <c r="Q512" s="3">
        <v>258712759</v>
      </c>
      <c r="R512" s="266"/>
      <c r="S512" s="269"/>
    </row>
    <row r="513" spans="1:19">
      <c r="A513" t="s">
        <v>388</v>
      </c>
      <c r="K513" s="4"/>
      <c r="L513" s="175">
        <v>4661608</v>
      </c>
      <c r="M513" s="4">
        <v>101156822</v>
      </c>
      <c r="N513" s="265">
        <v>5888697</v>
      </c>
      <c r="O513" s="283">
        <v>311258</v>
      </c>
      <c r="P513" s="269">
        <f>SUM(L513:O513)</f>
        <v>112018385</v>
      </c>
      <c r="Q513" s="3">
        <v>111947395</v>
      </c>
      <c r="R513" s="266"/>
      <c r="S513" s="269"/>
    </row>
    <row r="514" spans="1:19">
      <c r="A514" t="s">
        <v>805</v>
      </c>
      <c r="E514" s="613">
        <v>5</v>
      </c>
      <c r="K514" s="4"/>
      <c r="L514" s="175"/>
      <c r="N514" s="265"/>
      <c r="O514" s="283"/>
      <c r="P514" s="269">
        <f t="shared" ref="P514:P517" si="128">SUM(L514:O514)</f>
        <v>0</v>
      </c>
      <c r="Q514" s="3"/>
      <c r="R514" s="266"/>
      <c r="S514" s="269"/>
    </row>
    <row r="515" spans="1:19">
      <c r="A515" t="s">
        <v>806</v>
      </c>
      <c r="E515" s="613">
        <v>2</v>
      </c>
      <c r="K515" s="4"/>
      <c r="L515" s="175"/>
      <c r="N515" s="265"/>
      <c r="O515" s="283"/>
      <c r="P515" s="269">
        <f t="shared" si="128"/>
        <v>0</v>
      </c>
      <c r="Q515" s="3"/>
      <c r="R515" s="266"/>
      <c r="S515" s="269"/>
    </row>
    <row r="516" spans="1:19">
      <c r="A516" t="s">
        <v>807</v>
      </c>
      <c r="E516" s="613">
        <v>2</v>
      </c>
      <c r="K516" s="4" t="s">
        <v>382</v>
      </c>
      <c r="L516" s="175">
        <f>N502-L512-L514</f>
        <v>1977600</v>
      </c>
      <c r="M516" s="4">
        <f t="shared" ref="M516:O517" si="129">K502-M512-M514</f>
        <v>38403800</v>
      </c>
      <c r="N516" s="265">
        <f t="shared" si="129"/>
        <v>7509200</v>
      </c>
      <c r="O516" s="283">
        <f t="shared" si="129"/>
        <v>0</v>
      </c>
      <c r="P516" s="269">
        <f t="shared" si="128"/>
        <v>47890600</v>
      </c>
      <c r="Q516" s="3">
        <v>48223881</v>
      </c>
      <c r="R516" s="266"/>
      <c r="S516" s="269"/>
    </row>
    <row r="517" spans="1:19">
      <c r="A517" t="s">
        <v>808</v>
      </c>
      <c r="E517" s="613">
        <v>10</v>
      </c>
      <c r="K517" s="4"/>
      <c r="L517" s="175">
        <f>N503-L513-L515</f>
        <v>764232</v>
      </c>
      <c r="M517" s="4">
        <f t="shared" si="129"/>
        <v>21028842</v>
      </c>
      <c r="N517" s="265">
        <f t="shared" si="129"/>
        <v>1897203</v>
      </c>
      <c r="O517" s="283">
        <f t="shared" si="129"/>
        <v>0</v>
      </c>
      <c r="P517" s="269">
        <f t="shared" si="128"/>
        <v>23690277</v>
      </c>
      <c r="Q517" s="3">
        <v>23822497</v>
      </c>
      <c r="R517" s="266"/>
      <c r="S517" s="269"/>
    </row>
    <row r="518" spans="1:19">
      <c r="K518" s="4"/>
      <c r="L518" s="175"/>
      <c r="N518" s="265"/>
      <c r="O518" s="283"/>
      <c r="P518" s="269"/>
      <c r="Q518" s="3"/>
      <c r="R518"/>
      <c r="S518" s="269"/>
    </row>
    <row r="519" spans="1:19">
      <c r="K519" s="4" t="s">
        <v>389</v>
      </c>
      <c r="L519" s="175">
        <f t="shared" ref="L519:O520" si="130">L512+L514+L516</f>
        <v>14875960</v>
      </c>
      <c r="M519" s="4">
        <f t="shared" si="130"/>
        <v>253906310</v>
      </c>
      <c r="N519" s="170">
        <f>N512+N514+N516</f>
        <v>36542570</v>
      </c>
      <c r="O519" s="283">
        <f>O512+O514+O516</f>
        <v>1280800</v>
      </c>
      <c r="P519" s="269">
        <f>SUM(L519:O519)</f>
        <v>306605640</v>
      </c>
      <c r="Q519" s="253">
        <f>Q512+Q514+Q516</f>
        <v>306936640</v>
      </c>
      <c r="R519" s="253">
        <v>326183550</v>
      </c>
      <c r="S519" s="269"/>
    </row>
    <row r="520" spans="1:19" s="1" customFormat="1">
      <c r="A520"/>
      <c r="C520" s="2"/>
      <c r="K520" s="4" t="s">
        <v>390</v>
      </c>
      <c r="L520" s="175">
        <f>L513+L515+L517</f>
        <v>5425840</v>
      </c>
      <c r="M520" s="4">
        <f t="shared" si="130"/>
        <v>122185664</v>
      </c>
      <c r="N520" s="170">
        <f t="shared" si="130"/>
        <v>7785900</v>
      </c>
      <c r="O520" s="283">
        <f t="shared" si="130"/>
        <v>311258</v>
      </c>
      <c r="P520" s="269">
        <f>SUM(L520:O520)</f>
        <v>135708662</v>
      </c>
      <c r="Q520" s="253">
        <f>Q513+Q515+Q517</f>
        <v>135769892</v>
      </c>
      <c r="R520" s="267"/>
      <c r="S520" s="269"/>
    </row>
    <row r="522" spans="1:19">
      <c r="R522" s="24" t="s">
        <v>473</v>
      </c>
      <c r="S522" s="4">
        <v>19343800</v>
      </c>
    </row>
    <row r="523" spans="1:19">
      <c r="R523" s="349" t="s">
        <v>790</v>
      </c>
      <c r="S523" s="4">
        <v>1001950</v>
      </c>
    </row>
    <row r="524" spans="1:19" ht="25.5" customHeight="1">
      <c r="R524" s="349" t="s">
        <v>469</v>
      </c>
    </row>
    <row r="525" spans="1:19">
      <c r="L525" s="177" t="s">
        <v>383</v>
      </c>
      <c r="M525" s="4" t="s">
        <v>384</v>
      </c>
      <c r="N525" s="172" t="s">
        <v>385</v>
      </c>
      <c r="O525" s="283" t="s">
        <v>392</v>
      </c>
      <c r="P525" s="5" t="s">
        <v>387</v>
      </c>
      <c r="R525" s="349" t="s">
        <v>472</v>
      </c>
    </row>
    <row r="526" spans="1:19">
      <c r="K526" s="3" t="s">
        <v>467</v>
      </c>
      <c r="L526" s="175">
        <v>11712200</v>
      </c>
      <c r="M526" s="4">
        <v>56558100</v>
      </c>
      <c r="N526" s="265">
        <v>22923290</v>
      </c>
      <c r="O526" s="283">
        <v>476000</v>
      </c>
      <c r="P526" s="3">
        <f>SUM(K526:O526)</f>
        <v>91669590</v>
      </c>
      <c r="Q526" s="3"/>
      <c r="R526" s="68" t="s">
        <v>509</v>
      </c>
      <c r="S526" s="4">
        <f>P519+S522</f>
        <v>325949440</v>
      </c>
    </row>
    <row r="527" spans="1:19">
      <c r="L527" s="175">
        <v>4079156</v>
      </c>
      <c r="M527" s="4">
        <v>22167964</v>
      </c>
      <c r="N527" s="265">
        <v>4503951</v>
      </c>
      <c r="O527" s="283">
        <v>114442</v>
      </c>
      <c r="P527" s="3">
        <f>SUM(K527:O527)</f>
        <v>30865513</v>
      </c>
      <c r="Q527" s="3"/>
      <c r="R527" s="68" t="s">
        <v>438</v>
      </c>
      <c r="S527" s="4">
        <f>Q519+S522+S523+S524+S525</f>
        <v>327282390</v>
      </c>
    </row>
    <row r="528" spans="1:19">
      <c r="K528" s="3" t="s">
        <v>468</v>
      </c>
      <c r="L528" s="175">
        <v>1186160</v>
      </c>
      <c r="M528" s="4">
        <v>158944410</v>
      </c>
      <c r="N528" s="170">
        <v>6110080</v>
      </c>
      <c r="O528" s="283">
        <v>804800</v>
      </c>
      <c r="P528" s="4">
        <f>SUM(K528:O528)</f>
        <v>167045450</v>
      </c>
      <c r="Q528" s="4"/>
      <c r="R528" t="s">
        <v>466</v>
      </c>
      <c r="S528" s="4">
        <f>R519-S526</f>
        <v>234110</v>
      </c>
    </row>
    <row r="529" spans="1:19">
      <c r="L529" s="175">
        <v>582452</v>
      </c>
      <c r="M529" s="4">
        <v>78988858</v>
      </c>
      <c r="N529" s="170">
        <v>1384746</v>
      </c>
      <c r="O529" s="283">
        <v>196816</v>
      </c>
      <c r="P529" s="4">
        <f>SUM(K529:O529)</f>
        <v>81152872</v>
      </c>
      <c r="Q529" s="4"/>
      <c r="R529" s="537"/>
      <c r="S529" s="537"/>
    </row>
    <row r="530" spans="1:19">
      <c r="L530" s="4"/>
      <c r="N530" s="276"/>
      <c r="O530" s="4"/>
      <c r="Q530" s="4"/>
    </row>
    <row r="531" spans="1:19" s="4" customFormat="1">
      <c r="A531"/>
      <c r="B531" s="1"/>
      <c r="C531" s="2"/>
      <c r="D531" s="1"/>
      <c r="E531" s="1"/>
      <c r="F531" s="1"/>
      <c r="G531" s="1"/>
      <c r="H531" s="1"/>
      <c r="I531" s="1"/>
      <c r="J531" s="1"/>
      <c r="K531" s="3"/>
      <c r="L531" s="177">
        <f>L526+L528</f>
        <v>12898360</v>
      </c>
      <c r="M531" s="4">
        <f>M526+M528</f>
        <v>215502510</v>
      </c>
      <c r="N531" s="172">
        <f>N526+N528</f>
        <v>29033370</v>
      </c>
      <c r="O531" s="276">
        <f>O526+O528</f>
        <v>1280800</v>
      </c>
      <c r="P531" s="4">
        <f>SUM(K531:O531)</f>
        <v>258715040</v>
      </c>
    </row>
    <row r="532" spans="1:19" s="4" customFormat="1">
      <c r="A532"/>
      <c r="B532" s="1"/>
      <c r="C532" s="2"/>
      <c r="D532" s="1"/>
      <c r="E532" s="1"/>
      <c r="F532" s="1"/>
      <c r="G532" s="1"/>
      <c r="H532" s="1"/>
      <c r="I532" s="1"/>
      <c r="J532" s="1"/>
      <c r="K532" s="3"/>
      <c r="L532" s="177">
        <f t="shared" ref="L532:O532" si="131">L527+L529</f>
        <v>4661608</v>
      </c>
      <c r="M532" s="4">
        <f t="shared" si="131"/>
        <v>101156822</v>
      </c>
      <c r="N532" s="172">
        <f t="shared" si="131"/>
        <v>5888697</v>
      </c>
      <c r="O532" s="276">
        <f t="shared" si="131"/>
        <v>311258</v>
      </c>
      <c r="P532" s="4">
        <f>SUM(K532:O532)</f>
        <v>112018385</v>
      </c>
    </row>
    <row r="534" spans="1:19">
      <c r="R534" s="4" t="s">
        <v>802</v>
      </c>
    </row>
  </sheetData>
  <mergeCells count="37">
    <mergeCell ref="H84:I84"/>
    <mergeCell ref="L6:M6"/>
    <mergeCell ref="B13:B21"/>
    <mergeCell ref="B25:B28"/>
    <mergeCell ref="L47:M47"/>
    <mergeCell ref="L66:M66"/>
    <mergeCell ref="B219:B220"/>
    <mergeCell ref="L86:M86"/>
    <mergeCell ref="L105:M105"/>
    <mergeCell ref="L121:M121"/>
    <mergeCell ref="L127:M127"/>
    <mergeCell ref="L135:M135"/>
    <mergeCell ref="L148:M148"/>
    <mergeCell ref="L169:M169"/>
    <mergeCell ref="B176:B177"/>
    <mergeCell ref="B201:B202"/>
    <mergeCell ref="B206:B207"/>
    <mergeCell ref="B217:B218"/>
    <mergeCell ref="B312:B314"/>
    <mergeCell ref="B222:B224"/>
    <mergeCell ref="D227:D229"/>
    <mergeCell ref="L230:N230"/>
    <mergeCell ref="L237:M237"/>
    <mergeCell ref="L253:M253"/>
    <mergeCell ref="L267:M267"/>
    <mergeCell ref="B268:B269"/>
    <mergeCell ref="B282:B283"/>
    <mergeCell ref="B285:B287"/>
    <mergeCell ref="B299:B302"/>
    <mergeCell ref="B309:B310"/>
    <mergeCell ref="I498:J498"/>
    <mergeCell ref="B318:B319"/>
    <mergeCell ref="B321:B322"/>
    <mergeCell ref="B328:B329"/>
    <mergeCell ref="B346:B415"/>
    <mergeCell ref="B419:B488"/>
    <mergeCell ref="B492:B496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2B0D-891E-4105-8ACA-8746235DED59}">
  <dimension ref="A1:BG45"/>
  <sheetViews>
    <sheetView tabSelected="1" zoomScale="86" zoomScaleNormal="86" workbookViewId="0">
      <selection activeCell="AO23" sqref="AO23"/>
    </sheetView>
  </sheetViews>
  <sheetFormatPr defaultRowHeight="16.5"/>
  <cols>
    <col min="1" max="1" width="10.5" style="633" bestFit="1" customWidth="1"/>
    <col min="2" max="2" width="3.875" style="393" bestFit="1" customWidth="1"/>
    <col min="3" max="3" width="29.375" style="622" bestFit="1" customWidth="1"/>
    <col min="4" max="4" width="5.5" style="2" bestFit="1" customWidth="1"/>
    <col min="5" max="21" width="3.625" style="2" customWidth="1"/>
    <col min="22" max="56" width="3.625" style="1" customWidth="1"/>
    <col min="57" max="58" width="9.625" style="1" bestFit="1" customWidth="1"/>
    <col min="59" max="59" width="7.5" style="1" customWidth="1"/>
  </cols>
  <sheetData>
    <row r="1" spans="1:59">
      <c r="BF1" s="637"/>
      <c r="BG1" s="638"/>
    </row>
    <row r="2" spans="1:59">
      <c r="C2" s="623"/>
      <c r="BF2" s="630"/>
      <c r="BG2" s="638"/>
    </row>
    <row r="3" spans="1:59">
      <c r="C3" s="62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9"/>
      <c r="W3" s="9"/>
      <c r="X3" s="9"/>
      <c r="Y3" s="9"/>
      <c r="Z3" s="9"/>
      <c r="AA3" s="9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630"/>
      <c r="BG3" s="639"/>
    </row>
    <row r="4" spans="1:59" s="185" customFormat="1">
      <c r="A4" s="69"/>
      <c r="B4" s="661"/>
      <c r="C4" s="625"/>
      <c r="D4" s="627"/>
      <c r="E4" s="692" t="s">
        <v>791</v>
      </c>
      <c r="F4" s="707"/>
      <c r="G4" s="707"/>
      <c r="H4" s="707"/>
      <c r="I4" s="707"/>
      <c r="J4" s="707"/>
      <c r="K4" s="707"/>
      <c r="L4" s="707"/>
      <c r="M4" s="707"/>
      <c r="N4" s="707"/>
      <c r="O4" s="707"/>
      <c r="P4" s="707"/>
      <c r="Q4" s="707"/>
      <c r="R4" s="707"/>
      <c r="S4" s="707"/>
      <c r="T4" s="707"/>
      <c r="U4" s="707"/>
      <c r="V4" s="693"/>
      <c r="W4" s="693"/>
      <c r="X4" s="693"/>
      <c r="Y4" s="693"/>
      <c r="Z4" s="693"/>
      <c r="AA4" s="693"/>
      <c r="AB4" s="693"/>
      <c r="AC4" s="694"/>
      <c r="AD4" s="631"/>
      <c r="AE4" s="631"/>
      <c r="AF4" s="631"/>
      <c r="AG4" s="631"/>
      <c r="AH4" s="631"/>
      <c r="AI4" s="631"/>
      <c r="AJ4" s="631"/>
      <c r="AK4" s="631"/>
      <c r="AL4" s="631"/>
      <c r="AM4" s="631"/>
      <c r="AN4" s="629"/>
      <c r="AO4" s="629"/>
      <c r="AP4" s="631"/>
      <c r="AQ4" s="631"/>
      <c r="AR4" s="629"/>
      <c r="AS4" s="629"/>
      <c r="AT4" s="629"/>
      <c r="AU4" s="631"/>
      <c r="AV4" s="629"/>
      <c r="AW4" s="631"/>
      <c r="AX4" s="629"/>
      <c r="AY4" s="629"/>
      <c r="AZ4" s="629"/>
      <c r="BA4" s="629"/>
      <c r="BB4" s="629"/>
      <c r="BC4" s="629"/>
      <c r="BD4" s="629"/>
      <c r="BE4" s="629"/>
      <c r="BF4" s="630"/>
      <c r="BG4" s="640"/>
    </row>
    <row r="5" spans="1:59">
      <c r="D5" s="628"/>
      <c r="E5" s="695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6"/>
      <c r="W5" s="697"/>
      <c r="X5" s="697"/>
      <c r="Y5" s="697"/>
      <c r="Z5" s="697"/>
      <c r="AA5" s="697"/>
      <c r="AB5" s="697"/>
      <c r="AC5" s="698"/>
      <c r="AD5" s="631"/>
      <c r="AE5" s="631"/>
      <c r="AF5" s="631"/>
      <c r="AG5" s="631"/>
      <c r="AH5" s="631"/>
      <c r="AI5" s="631"/>
      <c r="AJ5" s="631"/>
      <c r="AK5" s="634"/>
      <c r="AL5" s="634"/>
      <c r="AM5" s="634"/>
      <c r="AN5" s="634"/>
      <c r="AO5" s="634"/>
      <c r="AP5" s="634"/>
      <c r="AQ5" s="634"/>
      <c r="AR5" s="634"/>
      <c r="AS5" s="634"/>
      <c r="AT5" s="634"/>
      <c r="AU5" s="634"/>
      <c r="AV5" s="634"/>
      <c r="AW5" s="634"/>
      <c r="AX5" s="634"/>
      <c r="AY5" s="634"/>
      <c r="AZ5" s="634"/>
      <c r="BA5" s="634"/>
      <c r="BB5" s="634"/>
      <c r="BC5" s="634"/>
      <c r="BD5" s="634"/>
      <c r="BE5" s="634"/>
      <c r="BF5" s="630"/>
      <c r="BG5" s="640"/>
    </row>
    <row r="6" spans="1:59">
      <c r="D6" s="700" t="s">
        <v>380</v>
      </c>
      <c r="E6" s="711" t="s">
        <v>981</v>
      </c>
      <c r="F6" s="730"/>
      <c r="G6" s="709"/>
      <c r="H6" s="709"/>
      <c r="I6" s="710"/>
      <c r="J6" s="711" t="s">
        <v>454</v>
      </c>
      <c r="K6" s="730"/>
      <c r="L6" s="730"/>
      <c r="M6" s="730"/>
      <c r="N6" s="709"/>
      <c r="O6" s="709"/>
      <c r="P6" s="709"/>
      <c r="Q6" s="709"/>
      <c r="R6" s="709"/>
      <c r="S6" s="709"/>
      <c r="T6" s="709"/>
      <c r="U6" s="709"/>
      <c r="V6" s="710"/>
      <c r="W6" s="699" t="s">
        <v>987</v>
      </c>
      <c r="X6" s="699"/>
      <c r="Y6" s="699"/>
      <c r="Z6" s="699"/>
      <c r="AA6" s="699"/>
      <c r="AB6" s="691"/>
      <c r="AC6" s="691"/>
      <c r="AD6" s="732" t="s">
        <v>1058</v>
      </c>
      <c r="AE6" s="709"/>
      <c r="AF6" s="709"/>
      <c r="AG6" s="709"/>
      <c r="AH6" s="709"/>
      <c r="AI6" s="709"/>
      <c r="AJ6" s="710"/>
      <c r="AK6" s="726" t="s">
        <v>13</v>
      </c>
      <c r="AL6" s="727"/>
      <c r="AM6" s="727"/>
      <c r="AN6" s="728"/>
      <c r="AO6" s="706" t="s">
        <v>983</v>
      </c>
      <c r="AP6" s="706"/>
      <c r="AQ6" s="706"/>
      <c r="AR6" s="691"/>
      <c r="AS6" s="691" t="s">
        <v>420</v>
      </c>
      <c r="AT6" s="691"/>
      <c r="AU6" s="691"/>
      <c r="AV6" s="691"/>
      <c r="AW6" s="691"/>
      <c r="AX6" s="691"/>
      <c r="AY6" s="691"/>
      <c r="AZ6" s="691"/>
      <c r="BA6" s="691"/>
      <c r="BB6" s="691"/>
      <c r="BC6" s="691"/>
      <c r="BD6" s="691"/>
      <c r="BE6" s="376" t="s">
        <v>984</v>
      </c>
      <c r="BF6" s="641" t="s">
        <v>982</v>
      </c>
      <c r="BG6" s="640"/>
    </row>
    <row r="7" spans="1:59" ht="60.75" customHeight="1">
      <c r="D7" s="701"/>
      <c r="E7" s="708" t="s">
        <v>985</v>
      </c>
      <c r="F7" s="731"/>
      <c r="G7" s="709"/>
      <c r="H7" s="709"/>
      <c r="I7" s="710"/>
      <c r="J7" s="708" t="s">
        <v>986</v>
      </c>
      <c r="K7" s="731"/>
      <c r="L7" s="731"/>
      <c r="M7" s="731"/>
      <c r="N7" s="709"/>
      <c r="O7" s="709"/>
      <c r="P7" s="709"/>
      <c r="Q7" s="709"/>
      <c r="R7" s="709"/>
      <c r="S7" s="709"/>
      <c r="T7" s="709"/>
      <c r="U7" s="709"/>
      <c r="V7" s="710"/>
      <c r="W7" s="703" t="s">
        <v>988</v>
      </c>
      <c r="X7" s="704"/>
      <c r="Y7" s="704"/>
      <c r="Z7" s="704"/>
      <c r="AA7" s="704"/>
      <c r="AB7" s="704"/>
      <c r="AC7" s="705"/>
      <c r="AD7" s="733" t="s">
        <v>988</v>
      </c>
      <c r="AE7" s="709"/>
      <c r="AF7" s="709"/>
      <c r="AG7" s="709"/>
      <c r="AH7" s="709"/>
      <c r="AI7" s="709"/>
      <c r="AJ7" s="710"/>
      <c r="AK7" s="729" t="s">
        <v>1042</v>
      </c>
      <c r="AL7" s="727"/>
      <c r="AM7" s="727"/>
      <c r="AN7" s="728"/>
      <c r="AO7" s="687" t="s">
        <v>990</v>
      </c>
      <c r="AP7" s="724"/>
      <c r="AQ7" s="724"/>
      <c r="AR7" s="688"/>
      <c r="AS7" s="689" t="s">
        <v>993</v>
      </c>
      <c r="AT7" s="690"/>
      <c r="AU7" s="690"/>
      <c r="AV7" s="690"/>
      <c r="AW7" s="690"/>
      <c r="AX7" s="690"/>
      <c r="AY7" s="690"/>
      <c r="AZ7" s="690"/>
      <c r="BA7" s="690"/>
      <c r="BB7" s="690"/>
      <c r="BC7" s="690"/>
      <c r="BD7" s="690"/>
      <c r="BE7" s="656" t="s">
        <v>1074</v>
      </c>
      <c r="BF7" s="657" t="s">
        <v>996</v>
      </c>
      <c r="BG7" s="23"/>
    </row>
    <row r="8" spans="1:59">
      <c r="A8" s="654" t="s">
        <v>12</v>
      </c>
      <c r="B8" s="111"/>
      <c r="C8" s="654"/>
      <c r="D8" s="702"/>
      <c r="E8" s="660" t="s">
        <v>1007</v>
      </c>
      <c r="F8" s="660" t="s">
        <v>1008</v>
      </c>
      <c r="G8" s="660" t="s">
        <v>1009</v>
      </c>
      <c r="H8" s="660" t="s">
        <v>1049</v>
      </c>
      <c r="I8" s="660" t="s">
        <v>1050</v>
      </c>
      <c r="J8" s="712" t="s">
        <v>1052</v>
      </c>
      <c r="K8" s="712" t="s">
        <v>999</v>
      </c>
      <c r="L8" s="712" t="s">
        <v>1053</v>
      </c>
      <c r="M8" s="712" t="s">
        <v>1001</v>
      </c>
      <c r="N8" s="712" t="s">
        <v>1013</v>
      </c>
      <c r="O8" s="712" t="s">
        <v>1003</v>
      </c>
      <c r="P8" s="712" t="s">
        <v>1014</v>
      </c>
      <c r="Q8" s="660" t="s">
        <v>1015</v>
      </c>
      <c r="R8" s="712" t="s">
        <v>1016</v>
      </c>
      <c r="S8" s="712" t="s">
        <v>1017</v>
      </c>
      <c r="T8" s="712" t="s">
        <v>1018</v>
      </c>
      <c r="U8" s="712" t="s">
        <v>1019</v>
      </c>
      <c r="V8" s="712" t="s">
        <v>1020</v>
      </c>
      <c r="W8" s="636" t="s">
        <v>1054</v>
      </c>
      <c r="X8" s="636" t="s">
        <v>1055</v>
      </c>
      <c r="Y8" s="636" t="s">
        <v>1012</v>
      </c>
      <c r="Z8" s="636" t="s">
        <v>1011</v>
      </c>
      <c r="AA8" s="636" t="s">
        <v>1056</v>
      </c>
      <c r="AB8" s="636" t="s">
        <v>1057</v>
      </c>
      <c r="AC8" s="636" t="s">
        <v>1010</v>
      </c>
      <c r="AD8" s="734" t="s">
        <v>1049</v>
      </c>
      <c r="AE8" s="734" t="s">
        <v>1050</v>
      </c>
      <c r="AF8" s="734" t="s">
        <v>1059</v>
      </c>
      <c r="AG8" s="734" t="s">
        <v>1060</v>
      </c>
      <c r="AH8" s="734" t="s">
        <v>1061</v>
      </c>
      <c r="AI8" s="734" t="s">
        <v>1062</v>
      </c>
      <c r="AJ8" s="734" t="s">
        <v>1063</v>
      </c>
      <c r="AK8" s="725" t="s">
        <v>1044</v>
      </c>
      <c r="AL8" s="725" t="s">
        <v>1046</v>
      </c>
      <c r="AM8" s="725" t="s">
        <v>1048</v>
      </c>
      <c r="AN8" s="725" t="s">
        <v>995</v>
      </c>
      <c r="AO8" s="660" t="s">
        <v>995</v>
      </c>
      <c r="AP8" s="660" t="s">
        <v>994</v>
      </c>
      <c r="AQ8" s="660" t="s">
        <v>1008</v>
      </c>
      <c r="AR8" s="660" t="s">
        <v>1009</v>
      </c>
      <c r="AS8" s="660" t="s">
        <v>992</v>
      </c>
      <c r="AT8" s="660" t="s">
        <v>1064</v>
      </c>
      <c r="AU8" s="660" t="s">
        <v>1065</v>
      </c>
      <c r="AV8" s="660" t="s">
        <v>1066</v>
      </c>
      <c r="AW8" s="660" t="s">
        <v>1067</v>
      </c>
      <c r="AX8" s="660" t="s">
        <v>1068</v>
      </c>
      <c r="AY8" s="660" t="s">
        <v>1069</v>
      </c>
      <c r="AZ8" s="660" t="s">
        <v>1071</v>
      </c>
      <c r="BA8" s="660" t="s">
        <v>1072</v>
      </c>
      <c r="BB8" s="660" t="s">
        <v>1070</v>
      </c>
      <c r="BC8" s="660" t="s">
        <v>1073</v>
      </c>
      <c r="BD8" s="660" t="s">
        <v>991</v>
      </c>
      <c r="BE8" s="376" t="s">
        <v>989</v>
      </c>
      <c r="BF8" s="642" t="s">
        <v>989</v>
      </c>
      <c r="BG8" s="659"/>
    </row>
    <row r="9" spans="1:59" ht="15" customHeight="1">
      <c r="A9" s="381" t="s">
        <v>21</v>
      </c>
      <c r="B9" s="660" t="s">
        <v>989</v>
      </c>
      <c r="C9" s="643" t="s">
        <v>913</v>
      </c>
      <c r="D9" s="644">
        <v>75</v>
      </c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4"/>
      <c r="S9" s="644"/>
      <c r="T9" s="644"/>
      <c r="U9" s="644"/>
      <c r="V9" s="404"/>
      <c r="W9" s="404"/>
      <c r="X9" s="404"/>
      <c r="Y9" s="404"/>
      <c r="Z9" s="404"/>
      <c r="AA9" s="404"/>
      <c r="AB9" s="404"/>
      <c r="AC9" s="396"/>
      <c r="AD9" s="396"/>
      <c r="AE9" s="396"/>
      <c r="AF9" s="396"/>
      <c r="AG9" s="396"/>
      <c r="AH9" s="396"/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6"/>
      <c r="AU9" s="396"/>
      <c r="AV9" s="396"/>
      <c r="AW9" s="396"/>
      <c r="AX9" s="396"/>
      <c r="AY9" s="396"/>
      <c r="AZ9" s="396"/>
      <c r="BA9" s="396"/>
      <c r="BB9" s="396"/>
      <c r="BC9" s="396"/>
      <c r="BD9" s="396"/>
      <c r="BE9" s="544">
        <v>2</v>
      </c>
      <c r="BF9" s="544"/>
      <c r="BG9" s="658">
        <f>SUM(D9:BF9)</f>
        <v>77</v>
      </c>
    </row>
    <row r="10" spans="1:59" ht="15" customHeight="1">
      <c r="A10" s="377" t="s">
        <v>23</v>
      </c>
      <c r="B10" s="660" t="s">
        <v>989</v>
      </c>
      <c r="C10" s="643" t="s">
        <v>915</v>
      </c>
      <c r="D10" s="646">
        <v>5</v>
      </c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46"/>
      <c r="Q10" s="646"/>
      <c r="R10" s="646"/>
      <c r="S10" s="646"/>
      <c r="T10" s="646"/>
      <c r="U10" s="646"/>
      <c r="V10" s="404"/>
      <c r="W10" s="404"/>
      <c r="X10" s="404"/>
      <c r="Y10" s="404"/>
      <c r="Z10" s="404"/>
      <c r="AA10" s="404"/>
      <c r="AB10" s="404"/>
      <c r="AC10" s="396"/>
      <c r="AD10" s="396"/>
      <c r="AE10" s="396"/>
      <c r="AF10" s="396"/>
      <c r="AG10" s="396"/>
      <c r="AH10" s="396"/>
      <c r="AI10" s="396"/>
      <c r="AJ10" s="396"/>
      <c r="AK10" s="396"/>
      <c r="AL10" s="396"/>
      <c r="AM10" s="396"/>
      <c r="AN10" s="396"/>
      <c r="AO10" s="396"/>
      <c r="AP10" s="396"/>
      <c r="AQ10" s="396"/>
      <c r="AR10" s="396"/>
      <c r="AS10" s="396"/>
      <c r="AT10" s="396"/>
      <c r="AU10" s="396"/>
      <c r="AV10" s="396"/>
      <c r="AW10" s="396"/>
      <c r="AX10" s="396"/>
      <c r="AY10" s="396"/>
      <c r="AZ10" s="396"/>
      <c r="BA10" s="396"/>
      <c r="BB10" s="396"/>
      <c r="BC10" s="396"/>
      <c r="BD10" s="396"/>
      <c r="BE10" s="396"/>
      <c r="BF10" s="645"/>
      <c r="BG10" s="658">
        <f>SUM(D10:BF10)</f>
        <v>5</v>
      </c>
    </row>
    <row r="11" spans="1:59" ht="15" customHeight="1">
      <c r="A11" s="377" t="s">
        <v>25</v>
      </c>
      <c r="B11" s="660" t="s">
        <v>989</v>
      </c>
      <c r="C11" s="643" t="s">
        <v>914</v>
      </c>
      <c r="D11" s="646">
        <v>5</v>
      </c>
      <c r="E11" s="646"/>
      <c r="F11" s="646"/>
      <c r="G11" s="646"/>
      <c r="H11" s="646"/>
      <c r="I11" s="646"/>
      <c r="J11" s="646"/>
      <c r="K11" s="646"/>
      <c r="L11" s="646"/>
      <c r="M11" s="646"/>
      <c r="N11" s="646"/>
      <c r="O11" s="646"/>
      <c r="P11" s="646"/>
      <c r="Q11" s="646"/>
      <c r="R11" s="646"/>
      <c r="S11" s="646"/>
      <c r="T11" s="646"/>
      <c r="U11" s="646"/>
      <c r="V11" s="404"/>
      <c r="W11" s="404"/>
      <c r="X11" s="404"/>
      <c r="Y11" s="404"/>
      <c r="Z11" s="404"/>
      <c r="AA11" s="404"/>
      <c r="AB11" s="404"/>
      <c r="AC11" s="396"/>
      <c r="AD11" s="396"/>
      <c r="AE11" s="396"/>
      <c r="AF11" s="396"/>
      <c r="AG11" s="396"/>
      <c r="AH11" s="396"/>
      <c r="AI11" s="396"/>
      <c r="AJ11" s="396"/>
      <c r="AK11" s="396"/>
      <c r="AL11" s="396"/>
      <c r="AM11" s="396"/>
      <c r="AN11" s="396"/>
      <c r="AO11" s="396"/>
      <c r="AP11" s="396"/>
      <c r="AQ11" s="396"/>
      <c r="AR11" s="396"/>
      <c r="AS11" s="396"/>
      <c r="AT11" s="396"/>
      <c r="AU11" s="396"/>
      <c r="AV11" s="396"/>
      <c r="AW11" s="396"/>
      <c r="AX11" s="396"/>
      <c r="AY11" s="396"/>
      <c r="AZ11" s="396"/>
      <c r="BA11" s="396"/>
      <c r="BB11" s="396"/>
      <c r="BC11" s="396"/>
      <c r="BD11" s="396"/>
      <c r="BE11" s="396"/>
      <c r="BF11" s="645"/>
      <c r="BG11" s="658">
        <f>SUM(D11:BF11)</f>
        <v>5</v>
      </c>
    </row>
    <row r="12" spans="1:59" ht="15" customHeight="1">
      <c r="A12" s="377" t="s">
        <v>1051</v>
      </c>
      <c r="B12" s="660" t="s">
        <v>989</v>
      </c>
      <c r="C12" s="643" t="s">
        <v>916</v>
      </c>
      <c r="D12" s="646"/>
      <c r="E12" s="396"/>
      <c r="F12" s="396"/>
      <c r="G12" s="396"/>
      <c r="H12" s="396">
        <v>24</v>
      </c>
      <c r="I12" s="396"/>
      <c r="J12" s="396"/>
      <c r="K12" s="396"/>
      <c r="L12" s="396"/>
      <c r="M12" s="396"/>
      <c r="N12" s="396"/>
      <c r="O12" s="396"/>
      <c r="P12" s="396"/>
      <c r="Q12" s="396"/>
      <c r="R12" s="396"/>
      <c r="S12" s="396"/>
      <c r="T12" s="396"/>
      <c r="U12" s="396"/>
      <c r="V12" s="404"/>
      <c r="W12" s="404"/>
      <c r="X12" s="404"/>
      <c r="Y12" s="404"/>
      <c r="Z12" s="404"/>
      <c r="AA12" s="404"/>
      <c r="AB12" s="404"/>
      <c r="AC12" s="396"/>
      <c r="AD12" s="396"/>
      <c r="AE12" s="396"/>
      <c r="AF12" s="396"/>
      <c r="AG12" s="396"/>
      <c r="AH12" s="396"/>
      <c r="AI12" s="396"/>
      <c r="AJ12" s="396"/>
      <c r="AK12" s="396"/>
      <c r="AL12" s="396"/>
      <c r="AM12" s="396"/>
      <c r="AN12" s="396"/>
      <c r="AO12" s="396"/>
      <c r="AP12" s="396"/>
      <c r="AQ12" s="396"/>
      <c r="AR12" s="396"/>
      <c r="AS12" s="396"/>
      <c r="AT12" s="396"/>
      <c r="AU12" s="396"/>
      <c r="AV12" s="396"/>
      <c r="AW12" s="396"/>
      <c r="AX12" s="396"/>
      <c r="AY12" s="396"/>
      <c r="AZ12" s="396"/>
      <c r="BA12" s="396"/>
      <c r="BB12" s="396"/>
      <c r="BC12" s="396"/>
      <c r="BD12" s="396"/>
      <c r="BE12" s="396"/>
      <c r="BF12" s="645"/>
      <c r="BG12" s="658">
        <f>SUM(D12:BF12)</f>
        <v>24</v>
      </c>
    </row>
    <row r="13" spans="1:59" ht="15" customHeight="1">
      <c r="A13" s="381" t="s">
        <v>30</v>
      </c>
      <c r="B13" s="660" t="s">
        <v>989</v>
      </c>
      <c r="C13" s="643" t="s">
        <v>917</v>
      </c>
      <c r="D13" s="644">
        <v>6</v>
      </c>
      <c r="E13" s="644"/>
      <c r="F13" s="644"/>
      <c r="G13" s="644"/>
      <c r="H13" s="644"/>
      <c r="I13" s="644"/>
      <c r="J13" s="644"/>
      <c r="K13" s="644"/>
      <c r="L13" s="644"/>
      <c r="M13" s="644"/>
      <c r="N13" s="644"/>
      <c r="O13" s="644"/>
      <c r="P13" s="644"/>
      <c r="Q13" s="644"/>
      <c r="R13" s="644"/>
      <c r="S13" s="644"/>
      <c r="T13" s="644"/>
      <c r="U13" s="644"/>
      <c r="V13" s="647"/>
      <c r="W13" s="647"/>
      <c r="X13" s="647"/>
      <c r="Y13" s="647"/>
      <c r="Z13" s="647"/>
      <c r="AA13" s="647"/>
      <c r="AB13" s="647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9"/>
      <c r="BG13" s="658">
        <f>SUM(D13:BF13)</f>
        <v>6</v>
      </c>
    </row>
    <row r="14" spans="1:59" ht="15" customHeight="1">
      <c r="A14" s="682" t="s">
        <v>997</v>
      </c>
      <c r="B14" s="635" t="s">
        <v>998</v>
      </c>
      <c r="C14" s="643" t="s">
        <v>910</v>
      </c>
      <c r="D14" s="644">
        <v>1</v>
      </c>
      <c r="E14" s="644"/>
      <c r="F14" s="644"/>
      <c r="G14" s="644"/>
      <c r="H14" s="644"/>
      <c r="I14" s="644"/>
      <c r="J14" s="644"/>
      <c r="K14" s="644"/>
      <c r="L14" s="644"/>
      <c r="M14" s="644"/>
      <c r="N14" s="644"/>
      <c r="O14" s="644"/>
      <c r="P14" s="644"/>
      <c r="Q14" s="644"/>
      <c r="R14" s="644"/>
      <c r="S14" s="644"/>
      <c r="T14" s="644"/>
      <c r="U14" s="644"/>
      <c r="V14" s="647"/>
      <c r="W14" s="647"/>
      <c r="X14" s="647"/>
      <c r="Y14" s="647"/>
      <c r="Z14" s="647"/>
      <c r="AA14" s="647"/>
      <c r="AB14" s="647"/>
      <c r="AC14" s="648"/>
      <c r="AD14" s="648"/>
      <c r="AE14" s="648"/>
      <c r="AF14" s="648"/>
      <c r="AG14" s="648"/>
      <c r="AH14" s="648"/>
      <c r="AI14" s="648"/>
      <c r="AJ14" s="648"/>
      <c r="AK14" s="648"/>
      <c r="AL14" s="648"/>
      <c r="AM14" s="648"/>
      <c r="AN14" s="648"/>
      <c r="AO14" s="648"/>
      <c r="AP14" s="648"/>
      <c r="AQ14" s="648"/>
      <c r="AR14" s="648"/>
      <c r="AS14" s="648"/>
      <c r="AT14" s="648"/>
      <c r="AU14" s="648"/>
      <c r="AV14" s="648"/>
      <c r="AW14" s="648"/>
      <c r="AX14" s="648"/>
      <c r="AY14" s="648"/>
      <c r="AZ14" s="648"/>
      <c r="BA14" s="648"/>
      <c r="BB14" s="648"/>
      <c r="BC14" s="648"/>
      <c r="BD14" s="648"/>
      <c r="BE14" s="648"/>
      <c r="BF14" s="650"/>
      <c r="BG14" s="658">
        <f>SUM(D14:BF14)</f>
        <v>1</v>
      </c>
    </row>
    <row r="15" spans="1:59" ht="15" customHeight="1">
      <c r="A15" s="679"/>
      <c r="B15" s="635" t="s">
        <v>999</v>
      </c>
      <c r="C15" s="643" t="s">
        <v>911</v>
      </c>
      <c r="D15" s="644">
        <v>3</v>
      </c>
      <c r="E15" s="644"/>
      <c r="F15" s="644"/>
      <c r="G15" s="644"/>
      <c r="H15" s="644"/>
      <c r="I15" s="644"/>
      <c r="J15" s="644"/>
      <c r="K15" s="644"/>
      <c r="L15" s="644"/>
      <c r="M15" s="644"/>
      <c r="N15" s="644"/>
      <c r="O15" s="644"/>
      <c r="P15" s="644"/>
      <c r="Q15" s="644"/>
      <c r="R15" s="644"/>
      <c r="S15" s="644"/>
      <c r="T15" s="644"/>
      <c r="U15" s="644"/>
      <c r="V15" s="647"/>
      <c r="W15" s="647"/>
      <c r="X15" s="647"/>
      <c r="Y15" s="647"/>
      <c r="Z15" s="647"/>
      <c r="AA15" s="647"/>
      <c r="AB15" s="647"/>
      <c r="AC15" s="648"/>
      <c r="AD15" s="648"/>
      <c r="AE15" s="648"/>
      <c r="AF15" s="648"/>
      <c r="AG15" s="648"/>
      <c r="AH15" s="648"/>
      <c r="AI15" s="648"/>
      <c r="AJ15" s="648"/>
      <c r="AK15" s="648"/>
      <c r="AL15" s="648"/>
      <c r="AM15" s="648"/>
      <c r="AN15" s="648"/>
      <c r="AO15" s="648"/>
      <c r="AP15" s="648"/>
      <c r="AQ15" s="648"/>
      <c r="AR15" s="648"/>
      <c r="AS15" s="648"/>
      <c r="AT15" s="648"/>
      <c r="AU15" s="648"/>
      <c r="AV15" s="648"/>
      <c r="AW15" s="648"/>
      <c r="AX15" s="648"/>
      <c r="AY15" s="648"/>
      <c r="AZ15" s="648"/>
      <c r="BA15" s="648"/>
      <c r="BB15" s="648"/>
      <c r="BC15" s="648"/>
      <c r="BD15" s="648"/>
      <c r="BE15" s="648"/>
      <c r="BF15" s="650"/>
      <c r="BG15" s="658">
        <f>SUM(D15:BF15)</f>
        <v>3</v>
      </c>
    </row>
    <row r="16" spans="1:59" ht="15" customHeight="1">
      <c r="A16" s="679"/>
      <c r="B16" s="635" t="s">
        <v>1000</v>
      </c>
      <c r="C16" s="643" t="s">
        <v>912</v>
      </c>
      <c r="D16" s="644">
        <v>8</v>
      </c>
      <c r="E16" s="644"/>
      <c r="F16" s="644"/>
      <c r="G16" s="644"/>
      <c r="H16" s="644"/>
      <c r="I16" s="644"/>
      <c r="J16" s="644"/>
      <c r="K16" s="644"/>
      <c r="L16" s="644"/>
      <c r="M16" s="644"/>
      <c r="N16" s="644"/>
      <c r="O16" s="644"/>
      <c r="P16" s="644"/>
      <c r="Q16" s="644"/>
      <c r="R16" s="644"/>
      <c r="S16" s="644"/>
      <c r="T16" s="644"/>
      <c r="U16" s="644"/>
      <c r="V16" s="647"/>
      <c r="W16" s="647"/>
      <c r="X16" s="647"/>
      <c r="Y16" s="647"/>
      <c r="Z16" s="647"/>
      <c r="AA16" s="647"/>
      <c r="AB16" s="647"/>
      <c r="AC16" s="648"/>
      <c r="AD16" s="648"/>
      <c r="AE16" s="648"/>
      <c r="AF16" s="648"/>
      <c r="AG16" s="648"/>
      <c r="AH16" s="648"/>
      <c r="AI16" s="648"/>
      <c r="AJ16" s="648"/>
      <c r="AK16" s="648"/>
      <c r="AL16" s="648"/>
      <c r="AM16" s="648"/>
      <c r="AN16" s="648"/>
      <c r="AO16" s="648"/>
      <c r="AP16" s="648"/>
      <c r="AQ16" s="648"/>
      <c r="AR16" s="648"/>
      <c r="AS16" s="648"/>
      <c r="AT16" s="648"/>
      <c r="AU16" s="648"/>
      <c r="AV16" s="648"/>
      <c r="AW16" s="648"/>
      <c r="AX16" s="648"/>
      <c r="AY16" s="648"/>
      <c r="AZ16" s="648"/>
      <c r="BA16" s="648"/>
      <c r="BB16" s="648"/>
      <c r="BC16" s="648"/>
      <c r="BD16" s="648"/>
      <c r="BE16" s="648"/>
      <c r="BF16" s="650"/>
      <c r="BG16" s="658">
        <f>SUM(D16:BF16)</f>
        <v>8</v>
      </c>
    </row>
    <row r="17" spans="1:59" ht="15" customHeight="1">
      <c r="A17" s="679"/>
      <c r="B17" s="395" t="s">
        <v>1001</v>
      </c>
      <c r="C17" s="643" t="s">
        <v>905</v>
      </c>
      <c r="D17" s="644">
        <v>1</v>
      </c>
      <c r="E17" s="644"/>
      <c r="F17" s="644"/>
      <c r="G17" s="644"/>
      <c r="H17" s="644"/>
      <c r="I17" s="644"/>
      <c r="J17" s="644"/>
      <c r="K17" s="644"/>
      <c r="L17" s="644"/>
      <c r="M17" s="644"/>
      <c r="N17" s="644"/>
      <c r="O17" s="644"/>
      <c r="P17" s="644"/>
      <c r="Q17" s="644"/>
      <c r="R17" s="644"/>
      <c r="S17" s="644"/>
      <c r="T17" s="644"/>
      <c r="U17" s="644"/>
      <c r="V17" s="647"/>
      <c r="W17" s="647"/>
      <c r="X17" s="647"/>
      <c r="Y17" s="647"/>
      <c r="Z17" s="648">
        <v>2</v>
      </c>
      <c r="AA17" s="647"/>
      <c r="AB17" s="648"/>
      <c r="AC17" s="648"/>
      <c r="AD17" s="648"/>
      <c r="AE17" s="648"/>
      <c r="AF17" s="648"/>
      <c r="AG17" s="648"/>
      <c r="AH17" s="648"/>
      <c r="AI17" s="648"/>
      <c r="AJ17" s="648"/>
      <c r="AK17" s="648"/>
      <c r="AL17" s="648"/>
      <c r="AM17" s="648"/>
      <c r="AN17" s="648"/>
      <c r="AO17" s="648"/>
      <c r="AP17" s="648"/>
      <c r="AQ17" s="648"/>
      <c r="AR17" s="648"/>
      <c r="AS17" s="648"/>
      <c r="AT17" s="648"/>
      <c r="AU17" s="648"/>
      <c r="AV17" s="648"/>
      <c r="AW17" s="648"/>
      <c r="AX17" s="648"/>
      <c r="AY17" s="648"/>
      <c r="AZ17" s="648"/>
      <c r="BA17" s="648"/>
      <c r="BB17" s="648"/>
      <c r="BC17" s="648"/>
      <c r="BD17" s="648"/>
      <c r="BE17" s="648"/>
      <c r="BF17" s="649"/>
      <c r="BG17" s="658">
        <f>SUM(D17:BF17)</f>
        <v>3</v>
      </c>
    </row>
    <row r="18" spans="1:59" ht="15" customHeight="1">
      <c r="A18" s="679"/>
      <c r="B18" s="395" t="s">
        <v>1002</v>
      </c>
      <c r="C18" s="643" t="s">
        <v>906</v>
      </c>
      <c r="D18" s="644">
        <v>2</v>
      </c>
      <c r="E18" s="644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4"/>
      <c r="Q18" s="644"/>
      <c r="R18" s="644"/>
      <c r="S18" s="644"/>
      <c r="T18" s="644"/>
      <c r="U18" s="644"/>
      <c r="V18" s="647"/>
      <c r="W18" s="647"/>
      <c r="X18" s="647"/>
      <c r="Y18" s="647"/>
      <c r="Z18" s="647"/>
      <c r="AA18" s="647"/>
      <c r="AB18" s="647"/>
      <c r="AC18" s="648"/>
      <c r="AD18" s="648"/>
      <c r="AE18" s="648"/>
      <c r="AF18" s="648"/>
      <c r="AG18" s="648"/>
      <c r="AH18" s="648"/>
      <c r="AI18" s="648"/>
      <c r="AJ18" s="648"/>
      <c r="AK18" s="648"/>
      <c r="AL18" s="648"/>
      <c r="AM18" s="648"/>
      <c r="AN18" s="648"/>
      <c r="AO18" s="648"/>
      <c r="AP18" s="648"/>
      <c r="AQ18" s="648"/>
      <c r="AR18" s="648"/>
      <c r="AS18" s="648"/>
      <c r="AT18" s="648"/>
      <c r="AU18" s="648"/>
      <c r="AV18" s="648"/>
      <c r="AW18" s="648"/>
      <c r="AX18" s="648"/>
      <c r="AY18" s="648"/>
      <c r="AZ18" s="648"/>
      <c r="BA18" s="648"/>
      <c r="BB18" s="648"/>
      <c r="BC18" s="648"/>
      <c r="BD18" s="648"/>
      <c r="BE18" s="648"/>
      <c r="BF18" s="649"/>
      <c r="BG18" s="658">
        <f>SUM(D18:BF18)</f>
        <v>2</v>
      </c>
    </row>
    <row r="19" spans="1:59" ht="15" customHeight="1">
      <c r="A19" s="679"/>
      <c r="B19" s="395" t="s">
        <v>1003</v>
      </c>
      <c r="C19" s="643" t="s">
        <v>908</v>
      </c>
      <c r="D19" s="644">
        <v>2</v>
      </c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7"/>
      <c r="W19" s="647"/>
      <c r="X19" s="647"/>
      <c r="Y19" s="648">
        <v>1</v>
      </c>
      <c r="Z19" s="647"/>
      <c r="AA19" s="647"/>
      <c r="AB19" s="648"/>
      <c r="AC19" s="648"/>
      <c r="AD19" s="648"/>
      <c r="AE19" s="648"/>
      <c r="AF19" s="648"/>
      <c r="AG19" s="648"/>
      <c r="AH19" s="648"/>
      <c r="AI19" s="648"/>
      <c r="AJ19" s="648"/>
      <c r="AK19" s="648"/>
      <c r="AL19" s="648"/>
      <c r="AM19" s="648"/>
      <c r="AN19" s="648"/>
      <c r="AO19" s="648"/>
      <c r="AP19" s="648"/>
      <c r="AQ19" s="648"/>
      <c r="AR19" s="648"/>
      <c r="AS19" s="648"/>
      <c r="AT19" s="648"/>
      <c r="AU19" s="648"/>
      <c r="AV19" s="648"/>
      <c r="AW19" s="648"/>
      <c r="AX19" s="648"/>
      <c r="AY19" s="648"/>
      <c r="AZ19" s="648"/>
      <c r="BA19" s="648"/>
      <c r="BB19" s="648"/>
      <c r="BC19" s="648"/>
      <c r="BD19" s="648"/>
      <c r="BE19" s="648"/>
      <c r="BF19" s="649"/>
      <c r="BG19" s="658">
        <f>SUM(D19:BF19)</f>
        <v>3</v>
      </c>
    </row>
    <row r="20" spans="1:59" ht="15" customHeight="1">
      <c r="A20" s="680"/>
      <c r="B20" s="655" t="s">
        <v>1004</v>
      </c>
      <c r="C20" s="643" t="s">
        <v>907</v>
      </c>
      <c r="D20" s="644">
        <v>9</v>
      </c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7"/>
      <c r="W20" s="648"/>
      <c r="X20" s="648"/>
      <c r="Y20" s="648"/>
      <c r="Z20" s="648"/>
      <c r="AA20" s="648"/>
      <c r="AB20" s="647"/>
      <c r="AC20" s="648">
        <v>3</v>
      </c>
      <c r="AD20" s="648"/>
      <c r="AE20" s="648"/>
      <c r="AF20" s="648"/>
      <c r="AG20" s="648"/>
      <c r="AH20" s="648"/>
      <c r="AI20" s="648"/>
      <c r="AJ20" s="648"/>
      <c r="AK20" s="648"/>
      <c r="AL20" s="648"/>
      <c r="AM20" s="648"/>
      <c r="AN20" s="648"/>
      <c r="AO20" s="648"/>
      <c r="AP20" s="648"/>
      <c r="AQ20" s="648"/>
      <c r="AR20" s="648"/>
      <c r="AS20" s="648"/>
      <c r="AT20" s="648"/>
      <c r="AU20" s="648"/>
      <c r="AV20" s="648"/>
      <c r="AW20" s="648"/>
      <c r="AX20" s="648"/>
      <c r="AY20" s="648"/>
      <c r="AZ20" s="648"/>
      <c r="BA20" s="648"/>
      <c r="BB20" s="648"/>
      <c r="BC20" s="648"/>
      <c r="BD20" s="648"/>
      <c r="BE20" s="648"/>
      <c r="BF20" s="649"/>
      <c r="BG20" s="658">
        <f>SUM(D20:BF20)</f>
        <v>12</v>
      </c>
    </row>
    <row r="21" spans="1:59" ht="15" customHeight="1">
      <c r="A21" s="682" t="s">
        <v>1005</v>
      </c>
      <c r="B21" s="662" t="s">
        <v>1006</v>
      </c>
      <c r="C21" s="643" t="s">
        <v>909</v>
      </c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7"/>
      <c r="W21" s="647"/>
      <c r="X21" s="647"/>
      <c r="Y21" s="647"/>
      <c r="Z21" s="647"/>
      <c r="AA21" s="647"/>
      <c r="AB21" s="647"/>
      <c r="AC21" s="648"/>
      <c r="AD21" s="648"/>
      <c r="AE21" s="648"/>
      <c r="AF21" s="648"/>
      <c r="AG21" s="648"/>
      <c r="AH21" s="648"/>
      <c r="AI21" s="648"/>
      <c r="AJ21" s="648"/>
      <c r="AK21" s="648"/>
      <c r="AL21" s="648"/>
      <c r="AM21" s="648"/>
      <c r="AN21" s="648"/>
      <c r="AO21" s="648"/>
      <c r="AP21" s="648"/>
      <c r="AQ21" s="648"/>
      <c r="AR21" s="648"/>
      <c r="AS21" s="648"/>
      <c r="AT21" s="648"/>
      <c r="AU21" s="648"/>
      <c r="AV21" s="648"/>
      <c r="AW21" s="648"/>
      <c r="AX21" s="648"/>
      <c r="AY21" s="648"/>
      <c r="AZ21" s="648"/>
      <c r="BA21" s="648"/>
      <c r="BB21" s="648"/>
      <c r="BC21" s="648"/>
      <c r="BD21" s="648"/>
      <c r="BE21" s="648"/>
      <c r="BF21" s="649"/>
      <c r="BG21" s="658">
        <f>SUM(D21:BF21)</f>
        <v>0</v>
      </c>
    </row>
    <row r="22" spans="1:59" ht="15" customHeight="1">
      <c r="A22" s="679"/>
      <c r="B22" s="395" t="s">
        <v>1007</v>
      </c>
      <c r="C22" s="643" t="s">
        <v>975</v>
      </c>
      <c r="D22" s="644"/>
      <c r="E22" s="644"/>
      <c r="F22" s="644"/>
      <c r="G22" s="644"/>
      <c r="H22" s="644"/>
      <c r="I22" s="644"/>
      <c r="J22" s="644"/>
      <c r="K22" s="644"/>
      <c r="L22" s="644"/>
      <c r="M22" s="644"/>
      <c r="N22" s="644"/>
      <c r="O22" s="644"/>
      <c r="P22" s="644"/>
      <c r="Q22" s="644"/>
      <c r="R22" s="644"/>
      <c r="S22" s="644"/>
      <c r="T22" s="644"/>
      <c r="U22" s="644"/>
      <c r="V22" s="647"/>
      <c r="W22" s="647"/>
      <c r="X22" s="647"/>
      <c r="Y22" s="647"/>
      <c r="Z22" s="647"/>
      <c r="AA22" s="647"/>
      <c r="AB22" s="647"/>
      <c r="AC22" s="648"/>
      <c r="AD22" s="648"/>
      <c r="AE22" s="648"/>
      <c r="AF22" s="648"/>
      <c r="AG22" s="648"/>
      <c r="AH22" s="648"/>
      <c r="AI22" s="648"/>
      <c r="AJ22" s="648"/>
      <c r="AK22" s="648"/>
      <c r="AL22" s="648"/>
      <c r="AM22" s="648"/>
      <c r="AN22" s="648"/>
      <c r="AO22" s="648"/>
      <c r="AP22" s="648"/>
      <c r="AQ22" s="648"/>
      <c r="AR22" s="648"/>
      <c r="AS22" s="648"/>
      <c r="AT22" s="648"/>
      <c r="AU22" s="648"/>
      <c r="AV22" s="648"/>
      <c r="AW22" s="648"/>
      <c r="AX22" s="648"/>
      <c r="AY22" s="648"/>
      <c r="AZ22" s="648"/>
      <c r="BA22" s="648"/>
      <c r="BB22" s="648"/>
      <c r="BC22" s="648"/>
      <c r="BD22" s="648"/>
      <c r="BE22" s="648"/>
      <c r="BF22" s="649"/>
      <c r="BG22" s="658">
        <f>SUM(D22:BF22)</f>
        <v>0</v>
      </c>
    </row>
    <row r="23" spans="1:59" ht="15" customHeight="1">
      <c r="A23" s="679"/>
      <c r="B23" s="395" t="s">
        <v>1008</v>
      </c>
      <c r="C23" s="643" t="s">
        <v>976</v>
      </c>
      <c r="D23" s="644"/>
      <c r="E23" s="644"/>
      <c r="F23" s="644"/>
      <c r="G23" s="644"/>
      <c r="H23" s="644"/>
      <c r="I23" s="644"/>
      <c r="J23" s="644"/>
      <c r="K23" s="644"/>
      <c r="L23" s="644"/>
      <c r="M23" s="644"/>
      <c r="N23" s="644"/>
      <c r="O23" s="644"/>
      <c r="P23" s="644"/>
      <c r="Q23" s="644"/>
      <c r="R23" s="644"/>
      <c r="S23" s="644"/>
      <c r="T23" s="644"/>
      <c r="U23" s="644"/>
      <c r="V23" s="647"/>
      <c r="W23" s="647"/>
      <c r="X23" s="647"/>
      <c r="Y23" s="647"/>
      <c r="Z23" s="647"/>
      <c r="AA23" s="647"/>
      <c r="AB23" s="647"/>
      <c r="AC23" s="648"/>
      <c r="AD23" s="648"/>
      <c r="AE23" s="648"/>
      <c r="AF23" s="648"/>
      <c r="AG23" s="648"/>
      <c r="AH23" s="648"/>
      <c r="AI23" s="648"/>
      <c r="AJ23" s="648"/>
      <c r="AK23" s="648"/>
      <c r="AL23" s="648"/>
      <c r="AM23" s="648"/>
      <c r="AN23" s="648"/>
      <c r="AO23" s="648"/>
      <c r="AP23" s="648"/>
      <c r="AQ23" s="648"/>
      <c r="AR23" s="648"/>
      <c r="AS23" s="648"/>
      <c r="AT23" s="648"/>
      <c r="AU23" s="648"/>
      <c r="AV23" s="648"/>
      <c r="AW23" s="648"/>
      <c r="AX23" s="648"/>
      <c r="AY23" s="648"/>
      <c r="AZ23" s="648"/>
      <c r="BA23" s="648"/>
      <c r="BB23" s="648"/>
      <c r="BC23" s="648"/>
      <c r="BD23" s="648"/>
      <c r="BE23" s="648"/>
      <c r="BF23" s="649"/>
      <c r="BG23" s="658">
        <f>SUM(D23:BF23)</f>
        <v>0</v>
      </c>
    </row>
    <row r="24" spans="1:59" ht="15" customHeight="1">
      <c r="A24" s="680"/>
      <c r="B24" s="655" t="s">
        <v>1009</v>
      </c>
      <c r="C24" s="643" t="s">
        <v>977</v>
      </c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44"/>
      <c r="P24" s="644"/>
      <c r="Q24" s="644"/>
      <c r="R24" s="644"/>
      <c r="S24" s="644"/>
      <c r="T24" s="644"/>
      <c r="U24" s="644"/>
      <c r="V24" s="647"/>
      <c r="W24" s="647"/>
      <c r="X24" s="647"/>
      <c r="Y24" s="647"/>
      <c r="Z24" s="647"/>
      <c r="AA24" s="647"/>
      <c r="AB24" s="647"/>
      <c r="AC24" s="648"/>
      <c r="AD24" s="648"/>
      <c r="AE24" s="648"/>
      <c r="AF24" s="648"/>
      <c r="AG24" s="648"/>
      <c r="AH24" s="648"/>
      <c r="AI24" s="648"/>
      <c r="AJ24" s="648"/>
      <c r="AK24" s="648"/>
      <c r="AL24" s="648"/>
      <c r="AM24" s="648"/>
      <c r="AN24" s="648"/>
      <c r="AO24" s="648"/>
      <c r="AP24" s="648"/>
      <c r="AQ24" s="648"/>
      <c r="AR24" s="648"/>
      <c r="AS24" s="648"/>
      <c r="AT24" s="648"/>
      <c r="AU24" s="648"/>
      <c r="AV24" s="648"/>
      <c r="AW24" s="648"/>
      <c r="AX24" s="648"/>
      <c r="AY24" s="648"/>
      <c r="AZ24" s="648"/>
      <c r="BA24" s="648"/>
      <c r="BB24" s="648"/>
      <c r="BC24" s="648"/>
      <c r="BD24" s="648"/>
      <c r="BE24" s="648"/>
      <c r="BF24" s="649"/>
      <c r="BG24" s="658">
        <f>SUM(D24:BF24)</f>
        <v>0</v>
      </c>
    </row>
    <row r="25" spans="1:59" s="632" customFormat="1" ht="15" customHeight="1">
      <c r="A25" s="653" t="s">
        <v>979</v>
      </c>
      <c r="B25" s="653" t="s">
        <v>989</v>
      </c>
      <c r="C25" s="651" t="s">
        <v>980</v>
      </c>
      <c r="D25" s="652">
        <v>4</v>
      </c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2"/>
      <c r="AK25" s="652"/>
      <c r="AL25" s="652"/>
      <c r="AM25" s="652"/>
      <c r="AN25" s="652"/>
      <c r="AO25" s="652"/>
      <c r="AP25" s="652"/>
      <c r="AQ25" s="652"/>
      <c r="AR25" s="652"/>
      <c r="AS25" s="652"/>
      <c r="AT25" s="652"/>
      <c r="AU25" s="652"/>
      <c r="AV25" s="652"/>
      <c r="AW25" s="652"/>
      <c r="AX25" s="652"/>
      <c r="AY25" s="652"/>
      <c r="AZ25" s="652"/>
      <c r="BA25" s="652"/>
      <c r="BB25" s="652"/>
      <c r="BC25" s="652"/>
      <c r="BD25" s="652"/>
      <c r="BE25" s="652"/>
      <c r="BF25" s="652"/>
      <c r="BG25" s="653">
        <f>SUM(D25:BF25)</f>
        <v>4</v>
      </c>
    </row>
    <row r="26" spans="1:59" ht="15" customHeight="1">
      <c r="A26" s="621" t="s">
        <v>978</v>
      </c>
      <c r="B26" s="660" t="s">
        <v>989</v>
      </c>
      <c r="C26" s="643" t="s">
        <v>816</v>
      </c>
      <c r="D26" s="644">
        <v>30</v>
      </c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8"/>
      <c r="Q26" s="644"/>
      <c r="R26" s="644"/>
      <c r="S26" s="644"/>
      <c r="T26" s="644"/>
      <c r="U26" s="644"/>
      <c r="V26" s="647"/>
      <c r="W26" s="647"/>
      <c r="X26" s="647"/>
      <c r="Y26" s="647"/>
      <c r="Z26" s="647"/>
      <c r="AA26" s="647"/>
      <c r="AB26" s="647"/>
      <c r="AC26" s="648"/>
      <c r="AD26" s="648"/>
      <c r="AE26" s="648"/>
      <c r="AF26" s="648"/>
      <c r="AG26" s="648"/>
      <c r="AH26" s="648"/>
      <c r="AI26" s="648"/>
      <c r="AJ26" s="648"/>
      <c r="AK26" s="648"/>
      <c r="AL26" s="648"/>
      <c r="AM26" s="648"/>
      <c r="AN26" s="648"/>
      <c r="AO26" s="648"/>
      <c r="AP26" s="648"/>
      <c r="AQ26" s="648"/>
      <c r="AR26" s="648"/>
      <c r="AS26" s="648"/>
      <c r="AT26" s="648"/>
      <c r="AU26" s="648"/>
      <c r="AV26" s="648"/>
      <c r="AW26" s="648"/>
      <c r="AX26" s="648"/>
      <c r="AY26" s="648"/>
      <c r="AZ26" s="648"/>
      <c r="BA26" s="648"/>
      <c r="BB26" s="648"/>
      <c r="BC26" s="648"/>
      <c r="BD26" s="648"/>
      <c r="BE26" s="648"/>
      <c r="BF26" s="650"/>
      <c r="BG26" s="658">
        <f>SUM(D26:BF26)</f>
        <v>30</v>
      </c>
    </row>
    <row r="27" spans="1:59" s="24" customFormat="1" ht="15" customHeight="1">
      <c r="A27" s="439" t="s">
        <v>31</v>
      </c>
      <c r="B27" s="663"/>
      <c r="C27" s="626"/>
      <c r="D27" s="738">
        <f>SUM(D9:D26)</f>
        <v>151</v>
      </c>
      <c r="E27" s="738">
        <f t="shared" ref="E27:BF27" si="0">SUM(E9:E26)</f>
        <v>0</v>
      </c>
      <c r="F27" s="738">
        <f t="shared" ref="F27" si="1">SUM(F9:F26)</f>
        <v>0</v>
      </c>
      <c r="G27" s="738">
        <f t="shared" ref="G27" si="2">SUM(G9:G26)</f>
        <v>0</v>
      </c>
      <c r="H27" s="738">
        <f t="shared" ref="H27" si="3">SUM(H9:H26)</f>
        <v>24</v>
      </c>
      <c r="I27" s="738">
        <f t="shared" ref="I27" si="4">SUM(I9:I26)</f>
        <v>0</v>
      </c>
      <c r="J27" s="738">
        <f t="shared" si="0"/>
        <v>0</v>
      </c>
      <c r="K27" s="738">
        <f t="shared" ref="K27" si="5">SUM(K9:K26)</f>
        <v>0</v>
      </c>
      <c r="L27" s="738">
        <f t="shared" ref="L27" si="6">SUM(L9:L26)</f>
        <v>0</v>
      </c>
      <c r="M27" s="738">
        <f t="shared" ref="M27" si="7">SUM(M9:M26)</f>
        <v>0</v>
      </c>
      <c r="N27" s="738">
        <f t="shared" si="0"/>
        <v>0</v>
      </c>
      <c r="O27" s="738">
        <f t="shared" si="0"/>
        <v>0</v>
      </c>
      <c r="P27" s="738">
        <f t="shared" si="0"/>
        <v>0</v>
      </c>
      <c r="Q27" s="738">
        <f t="shared" si="0"/>
        <v>0</v>
      </c>
      <c r="R27" s="738">
        <f t="shared" si="0"/>
        <v>0</v>
      </c>
      <c r="S27" s="738">
        <f t="shared" si="0"/>
        <v>0</v>
      </c>
      <c r="T27" s="738">
        <f t="shared" si="0"/>
        <v>0</v>
      </c>
      <c r="U27" s="738">
        <f t="shared" si="0"/>
        <v>0</v>
      </c>
      <c r="V27" s="738">
        <f t="shared" si="0"/>
        <v>0</v>
      </c>
      <c r="W27" s="738">
        <f t="shared" si="0"/>
        <v>0</v>
      </c>
      <c r="X27" s="738">
        <f t="shared" ref="X27" si="8">SUM(X9:X26)</f>
        <v>0</v>
      </c>
      <c r="Y27" s="738">
        <f t="shared" ref="Y27" si="9">SUM(Y9:Y26)</f>
        <v>1</v>
      </c>
      <c r="Z27" s="738">
        <f t="shared" ref="Z27" si="10">SUM(Z9:Z26)</f>
        <v>2</v>
      </c>
      <c r="AA27" s="738">
        <f t="shared" ref="AA27" si="11">SUM(AA9:AA26)</f>
        <v>0</v>
      </c>
      <c r="AB27" s="738">
        <f t="shared" si="0"/>
        <v>0</v>
      </c>
      <c r="AC27" s="738">
        <f t="shared" si="0"/>
        <v>3</v>
      </c>
      <c r="AD27" s="738">
        <f t="shared" ref="AD27" si="12">SUM(AD9:AD26)</f>
        <v>0</v>
      </c>
      <c r="AE27" s="738">
        <f t="shared" ref="AE27" si="13">SUM(AE9:AE26)</f>
        <v>0</v>
      </c>
      <c r="AF27" s="738">
        <f t="shared" ref="AF27" si="14">SUM(AF9:AF26)</f>
        <v>0</v>
      </c>
      <c r="AG27" s="738">
        <f t="shared" ref="AG27" si="15">SUM(AG9:AG26)</f>
        <v>0</v>
      </c>
      <c r="AH27" s="738">
        <f t="shared" ref="AH27" si="16">SUM(AH9:AH26)</f>
        <v>0</v>
      </c>
      <c r="AI27" s="738">
        <f t="shared" ref="AI27" si="17">SUM(AI9:AI26)</f>
        <v>0</v>
      </c>
      <c r="AJ27" s="738">
        <f t="shared" ref="AJ27" si="18">SUM(AJ9:AJ26)</f>
        <v>0</v>
      </c>
      <c r="AK27" s="738">
        <f t="shared" ref="AK27" si="19">SUM(AK9:AK26)</f>
        <v>0</v>
      </c>
      <c r="AL27" s="738">
        <f t="shared" ref="AL27" si="20">SUM(AL9:AL26)</f>
        <v>0</v>
      </c>
      <c r="AM27" s="738">
        <f t="shared" ref="AM27" si="21">SUM(AM9:AM26)</f>
        <v>0</v>
      </c>
      <c r="AN27" s="738">
        <f t="shared" si="0"/>
        <v>0</v>
      </c>
      <c r="AO27" s="738">
        <f t="shared" si="0"/>
        <v>0</v>
      </c>
      <c r="AP27" s="738">
        <f t="shared" ref="AP27" si="22">SUM(AP9:AP26)</f>
        <v>0</v>
      </c>
      <c r="AQ27" s="738">
        <f t="shared" ref="AQ27" si="23">SUM(AQ9:AQ26)</f>
        <v>0</v>
      </c>
      <c r="AR27" s="738">
        <f t="shared" si="0"/>
        <v>0</v>
      </c>
      <c r="AS27" s="738">
        <f t="shared" si="0"/>
        <v>0</v>
      </c>
      <c r="AT27" s="738">
        <f t="shared" si="0"/>
        <v>0</v>
      </c>
      <c r="AU27" s="738">
        <f t="shared" si="0"/>
        <v>0</v>
      </c>
      <c r="AV27" s="738">
        <f t="shared" si="0"/>
        <v>0</v>
      </c>
      <c r="AW27" s="738">
        <f t="shared" si="0"/>
        <v>0</v>
      </c>
      <c r="AX27" s="738">
        <f t="shared" si="0"/>
        <v>0</v>
      </c>
      <c r="AY27" s="738">
        <f t="shared" si="0"/>
        <v>0</v>
      </c>
      <c r="AZ27" s="738">
        <f t="shared" si="0"/>
        <v>0</v>
      </c>
      <c r="BA27" s="738">
        <f t="shared" si="0"/>
        <v>0</v>
      </c>
      <c r="BB27" s="738">
        <f t="shared" si="0"/>
        <v>0</v>
      </c>
      <c r="BC27" s="738">
        <f t="shared" si="0"/>
        <v>0</v>
      </c>
      <c r="BD27" s="738">
        <f t="shared" si="0"/>
        <v>0</v>
      </c>
      <c r="BE27" s="738">
        <f t="shared" si="0"/>
        <v>2</v>
      </c>
      <c r="BF27" s="738">
        <f t="shared" si="0"/>
        <v>0</v>
      </c>
      <c r="BG27" s="713">
        <f>SUM(BG9:BG26)</f>
        <v>183</v>
      </c>
    </row>
    <row r="28" spans="1:59" ht="15" customHeight="1">
      <c r="A28" s="735" t="s">
        <v>32</v>
      </c>
      <c r="B28" s="715" t="s">
        <v>1043</v>
      </c>
      <c r="C28" s="716" t="s">
        <v>1022</v>
      </c>
      <c r="D28" s="717">
        <v>2</v>
      </c>
      <c r="E28" s="717"/>
      <c r="F28" s="717"/>
      <c r="G28" s="717"/>
      <c r="H28" s="717"/>
      <c r="I28" s="717"/>
      <c r="J28" s="717"/>
      <c r="K28" s="717"/>
      <c r="L28" s="717"/>
      <c r="M28" s="717"/>
      <c r="N28" s="717"/>
      <c r="O28" s="717"/>
      <c r="P28" s="717"/>
      <c r="Q28" s="717"/>
      <c r="R28" s="717"/>
      <c r="S28" s="717"/>
      <c r="T28" s="717"/>
      <c r="U28" s="717"/>
      <c r="V28" s="718"/>
      <c r="W28" s="718"/>
      <c r="X28" s="718"/>
      <c r="Y28" s="718"/>
      <c r="Z28" s="718"/>
      <c r="AA28" s="718"/>
      <c r="AB28" s="718"/>
      <c r="AC28" s="719"/>
      <c r="AD28" s="719"/>
      <c r="AE28" s="719"/>
      <c r="AF28" s="719"/>
      <c r="AG28" s="719"/>
      <c r="AH28" s="719"/>
      <c r="AI28" s="719"/>
      <c r="AJ28" s="719"/>
      <c r="AK28" s="719"/>
      <c r="AL28" s="719"/>
      <c r="AM28" s="719"/>
      <c r="AN28" s="719"/>
      <c r="AO28" s="719">
        <v>1</v>
      </c>
      <c r="AP28" s="719"/>
      <c r="AQ28" s="719"/>
      <c r="AR28" s="719"/>
      <c r="AS28" s="719"/>
      <c r="AT28" s="719"/>
      <c r="AU28" s="719"/>
      <c r="AV28" s="719"/>
      <c r="AW28" s="719"/>
      <c r="AX28" s="719"/>
      <c r="AY28" s="719"/>
      <c r="AZ28" s="719"/>
      <c r="BA28" s="719"/>
      <c r="BB28" s="719"/>
      <c r="BC28" s="719"/>
      <c r="BD28" s="719"/>
      <c r="BE28" s="720"/>
      <c r="BF28" s="720"/>
      <c r="BG28" s="721">
        <f t="shared" ref="BG28:BG44" si="24">SUM(D28:BF28)</f>
        <v>3</v>
      </c>
    </row>
    <row r="29" spans="1:59" ht="15" customHeight="1">
      <c r="A29" s="736"/>
      <c r="B29" s="715" t="s">
        <v>1045</v>
      </c>
      <c r="C29" s="716" t="s">
        <v>1023</v>
      </c>
      <c r="D29" s="717">
        <v>6</v>
      </c>
      <c r="E29" s="717"/>
      <c r="F29" s="717"/>
      <c r="G29" s="717"/>
      <c r="H29" s="717"/>
      <c r="I29" s="717"/>
      <c r="J29" s="717"/>
      <c r="K29" s="717"/>
      <c r="L29" s="717"/>
      <c r="M29" s="717"/>
      <c r="N29" s="717"/>
      <c r="O29" s="717"/>
      <c r="P29" s="717"/>
      <c r="Q29" s="717"/>
      <c r="R29" s="717"/>
      <c r="S29" s="717"/>
      <c r="T29" s="717"/>
      <c r="U29" s="717"/>
      <c r="V29" s="718"/>
      <c r="W29" s="718"/>
      <c r="X29" s="718"/>
      <c r="Y29" s="718"/>
      <c r="Z29" s="718"/>
      <c r="AA29" s="718"/>
      <c r="AB29" s="718"/>
      <c r="AC29" s="719"/>
      <c r="AD29" s="719"/>
      <c r="AE29" s="719"/>
      <c r="AF29" s="719"/>
      <c r="AG29" s="719"/>
      <c r="AH29" s="719"/>
      <c r="AI29" s="719"/>
      <c r="AJ29" s="719"/>
      <c r="AK29" s="719"/>
      <c r="AL29" s="719"/>
      <c r="AM29" s="719"/>
      <c r="AN29" s="719"/>
      <c r="AO29" s="719"/>
      <c r="AP29" s="719">
        <v>1</v>
      </c>
      <c r="AQ29" s="719"/>
      <c r="AR29" s="719"/>
      <c r="AS29" s="719"/>
      <c r="AT29" s="719"/>
      <c r="AU29" s="719"/>
      <c r="AV29" s="719"/>
      <c r="AW29" s="719"/>
      <c r="AX29" s="719"/>
      <c r="AY29" s="719"/>
      <c r="AZ29" s="719"/>
      <c r="BA29" s="719"/>
      <c r="BB29" s="719"/>
      <c r="BC29" s="719"/>
      <c r="BD29" s="719"/>
      <c r="BE29" s="720"/>
      <c r="BF29" s="720"/>
      <c r="BG29" s="721">
        <f t="shared" si="24"/>
        <v>7</v>
      </c>
    </row>
    <row r="30" spans="1:59" ht="15" customHeight="1">
      <c r="A30" s="736"/>
      <c r="B30" s="715" t="s">
        <v>1047</v>
      </c>
      <c r="C30" s="716" t="s">
        <v>1024</v>
      </c>
      <c r="D30" s="717">
        <v>1</v>
      </c>
      <c r="E30" s="717"/>
      <c r="F30" s="717"/>
      <c r="G30" s="717"/>
      <c r="H30" s="717"/>
      <c r="I30" s="717"/>
      <c r="J30" s="717"/>
      <c r="K30" s="717"/>
      <c r="L30" s="717"/>
      <c r="M30" s="717"/>
      <c r="N30" s="717"/>
      <c r="O30" s="717"/>
      <c r="P30" s="717"/>
      <c r="Q30" s="717"/>
      <c r="R30" s="717"/>
      <c r="S30" s="717"/>
      <c r="T30" s="717"/>
      <c r="U30" s="717"/>
      <c r="V30" s="718"/>
      <c r="W30" s="718"/>
      <c r="X30" s="718"/>
      <c r="Y30" s="718"/>
      <c r="Z30" s="718"/>
      <c r="AA30" s="718"/>
      <c r="AB30" s="718"/>
      <c r="AC30" s="719"/>
      <c r="AD30" s="719"/>
      <c r="AE30" s="719"/>
      <c r="AF30" s="719"/>
      <c r="AG30" s="719"/>
      <c r="AH30" s="719"/>
      <c r="AI30" s="719"/>
      <c r="AJ30" s="719"/>
      <c r="AK30" s="719"/>
      <c r="AL30" s="719"/>
      <c r="AM30" s="719">
        <v>5</v>
      </c>
      <c r="AN30" s="719"/>
      <c r="AO30" s="719"/>
      <c r="AP30" s="719"/>
      <c r="AQ30" s="719"/>
      <c r="AR30" s="719"/>
      <c r="AS30" s="719"/>
      <c r="AT30" s="719"/>
      <c r="AU30" s="719"/>
      <c r="AV30" s="719"/>
      <c r="AW30" s="719"/>
      <c r="AX30" s="719"/>
      <c r="AY30" s="719"/>
      <c r="AZ30" s="719"/>
      <c r="BA30" s="719"/>
      <c r="BB30" s="719"/>
      <c r="BC30" s="719"/>
      <c r="BD30" s="719"/>
      <c r="BE30" s="720"/>
      <c r="BF30" s="720"/>
      <c r="BG30" s="721">
        <f t="shared" si="24"/>
        <v>6</v>
      </c>
    </row>
    <row r="31" spans="1:59" ht="15" customHeight="1">
      <c r="A31" s="737"/>
      <c r="B31" s="715" t="s">
        <v>1021</v>
      </c>
      <c r="C31" s="716" t="s">
        <v>1025</v>
      </c>
      <c r="D31" s="717">
        <v>6</v>
      </c>
      <c r="E31" s="717"/>
      <c r="F31" s="717"/>
      <c r="G31" s="717"/>
      <c r="H31" s="717"/>
      <c r="I31" s="717"/>
      <c r="J31" s="717"/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8"/>
      <c r="W31" s="718"/>
      <c r="X31" s="718"/>
      <c r="Y31" s="718"/>
      <c r="Z31" s="718"/>
      <c r="AA31" s="718"/>
      <c r="AB31" s="718"/>
      <c r="AC31" s="719"/>
      <c r="AD31" s="719"/>
      <c r="AE31" s="719"/>
      <c r="AF31" s="719"/>
      <c r="AG31" s="719"/>
      <c r="AH31" s="719"/>
      <c r="AI31" s="719"/>
      <c r="AJ31" s="719"/>
      <c r="AK31" s="719"/>
      <c r="AL31" s="719"/>
      <c r="AM31" s="719"/>
      <c r="AN31" s="719">
        <v>7</v>
      </c>
      <c r="AO31" s="719"/>
      <c r="AP31" s="719"/>
      <c r="AQ31" s="719"/>
      <c r="AR31" s="719"/>
      <c r="AS31" s="719"/>
      <c r="AT31" s="719"/>
      <c r="AU31" s="719"/>
      <c r="AV31" s="719"/>
      <c r="AW31" s="719"/>
      <c r="AX31" s="719"/>
      <c r="AY31" s="719"/>
      <c r="AZ31" s="719"/>
      <c r="BA31" s="719"/>
      <c r="BB31" s="719"/>
      <c r="BC31" s="719"/>
      <c r="BD31" s="719"/>
      <c r="BE31" s="720"/>
      <c r="BF31" s="720"/>
      <c r="BG31" s="721">
        <f t="shared" si="24"/>
        <v>13</v>
      </c>
    </row>
    <row r="32" spans="1:59" ht="15" customHeight="1">
      <c r="A32" s="714" t="s">
        <v>34</v>
      </c>
      <c r="B32" s="715" t="s">
        <v>1026</v>
      </c>
      <c r="C32" s="716" t="s">
        <v>1027</v>
      </c>
      <c r="D32" s="717">
        <v>44</v>
      </c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7"/>
      <c r="P32" s="717"/>
      <c r="Q32" s="717"/>
      <c r="R32" s="717"/>
      <c r="S32" s="717"/>
      <c r="T32" s="717"/>
      <c r="U32" s="717"/>
      <c r="V32" s="718">
        <v>153</v>
      </c>
      <c r="W32" s="718"/>
      <c r="X32" s="718"/>
      <c r="Y32" s="718"/>
      <c r="Z32" s="718"/>
      <c r="AA32" s="718"/>
      <c r="AB32" s="718"/>
      <c r="AC32" s="719"/>
      <c r="AD32" s="719"/>
      <c r="AE32" s="719"/>
      <c r="AF32" s="719"/>
      <c r="AG32" s="719"/>
      <c r="AH32" s="719"/>
      <c r="AI32" s="719"/>
      <c r="AJ32" s="719"/>
      <c r="AK32" s="719"/>
      <c r="AL32" s="719"/>
      <c r="AM32" s="719"/>
      <c r="AN32" s="719"/>
      <c r="AO32" s="719"/>
      <c r="AP32" s="719"/>
      <c r="AQ32" s="719"/>
      <c r="AR32" s="719"/>
      <c r="AS32" s="719"/>
      <c r="AT32" s="719"/>
      <c r="AU32" s="719"/>
      <c r="AV32" s="719"/>
      <c r="AW32" s="719"/>
      <c r="AX32" s="719"/>
      <c r="AY32" s="719"/>
      <c r="AZ32" s="719"/>
      <c r="BA32" s="719"/>
      <c r="BB32" s="719"/>
      <c r="BC32" s="719"/>
      <c r="BD32" s="719">
        <v>917</v>
      </c>
      <c r="BE32" s="720"/>
      <c r="BF32" s="720"/>
      <c r="BG32" s="721">
        <f t="shared" si="24"/>
        <v>1114</v>
      </c>
    </row>
    <row r="33" spans="1:59" ht="15" customHeight="1">
      <c r="A33" s="714" t="s">
        <v>36</v>
      </c>
      <c r="B33" s="715" t="s">
        <v>1026</v>
      </c>
      <c r="C33" s="716" t="s">
        <v>1028</v>
      </c>
      <c r="D33" s="717">
        <v>58</v>
      </c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7"/>
      <c r="P33" s="717"/>
      <c r="Q33" s="717"/>
      <c r="R33" s="717"/>
      <c r="S33" s="717"/>
      <c r="T33" s="717"/>
      <c r="U33" s="717">
        <v>312</v>
      </c>
      <c r="V33" s="718"/>
      <c r="W33" s="718"/>
      <c r="X33" s="718"/>
      <c r="Y33" s="718"/>
      <c r="Z33" s="718"/>
      <c r="AA33" s="718"/>
      <c r="AB33" s="718"/>
      <c r="AC33" s="719"/>
      <c r="AD33" s="719"/>
      <c r="AE33" s="719"/>
      <c r="AF33" s="719"/>
      <c r="AG33" s="719"/>
      <c r="AH33" s="719"/>
      <c r="AI33" s="719"/>
      <c r="AJ33" s="719"/>
      <c r="AK33" s="719"/>
      <c r="AL33" s="719"/>
      <c r="AM33" s="719"/>
      <c r="AN33" s="719"/>
      <c r="AO33" s="719"/>
      <c r="AP33" s="719"/>
      <c r="AQ33" s="719"/>
      <c r="AR33" s="719"/>
      <c r="AS33" s="719">
        <v>773</v>
      </c>
      <c r="AT33" s="719"/>
      <c r="AU33" s="719"/>
      <c r="AV33" s="719"/>
      <c r="AW33" s="719"/>
      <c r="AX33" s="719"/>
      <c r="AY33" s="719"/>
      <c r="AZ33" s="719"/>
      <c r="BA33" s="719"/>
      <c r="BB33" s="719"/>
      <c r="BC33" s="719"/>
      <c r="BD33" s="719"/>
      <c r="BE33" s="720"/>
      <c r="BF33" s="720"/>
      <c r="BG33" s="721">
        <f t="shared" si="24"/>
        <v>1143</v>
      </c>
    </row>
    <row r="34" spans="1:59" ht="15" customHeight="1">
      <c r="A34" s="714" t="s">
        <v>38</v>
      </c>
      <c r="B34" s="715" t="s">
        <v>1026</v>
      </c>
      <c r="C34" s="716" t="s">
        <v>1029</v>
      </c>
      <c r="D34" s="717">
        <v>31</v>
      </c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>
        <v>104</v>
      </c>
      <c r="T34" s="717"/>
      <c r="U34" s="717"/>
      <c r="V34" s="718"/>
      <c r="W34" s="718"/>
      <c r="X34" s="718"/>
      <c r="Y34" s="718"/>
      <c r="Z34" s="718"/>
      <c r="AA34" s="718"/>
      <c r="AB34" s="718"/>
      <c r="AC34" s="719"/>
      <c r="AD34" s="719"/>
      <c r="AE34" s="719"/>
      <c r="AF34" s="719"/>
      <c r="AG34" s="719"/>
      <c r="AH34" s="719"/>
      <c r="AI34" s="719"/>
      <c r="AJ34" s="719"/>
      <c r="AK34" s="719"/>
      <c r="AL34" s="719"/>
      <c r="AM34" s="719"/>
      <c r="AN34" s="719"/>
      <c r="AO34" s="719"/>
      <c r="AP34" s="719"/>
      <c r="AQ34" s="719"/>
      <c r="AR34" s="719"/>
      <c r="AS34" s="719"/>
      <c r="AT34" s="719"/>
      <c r="AU34" s="719">
        <v>670</v>
      </c>
      <c r="AV34" s="719"/>
      <c r="AW34" s="719"/>
      <c r="AX34" s="719"/>
      <c r="AY34" s="719"/>
      <c r="AZ34" s="719"/>
      <c r="BA34" s="719"/>
      <c r="BB34" s="719"/>
      <c r="BC34" s="719"/>
      <c r="BD34" s="719"/>
      <c r="BE34" s="720"/>
      <c r="BF34" s="720"/>
      <c r="BG34" s="721">
        <f t="shared" si="24"/>
        <v>805</v>
      </c>
    </row>
    <row r="35" spans="1:59" ht="15" customHeight="1">
      <c r="A35" s="714" t="s">
        <v>40</v>
      </c>
      <c r="B35" s="715" t="s">
        <v>1026</v>
      </c>
      <c r="C35" s="716" t="s">
        <v>1030</v>
      </c>
      <c r="D35" s="717">
        <v>15</v>
      </c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>
        <v>93</v>
      </c>
      <c r="U35" s="717"/>
      <c r="V35" s="718"/>
      <c r="W35" s="718"/>
      <c r="X35" s="718"/>
      <c r="Y35" s="718"/>
      <c r="Z35" s="718"/>
      <c r="AA35" s="718"/>
      <c r="AB35" s="718"/>
      <c r="AC35" s="719"/>
      <c r="AD35" s="719"/>
      <c r="AE35" s="719"/>
      <c r="AF35" s="719"/>
      <c r="AG35" s="719"/>
      <c r="AH35" s="719"/>
      <c r="AI35" s="719"/>
      <c r="AJ35" s="719"/>
      <c r="AK35" s="719"/>
      <c r="AL35" s="719"/>
      <c r="AM35" s="719"/>
      <c r="AN35" s="719"/>
      <c r="AO35" s="719"/>
      <c r="AP35" s="719"/>
      <c r="AQ35" s="719"/>
      <c r="AR35" s="719"/>
      <c r="AS35" s="719"/>
      <c r="AT35" s="719"/>
      <c r="AU35" s="719"/>
      <c r="AV35" s="719"/>
      <c r="AW35" s="719"/>
      <c r="AX35" s="719"/>
      <c r="AY35" s="719">
        <v>216</v>
      </c>
      <c r="AZ35" s="719"/>
      <c r="BA35" s="719"/>
      <c r="BB35" s="719"/>
      <c r="BC35" s="719"/>
      <c r="BD35" s="719"/>
      <c r="BE35" s="720"/>
      <c r="BF35" s="720"/>
      <c r="BG35" s="721">
        <f t="shared" si="24"/>
        <v>324</v>
      </c>
    </row>
    <row r="36" spans="1:59" ht="15" customHeight="1">
      <c r="A36" s="714" t="s">
        <v>1031</v>
      </c>
      <c r="B36" s="715" t="s">
        <v>1026</v>
      </c>
      <c r="C36" s="716" t="s">
        <v>1032</v>
      </c>
      <c r="D36" s="717">
        <v>11</v>
      </c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>
        <v>100</v>
      </c>
      <c r="R36" s="717"/>
      <c r="S36" s="717"/>
      <c r="T36" s="717"/>
      <c r="U36" s="717"/>
      <c r="V36" s="718"/>
      <c r="W36" s="718"/>
      <c r="X36" s="718"/>
      <c r="Y36" s="718"/>
      <c r="Z36" s="718"/>
      <c r="AA36" s="718"/>
      <c r="AB36" s="718"/>
      <c r="AC36" s="719"/>
      <c r="AD36" s="719"/>
      <c r="AE36" s="719"/>
      <c r="AF36" s="719"/>
      <c r="AG36" s="719"/>
      <c r="AH36" s="719"/>
      <c r="AI36" s="719"/>
      <c r="AJ36" s="719"/>
      <c r="AK36" s="719"/>
      <c r="AL36" s="719"/>
      <c r="AM36" s="719"/>
      <c r="AN36" s="719"/>
      <c r="AO36" s="719"/>
      <c r="AP36" s="719"/>
      <c r="AQ36" s="719"/>
      <c r="AR36" s="719"/>
      <c r="AS36" s="719"/>
      <c r="AT36" s="719"/>
      <c r="AU36" s="719"/>
      <c r="AV36" s="719">
        <v>1</v>
      </c>
      <c r="AW36" s="719"/>
      <c r="AX36" s="719">
        <v>268</v>
      </c>
      <c r="AY36" s="719"/>
      <c r="AZ36" s="719"/>
      <c r="BA36" s="719"/>
      <c r="BB36" s="719"/>
      <c r="BC36" s="719"/>
      <c r="BD36" s="719"/>
      <c r="BE36" s="720"/>
      <c r="BF36" s="720"/>
      <c r="BG36" s="721">
        <f t="shared" si="24"/>
        <v>380</v>
      </c>
    </row>
    <row r="37" spans="1:59" ht="15" customHeight="1">
      <c r="A37" s="714" t="s">
        <v>43</v>
      </c>
      <c r="B37" s="715" t="s">
        <v>1026</v>
      </c>
      <c r="C37" s="716" t="s">
        <v>1033</v>
      </c>
      <c r="D37" s="717">
        <v>27</v>
      </c>
      <c r="E37" s="717"/>
      <c r="F37" s="717"/>
      <c r="G37" s="717"/>
      <c r="H37" s="717"/>
      <c r="I37" s="717"/>
      <c r="J37" s="717"/>
      <c r="K37" s="717"/>
      <c r="L37" s="717"/>
      <c r="M37" s="717">
        <v>104</v>
      </c>
      <c r="N37" s="717"/>
      <c r="O37" s="717"/>
      <c r="P37" s="717"/>
      <c r="Q37" s="717"/>
      <c r="R37" s="717"/>
      <c r="S37" s="717"/>
      <c r="T37" s="717"/>
      <c r="U37" s="717"/>
      <c r="V37" s="718"/>
      <c r="W37" s="718"/>
      <c r="X37" s="718"/>
      <c r="Y37" s="718"/>
      <c r="Z37" s="718"/>
      <c r="AA37" s="718"/>
      <c r="AB37" s="718"/>
      <c r="AC37" s="719"/>
      <c r="AD37" s="719"/>
      <c r="AE37" s="719"/>
      <c r="AF37" s="719"/>
      <c r="AG37" s="719"/>
      <c r="AH37" s="719"/>
      <c r="AI37" s="719"/>
      <c r="AJ37" s="719"/>
      <c r="AK37" s="719"/>
      <c r="AL37" s="719"/>
      <c r="AM37" s="719"/>
      <c r="AN37" s="719"/>
      <c r="AO37" s="719"/>
      <c r="AP37" s="719"/>
      <c r="AQ37" s="719"/>
      <c r="AR37" s="719"/>
      <c r="AS37" s="719"/>
      <c r="AT37" s="719"/>
      <c r="AU37" s="719"/>
      <c r="AV37" s="719"/>
      <c r="AW37" s="719">
        <v>419</v>
      </c>
      <c r="AX37" s="719"/>
      <c r="AY37" s="719"/>
      <c r="AZ37" s="719"/>
      <c r="BA37" s="719"/>
      <c r="BB37" s="719"/>
      <c r="BC37" s="719"/>
      <c r="BD37" s="719"/>
      <c r="BE37" s="720"/>
      <c r="BF37" s="720"/>
      <c r="BG37" s="721">
        <f t="shared" si="24"/>
        <v>550</v>
      </c>
    </row>
    <row r="38" spans="1:59" ht="15" customHeight="1">
      <c r="A38" s="714" t="s">
        <v>45</v>
      </c>
      <c r="B38" s="715" t="s">
        <v>1026</v>
      </c>
      <c r="C38" s="716" t="s">
        <v>1034</v>
      </c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8"/>
      <c r="W38" s="718"/>
      <c r="X38" s="718"/>
      <c r="Y38" s="718"/>
      <c r="Z38" s="718"/>
      <c r="AA38" s="718"/>
      <c r="AB38" s="718"/>
      <c r="AC38" s="719"/>
      <c r="AD38" s="719"/>
      <c r="AE38" s="719"/>
      <c r="AF38" s="719"/>
      <c r="AG38" s="719"/>
      <c r="AH38" s="719"/>
      <c r="AI38" s="719"/>
      <c r="AJ38" s="719"/>
      <c r="AK38" s="719"/>
      <c r="AL38" s="719"/>
      <c r="AM38" s="719"/>
      <c r="AN38" s="719"/>
      <c r="AO38" s="719"/>
      <c r="AP38" s="719"/>
      <c r="AQ38" s="719"/>
      <c r="AR38" s="719"/>
      <c r="AS38" s="719"/>
      <c r="AT38" s="719"/>
      <c r="AU38" s="719"/>
      <c r="AV38" s="719"/>
      <c r="AW38" s="719"/>
      <c r="AX38" s="719"/>
      <c r="AY38" s="719"/>
      <c r="AZ38" s="719"/>
      <c r="BA38" s="719"/>
      <c r="BB38" s="719"/>
      <c r="BC38" s="719"/>
      <c r="BD38" s="719"/>
      <c r="BE38" s="720"/>
      <c r="BF38" s="720"/>
      <c r="BG38" s="721">
        <f t="shared" si="24"/>
        <v>0</v>
      </c>
    </row>
    <row r="39" spans="1:59" ht="15" customHeight="1">
      <c r="A39" s="714" t="s">
        <v>47</v>
      </c>
      <c r="B39" s="715" t="s">
        <v>1026</v>
      </c>
      <c r="C39" s="716" t="s">
        <v>1035</v>
      </c>
      <c r="D39" s="717">
        <v>7</v>
      </c>
      <c r="E39" s="717"/>
      <c r="F39" s="717"/>
      <c r="G39" s="717"/>
      <c r="H39" s="717"/>
      <c r="I39" s="717"/>
      <c r="J39" s="717"/>
      <c r="K39" s="717"/>
      <c r="L39" s="717"/>
      <c r="M39" s="717"/>
      <c r="N39" s="717"/>
      <c r="O39" s="717">
        <v>9</v>
      </c>
      <c r="P39" s="717"/>
      <c r="Q39" s="717"/>
      <c r="R39" s="717"/>
      <c r="S39" s="717"/>
      <c r="T39" s="717"/>
      <c r="U39" s="717"/>
      <c r="V39" s="718"/>
      <c r="W39" s="718"/>
      <c r="X39" s="718"/>
      <c r="Y39" s="718"/>
      <c r="Z39" s="718"/>
      <c r="AA39" s="718"/>
      <c r="AB39" s="718"/>
      <c r="AC39" s="719"/>
      <c r="AD39" s="719"/>
      <c r="AE39" s="719"/>
      <c r="AF39" s="719"/>
      <c r="AG39" s="719"/>
      <c r="AH39" s="719"/>
      <c r="AI39" s="719"/>
      <c r="AJ39" s="719"/>
      <c r="AK39" s="719"/>
      <c r="AL39" s="719"/>
      <c r="AM39" s="719"/>
      <c r="AN39" s="719"/>
      <c r="AO39" s="719"/>
      <c r="AP39" s="719"/>
      <c r="AQ39" s="719"/>
      <c r="AR39" s="719"/>
      <c r="AS39" s="719"/>
      <c r="AT39" s="719"/>
      <c r="AU39" s="719"/>
      <c r="AV39" s="719"/>
      <c r="AW39" s="719"/>
      <c r="AX39" s="719"/>
      <c r="AY39" s="719"/>
      <c r="AZ39" s="719"/>
      <c r="BA39" s="719"/>
      <c r="BB39" s="719"/>
      <c r="BC39" s="719"/>
      <c r="BD39" s="719">
        <v>43</v>
      </c>
      <c r="BE39" s="720"/>
      <c r="BF39" s="720"/>
      <c r="BG39" s="721">
        <f t="shared" si="24"/>
        <v>59</v>
      </c>
    </row>
    <row r="40" spans="1:59" ht="15" customHeight="1">
      <c r="A40" s="714" t="s">
        <v>1036</v>
      </c>
      <c r="B40" s="715" t="s">
        <v>1026</v>
      </c>
      <c r="C40" s="716" t="s">
        <v>1037</v>
      </c>
      <c r="D40" s="717">
        <v>6</v>
      </c>
      <c r="E40" s="717"/>
      <c r="F40" s="717"/>
      <c r="G40" s="717"/>
      <c r="H40" s="717"/>
      <c r="I40" s="717"/>
      <c r="J40" s="717"/>
      <c r="K40" s="717"/>
      <c r="L40" s="717"/>
      <c r="M40" s="717"/>
      <c r="N40" s="717"/>
      <c r="O40" s="717"/>
      <c r="P40" s="717"/>
      <c r="Q40" s="717"/>
      <c r="R40" s="717">
        <v>50</v>
      </c>
      <c r="S40" s="717"/>
      <c r="T40" s="717"/>
      <c r="U40" s="717"/>
      <c r="V40" s="718"/>
      <c r="W40" s="718"/>
      <c r="X40" s="718"/>
      <c r="Y40" s="718"/>
      <c r="Z40" s="718"/>
      <c r="AA40" s="718"/>
      <c r="AB40" s="718"/>
      <c r="AC40" s="719"/>
      <c r="AD40" s="719"/>
      <c r="AE40" s="71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>
        <v>135</v>
      </c>
      <c r="BB40" s="719"/>
      <c r="BC40" s="719"/>
      <c r="BD40" s="719"/>
      <c r="BE40" s="720"/>
      <c r="BF40" s="720"/>
      <c r="BG40" s="721">
        <f t="shared" si="24"/>
        <v>191</v>
      </c>
    </row>
    <row r="41" spans="1:59" ht="15" customHeight="1">
      <c r="A41" s="714" t="s">
        <v>50</v>
      </c>
      <c r="B41" s="715" t="s">
        <v>1026</v>
      </c>
      <c r="C41" s="716" t="s">
        <v>1038</v>
      </c>
      <c r="D41" s="717">
        <v>5</v>
      </c>
      <c r="E41" s="717"/>
      <c r="F41" s="717"/>
      <c r="G41" s="717"/>
      <c r="H41" s="717"/>
      <c r="I41" s="717"/>
      <c r="J41" s="717"/>
      <c r="K41" s="717">
        <v>11</v>
      </c>
      <c r="L41" s="717"/>
      <c r="M41" s="717"/>
      <c r="N41" s="717"/>
      <c r="O41" s="717"/>
      <c r="P41" s="717"/>
      <c r="Q41" s="717"/>
      <c r="R41" s="717"/>
      <c r="S41" s="717"/>
      <c r="T41" s="717"/>
      <c r="U41" s="717"/>
      <c r="V41" s="718"/>
      <c r="W41" s="718"/>
      <c r="X41" s="718"/>
      <c r="Y41" s="718"/>
      <c r="Z41" s="718"/>
      <c r="AA41" s="718"/>
      <c r="AB41" s="718"/>
      <c r="AC41" s="719"/>
      <c r="AD41" s="719"/>
      <c r="AE41" s="71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>
        <v>46</v>
      </c>
      <c r="BA41" s="719"/>
      <c r="BB41" s="719"/>
      <c r="BC41" s="719"/>
      <c r="BD41" s="719"/>
      <c r="BE41" s="720"/>
      <c r="BF41" s="720"/>
      <c r="BG41" s="721">
        <f t="shared" si="24"/>
        <v>62</v>
      </c>
    </row>
    <row r="42" spans="1:59" ht="15" customHeight="1">
      <c r="A42" s="714" t="s">
        <v>52</v>
      </c>
      <c r="B42" s="715" t="s">
        <v>1026</v>
      </c>
      <c r="C42" s="716" t="s">
        <v>51</v>
      </c>
      <c r="D42" s="717"/>
      <c r="E42" s="717"/>
      <c r="F42" s="717"/>
      <c r="G42" s="717"/>
      <c r="H42" s="717"/>
      <c r="I42" s="717"/>
      <c r="J42" s="717"/>
      <c r="K42" s="717"/>
      <c r="L42" s="717"/>
      <c r="M42" s="717"/>
      <c r="N42" s="717"/>
      <c r="O42" s="717"/>
      <c r="P42" s="717"/>
      <c r="Q42" s="717"/>
      <c r="R42" s="717"/>
      <c r="S42" s="717"/>
      <c r="T42" s="717"/>
      <c r="U42" s="717"/>
      <c r="V42" s="718"/>
      <c r="W42" s="718"/>
      <c r="X42" s="718"/>
      <c r="Y42" s="718"/>
      <c r="Z42" s="718"/>
      <c r="AA42" s="718"/>
      <c r="AB42" s="718"/>
      <c r="AC42" s="719"/>
      <c r="AD42" s="719"/>
      <c r="AE42" s="719"/>
      <c r="AF42" s="719"/>
      <c r="AG42" s="719"/>
      <c r="AH42" s="719"/>
      <c r="AI42" s="719"/>
      <c r="AJ42" s="719"/>
      <c r="AK42" s="719"/>
      <c r="AL42" s="719"/>
      <c r="AM42" s="719"/>
      <c r="AN42" s="719"/>
      <c r="AO42" s="719"/>
      <c r="AP42" s="719"/>
      <c r="AQ42" s="719"/>
      <c r="AR42" s="719"/>
      <c r="AS42" s="719"/>
      <c r="AT42" s="719"/>
      <c r="AU42" s="719"/>
      <c r="AV42" s="719"/>
      <c r="AW42" s="719"/>
      <c r="AX42" s="719"/>
      <c r="AY42" s="719"/>
      <c r="AZ42" s="719"/>
      <c r="BA42" s="719"/>
      <c r="BB42" s="719"/>
      <c r="BC42" s="719"/>
      <c r="BD42" s="719"/>
      <c r="BE42" s="720"/>
      <c r="BF42" s="720"/>
      <c r="BG42" s="721">
        <f t="shared" si="24"/>
        <v>0</v>
      </c>
    </row>
    <row r="43" spans="1:59" ht="15" customHeight="1">
      <c r="A43" s="714" t="s">
        <v>54</v>
      </c>
      <c r="B43" s="715" t="s">
        <v>1026</v>
      </c>
      <c r="C43" s="716" t="s">
        <v>1039</v>
      </c>
      <c r="D43" s="717">
        <v>11</v>
      </c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7"/>
      <c r="P43" s="717">
        <v>18</v>
      </c>
      <c r="Q43" s="717"/>
      <c r="R43" s="717"/>
      <c r="S43" s="717"/>
      <c r="T43" s="717"/>
      <c r="U43" s="717"/>
      <c r="V43" s="718"/>
      <c r="W43" s="718"/>
      <c r="X43" s="718"/>
      <c r="Y43" s="718"/>
      <c r="Z43" s="718"/>
      <c r="AA43" s="718"/>
      <c r="AB43" s="718"/>
      <c r="AC43" s="719"/>
      <c r="AD43" s="719"/>
      <c r="AE43" s="719"/>
      <c r="AF43" s="719"/>
      <c r="AG43" s="719"/>
      <c r="AH43" s="719"/>
      <c r="AI43" s="719"/>
      <c r="AJ43" s="719"/>
      <c r="AK43" s="719"/>
      <c r="AL43" s="719"/>
      <c r="AM43" s="719"/>
      <c r="AN43" s="719"/>
      <c r="AO43" s="719"/>
      <c r="AP43" s="719"/>
      <c r="AQ43" s="719"/>
      <c r="AR43" s="719"/>
      <c r="AS43" s="719"/>
      <c r="AT43" s="719">
        <v>217</v>
      </c>
      <c r="AU43" s="719"/>
      <c r="AV43" s="719"/>
      <c r="AW43" s="719"/>
      <c r="AX43" s="719"/>
      <c r="AY43" s="719"/>
      <c r="AZ43" s="719"/>
      <c r="BA43" s="719"/>
      <c r="BB43" s="719"/>
      <c r="BC43" s="719"/>
      <c r="BD43" s="719"/>
      <c r="BE43" s="720"/>
      <c r="BF43" s="720"/>
      <c r="BG43" s="721">
        <f t="shared" si="24"/>
        <v>246</v>
      </c>
    </row>
    <row r="44" spans="1:59" ht="15" customHeight="1">
      <c r="A44" s="714" t="s">
        <v>1040</v>
      </c>
      <c r="B44" s="715" t="s">
        <v>1026</v>
      </c>
      <c r="C44" s="716" t="s">
        <v>1041</v>
      </c>
      <c r="D44" s="717">
        <v>1</v>
      </c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8"/>
      <c r="W44" s="718"/>
      <c r="X44" s="718"/>
      <c r="Y44" s="718"/>
      <c r="Z44" s="718"/>
      <c r="AA44" s="718"/>
      <c r="AB44" s="718"/>
      <c r="AC44" s="719"/>
      <c r="AD44" s="719"/>
      <c r="AE44" s="719"/>
      <c r="AF44" s="719"/>
      <c r="AG44" s="719"/>
      <c r="AH44" s="719"/>
      <c r="AI44" s="719"/>
      <c r="AJ44" s="719"/>
      <c r="AK44" s="719"/>
      <c r="AL44" s="719"/>
      <c r="AM44" s="719"/>
      <c r="AN44" s="719"/>
      <c r="AO44" s="719"/>
      <c r="AP44" s="719"/>
      <c r="AQ44" s="719"/>
      <c r="AR44" s="719"/>
      <c r="AS44" s="719"/>
      <c r="AT44" s="719"/>
      <c r="AU44" s="719"/>
      <c r="AV44" s="719"/>
      <c r="AW44" s="719"/>
      <c r="AX44" s="719"/>
      <c r="AY44" s="719"/>
      <c r="AZ44" s="719"/>
      <c r="BA44" s="719"/>
      <c r="BB44" s="719"/>
      <c r="BC44" s="719"/>
      <c r="BD44" s="719"/>
      <c r="BE44" s="720"/>
      <c r="BF44" s="720"/>
      <c r="BG44" s="721">
        <f t="shared" si="24"/>
        <v>1</v>
      </c>
    </row>
    <row r="45" spans="1:59" ht="15" customHeight="1">
      <c r="A45" s="439" t="s">
        <v>56</v>
      </c>
      <c r="B45" s="722"/>
      <c r="C45" s="723"/>
      <c r="D45" s="739">
        <f>SUM(D32:D44)</f>
        <v>216</v>
      </c>
      <c r="E45" s="739">
        <f>SUM(E32:E44)</f>
        <v>0</v>
      </c>
      <c r="F45" s="739">
        <f>SUM(F32:F44)</f>
        <v>0</v>
      </c>
      <c r="G45" s="739">
        <f>SUM(G32:G44)</f>
        <v>0</v>
      </c>
      <c r="H45" s="739">
        <f>SUM(H32:H44)</f>
        <v>0</v>
      </c>
      <c r="I45" s="739">
        <f>SUM(I32:I44)</f>
        <v>0</v>
      </c>
      <c r="J45" s="739">
        <f>SUM(J32:J44)</f>
        <v>0</v>
      </c>
      <c r="K45" s="739">
        <f>SUM(K32:K44)</f>
        <v>11</v>
      </c>
      <c r="L45" s="739">
        <f>SUM(L32:L44)</f>
        <v>0</v>
      </c>
      <c r="M45" s="739">
        <f>SUM(M32:M44)</f>
        <v>104</v>
      </c>
      <c r="N45" s="739">
        <f>SUM(N32:N44)</f>
        <v>0</v>
      </c>
      <c r="O45" s="739">
        <f>SUM(O32:O44)</f>
        <v>9</v>
      </c>
      <c r="P45" s="739">
        <f>SUM(P32:P44)</f>
        <v>18</v>
      </c>
      <c r="Q45" s="739">
        <f>SUM(Q32:Q44)</f>
        <v>100</v>
      </c>
      <c r="R45" s="739">
        <f>SUM(R32:R44)</f>
        <v>50</v>
      </c>
      <c r="S45" s="739">
        <f>SUM(S32:S44)</f>
        <v>104</v>
      </c>
      <c r="T45" s="739">
        <f>SUM(T32:T44)</f>
        <v>93</v>
      </c>
      <c r="U45" s="739">
        <f>SUM(U32:U44)</f>
        <v>312</v>
      </c>
      <c r="V45" s="739">
        <f>SUM(V32:V44)</f>
        <v>153</v>
      </c>
      <c r="W45" s="739">
        <f>SUM(W32:W44)</f>
        <v>0</v>
      </c>
      <c r="X45" s="739">
        <f>SUM(X32:X44)</f>
        <v>0</v>
      </c>
      <c r="Y45" s="739">
        <f>SUM(Y32:Y44)</f>
        <v>0</v>
      </c>
      <c r="Z45" s="739">
        <f>SUM(Z32:Z44)</f>
        <v>0</v>
      </c>
      <c r="AA45" s="739">
        <f>SUM(AA32:AA44)</f>
        <v>0</v>
      </c>
      <c r="AB45" s="739">
        <f>SUM(AB32:AB44)</f>
        <v>0</v>
      </c>
      <c r="AC45" s="739">
        <f>SUM(AC32:AC44)</f>
        <v>0</v>
      </c>
      <c r="AD45" s="739">
        <f>SUM(AD32:AD44)</f>
        <v>0</v>
      </c>
      <c r="AE45" s="739">
        <f>SUM(AE32:AE44)</f>
        <v>0</v>
      </c>
      <c r="AF45" s="739">
        <f>SUM(AF32:AF44)</f>
        <v>0</v>
      </c>
      <c r="AG45" s="739">
        <f>SUM(AG32:AG44)</f>
        <v>0</v>
      </c>
      <c r="AH45" s="739">
        <f>SUM(AH32:AH44)</f>
        <v>0</v>
      </c>
      <c r="AI45" s="739">
        <f>SUM(AI32:AI44)</f>
        <v>0</v>
      </c>
      <c r="AJ45" s="739">
        <f>SUM(AJ32:AJ44)</f>
        <v>0</v>
      </c>
      <c r="AK45" s="739">
        <f>SUM(AK32:AK44)</f>
        <v>0</v>
      </c>
      <c r="AL45" s="739">
        <f>SUM(AL32:AL44)</f>
        <v>0</v>
      </c>
      <c r="AM45" s="739">
        <f>SUM(AM32:AM44)</f>
        <v>0</v>
      </c>
      <c r="AN45" s="739">
        <f>SUM(AN32:AN44)</f>
        <v>0</v>
      </c>
      <c r="AO45" s="739">
        <f>SUM(AO32:AO44)</f>
        <v>0</v>
      </c>
      <c r="AP45" s="739">
        <f>SUM(AP32:AP44)</f>
        <v>0</v>
      </c>
      <c r="AQ45" s="739">
        <f>SUM(AQ32:AQ44)</f>
        <v>0</v>
      </c>
      <c r="AR45" s="739">
        <f>SUM(AR32:AR44)</f>
        <v>0</v>
      </c>
      <c r="AS45" s="739">
        <f>SUM(AS32:AS44)</f>
        <v>773</v>
      </c>
      <c r="AT45" s="739">
        <f>SUM(AT32:AT44)</f>
        <v>217</v>
      </c>
      <c r="AU45" s="739">
        <f>SUM(AU32:AU44)</f>
        <v>670</v>
      </c>
      <c r="AV45" s="739">
        <f>SUM(AV32:AV44)</f>
        <v>1</v>
      </c>
      <c r="AW45" s="739">
        <f>SUM(AW32:AW44)</f>
        <v>419</v>
      </c>
      <c r="AX45" s="739">
        <f>SUM(AX32:AX44)</f>
        <v>268</v>
      </c>
      <c r="AY45" s="739">
        <f>SUM(AY32:AY44)</f>
        <v>216</v>
      </c>
      <c r="AZ45" s="739">
        <f>SUM(AZ32:AZ44)</f>
        <v>46</v>
      </c>
      <c r="BA45" s="739">
        <f>SUM(BA32:BA44)</f>
        <v>135</v>
      </c>
      <c r="BB45" s="739">
        <f>SUM(BB32:BB44)</f>
        <v>0</v>
      </c>
      <c r="BC45" s="739">
        <f>SUM(BC32:BC44)</f>
        <v>0</v>
      </c>
      <c r="BD45" s="739">
        <f>SUM(BD32:BD44)</f>
        <v>960</v>
      </c>
      <c r="BE45" s="739">
        <f>SUM(BE32:BE44)</f>
        <v>0</v>
      </c>
      <c r="BF45" s="739">
        <f>SUM(BF32:BF44)</f>
        <v>0</v>
      </c>
      <c r="BG45" s="739">
        <f>SUM(BG32:BG44)</f>
        <v>4875</v>
      </c>
    </row>
  </sheetData>
  <mergeCells count="19">
    <mergeCell ref="A28:A31"/>
    <mergeCell ref="E4:AC5"/>
    <mergeCell ref="W6:AC6"/>
    <mergeCell ref="D6:D8"/>
    <mergeCell ref="W7:AC7"/>
    <mergeCell ref="AO6:AR6"/>
    <mergeCell ref="J7:V7"/>
    <mergeCell ref="J6:V6"/>
    <mergeCell ref="AK6:AN6"/>
    <mergeCell ref="AK7:AN7"/>
    <mergeCell ref="E6:I6"/>
    <mergeCell ref="E7:I7"/>
    <mergeCell ref="AD6:AJ6"/>
    <mergeCell ref="AD7:AJ7"/>
    <mergeCell ref="AO7:AR7"/>
    <mergeCell ref="AS7:BD7"/>
    <mergeCell ref="AS6:BD6"/>
    <mergeCell ref="A14:A20"/>
    <mergeCell ref="A21:A24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상품코드_1월</vt:lpstr>
      <vt:lpstr>상품코드_2월</vt:lpstr>
      <vt:lpstr>상품코드_3월 </vt:lpstr>
      <vt:lpstr>상품코드_4월 </vt:lpstr>
      <vt:lpstr>상품코드_4월-NEW1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rossi</cp:lastModifiedBy>
  <cp:revision>2</cp:revision>
  <dcterms:created xsi:type="dcterms:W3CDTF">2019-08-11T10:53:43Z</dcterms:created>
  <dcterms:modified xsi:type="dcterms:W3CDTF">2026-05-22T19:32:42Z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