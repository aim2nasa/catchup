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B102F29B-1E85-433B-B1E6-3240C3A83105}" xr6:coauthVersionLast="47" xr6:coauthVersionMax="47" xr10:uidLastSave="{00000000-0000-0000-0000-000000000000}"/>
  <bookViews>
    <workbookView xWindow="1365" yWindow="0" windowWidth="30570" windowHeight="15480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47" i="6" l="1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R482" i="4" s="1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R197" i="4" s="1"/>
  <c r="J197" i="4"/>
  <c r="S197" i="4" s="1"/>
  <c r="M196" i="4"/>
  <c r="K196" i="4"/>
  <c r="R196" i="4" s="1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R16" i="4" s="1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R345" i="3" s="1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R276" i="3" s="1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R206" i="1" s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R192" i="1" s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R79" i="1" s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357" i="1" l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BG47" i="6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P499" i="2"/>
  <c r="L503" i="4"/>
  <c r="R101" i="4"/>
  <c r="R127" i="3"/>
  <c r="K490" i="1"/>
  <c r="R489" i="1"/>
  <c r="R140" i="4"/>
  <c r="R330" i="2"/>
  <c r="R158" i="4"/>
  <c r="P499" i="1"/>
  <c r="L509" i="1"/>
  <c r="R491" i="2"/>
  <c r="K492" i="2"/>
  <c r="N497" i="2"/>
  <c r="R119" i="4"/>
  <c r="R60" i="4"/>
  <c r="R84" i="4"/>
  <c r="R244" i="1"/>
  <c r="K503" i="4"/>
  <c r="P505" i="3"/>
  <c r="L515" i="3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N511" i="2" l="1"/>
  <c r="N514" i="2" s="1"/>
  <c r="P500" i="1"/>
  <c r="R496" i="3"/>
  <c r="M500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P502" i="1" s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P496" i="2" s="1"/>
  <c r="K500" i="3"/>
  <c r="M514" i="3" s="1"/>
  <c r="M517" i="3" s="1"/>
  <c r="N500" i="3"/>
  <c r="K494" i="1"/>
  <c r="O497" i="1" s="1"/>
  <c r="L510" i="2"/>
  <c r="O515" i="3"/>
  <c r="O518" i="3" s="1"/>
  <c r="P506" i="3"/>
  <c r="P508" i="3" s="1"/>
  <c r="P501" i="2"/>
  <c r="L511" i="2"/>
  <c r="P509" i="1"/>
  <c r="L512" i="1"/>
  <c r="P512" i="1" s="1"/>
  <c r="O514" i="3"/>
  <c r="O517" i="3" s="1"/>
  <c r="O506" i="3"/>
  <c r="L520" i="4"/>
  <c r="L518" i="3"/>
  <c r="K502" i="4"/>
  <c r="N510" i="2"/>
  <c r="N513" i="2" s="1"/>
  <c r="M517" i="4"/>
  <c r="M520" i="4" s="1"/>
  <c r="P505" i="4"/>
  <c r="P503" i="4"/>
  <c r="N517" i="4"/>
  <c r="N520" i="4" s="1"/>
  <c r="P506" i="4"/>
  <c r="O511" i="2"/>
  <c r="O514" i="2" s="1"/>
  <c r="P502" i="2"/>
  <c r="P497" i="2"/>
  <c r="L508" i="1" l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5" i="3"/>
  <c r="O507" i="4"/>
  <c r="O505" i="3"/>
  <c r="O508" i="3" s="1"/>
  <c r="O508" i="4"/>
  <c r="P518" i="3"/>
  <c r="O504" i="2"/>
  <c r="L519" i="4"/>
  <c r="M516" i="4"/>
  <c r="M519" i="4" s="1"/>
  <c r="O505" i="4"/>
  <c r="P502" i="4"/>
  <c r="P510" i="4"/>
  <c r="L517" i="3"/>
  <c r="P517" i="3" s="1"/>
  <c r="S525" i="3" s="1"/>
  <c r="S526" i="3" s="1"/>
  <c r="P514" i="3"/>
  <c r="P510" i="2"/>
  <c r="L513" i="2"/>
  <c r="P520" i="4"/>
  <c r="P517" i="4"/>
  <c r="L514" i="2"/>
  <c r="P514" i="2" s="1"/>
  <c r="P511" i="2"/>
  <c r="P513" i="2" l="1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<sst xmlns="http://schemas.openxmlformats.org/spreadsheetml/2006/main" count="4407" uniqueCount="1019">
  <si>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</si>
  <si>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</si>
  <si>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</si>
  <si>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</si>
  <si>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</si>
  <si>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</si>
  <si>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</si>
  <si>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</si>
  <si>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</si>
  <si>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</si>
  <si>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</si>
  <si>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</si>
  <si>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</si>
  <si>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</si>
  <si>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</si>
  <si>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</si>
  <si>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</si>
  <si>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</si>
  <si>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</si>
  <si>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</si>
  <si>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</si>
  <si>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</si>
  <si>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</si>
  <si>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</si>
  <si>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</si>
  <si>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</si>
  <si>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</si>
  <si>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</si>
  <si>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</si>
  <si>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</si>
  <si>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</si>
  <si>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</si>
  <si>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</si>
  <si>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</si>
  <si>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</si>
  <si>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</si>
  <si>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</si>
  <si>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</si>
  <si>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</si>
  <si>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</si>
  <si>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</si>
  <si>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</si>
  <si>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</si>
  <si>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</si>
  <si>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</si>
  <si>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</si>
  <si>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</si>
  <si>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</si>
  <si>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</si>
  <si>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</si>
  <si>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</si>
  <si>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</si>
  <si>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</si>
  <si>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</si>
  <si>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</si>
  <si>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</si>
  <si>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</si>
  <si>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</si>
  <si>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</si>
  <si>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</si>
  <si>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</si>
  <si>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</si>
  <si>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</si>
  <si>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</si>
  <si>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</si>
  <si>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</si>
  <si>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</si>
  <si>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</si>
  <si>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</si>
  <si>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</si>
  <si>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</si>
  <si>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</si>
  <si>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</si>
  <si>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</si>
  <si>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</si>
  <si>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</si>
  <si>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</si>
  <si>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</si>
  <si>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</si>
  <si>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</si>
  <si>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</si>
  <si>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</si>
  <si>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</si>
  <si>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</si>
  <si>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</si>
  <si>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</si>
  <si>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</si>
  <si>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</si>
  <si>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</si>
  <si>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</si>
  <si>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</si>
  <si>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</si>
  <si>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</si>
  <si>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</si>
  <si>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</si>
  <si>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</si>
  <si>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</si>
  <si>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</si>
  <si>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</si>
  <si>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</si>
  <si>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</si>
  <si>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</si>
  <si>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</si>
  <si>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</si>
  <si>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</si>
  <si>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</si>
  <si>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</si>
  <si>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</si>
  <si>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</si>
  <si>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</si>
  <si>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</si>
  <si>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</si>
  <si>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</si>
  <si>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</si>
  <si>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</si>
  <si>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</si>
  <si>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</si>
  <si>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</si>
  <si>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</si>
  <si>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</si>
  <si>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</si>
  <si>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</si>
  <si>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</si>
  <si>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</si>
  <si>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</si>
  <si>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</si>
  <si>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</si>
  <si>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</si>
  <si>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</si>
  <si>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</si>
  <si>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</si>
  <si>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</si>
  <si>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</si>
  <si>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</si>
  <si>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</si>
  <si>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</si>
  <si>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</si>
  <si>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</si>
  <si>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</si>
  <si>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</si>
  <si>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</si>
  <si>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</si>
  <si>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</si>
  <si>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</si>
  <si>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</si>
  <si>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</si>
  <si>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</si>
  <si>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</si>
  <si>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</si>
  <si>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</si>
  <si>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</si>
  <si>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</si>
  <si>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</si>
  <si>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</si>
  <si>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</si>
  <si>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</si>
  <si>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</si>
  <si>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</si>
  <si>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</si>
  <si>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</si>
  <si>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</si>
  <si>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</si>
  <si>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</si>
  <si>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</si>
  <si>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</si>
  <si>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</si>
  <si>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</si>
  <si>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</si>
  <si>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</si>
  <si>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</si>
  <si>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</si>
  <si>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</si>
  <si>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</si>
  <si>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</si>
  <si>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</si>
  <si>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</si>
  <si>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</si>
  <si>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</si>
  <si>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</si>
  <si>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</si>
  <si>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</si>
  <si>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</si>
  <si>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</si>
  <si>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</si>
  <si>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</si>
  <si>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</si>
  <si>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</si>
  <si>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</si>
  <si>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</si>
  <si>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</si>
  <si>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</si>
  <si>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</si>
  <si>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</si>
  <si>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</si>
  <si>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</si>
  <si>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</si>
  <si>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</si>
  <si>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</si>
  <si>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</si>
  <si>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</si>
  <si>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</si>
  <si>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</si>
  <si>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</si>
  <si>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</si>
  <si>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</si>
  <si>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</si>
  <si>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</si>
  <si>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</si>
  <si>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</si>
  <si>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</si>
  <si>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</si>
  <si>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</si>
  <si>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</si>
  <si>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</si>
  <si>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</si>
  <si>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</si>
  <si>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</si>
  <si>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</si>
  <si>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</si>
  <si>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</si>
  <si>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</si>
  <si>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</si>
  <si>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</si>
  <si>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</si>
  <si>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</si>
  <si>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</si>
  <si>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</si>
  <si>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</si>
  <si>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</si>
  <si>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</si>
  <si>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</si>
  <si>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</si>
  <si>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</si>
  <si>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</si>
  <si>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</si>
  <si>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</si>
  <si>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</si>
  <si>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</si>
  <si>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</si>
  <si>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</si>
  <si>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</si>
  <si>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</si>
  <si>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</si>
  <si>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</si>
  <si>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</si>
  <si>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</si>
  <si>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</si>
  <si>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</si>
  <si>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</si>
  <si>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</si>
  <si>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</si>
  <si>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</si>
  <si>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</si>
  <si>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</si>
  <si>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</si>
  <si>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</si>
  <si>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</si>
  <si>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</si>
  <si>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</si>
  <si>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</si>
  <si>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</si>
  <si>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</si>
  <si>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</si>
  <si>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</si>
  <si>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</si>
  <si>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</si>
  <si>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</si>
  <si>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</si>
  <si>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</si>
  <si>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</si>
  <si>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</si>
  <si>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</si>
  <si>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</si>
  <si>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</si>
  <si>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</si>
  <si>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</si>
  <si>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</si>
  <si>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</si>
  <si>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</si>
  <si>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</si>
  <si>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</si>
  <si>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</si>
  <si>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</si>
  <si>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</si>
  <si>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</si>
  <si>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</si>
  <si>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</si>
  <si>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</si>
  <si>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</si>
  <si>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</si>
  <si>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</si>
  <si>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</si>
  <si>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</si>
  <si>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</si>
  <si>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</si>
  <si>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</si>
  <si>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</si>
  <si>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</si>
  <si>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</si>
  <si>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</si>
  <si>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</si>
  <si>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</si>
  <si>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</si>
  <si>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</si>
  <si>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</si>
  <si>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</si>
  <si>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</si>
  <si>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</si>
  <si>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</si>
  <si>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</si>
  <si>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</si>
  <si>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</si>
  <si>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</si>
  <si>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</si>
  <si>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</si>
  <si>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</si>
  <si>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</si>
  <si>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</si>
  <si>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</si>
  <si>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</si>
  <si>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</si>
  <si>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</si>
  <si>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</si>
  <si>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</si>
  <si>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</si>
  <si>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</si>
  <si>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</si>
  <si>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</si>
  <si>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</si>
  <si>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</si>
  <si>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</si>
  <si>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</si>
  <si>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</si>
  <si>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</si>
  <si>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</si>
  <si>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</si>
  <si>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</si>
  <si>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</si>
  <si>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</si>
  <si>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</si>
  <si>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</si>
  <si>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</si>
  <si>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</si>
  <si>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</si>
  <si>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</si>
  <si>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</si>
  <si>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</si>
  <si>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</si>
  <si>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</si>
  <si>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</si>
  <si>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</si>
  <si>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</si>
  <si>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</si>
  <si>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</si>
  <si>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</si>
  <si>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</si>
  <si>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</si>
  <si>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</si>
  <si>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</si>
  <si>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</si>
  <si>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</si>
  <si>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</si>
  <si>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</si>
  <si>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</si>
  <si>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</si>
  <si>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</si>
  <si>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</si>
  <si>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</si>
  <si>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</si>
  <si>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</si>
  <si>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</si>
  <si>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</si>
  <si>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</si>
  <si>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</si>
  <si>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</si>
  <si>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</si>
  <si>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</si>
  <si>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</si>
  <si>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</si>
  <si>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</si>
  <si>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</si>
  <si>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</si>
  <si>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</si>
  <si>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</si>
  <si>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</si>
  <si>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</si>
  <si>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</si>
  <si>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</si>
  <si>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</si>
  <si>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</si>
  <si>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</si>
  <si>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</si>
  <si>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</si>
  <si>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</si>
  <si>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</si>
  <si>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</si>
  <si>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</si>
  <si>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</si>
  <si>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</si>
  <si>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</si>
  <si>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</si>
  <si>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</si>
  <si>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</si>
  <si>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</si>
  <si>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</si>
  <si>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</si>
  <si>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</si>
  <si>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</si>
  <si>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</si>
  <si>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</si>
  <si>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</si>
  <si>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</si>
  <si>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</si>
  <si>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</si>
  <si>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</si>
  <si>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</si>
  <si>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</si>
  <si>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</si>
  <si>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</si>
  <si>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</si>
  <si>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</si>
  <si>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</si>
  <si>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</si>
  <si>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</si>
  <si>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</si>
  <si>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</si>
  <si>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</si>
  <si>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</si>
  <si>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</si>
  <si>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</si>
  <si>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</si>
  <si>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</si>
  <si>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</si>
  <si>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</si>
  <si>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</si>
  <si>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</si>
  <si>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</si>
  <si>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</si>
  <si>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</si>
  <si>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</si>
  <si>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</si>
  <si>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</si>
  <si>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</si>
  <si>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</si>
  <si>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</si>
  <si>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</si>
  <si>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</si>
  <si>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</si>
  <si>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</si>
  <si>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</si>
  <si>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</si>
  <si>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</si>
  <si>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</si>
  <si>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</si>
  <si>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</si>
  <si>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</si>
  <si>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</si>
  <si>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</si>
  <si>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</si>
  <si>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</si>
  <si>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</si>
  <si>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</si>
  <si>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</si>
  <si>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</si>
  <si>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</si>
  <si>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</si>
  <si>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</si>
  <si>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</si>
  <si>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</si>
  <si>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</si>
  <si>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</si>
  <si>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</si>
  <si>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</si>
  <si>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</si>
  <si>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</si>
  <si>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</si>
  <si>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</si>
  <si>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</si>
  <si>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</si>
  <si>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</si>
  <si>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</si>
  <si>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</si>
  <si>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</si>
  <si>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</si>
  <si>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</si>
  <si>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</si>
  <si>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</si>
  <si>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</si>
  <si>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</si>
  <si>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</si>
  <si>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</si>
  <si>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</si>
  <si>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</si>
  <si>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</si>
  <si>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</si>
  <si>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</si>
  <si>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</si>
  <si>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</si>
  <si>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</si>
  <si>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</si>
  <si>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</si>
  <si>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</si>
  <si>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</si>
  <si>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</si>
  <si>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</si>
  <si>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</si>
  <si>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</si>
  <si>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</si>
  <si>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</si>
  <si>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</si>
  <si>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</si>
  <si>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</si>
  <si>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</si>
  <si>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</si>
  <si>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</si>
  <si>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</si>
  <si>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</si>
  <si>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</si>
  <si>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</si>
  <si>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</si>
  <si>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</si>
  <si>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</si>
  <si>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</si>
  <si>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</si>
  <si>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</si>
  <si>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</si>
  <si>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</si>
  <si>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</si>
  <si>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</si>
  <si>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</si>
  <si>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</si>
  <si>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</si>
  <si>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</si>
  <si>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</si>
  <si>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</si>
  <si>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</si>
  <si>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</si>
  <si>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</si>
  <si>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</si>
  <si>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</si>
  <si>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</si>
  <si>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</si>
  <si>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</si>
  <si>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</si>
  <si>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</si>
  <si>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</si>
  <si>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</si>
  <si>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</si>
  <si>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</si>
  <si>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</si>
  <si>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</si>
  <si>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</si>
  <si>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</si>
  <si>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</si>
  <si>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</si>
  <si>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</si>
  <si>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</si>
  <si>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</si>
  <si>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</si>
  <si>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</si>
  <si>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</si>
  <si>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</si>
  <si>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</si>
  <si>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</si>
  <si>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</si>
  <si>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</si>
  <si>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</si>
  <si>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</si>
  <si>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</si>
  <si>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</si>
  <si>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</si>
  <si>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</si>
  <si>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</si>
  <si>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</si>
  <si>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</si>
  <si>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</si>
  <si>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</si>
  <si>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</si>
  <si>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</si>
  <si>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</si>
  <si>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</si>
  <si>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</si>
  <si>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</si>
  <si>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</si>
  <si>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</si>
  <si>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</si>
  <si>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</si>
  <si>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</si>
  <si>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</si>
  <si>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</si>
  <si>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</si>
  <si>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</si>
  <si>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</si>
  <si>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</si>
  <si>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</si>
  <si>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</si>
  <si>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</si>
  <si>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</si>
  <si>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</si>
  <si>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</si>
  <si>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</si>
  <si>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</si>
  <si>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</si>
  <si>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</si>
  <si>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</si>
  <si>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</si>
  <si>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</si>
  <si>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</si>
  <si>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</si>
  <si>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</si>
  <si>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</si>
  <si>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</si>
  <si>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</si>
  <si>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</si>
  <si>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</si>
  <si>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</si>
  <si>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</si>
  <si>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</si>
  <si>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</si>
  <si>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</si>
  <si>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</si>
  <si>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</si>
  <si>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</si>
  <si>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</si>
  <si>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</si>
  <si>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</si>
  <si>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</si>
  <si>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</si>
  <si>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</si>
  <si>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</si>
  <si>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</si>
  <si>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</si>
  <si>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</si>
  <si>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</si>
  <si>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</si>
  <si>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</si>
  <si>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</si>
  <si>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</si>
  <si>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</si>
  <si>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</si>
  <si>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</si>
  <si>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</si>
  <si>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</si>
  <si>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</si>
  <si>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</si>
  <si>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</si>
  <si>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</si>
  <si>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</si>
  <si>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</si>
  <si>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</si>
  <si>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</si>
  <si>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</si>
  <si>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</si>
  <si>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</si>
  <si>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</si>
  <si>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</si>
  <si>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</si>
  <si>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</si>
  <si>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</si>
  <si>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</si>
  <si>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</si>
  <si>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</si>
  <si>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</si>
  <si>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</si>
  <si>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</si>
  <si>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</si>
  <si>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</si>
  <si>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</si>
  <si>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</si>
  <si>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</si>
  <si>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</si>
  <si>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</si>
  <si>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</si>
  <si>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</si>
  <si>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</si>
  <si>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</si>
  <si>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</si>
  <si>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</si>
  <si>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</si>
  <si>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</si>
  <si>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</si>
  <si>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</si>
  <si>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</si>
  <si>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</si>
  <si>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</si>
  <si>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</si>
  <si>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</si>
  <si>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</si>
  <si>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</si>
  <si>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</si>
  <si>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</si>
  <si>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</si>
  <si>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</si>
  <si>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</si>
  <si>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</si>
  <si>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</si>
  <si>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</si>
  <si>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</si>
  <si>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</si>
  <si>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</si>
  <si>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</si>
  <si>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</si>
  <si>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</si>
  <si>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</si>
  <si>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</si>
  <si>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</si>
  <si>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</si>
  <si>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</si>
  <si>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</si>
  <si>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</si>
  <si>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</si>
  <si>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</si>
  <si>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</si>
  <si>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</si>
  <si>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</si>
  <si>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</si>
  <si>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</si>
  <si>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</si>
  <si>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</si>
  <si>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</si>
  <si>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</si>
  <si>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</si>
  <si>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</si>
  <si>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</si>
  <si>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</si>
  <si>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</si>
  <si>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</si>
  <si>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</si>
  <si>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</si>
  <si>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</si>
  <si>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</si>
  <si>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</si>
  <si>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</si>
  <si>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</si>
  <si>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</si>
  <si>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</si>
  <si>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</si>
  <si>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</si>
  <si>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</si>
  <si>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</si>
  <si>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</si>
  <si>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</si>
  <si>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</si>
  <si>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</si>
  <si>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</si>
  <si>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</si>
  <si>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</si>
  <si>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</si>
  <si>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</si>
  <si>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</si>
  <si>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</si>
  <si>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</si>
  <si>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</si>
  <si>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</si>
  <si>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</si>
  <si>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</si>
  <si>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</si>
  <si>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</si>
  <si>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</si>
  <si>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</si>
  <si>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</si>
  <si>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</si>
  <si>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</si>
  <si>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</si>
  <si>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</si>
  <si>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</si>
  <si>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</si>
  <si>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</si>
  <si>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</si>
  <si>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</si>
  <si>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</si>
  <si>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</si>
  <si>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</si>
  <si>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</si>
  <si>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</si>
  <si>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</si>
  <si>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</si>
  <si>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</si>
  <si>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</si>
  <si>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</si>
  <si>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</si>
  <si>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</si>
  <si>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</si>
  <si>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</si>
  <si>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</si>
  <si>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</si>
  <si>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</si>
  <si>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</si>
  <si>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</si>
  <si>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</si>
  <si>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</si>
  <si>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</si>
  <si>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</si>
  <si>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</si>
  <si>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</si>
  <si>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</si>
  <si>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</si>
  <si>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</si>
  <si>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</si>
  <si>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</si>
  <si>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</si>
  <si>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</si>
  <si>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</si>
  <si>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</si>
  <si>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</si>
  <si>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</si>
  <si>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</si>
  <si>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</si>
  <si>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</si>
  <si>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</si>
  <si>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</si>
  <si>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</si>
  <si>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</si>
  <si>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</si>
  <si>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</si>
  <si>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</si>
  <si>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</si>
  <si>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</si>
  <si>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</si>
  <si>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</si>
  <si>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</si>
  <si>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</si>
  <si>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</si>
  <si>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</si>
  <si>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</si>
  <si>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</si>
  <si>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</si>
  <si>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</si>
  <si>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</si>
  <si>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</si>
  <si>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</si>
  <si>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</si>
  <si>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</si>
  <si>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</si>
  <si>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</si>
  <si>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</si>
  <si>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</si>
  <si>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</si>
  <si>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</si>
  <si>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</si>
  <si>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</si>
  <si>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</si>
  <si>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</si>
  <si>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</si>
  <si>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</si>
  <si>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</si>
  <si>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</si>
  <si>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</si>
  <si>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</si>
  <si>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</si>
  <si>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</si>
  <si>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</si>
  <si>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</si>
  <si>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</si>
  <si>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</si>
  <si>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</si>
  <si>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</si>
  <si>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</si>
  <si>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</si>
  <si>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</si>
  <si>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</si>
  <si>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</si>
  <si>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</si>
  <si>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</si>
  <si>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</si>
  <si>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</si>
  <si>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</si>
  <si>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</si>
  <si>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</si>
  <si>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</si>
  <si>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</si>
  <si>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</si>
  <si>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</si>
  <si>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</si>
  <si>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</si>
  <si>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</si>
  <si>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</si>
  <si>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</si>
  <si>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</si>
  <si>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</si>
  <si>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</si>
  <si>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</si>
  <si>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</si>
  <si>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</si>
  <si>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</si>
  <si>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</si>
  <si>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</si>
  <si>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</si>
  <si>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</si>
  <si>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</si>
  <si>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</si>
  <si>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</si>
  <si>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</si>
  <si>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</si>
  <si>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</si>
  <si>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</si>
  <si>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</si>
  <si>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</si>
  <si>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</si>
  <si>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</si>
  <si>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</si>
  <si>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</si>
  <si>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</si>
  <si>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</si>
  <si>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</si>
  <si>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</si>
  <si>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</si>
  <si>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</si>
  <si>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</si>
  <si>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</si>
  <si>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</si>
  <si>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</si>
  <si>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</si>
  <si>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</si>
  <si>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</si>
  <si>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</si>
  <si>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</si>
  <si>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</si>
  <si>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</si>
  <si>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</si>
  <si>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</si>
  <si>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</si>
  <si>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</si>
  <si>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</si>
  <si>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</si>
  <si>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</si>
  <si>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</si>
  <si>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</si>
  <si>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</si>
  <si>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</si>
  <si>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</si>
  <si>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</si>
  <si>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</si>
  <si>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</si>
  <si>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</si>
  <si>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</si>
  <si>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</si>
  <si>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</si>
  <si>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</si>
  <si>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</si>
  <si>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</si>
  <si>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</si>
  <si>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</si>
  <si>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</si>
  <si>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</si>
  <si>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</si>
  <si>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</si>
  <si>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</si>
  <si>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</si>
  <si>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</si>
  <si>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</si>
  <si>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</si>
  <si>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</si>
  <si>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</si>
  <si>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</si>
  <si>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</si>
  <si>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</si>
  <si>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</si>
  <si>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</si>
  <si>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</si>
  <si>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</si>
  <si>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</si>
  <si>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</si>
  <si>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</si>
  <si>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</si>
  <si>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</si>
  <si>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</si>
  <si>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</si>
  <si>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</si>
  <si>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</si>
  <si>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</si>
  <si>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</si>
  <si>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</si>
  <si>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</si>
  <si>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</si>
  <si>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</si>
  <si>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</si>
  <si>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</si>
  <si>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</si>
  <si>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</si>
  <si>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</si>
  <si>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</si>
  <si>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</si>
  <si>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</si>
  <si>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</si>
  <si>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</si>
  <si>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</si>
  <si>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</si>
  <si>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</si>
  <si>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</si>
  <si>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</si>
  <si>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</si>
  <si>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</si>
  <si>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</si>
  <si>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</si>
  <si>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</si>
  <si>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</si>
  <si>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</si>
  <si>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</si>
  <si>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</si>
  <si>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</si>
  <si>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</si>
  <si>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</si>
  <si>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</si>
  <si>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 xml:space="preserve"> -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</si>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</sst>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6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7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29" fillId="9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82" fillId="17" borderId="3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95" fillId="19" borderId="3" xfId="5" applyFont="1" applyBorder="1" applyAlignment="1">
      <alignment horizontal="center" vertical="center"/>
    </xf>
    <xf numFmtId="0" fontId="95" fillId="19" borderId="7" xfId="5" applyFont="1" applyBorder="1" applyAlignment="1">
      <alignment horizontal="center" vertical="center"/>
    </xf>
    <xf numFmtId="0" fontId="95" fillId="19" borderId="25" xfId="5" applyFont="1" applyBorder="1" applyAlignment="1">
      <alignment horizontal="center" vertical="center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506">
        <v>2102700</v>
      </c>
      <c r="L7" s="507">
        <f t="shared" ref="L7:M11" si="1">D7*19200</f>
        <v>0</v>
      </c>
      <c r="M7" s="508">
        <f t="shared" si="1"/>
        <v>460800</v>
      </c>
      <c r="N7" s="509"/>
      <c r="O7" s="509">
        <f>F7*21040</f>
        <v>21040</v>
      </c>
      <c r="P7" s="509"/>
      <c r="Q7" s="510"/>
      <c r="R7" s="496">
        <f t="shared" ref="R7:R23" si="2">SUM(K7:Q7)</f>
        <v>2584540</v>
      </c>
      <c r="S7" s="496">
        <f>(C7+D7+E7+F7+I7+H7+G7)*8655</f>
        <v>908775</v>
      </c>
    </row>
    <row r="8" spans="1:19">
      <c r="A8" s="20" t="s">
        <v>33</v>
      </c>
      <c r="B8" s="478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506">
        <f>C8*26300</f>
        <v>184100</v>
      </c>
      <c r="L8" s="507">
        <f t="shared" si="1"/>
        <v>0</v>
      </c>
      <c r="M8" s="508">
        <f t="shared" si="1"/>
        <v>0</v>
      </c>
      <c r="N8" s="509"/>
      <c r="O8" s="509">
        <f>F8*20000</f>
        <v>0</v>
      </c>
      <c r="P8" s="509"/>
      <c r="Q8" s="510"/>
      <c r="R8" s="496">
        <f t="shared" si="2"/>
        <v>184100</v>
      </c>
      <c r="S8" s="496">
        <f>(C8+D8+E8+F8+I8+H8+G8)*8926</f>
        <v>62482</v>
      </c>
    </row>
    <row r="9" spans="1:19">
      <c r="A9" s="20" t="s">
        <v>35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>C9*26300</f>
        <v>131500</v>
      </c>
      <c r="L9" s="507">
        <f t="shared" si="1"/>
        <v>0</v>
      </c>
      <c r="M9" s="508">
        <f t="shared" si="1"/>
        <v>0</v>
      </c>
      <c r="N9" s="509"/>
      <c r="O9" s="509">
        <f>F9*20000</f>
        <v>0</v>
      </c>
      <c r="P9" s="509"/>
      <c r="Q9" s="510"/>
      <c r="R9" s="496">
        <f t="shared" si="2"/>
        <v>131500</v>
      </c>
      <c r="S9" s="496">
        <f>(C9+D9+E9+F9+I9+H9+G9)*8926</f>
        <v>44630</v>
      </c>
    </row>
    <row r="10" spans="1:19">
      <c r="A10" s="20" t="s">
        <v>37</v>
      </c>
      <c r="B10" s="478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506">
        <f>C10*26300</f>
        <v>52600</v>
      </c>
      <c r="L10" s="507">
        <f t="shared" si="1"/>
        <v>0</v>
      </c>
      <c r="M10" s="508">
        <f t="shared" si="1"/>
        <v>0</v>
      </c>
      <c r="N10" s="509"/>
      <c r="O10" s="509">
        <f>F10*20000</f>
        <v>0</v>
      </c>
      <c r="P10" s="509"/>
      <c r="Q10" s="510"/>
      <c r="R10" s="496">
        <f t="shared" si="2"/>
        <v>52600</v>
      </c>
      <c r="S10" s="496">
        <f>(C10+D10+E10+F10+I10+H10+G10)*8926</f>
        <v>17852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>C11*26300</f>
        <v>0</v>
      </c>
      <c r="L11" s="507">
        <f t="shared" si="1"/>
        <v>0</v>
      </c>
      <c r="M11" s="508">
        <f t="shared" si="1"/>
        <v>0</v>
      </c>
      <c r="N11" s="509"/>
      <c r="O11" s="509">
        <f>F11*20000</f>
        <v>0</v>
      </c>
      <c r="P11" s="509"/>
      <c r="Q11" s="510"/>
      <c r="R11" s="496">
        <f t="shared" si="2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506">
        <f>C12*26300</f>
        <v>315600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2"/>
        <v>315600</v>
      </c>
      <c r="S12" s="496">
        <f>(C12+D12+E12+F12+I12+H12+G12)*8926</f>
        <v>107112</v>
      </c>
    </row>
    <row r="13" spans="1:19" ht="16.5" customHeight="1">
      <c r="A13" s="20" t="s">
        <v>42</v>
      </c>
      <c r="B13" s="687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2"/>
        <v>0</v>
      </c>
      <c r="S13" s="496">
        <f>(C13+D13+E13+F13+I13+H13+G13)*14876</f>
        <v>0</v>
      </c>
    </row>
    <row r="14" spans="1:19">
      <c r="A14" s="20" t="s">
        <v>44</v>
      </c>
      <c r="B14" s="688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11">
        <f>C14*35500</f>
        <v>71000</v>
      </c>
      <c r="L14" s="507"/>
      <c r="M14" s="508">
        <f>E14*33600</f>
        <v>0</v>
      </c>
      <c r="N14" s="509"/>
      <c r="O14" s="509"/>
      <c r="P14" s="509">
        <f>H14*32000</f>
        <v>0</v>
      </c>
      <c r="Q14" s="510"/>
      <c r="R14" s="496">
        <f t="shared" si="2"/>
        <v>71000</v>
      </c>
      <c r="S14" s="496">
        <f>(C14+D14+E14+F14+I14+H14+G14)*14065</f>
        <v>28130</v>
      </c>
    </row>
    <row r="15" spans="1:19">
      <c r="A15" s="20" t="s">
        <v>45</v>
      </c>
      <c r="B15" s="688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11">
        <f>C15*35500</f>
        <v>35500</v>
      </c>
      <c r="L15" s="507"/>
      <c r="M15" s="508">
        <f>E15*33600</f>
        <v>0</v>
      </c>
      <c r="N15" s="509"/>
      <c r="O15" s="509"/>
      <c r="P15" s="509">
        <f>H15*32000</f>
        <v>0</v>
      </c>
      <c r="Q15" s="510"/>
      <c r="R15" s="496">
        <f t="shared" si="2"/>
        <v>35500</v>
      </c>
      <c r="S15" s="496">
        <f>(C15+D15+E15+F15+I15+H15+G15)*14876</f>
        <v>14876</v>
      </c>
    </row>
    <row r="16" spans="1:19">
      <c r="A16" s="20" t="s">
        <v>46</v>
      </c>
      <c r="B16" s="688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11">
        <f>C16*40000</f>
        <v>120000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2"/>
        <v>120000</v>
      </c>
      <c r="S16" s="496">
        <f>(C16+D16+E16+F16+I16+H16+G16)*15958</f>
        <v>47874</v>
      </c>
    </row>
    <row r="17" spans="1:19">
      <c r="A17" s="20" t="s">
        <v>47</v>
      </c>
      <c r="B17" s="688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11">
        <f>C17*30000</f>
        <v>900000</v>
      </c>
      <c r="L17" s="507"/>
      <c r="M17" s="508">
        <f>E17*20000</f>
        <v>720000</v>
      </c>
      <c r="N17" s="509">
        <f>F17*20000</f>
        <v>0</v>
      </c>
      <c r="O17" s="509"/>
      <c r="P17" s="509"/>
      <c r="Q17" s="510"/>
      <c r="R17" s="496">
        <f t="shared" si="2"/>
        <v>1620000</v>
      </c>
      <c r="S17" s="496">
        <f>(C17+D17+E17+F17+I17+H17+G17)*13262</f>
        <v>875292</v>
      </c>
    </row>
    <row r="18" spans="1:19">
      <c r="A18" s="20" t="s">
        <v>48</v>
      </c>
      <c r="B18" s="688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11">
        <f>C18*190000</f>
        <v>760000</v>
      </c>
      <c r="L18" s="507"/>
      <c r="M18" s="508">
        <f>E18*154000</f>
        <v>308000</v>
      </c>
      <c r="N18" s="509"/>
      <c r="O18" s="509"/>
      <c r="P18" s="509"/>
      <c r="Q18" s="510"/>
      <c r="R18" s="496">
        <f t="shared" si="2"/>
        <v>1068000</v>
      </c>
      <c r="S18" s="496">
        <f>(C18+D18+E18+F18+I18+H18+G18)*89709</f>
        <v>538254</v>
      </c>
    </row>
    <row r="19" spans="1:19">
      <c r="A19" s="20" t="s">
        <v>49</v>
      </c>
      <c r="B19" s="688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/>
      <c r="Q19" s="510"/>
      <c r="R19" s="496">
        <f t="shared" si="2"/>
        <v>344000</v>
      </c>
      <c r="S19" s="496">
        <f>(C19+D19+E19+F19+I19+H19+G19)*85201</f>
        <v>170402</v>
      </c>
    </row>
    <row r="20" spans="1:19">
      <c r="A20" s="20" t="s">
        <v>50</v>
      </c>
      <c r="B20" s="688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11">
        <v>750000</v>
      </c>
      <c r="L20" s="507"/>
      <c r="M20" s="508">
        <f>E20*154000</f>
        <v>0</v>
      </c>
      <c r="N20" s="509"/>
      <c r="O20" s="509"/>
      <c r="P20" s="509"/>
      <c r="Q20" s="510"/>
      <c r="R20" s="496">
        <f t="shared" si="2"/>
        <v>750000</v>
      </c>
      <c r="S20" s="496">
        <f>(C20+D20+E20+F20+I20+H20+G20)*89709</f>
        <v>358836</v>
      </c>
    </row>
    <row r="21" spans="1:19">
      <c r="A21" s="20" t="s">
        <v>51</v>
      </c>
      <c r="B21" s="683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11">
        <f>C21*206000</f>
        <v>824000</v>
      </c>
      <c r="L21" s="507"/>
      <c r="M21" s="508">
        <f>E21*171000</f>
        <v>342000</v>
      </c>
      <c r="N21" s="509"/>
      <c r="O21" s="509"/>
      <c r="P21" s="509"/>
      <c r="Q21" s="510"/>
      <c r="R21" s="496">
        <f t="shared" si="2"/>
        <v>1166000</v>
      </c>
      <c r="S21" s="496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2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2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13">
        <f t="shared" si="3"/>
        <v>6437000</v>
      </c>
      <c r="L24" s="514">
        <f t="shared" si="3"/>
        <v>0</v>
      </c>
      <c r="M24" s="515">
        <f t="shared" si="3"/>
        <v>1984800</v>
      </c>
      <c r="N24" s="516">
        <f t="shared" si="3"/>
        <v>0</v>
      </c>
      <c r="O24" s="516">
        <f t="shared" si="3"/>
        <v>21040</v>
      </c>
      <c r="P24" s="516">
        <f t="shared" si="3"/>
        <v>0</v>
      </c>
      <c r="Q24" s="516">
        <f t="shared" si="3"/>
        <v>0</v>
      </c>
      <c r="R24" s="517">
        <f t="shared" si="3"/>
        <v>8442840</v>
      </c>
      <c r="S24" s="518">
        <f t="shared" si="3"/>
        <v>3753341</v>
      </c>
    </row>
    <row r="25" spans="1:19" s="16" customFormat="1">
      <c r="A25" s="75" t="s">
        <v>55</v>
      </c>
      <c r="B25" s="682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5">SUM(K25:Q25)</f>
        <v>17980</v>
      </c>
      <c r="S25" s="522">
        <f>(C25+D25+E25+F25+I25+G25+H25)*4151</f>
        <v>12453</v>
      </c>
    </row>
    <row r="26" spans="1:19" s="16" customFormat="1">
      <c r="A26" s="75" t="s">
        <v>57</v>
      </c>
      <c r="B26" s="688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506">
        <f>C26*6200</f>
        <v>18600</v>
      </c>
      <c r="L26" s="519"/>
      <c r="M26" s="520"/>
      <c r="N26" s="509">
        <f>F26*5580</f>
        <v>11160</v>
      </c>
      <c r="O26" s="509">
        <f>G26*4340</f>
        <v>0</v>
      </c>
      <c r="P26" s="521"/>
      <c r="Q26" s="498"/>
      <c r="R26" s="496">
        <f t="shared" si="5"/>
        <v>29760</v>
      </c>
      <c r="S26" s="522">
        <f>(C26+D26+E26+F26+I26+G26+H26)*4050</f>
        <v>20250</v>
      </c>
    </row>
    <row r="27" spans="1:19" s="16" customFormat="1">
      <c r="A27" s="75" t="s">
        <v>58</v>
      </c>
      <c r="B27" s="688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506">
        <f>C27*6200</f>
        <v>12400</v>
      </c>
      <c r="L27" s="519"/>
      <c r="M27" s="520"/>
      <c r="N27" s="509">
        <f>F27*5580</f>
        <v>0</v>
      </c>
      <c r="O27" s="509">
        <f>G27*4340</f>
        <v>0</v>
      </c>
      <c r="P27" s="521"/>
      <c r="Q27" s="498"/>
      <c r="R27" s="496">
        <f t="shared" si="5"/>
        <v>12400</v>
      </c>
      <c r="S27" s="522">
        <f>(C27+D27+E27+F27+I27+G27+H27)*4151</f>
        <v>8302</v>
      </c>
    </row>
    <row r="28" spans="1:19" s="16" customFormat="1">
      <c r="A28" s="75" t="s">
        <v>59</v>
      </c>
      <c r="B28" s="683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506">
        <f>C28*6200</f>
        <v>24800</v>
      </c>
      <c r="L28" s="519"/>
      <c r="M28" s="520"/>
      <c r="N28" s="509">
        <f>F28*5580</f>
        <v>11160</v>
      </c>
      <c r="O28" s="509">
        <f>G28*4340</f>
        <v>8680</v>
      </c>
      <c r="P28" s="521"/>
      <c r="Q28" s="498"/>
      <c r="R28" s="496">
        <f t="shared" si="5"/>
        <v>44640</v>
      </c>
      <c r="S28" s="522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506">
        <f>C29*40000</f>
        <v>1280000</v>
      </c>
      <c r="L29" s="507">
        <f>D29*31000</f>
        <v>465000</v>
      </c>
      <c r="M29" s="508">
        <v>2259600</v>
      </c>
      <c r="N29" s="497">
        <v>24539500</v>
      </c>
      <c r="O29" s="509"/>
      <c r="P29" s="523">
        <f>H29*34000</f>
        <v>0</v>
      </c>
      <c r="Q29" s="523"/>
      <c r="R29" s="496">
        <f t="shared" si="5"/>
        <v>28544100</v>
      </c>
      <c r="S29" s="522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506">
        <v>943200</v>
      </c>
      <c r="L30" s="507">
        <f>D30*27800</f>
        <v>0</v>
      </c>
      <c r="M30" s="508">
        <v>3065000</v>
      </c>
      <c r="N30" s="497">
        <v>22738860</v>
      </c>
      <c r="O30" s="509"/>
      <c r="P30" s="523">
        <f t="shared" ref="P30:P41" si="6">H30*32130</f>
        <v>0</v>
      </c>
      <c r="Q30" s="523"/>
      <c r="R30" s="496">
        <f t="shared" si="5"/>
        <v>26747060</v>
      </c>
      <c r="S30" s="522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506">
        <v>829800</v>
      </c>
      <c r="L31" s="507">
        <f>D31*28000</f>
        <v>28000</v>
      </c>
      <c r="M31" s="508">
        <f>E31*27800</f>
        <v>2251800</v>
      </c>
      <c r="N31" s="497">
        <v>17706690</v>
      </c>
      <c r="O31" s="509"/>
      <c r="P31" s="523">
        <f t="shared" si="6"/>
        <v>0</v>
      </c>
      <c r="Q31" s="523"/>
      <c r="R31" s="496">
        <f t="shared" si="5"/>
        <v>20816290</v>
      </c>
      <c r="S31" s="522">
        <f>(C31+D31+E31+F31+I31+G31+H31)*15958</f>
        <v>10484406</v>
      </c>
    </row>
    <row r="32" spans="1:19">
      <c r="A32" s="20" t="s">
        <v>66</v>
      </c>
      <c r="B32" s="478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506">
        <f>C32*37800</f>
        <v>302400</v>
      </c>
      <c r="L32" s="507">
        <f>D32*27800</f>
        <v>0</v>
      </c>
      <c r="M32" s="508">
        <v>1390000</v>
      </c>
      <c r="N32" s="497">
        <v>4560930</v>
      </c>
      <c r="O32" s="509"/>
      <c r="P32" s="523">
        <f t="shared" si="6"/>
        <v>0</v>
      </c>
      <c r="Q32" s="523"/>
      <c r="R32" s="496">
        <f t="shared" si="5"/>
        <v>6253330</v>
      </c>
      <c r="S32" s="522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506">
        <f>C33*37800</f>
        <v>415800</v>
      </c>
      <c r="L33" s="507">
        <f>D33*28000</f>
        <v>112000</v>
      </c>
      <c r="M33" s="508">
        <f t="shared" ref="M33:M41" si="7">E33*27800</f>
        <v>1278800</v>
      </c>
      <c r="N33" s="497">
        <v>8092170</v>
      </c>
      <c r="O33" s="509">
        <f>G33*30240</f>
        <v>120960</v>
      </c>
      <c r="P33" s="523">
        <f t="shared" si="6"/>
        <v>0</v>
      </c>
      <c r="Q33" s="523"/>
      <c r="R33" s="496">
        <f t="shared" si="5"/>
        <v>10019730</v>
      </c>
      <c r="S33" s="522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506">
        <v>754200</v>
      </c>
      <c r="L34" s="507">
        <f t="shared" ref="L34:L41" si="9">D34*27800</f>
        <v>0</v>
      </c>
      <c r="M34" s="508">
        <f t="shared" si="7"/>
        <v>2168400</v>
      </c>
      <c r="N34" s="497">
        <v>10407060</v>
      </c>
      <c r="O34" s="509"/>
      <c r="P34" s="523">
        <f t="shared" si="6"/>
        <v>0</v>
      </c>
      <c r="Q34" s="523"/>
      <c r="R34" s="496">
        <f t="shared" si="5"/>
        <v>13329660</v>
      </c>
      <c r="S34" s="522">
        <f t="shared" si="8"/>
        <v>7038960</v>
      </c>
    </row>
    <row r="35" spans="1:19">
      <c r="A35" s="20" t="s">
        <v>72</v>
      </c>
      <c r="B35" s="478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506">
        <f t="shared" ref="K35:K41" si="10">C35*37800</f>
        <v>75600</v>
      </c>
      <c r="L35" s="507">
        <f t="shared" si="9"/>
        <v>0</v>
      </c>
      <c r="M35" s="508">
        <f t="shared" si="7"/>
        <v>83400</v>
      </c>
      <c r="N35" s="497">
        <f>F35*32130</f>
        <v>2441880</v>
      </c>
      <c r="O35" s="509"/>
      <c r="P35" s="523">
        <f t="shared" si="6"/>
        <v>0</v>
      </c>
      <c r="Q35" s="523"/>
      <c r="R35" s="496">
        <f t="shared" si="5"/>
        <v>2600880</v>
      </c>
      <c r="S35" s="522">
        <f t="shared" si="8"/>
        <v>1351080</v>
      </c>
    </row>
    <row r="36" spans="1:19">
      <c r="A36" s="20" t="s">
        <v>74</v>
      </c>
      <c r="B36" s="478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506">
        <f t="shared" si="10"/>
        <v>113400</v>
      </c>
      <c r="L36" s="507">
        <f t="shared" si="9"/>
        <v>0</v>
      </c>
      <c r="M36" s="508">
        <f t="shared" si="7"/>
        <v>417000</v>
      </c>
      <c r="N36" s="497">
        <f>F36*32130</f>
        <v>1542240</v>
      </c>
      <c r="O36" s="509"/>
      <c r="P36" s="523">
        <f t="shared" si="6"/>
        <v>0</v>
      </c>
      <c r="Q36" s="523"/>
      <c r="R36" s="496">
        <f t="shared" si="5"/>
        <v>2072640</v>
      </c>
      <c r="S36" s="522">
        <f t="shared" si="8"/>
        <v>1100880</v>
      </c>
    </row>
    <row r="37" spans="1:19">
      <c r="A37" s="20" t="s">
        <v>76</v>
      </c>
      <c r="B37" s="478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506">
        <f t="shared" si="10"/>
        <v>378000</v>
      </c>
      <c r="L37" s="507">
        <f t="shared" si="9"/>
        <v>0</v>
      </c>
      <c r="M37" s="508">
        <f t="shared" si="7"/>
        <v>1084200</v>
      </c>
      <c r="N37" s="497">
        <v>3901500</v>
      </c>
      <c r="O37" s="509"/>
      <c r="P37" s="523">
        <f t="shared" si="6"/>
        <v>0</v>
      </c>
      <c r="Q37" s="523"/>
      <c r="R37" s="496">
        <f t="shared" si="5"/>
        <v>5363700</v>
      </c>
      <c r="S37" s="522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506">
        <f t="shared" si="10"/>
        <v>0</v>
      </c>
      <c r="L38" s="507">
        <f t="shared" si="9"/>
        <v>0</v>
      </c>
      <c r="M38" s="508">
        <f t="shared" si="7"/>
        <v>111200</v>
      </c>
      <c r="N38" s="497">
        <f>F38*32130</f>
        <v>449820</v>
      </c>
      <c r="O38" s="509"/>
      <c r="P38" s="523">
        <f t="shared" si="6"/>
        <v>0</v>
      </c>
      <c r="Q38" s="523"/>
      <c r="R38" s="496">
        <f t="shared" si="5"/>
        <v>561020</v>
      </c>
      <c r="S38" s="522">
        <f t="shared" si="8"/>
        <v>300240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506">
        <f t="shared" si="10"/>
        <v>0</v>
      </c>
      <c r="L39" s="507">
        <f t="shared" si="9"/>
        <v>0</v>
      </c>
      <c r="M39" s="508">
        <f t="shared" si="7"/>
        <v>0</v>
      </c>
      <c r="N39" s="497">
        <f>F39*32130</f>
        <v>0</v>
      </c>
      <c r="O39" s="509"/>
      <c r="P39" s="523">
        <f t="shared" si="6"/>
        <v>0</v>
      </c>
      <c r="Q39" s="523"/>
      <c r="R39" s="496">
        <f t="shared" si="5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506">
        <f t="shared" si="10"/>
        <v>75600</v>
      </c>
      <c r="L40" s="507">
        <f t="shared" si="9"/>
        <v>0</v>
      </c>
      <c r="M40" s="508">
        <f t="shared" si="7"/>
        <v>0</v>
      </c>
      <c r="N40" s="497">
        <v>2761650</v>
      </c>
      <c r="O40" s="509"/>
      <c r="P40" s="523">
        <f t="shared" si="6"/>
        <v>0</v>
      </c>
      <c r="Q40" s="523"/>
      <c r="R40" s="496">
        <f t="shared" si="5"/>
        <v>2837250</v>
      </c>
      <c r="S40" s="522">
        <f>(C40+D40+E40+F40+I40+G40+H40)*15688</f>
        <v>1380544</v>
      </c>
    </row>
    <row r="41" spans="1:19">
      <c r="A41" s="20" t="s">
        <v>84</v>
      </c>
      <c r="B41" s="478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506">
        <f t="shared" si="10"/>
        <v>75600</v>
      </c>
      <c r="L41" s="507">
        <f t="shared" si="9"/>
        <v>0</v>
      </c>
      <c r="M41" s="508">
        <f t="shared" si="7"/>
        <v>166800</v>
      </c>
      <c r="N41" s="497">
        <f>F41*32130</f>
        <v>2313360</v>
      </c>
      <c r="O41" s="509"/>
      <c r="P41" s="523">
        <f t="shared" si="6"/>
        <v>0</v>
      </c>
      <c r="Q41" s="523"/>
      <c r="R41" s="496">
        <f t="shared" si="5"/>
        <v>2555760</v>
      </c>
      <c r="S41" s="522">
        <f>(C41+D41+E41+F41+I41+G41+H41)*15688</f>
        <v>1255040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13">
        <f t="shared" ref="K44:S44" si="12">SUM(K25:K43)</f>
        <v>5311800</v>
      </c>
      <c r="L44" s="514">
        <f t="shared" si="12"/>
        <v>605000</v>
      </c>
      <c r="M44" s="515">
        <f t="shared" si="12"/>
        <v>14276200</v>
      </c>
      <c r="N44" s="513">
        <f t="shared" si="12"/>
        <v>101483560</v>
      </c>
      <c r="O44" s="516">
        <f t="shared" si="12"/>
        <v>129640</v>
      </c>
      <c r="P44" s="516">
        <f t="shared" si="12"/>
        <v>0</v>
      </c>
      <c r="Q44" s="516">
        <f t="shared" si="12"/>
        <v>0</v>
      </c>
      <c r="R44" s="524">
        <f t="shared" si="12"/>
        <v>121806200</v>
      </c>
      <c r="S44" s="518">
        <f t="shared" si="12"/>
        <v>62901517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506">
        <f>C48*35700</f>
        <v>856800</v>
      </c>
      <c r="L48" s="526">
        <f t="shared" ref="L48:L59" si="14">D48*25400</f>
        <v>0</v>
      </c>
      <c r="M48" s="508">
        <f t="shared" ref="M48:M59" si="15">E48*25400</f>
        <v>1600200</v>
      </c>
      <c r="N48" s="497">
        <v>5034350</v>
      </c>
      <c r="P48" s="509">
        <f t="shared" ref="P48:P59" si="16">H48*29500</f>
        <v>0</v>
      </c>
      <c r="R48" s="496">
        <f t="shared" ref="R48:R59" si="17">SUM(K48:Q48)</f>
        <v>7491350</v>
      </c>
      <c r="S48" s="496">
        <f>(C48+D48+E48+F48+I48+H48+G48)*14155</f>
        <v>3651990</v>
      </c>
    </row>
    <row r="49" spans="1:19">
      <c r="A49" s="41" t="s">
        <v>96</v>
      </c>
      <c r="B49" s="476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506">
        <v>178500</v>
      </c>
      <c r="L49" s="526">
        <f t="shared" si="14"/>
        <v>0</v>
      </c>
      <c r="M49" s="508">
        <f t="shared" si="15"/>
        <v>736600</v>
      </c>
      <c r="N49" s="497">
        <f>F49*29500</f>
        <v>767000</v>
      </c>
      <c r="P49" s="509">
        <f t="shared" si="16"/>
        <v>0</v>
      </c>
      <c r="R49" s="496">
        <f t="shared" si="17"/>
        <v>1682100</v>
      </c>
      <c r="S49" s="496">
        <f>(C49+D49+E49+F49+I49+H49+G49)*14155</f>
        <v>849300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506">
        <f t="shared" ref="K50:K59" si="18">C50*34700</f>
        <v>104100</v>
      </c>
      <c r="L50" s="526">
        <f t="shared" si="14"/>
        <v>0</v>
      </c>
      <c r="M50" s="508">
        <f t="shared" si="15"/>
        <v>25400</v>
      </c>
      <c r="N50" s="497">
        <f>F50*29500</f>
        <v>442500</v>
      </c>
      <c r="P50" s="509">
        <f t="shared" si="16"/>
        <v>0</v>
      </c>
      <c r="R50" s="496">
        <f t="shared" si="17"/>
        <v>572000</v>
      </c>
      <c r="S50" s="496">
        <f t="shared" ref="S50:S55" si="19">(C50+D50+E50+F50+I50+H50+G50)*13975</f>
        <v>265525</v>
      </c>
    </row>
    <row r="51" spans="1:19">
      <c r="A51" s="41" t="s">
        <v>100</v>
      </c>
      <c r="B51" s="476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506">
        <f t="shared" si="18"/>
        <v>485800</v>
      </c>
      <c r="L51" s="526">
        <f t="shared" si="14"/>
        <v>0</v>
      </c>
      <c r="M51" s="508">
        <f t="shared" si="15"/>
        <v>177800</v>
      </c>
      <c r="N51" s="497">
        <v>2028250</v>
      </c>
      <c r="P51" s="509">
        <f t="shared" si="16"/>
        <v>0</v>
      </c>
      <c r="R51" s="496">
        <f t="shared" si="17"/>
        <v>2691850</v>
      </c>
      <c r="S51" s="496">
        <f t="shared" si="19"/>
        <v>1257750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506">
        <f t="shared" si="18"/>
        <v>0</v>
      </c>
      <c r="L52" s="526">
        <f t="shared" si="14"/>
        <v>0</v>
      </c>
      <c r="M52" s="508">
        <f t="shared" si="15"/>
        <v>0</v>
      </c>
      <c r="N52" s="497">
        <f>F52*29500</f>
        <v>0</v>
      </c>
      <c r="P52" s="509">
        <f t="shared" si="16"/>
        <v>0</v>
      </c>
      <c r="R52" s="496">
        <f t="shared" si="17"/>
        <v>0</v>
      </c>
      <c r="S52" s="496">
        <f t="shared" si="19"/>
        <v>0</v>
      </c>
    </row>
    <row r="53" spans="1:19">
      <c r="A53" s="41" t="s">
        <v>104</v>
      </c>
      <c r="B53" s="477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506">
        <f t="shared" si="18"/>
        <v>138800</v>
      </c>
      <c r="L53" s="526">
        <f t="shared" si="14"/>
        <v>0</v>
      </c>
      <c r="M53" s="508">
        <f t="shared" si="15"/>
        <v>50800</v>
      </c>
      <c r="N53" s="497">
        <f>F53*29500</f>
        <v>560500</v>
      </c>
      <c r="O53" s="509">
        <f>G53*27760</f>
        <v>111040</v>
      </c>
      <c r="P53" s="509">
        <f t="shared" si="16"/>
        <v>0</v>
      </c>
      <c r="Q53" s="523"/>
      <c r="R53" s="496">
        <f t="shared" si="17"/>
        <v>861140</v>
      </c>
      <c r="S53" s="496">
        <f t="shared" si="19"/>
        <v>405275</v>
      </c>
    </row>
    <row r="54" spans="1:19">
      <c r="A54" s="41" t="s">
        <v>106</v>
      </c>
      <c r="B54" s="476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506">
        <f t="shared" si="18"/>
        <v>104100</v>
      </c>
      <c r="L54" s="526">
        <f t="shared" si="14"/>
        <v>0</v>
      </c>
      <c r="M54" s="508">
        <f t="shared" si="15"/>
        <v>25400</v>
      </c>
      <c r="N54" s="497">
        <v>1028150</v>
      </c>
      <c r="P54" s="509">
        <f t="shared" si="16"/>
        <v>0</v>
      </c>
      <c r="R54" s="496">
        <f t="shared" si="17"/>
        <v>1157650</v>
      </c>
      <c r="S54" s="496">
        <f t="shared" si="19"/>
        <v>545025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506">
        <f t="shared" si="18"/>
        <v>0</v>
      </c>
      <c r="L55" s="526">
        <f t="shared" si="14"/>
        <v>0</v>
      </c>
      <c r="M55" s="508">
        <f t="shared" si="15"/>
        <v>0</v>
      </c>
      <c r="N55" s="497">
        <f>F55*29500</f>
        <v>0</v>
      </c>
      <c r="P55" s="509">
        <f t="shared" si="16"/>
        <v>0</v>
      </c>
      <c r="R55" s="496">
        <f t="shared" si="17"/>
        <v>0</v>
      </c>
      <c r="S55" s="496">
        <f t="shared" si="19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506">
        <f t="shared" si="18"/>
        <v>138800</v>
      </c>
      <c r="L56" s="526">
        <f t="shared" si="14"/>
        <v>0</v>
      </c>
      <c r="M56" s="508">
        <f t="shared" si="15"/>
        <v>76200</v>
      </c>
      <c r="N56" s="497">
        <f>F56*29500</f>
        <v>1711000</v>
      </c>
      <c r="P56" s="509">
        <f t="shared" si="16"/>
        <v>0</v>
      </c>
      <c r="R56" s="496">
        <f t="shared" si="17"/>
        <v>1926000</v>
      </c>
      <c r="S56" s="496">
        <f>(C56+D56+E56+F56+I56+H56+G56)*13434</f>
        <v>873210</v>
      </c>
    </row>
    <row r="57" spans="1:19">
      <c r="A57" s="41" t="s">
        <v>112</v>
      </c>
      <c r="B57" s="476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506">
        <f t="shared" si="18"/>
        <v>277600</v>
      </c>
      <c r="L57" s="526">
        <f t="shared" si="14"/>
        <v>0</v>
      </c>
      <c r="M57" s="508">
        <f t="shared" si="15"/>
        <v>25400</v>
      </c>
      <c r="N57" s="497">
        <f>F57*29500</f>
        <v>1298000</v>
      </c>
      <c r="P57" s="509">
        <f t="shared" si="16"/>
        <v>0</v>
      </c>
      <c r="R57" s="496">
        <f t="shared" si="17"/>
        <v>1601000</v>
      </c>
      <c r="S57" s="496">
        <f>(C57+D57+E57+F57+I57+H57+G57)*13975</f>
        <v>740675</v>
      </c>
    </row>
    <row r="58" spans="1:19">
      <c r="A58" s="41" t="s">
        <v>114</v>
      </c>
      <c r="B58" s="476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506">
        <f t="shared" si="18"/>
        <v>104100</v>
      </c>
      <c r="L58" s="526">
        <f t="shared" si="14"/>
        <v>0</v>
      </c>
      <c r="M58" s="508">
        <f t="shared" si="15"/>
        <v>25400</v>
      </c>
      <c r="N58" s="497">
        <f>F58*29500</f>
        <v>383500</v>
      </c>
      <c r="P58" s="509">
        <f t="shared" si="16"/>
        <v>0</v>
      </c>
      <c r="R58" s="496">
        <f t="shared" si="17"/>
        <v>513000</v>
      </c>
      <c r="S58" s="496">
        <f>(C58+D58+E58+F58+I58+H58+G58)*13434</f>
        <v>228378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506">
        <f t="shared" si="18"/>
        <v>0</v>
      </c>
      <c r="L59" s="526">
        <f t="shared" si="14"/>
        <v>0</v>
      </c>
      <c r="M59" s="508">
        <f t="shared" si="15"/>
        <v>0</v>
      </c>
      <c r="N59" s="497">
        <f>F59*29500</f>
        <v>0</v>
      </c>
      <c r="P59" s="509">
        <f t="shared" si="16"/>
        <v>0</v>
      </c>
      <c r="R59" s="496">
        <f t="shared" si="17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13">
        <f t="shared" si="20"/>
        <v>2388600</v>
      </c>
      <c r="L61" s="527">
        <f t="shared" si="20"/>
        <v>0</v>
      </c>
      <c r="M61" s="515">
        <f t="shared" si="20"/>
        <v>2743200</v>
      </c>
      <c r="N61" s="516">
        <f t="shared" si="20"/>
        <v>13253250</v>
      </c>
      <c r="O61" s="516">
        <f t="shared" si="20"/>
        <v>111040</v>
      </c>
      <c r="P61" s="516">
        <f t="shared" si="20"/>
        <v>0</v>
      </c>
      <c r="Q61" s="516">
        <f t="shared" si="20"/>
        <v>0</v>
      </c>
      <c r="R61" s="517">
        <f t="shared" si="20"/>
        <v>18496090</v>
      </c>
      <c r="S61" s="518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8">
        <v>2416800</v>
      </c>
      <c r="L68" s="526">
        <f>D68*19200</f>
        <v>134400</v>
      </c>
      <c r="M68" s="508">
        <f>E68*21000</f>
        <v>336000</v>
      </c>
      <c r="N68" s="509"/>
      <c r="O68" s="509"/>
      <c r="P68" s="509"/>
      <c r="Q68" s="498"/>
      <c r="R68" s="496">
        <f t="shared" ref="R68:R84" si="22">SUM(K68:Q68)</f>
        <v>2887200</v>
      </c>
      <c r="S68" s="496">
        <f>(C68+D68+E68+F68+I68+G68+H68)*7032</f>
        <v>836808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8">
        <f>C69*47000</f>
        <v>0</v>
      </c>
      <c r="L69" s="526">
        <f>D69*39600</f>
        <v>0</v>
      </c>
      <c r="M69" s="508">
        <f>E69*39600</f>
        <v>39600</v>
      </c>
      <c r="N69" s="509"/>
      <c r="O69" s="509"/>
      <c r="P69" s="509"/>
      <c r="Q69" s="498"/>
      <c r="R69" s="496">
        <f t="shared" si="22"/>
        <v>39600</v>
      </c>
      <c r="S69" s="496">
        <f>(C69+D69+E69+F69+I69+G69+H69)*11631</f>
        <v>11631</v>
      </c>
    </row>
    <row r="70" spans="1:19" s="495" customFormat="1">
      <c r="A70" s="104" t="s">
        <v>134</v>
      </c>
      <c r="B70" s="476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8">
        <v>2556400</v>
      </c>
      <c r="L70" s="526">
        <f>D70*22400</f>
        <v>22400</v>
      </c>
      <c r="M70" s="508">
        <f>E70*25000</f>
        <v>0</v>
      </c>
      <c r="N70" s="509"/>
      <c r="O70" s="509"/>
      <c r="P70" s="509"/>
      <c r="Q70" s="498"/>
      <c r="R70" s="496">
        <f t="shared" si="22"/>
        <v>2578800</v>
      </c>
      <c r="S70" s="496">
        <f>(C70+D70+E70+F70+I70+G70+H70)*8565</f>
        <v>753720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8">
        <f>C71*47000</f>
        <v>0</v>
      </c>
      <c r="L71" s="526">
        <f>D71*39600</f>
        <v>0</v>
      </c>
      <c r="M71" s="508">
        <f>E71*39600</f>
        <v>396000</v>
      </c>
      <c r="N71" s="509"/>
      <c r="O71" s="509"/>
      <c r="P71" s="509"/>
      <c r="Q71" s="498"/>
      <c r="R71" s="496">
        <f t="shared" si="22"/>
        <v>396000</v>
      </c>
      <c r="S71" s="496">
        <f>(C71+D71+E71+F71+I71+G71+H71)*13073</f>
        <v>130730</v>
      </c>
    </row>
    <row r="72" spans="1:19" s="495" customFormat="1">
      <c r="A72" s="104" t="s">
        <v>137</v>
      </c>
      <c r="B72" s="476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8">
        <v>1509600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2"/>
        <v>1572600</v>
      </c>
      <c r="S72" s="496">
        <f>(C72+D72+E72+F72+I72+G72+H72)*7032</f>
        <v>443016</v>
      </c>
    </row>
    <row r="73" spans="1:19" s="495" customFormat="1">
      <c r="A73" s="104" t="s">
        <v>139</v>
      </c>
      <c r="B73" s="476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8">
        <v>821800</v>
      </c>
      <c r="L73" s="526">
        <f>D73*22400</f>
        <v>22400</v>
      </c>
      <c r="M73" s="508">
        <f>E73*25000</f>
        <v>0</v>
      </c>
      <c r="N73" s="509"/>
      <c r="O73" s="509"/>
      <c r="P73" s="509"/>
      <c r="Q73" s="498"/>
      <c r="R73" s="496">
        <f t="shared" si="22"/>
        <v>844200</v>
      </c>
      <c r="S73" s="496">
        <f>(C73+D73+E73+F73+I73+G73+H73)*8565</f>
        <v>248385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2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2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8">
        <v>981600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2"/>
        <v>981600</v>
      </c>
      <c r="S76" s="496">
        <f>(C76+D76+E76+F76+I76+G76+H76)*7032</f>
        <v>274248</v>
      </c>
    </row>
    <row r="77" spans="1:19" s="495" customFormat="1">
      <c r="A77" s="104" t="s">
        <v>146</v>
      </c>
      <c r="B77" s="476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9">
        <f>C77*47000</f>
        <v>0</v>
      </c>
      <c r="L77" s="526">
        <f>D77*39600</f>
        <v>0</v>
      </c>
      <c r="M77" s="508">
        <f>E77*39600</f>
        <v>0</v>
      </c>
      <c r="N77" s="509"/>
      <c r="O77" s="509"/>
      <c r="P77" s="509"/>
      <c r="Q77" s="498"/>
      <c r="R77" s="496">
        <f t="shared" si="22"/>
        <v>0</v>
      </c>
      <c r="S77" s="496">
        <f>(C77+D77+E77+F77+I77+G77+H77)*11631</f>
        <v>0</v>
      </c>
    </row>
    <row r="78" spans="1:19" s="495" customFormat="1">
      <c r="A78" s="104" t="s">
        <v>147</v>
      </c>
      <c r="B78" s="476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8">
        <f>C78*29400</f>
        <v>352800</v>
      </c>
      <c r="L78" s="526">
        <f>D78*22400</f>
        <v>89600</v>
      </c>
      <c r="M78" s="508">
        <f>E78*25000</f>
        <v>0</v>
      </c>
      <c r="N78" s="509"/>
      <c r="O78" s="509"/>
      <c r="P78" s="509"/>
      <c r="Q78" s="498"/>
      <c r="R78" s="496">
        <f t="shared" si="22"/>
        <v>442400</v>
      </c>
      <c r="S78" s="496">
        <f>(C78+D78+E78+F78+I78+G78+H78)*8926</f>
        <v>142816</v>
      </c>
    </row>
    <row r="79" spans="1:19" s="495" customFormat="1">
      <c r="A79" s="104" t="s">
        <v>149</v>
      </c>
      <c r="B79" s="476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8">
        <v>702800</v>
      </c>
      <c r="L79" s="526">
        <f>D79*25000</f>
        <v>0</v>
      </c>
      <c r="M79" s="508">
        <f>E79*25000</f>
        <v>275000</v>
      </c>
      <c r="N79" s="509"/>
      <c r="O79" s="509"/>
      <c r="P79" s="509"/>
      <c r="Q79" s="498"/>
      <c r="R79" s="496">
        <f t="shared" si="22"/>
        <v>977800</v>
      </c>
      <c r="S79" s="496">
        <f>(C79+D79+E79+F79+I79+G79+H79)*8926</f>
        <v>312410</v>
      </c>
    </row>
    <row r="80" spans="1:19" s="495" customFormat="1">
      <c r="A80" s="55" t="s">
        <v>150</v>
      </c>
      <c r="B80" s="472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8">
        <f>C80*29400</f>
        <v>205800</v>
      </c>
      <c r="L80" s="526">
        <f>D80*25000</f>
        <v>0</v>
      </c>
      <c r="M80" s="508">
        <f>E80*25000</f>
        <v>0</v>
      </c>
      <c r="N80" s="509"/>
      <c r="O80" s="509"/>
      <c r="P80" s="509"/>
      <c r="Q80" s="498"/>
      <c r="R80" s="496">
        <f t="shared" si="22"/>
        <v>205800</v>
      </c>
      <c r="S80" s="496">
        <f>(C80+D80+E80+F80+I80+G80+H80)*8926</f>
        <v>62482</v>
      </c>
    </row>
    <row r="81" spans="1:19" s="495" customFormat="1">
      <c r="A81" s="104" t="s">
        <v>151</v>
      </c>
      <c r="B81" s="476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8">
        <v>560000</v>
      </c>
      <c r="L81" s="526">
        <f>D81*35200</f>
        <v>0</v>
      </c>
      <c r="M81" s="508">
        <f>E81*35200</f>
        <v>0</v>
      </c>
      <c r="N81" s="509"/>
      <c r="O81" s="509">
        <f>F81*37600</f>
        <v>150400</v>
      </c>
      <c r="P81" s="509"/>
      <c r="Q81" s="498"/>
      <c r="R81" s="496">
        <f t="shared" si="22"/>
        <v>710400</v>
      </c>
      <c r="S81" s="496">
        <f>(C81+D81+E81+F81+I81+G81+H81)*18934</f>
        <v>302944</v>
      </c>
    </row>
    <row r="82" spans="1:19" s="495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9">
        <f>C82*16800</f>
        <v>0</v>
      </c>
      <c r="L82" s="526">
        <f t="shared" ref="L82:M84" si="23">D82*12100</f>
        <v>0</v>
      </c>
      <c r="M82" s="508">
        <f t="shared" si="23"/>
        <v>0</v>
      </c>
      <c r="N82" s="509"/>
      <c r="O82" s="509">
        <f>F82*9000</f>
        <v>0</v>
      </c>
      <c r="P82" s="509"/>
      <c r="Q82" s="498"/>
      <c r="R82" s="496">
        <f t="shared" si="22"/>
        <v>0</v>
      </c>
      <c r="S82" s="496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9">
        <f>C83*16800</f>
        <v>0</v>
      </c>
      <c r="L83" s="526">
        <f t="shared" si="23"/>
        <v>0</v>
      </c>
      <c r="M83" s="508">
        <f t="shared" si="23"/>
        <v>0</v>
      </c>
      <c r="N83" s="509"/>
      <c r="O83" s="509">
        <f>F83*9000</f>
        <v>0</v>
      </c>
      <c r="P83" s="509"/>
      <c r="R83" s="496">
        <f t="shared" si="22"/>
        <v>0</v>
      </c>
      <c r="S83" s="496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9">
        <f>C84*16800</f>
        <v>0</v>
      </c>
      <c r="L84" s="526">
        <f t="shared" si="23"/>
        <v>0</v>
      </c>
      <c r="M84" s="508">
        <f t="shared" si="23"/>
        <v>0</v>
      </c>
      <c r="N84" s="509"/>
      <c r="O84" s="509">
        <f>F84*9000</f>
        <v>0</v>
      </c>
      <c r="P84" s="509"/>
      <c r="R84" s="496">
        <f t="shared" si="22"/>
        <v>0</v>
      </c>
      <c r="S84" s="496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4">SUM(K68:K84)</f>
        <v>10284000</v>
      </c>
      <c r="L85" s="527">
        <f t="shared" si="24"/>
        <v>268800</v>
      </c>
      <c r="M85" s="515">
        <f t="shared" si="24"/>
        <v>1149200</v>
      </c>
      <c r="N85" s="516">
        <f t="shared" si="24"/>
        <v>0</v>
      </c>
      <c r="O85" s="516">
        <f t="shared" si="24"/>
        <v>150400</v>
      </c>
      <c r="P85" s="516">
        <f t="shared" si="24"/>
        <v>0</v>
      </c>
      <c r="Q85" s="513">
        <f t="shared" si="24"/>
        <v>0</v>
      </c>
      <c r="R85" s="517">
        <f t="shared" si="24"/>
        <v>11852400</v>
      </c>
      <c r="S85" s="518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8">
        <v>1546200</v>
      </c>
      <c r="L88" s="526">
        <f t="shared" ref="L88:M93" si="26">D88*15400</f>
        <v>0</v>
      </c>
      <c r="M88" s="508">
        <f t="shared" si="26"/>
        <v>308000</v>
      </c>
      <c r="N88" s="509"/>
      <c r="O88" s="509"/>
      <c r="P88" s="532">
        <f t="shared" ref="P88:P93" si="27">H88*18000</f>
        <v>0</v>
      </c>
      <c r="Q88" s="533"/>
      <c r="R88" s="496">
        <f t="shared" ref="R88:R99" si="28">SUM(K88:Q88)</f>
        <v>1854200</v>
      </c>
      <c r="S88" s="496">
        <f t="shared" ref="S88:S93" si="29">J88*7734</f>
        <v>788868</v>
      </c>
    </row>
    <row r="89" spans="1:19">
      <c r="A89" s="69" t="s">
        <v>170</v>
      </c>
      <c r="B89" s="476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8">
        <v>1734300</v>
      </c>
      <c r="L89" s="526">
        <f t="shared" si="26"/>
        <v>0</v>
      </c>
      <c r="M89" s="508">
        <f t="shared" si="26"/>
        <v>585200</v>
      </c>
      <c r="N89" s="509"/>
      <c r="O89" s="509"/>
      <c r="P89" s="532">
        <f t="shared" si="27"/>
        <v>0</v>
      </c>
      <c r="Q89" s="533"/>
      <c r="R89" s="496">
        <f t="shared" si="28"/>
        <v>2319500</v>
      </c>
      <c r="S89" s="496">
        <f t="shared" si="29"/>
        <v>1005420</v>
      </c>
    </row>
    <row r="90" spans="1:19">
      <c r="A90" s="69" t="s">
        <v>171</v>
      </c>
      <c r="B90" s="476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8">
        <f>C90*18900</f>
        <v>1682100</v>
      </c>
      <c r="L90" s="526">
        <f t="shared" si="26"/>
        <v>0</v>
      </c>
      <c r="M90" s="508">
        <f t="shared" si="26"/>
        <v>246400</v>
      </c>
      <c r="N90" s="509"/>
      <c r="O90" s="509"/>
      <c r="P90" s="532">
        <f t="shared" si="27"/>
        <v>0</v>
      </c>
      <c r="Q90" s="533"/>
      <c r="R90" s="496">
        <f t="shared" si="28"/>
        <v>1928500</v>
      </c>
      <c r="S90" s="496">
        <f t="shared" si="29"/>
        <v>812070</v>
      </c>
    </row>
    <row r="91" spans="1:19">
      <c r="A91" s="69" t="s">
        <v>172</v>
      </c>
      <c r="B91" s="476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8">
        <v>1202400</v>
      </c>
      <c r="L91" s="526">
        <f t="shared" si="26"/>
        <v>0</v>
      </c>
      <c r="M91" s="508">
        <f t="shared" si="26"/>
        <v>246400</v>
      </c>
      <c r="N91" s="509"/>
      <c r="O91" s="509"/>
      <c r="P91" s="532">
        <f t="shared" si="27"/>
        <v>0</v>
      </c>
      <c r="Q91" s="533"/>
      <c r="R91" s="496">
        <f t="shared" si="28"/>
        <v>1448800</v>
      </c>
      <c r="S91" s="496">
        <f t="shared" si="29"/>
        <v>618720</v>
      </c>
    </row>
    <row r="92" spans="1:19">
      <c r="A92" s="69" t="s">
        <v>173</v>
      </c>
      <c r="B92" s="476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8">
        <f>C92*18900</f>
        <v>1209600</v>
      </c>
      <c r="L92" s="526">
        <f t="shared" si="26"/>
        <v>0</v>
      </c>
      <c r="M92" s="508">
        <f t="shared" si="26"/>
        <v>215600</v>
      </c>
      <c r="N92" s="509"/>
      <c r="O92" s="509"/>
      <c r="P92" s="532">
        <f t="shared" si="27"/>
        <v>0</v>
      </c>
      <c r="Q92" s="533"/>
      <c r="R92" s="496">
        <f t="shared" si="28"/>
        <v>1425200</v>
      </c>
      <c r="S92" s="496">
        <f t="shared" si="29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8">
        <v>1052100</v>
      </c>
      <c r="L93" s="526">
        <f t="shared" si="26"/>
        <v>0</v>
      </c>
      <c r="M93" s="508">
        <f t="shared" si="26"/>
        <v>123200</v>
      </c>
      <c r="N93" s="509"/>
      <c r="O93" s="509"/>
      <c r="P93" s="532">
        <f t="shared" si="27"/>
        <v>0</v>
      </c>
      <c r="Q93" s="533"/>
      <c r="R93" s="496">
        <f t="shared" si="28"/>
        <v>1175300</v>
      </c>
      <c r="S93" s="496">
        <f t="shared" si="29"/>
        <v>494976</v>
      </c>
    </row>
    <row r="94" spans="1:19">
      <c r="A94" s="69" t="s">
        <v>175</v>
      </c>
      <c r="B94" s="476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8">
        <f>C94*8400</f>
        <v>268800</v>
      </c>
      <c r="L94" s="526">
        <f t="shared" ref="L94:M99" si="30">D94*6600</f>
        <v>0</v>
      </c>
      <c r="M94" s="508">
        <f t="shared" si="30"/>
        <v>0</v>
      </c>
      <c r="N94" s="509">
        <v>3525120</v>
      </c>
      <c r="O94" s="509"/>
      <c r="P94" s="509"/>
      <c r="Q94" s="533"/>
      <c r="R94" s="496">
        <f t="shared" si="28"/>
        <v>3793920</v>
      </c>
      <c r="S94" s="496">
        <f t="shared" ref="S94:S99" si="31">J94*2880</f>
        <v>1604160</v>
      </c>
    </row>
    <row r="95" spans="1:19">
      <c r="A95" s="69" t="s">
        <v>177</v>
      </c>
      <c r="B95" s="476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8">
        <f>C95*8400</f>
        <v>226800</v>
      </c>
      <c r="L95" s="526">
        <f t="shared" si="30"/>
        <v>0</v>
      </c>
      <c r="M95" s="508">
        <f t="shared" si="30"/>
        <v>0</v>
      </c>
      <c r="N95" s="509">
        <v>2350080</v>
      </c>
      <c r="O95" s="509"/>
      <c r="P95" s="509"/>
      <c r="Q95" s="533"/>
      <c r="R95" s="496">
        <f t="shared" si="28"/>
        <v>2576880</v>
      </c>
      <c r="S95" s="496">
        <f t="shared" si="31"/>
        <v>1085760</v>
      </c>
    </row>
    <row r="96" spans="1:19">
      <c r="A96" s="69" t="s">
        <v>178</v>
      </c>
      <c r="B96" s="476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8">
        <f>C96*8400</f>
        <v>512400</v>
      </c>
      <c r="L96" s="526">
        <f t="shared" si="30"/>
        <v>0</v>
      </c>
      <c r="M96" s="508">
        <f t="shared" si="30"/>
        <v>0</v>
      </c>
      <c r="N96" s="509">
        <v>2350080</v>
      </c>
      <c r="O96" s="509"/>
      <c r="P96" s="509"/>
      <c r="Q96" s="533"/>
      <c r="R96" s="496">
        <f t="shared" si="28"/>
        <v>2862480</v>
      </c>
      <c r="S96" s="496">
        <f t="shared" si="31"/>
        <v>1183680</v>
      </c>
    </row>
    <row r="97" spans="1:19">
      <c r="A97" s="69" t="s">
        <v>179</v>
      </c>
      <c r="B97" s="476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8">
        <f>C97*8400</f>
        <v>411600</v>
      </c>
      <c r="L97" s="526">
        <f t="shared" si="30"/>
        <v>0</v>
      </c>
      <c r="M97" s="508">
        <f t="shared" si="30"/>
        <v>0</v>
      </c>
      <c r="N97" s="509">
        <v>3525120</v>
      </c>
      <c r="O97" s="509"/>
      <c r="P97" s="509"/>
      <c r="Q97" s="533"/>
      <c r="R97" s="496">
        <f t="shared" si="28"/>
        <v>3936720</v>
      </c>
      <c r="S97" s="496">
        <f t="shared" si="31"/>
        <v>1653120</v>
      </c>
    </row>
    <row r="98" spans="1:19">
      <c r="A98" s="69" t="s">
        <v>180</v>
      </c>
      <c r="B98" s="476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8">
        <v>344000</v>
      </c>
      <c r="L98" s="526">
        <f t="shared" si="30"/>
        <v>0</v>
      </c>
      <c r="M98" s="508">
        <f t="shared" si="30"/>
        <v>0</v>
      </c>
      <c r="N98" s="509">
        <f>F98*6720</f>
        <v>0</v>
      </c>
      <c r="O98" s="509"/>
      <c r="P98" s="509"/>
      <c r="Q98" s="533"/>
      <c r="R98" s="496">
        <f t="shared" si="28"/>
        <v>344000</v>
      </c>
      <c r="S98" s="496">
        <f t="shared" si="31"/>
        <v>118080</v>
      </c>
    </row>
    <row r="99" spans="1:19">
      <c r="A99" s="313" t="s">
        <v>181</v>
      </c>
      <c r="B99" s="472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8">
        <v>226400</v>
      </c>
      <c r="L99" s="526">
        <f t="shared" si="30"/>
        <v>0</v>
      </c>
      <c r="M99" s="508">
        <f t="shared" si="30"/>
        <v>0</v>
      </c>
      <c r="N99" s="509">
        <f>F99*6720</f>
        <v>0</v>
      </c>
      <c r="O99" s="509"/>
      <c r="P99" s="509"/>
      <c r="Q99" s="533"/>
      <c r="R99" s="496">
        <f t="shared" si="28"/>
        <v>226400</v>
      </c>
      <c r="S99" s="496">
        <f t="shared" si="31"/>
        <v>77760</v>
      </c>
    </row>
    <row r="100" spans="1:19" s="16" customFormat="1">
      <c r="A100" s="71" t="s">
        <v>182</v>
      </c>
      <c r="B100" s="476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34">
        <f t="shared" si="32"/>
        <v>8426700</v>
      </c>
      <c r="L100" s="535">
        <f t="shared" si="32"/>
        <v>0</v>
      </c>
      <c r="M100" s="536">
        <f t="shared" si="32"/>
        <v>1724800</v>
      </c>
      <c r="N100" s="537">
        <f t="shared" si="32"/>
        <v>0</v>
      </c>
      <c r="O100" s="537">
        <f t="shared" si="32"/>
        <v>0</v>
      </c>
      <c r="P100" s="537">
        <f t="shared" si="32"/>
        <v>0</v>
      </c>
      <c r="Q100" s="538">
        <f t="shared" si="32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40">
        <f t="shared" si="33"/>
        <v>1990000</v>
      </c>
      <c r="L101" s="541">
        <f t="shared" si="33"/>
        <v>0</v>
      </c>
      <c r="M101" s="542">
        <f t="shared" si="33"/>
        <v>0</v>
      </c>
      <c r="N101" s="543">
        <f t="shared" si="33"/>
        <v>11750400</v>
      </c>
      <c r="O101" s="543">
        <f t="shared" si="33"/>
        <v>0</v>
      </c>
      <c r="P101" s="543">
        <f t="shared" si="33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34">SUM(K88:K99)</f>
        <v>10416700</v>
      </c>
      <c r="L102" s="527">
        <f t="shared" si="34"/>
        <v>0</v>
      </c>
      <c r="M102" s="515">
        <f t="shared" si="34"/>
        <v>1724800</v>
      </c>
      <c r="N102" s="516">
        <f t="shared" si="34"/>
        <v>11750400</v>
      </c>
      <c r="O102" s="516">
        <f t="shared" si="34"/>
        <v>0</v>
      </c>
      <c r="P102" s="516">
        <f t="shared" si="34"/>
        <v>0</v>
      </c>
      <c r="Q102" s="516">
        <f t="shared" si="34"/>
        <v>0</v>
      </c>
      <c r="R102" s="517">
        <f t="shared" si="34"/>
        <v>23891900</v>
      </c>
      <c r="S102" s="518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51">
        <f t="shared" ref="K107:M112" si="36">C107*12000</f>
        <v>0</v>
      </c>
      <c r="L107" s="526">
        <f t="shared" si="36"/>
        <v>0</v>
      </c>
      <c r="M107" s="508">
        <f t="shared" si="36"/>
        <v>0</v>
      </c>
      <c r="N107" s="509"/>
      <c r="O107" s="509"/>
      <c r="P107" s="509"/>
      <c r="Q107" s="523"/>
      <c r="R107" s="496">
        <f t="shared" ref="R107:R118" si="37">SUM(K107:Q107)</f>
        <v>0</v>
      </c>
      <c r="S107" s="496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51">
        <f t="shared" si="36"/>
        <v>0</v>
      </c>
      <c r="L108" s="526">
        <f t="shared" si="36"/>
        <v>0</v>
      </c>
      <c r="M108" s="508">
        <f t="shared" si="36"/>
        <v>0</v>
      </c>
      <c r="N108" s="509"/>
      <c r="O108" s="509"/>
      <c r="P108" s="509"/>
      <c r="Q108" s="523"/>
      <c r="R108" s="496">
        <f t="shared" si="37"/>
        <v>0</v>
      </c>
      <c r="S108" s="496">
        <f t="shared" si="38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51">
        <f t="shared" si="36"/>
        <v>0</v>
      </c>
      <c r="L109" s="526">
        <f t="shared" si="36"/>
        <v>0</v>
      </c>
      <c r="M109" s="508">
        <f t="shared" si="36"/>
        <v>0</v>
      </c>
      <c r="N109" s="509"/>
      <c r="O109" s="509"/>
      <c r="P109" s="509"/>
      <c r="Q109" s="523"/>
      <c r="R109" s="496">
        <f t="shared" si="37"/>
        <v>0</v>
      </c>
      <c r="S109" s="496">
        <f t="shared" si="38"/>
        <v>0</v>
      </c>
    </row>
    <row r="110" spans="1:19">
      <c r="A110" s="69" t="s">
        <v>193</v>
      </c>
      <c r="B110" s="476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51">
        <f t="shared" si="36"/>
        <v>180000</v>
      </c>
      <c r="L110" s="526">
        <f t="shared" si="36"/>
        <v>0</v>
      </c>
      <c r="M110" s="508">
        <f t="shared" si="36"/>
        <v>0</v>
      </c>
      <c r="N110" s="509"/>
      <c r="O110" s="509"/>
      <c r="P110" s="509"/>
      <c r="Q110" s="523"/>
      <c r="R110" s="496">
        <f t="shared" si="37"/>
        <v>180000</v>
      </c>
      <c r="S110" s="496">
        <f t="shared" si="38"/>
        <v>89505</v>
      </c>
    </row>
    <row r="111" spans="1:19">
      <c r="A111" s="69" t="s">
        <v>194</v>
      </c>
      <c r="B111" s="476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51">
        <f t="shared" si="36"/>
        <v>324000</v>
      </c>
      <c r="L111" s="526">
        <f t="shared" si="36"/>
        <v>0</v>
      </c>
      <c r="M111" s="508">
        <f t="shared" si="36"/>
        <v>0</v>
      </c>
      <c r="N111" s="509"/>
      <c r="O111" s="509"/>
      <c r="P111" s="509"/>
      <c r="Q111" s="523"/>
      <c r="R111" s="496">
        <f t="shared" si="37"/>
        <v>324000</v>
      </c>
      <c r="S111" s="496">
        <f t="shared" si="38"/>
        <v>161109</v>
      </c>
    </row>
    <row r="112" spans="1:19">
      <c r="A112" s="69" t="s">
        <v>195</v>
      </c>
      <c r="B112" s="476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51">
        <f t="shared" si="36"/>
        <v>168000</v>
      </c>
      <c r="L112" s="526">
        <f t="shared" si="36"/>
        <v>0</v>
      </c>
      <c r="M112" s="508">
        <f t="shared" si="36"/>
        <v>0</v>
      </c>
      <c r="N112" s="509"/>
      <c r="O112" s="509"/>
      <c r="P112" s="509"/>
      <c r="Q112" s="523"/>
      <c r="R112" s="496">
        <f t="shared" si="37"/>
        <v>168000</v>
      </c>
      <c r="S112" s="496">
        <f t="shared" si="38"/>
        <v>83538</v>
      </c>
    </row>
    <row r="113" spans="1:19">
      <c r="A113" s="69" t="s">
        <v>196</v>
      </c>
      <c r="B113" s="476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8">
        <f>C113*47000</f>
        <v>47000</v>
      </c>
      <c r="L113" s="526">
        <f t="shared" ref="L113:M118" si="39">D113*35200</f>
        <v>0</v>
      </c>
      <c r="M113" s="508">
        <f t="shared" si="39"/>
        <v>0</v>
      </c>
      <c r="N113" s="509"/>
      <c r="O113" s="509"/>
      <c r="P113" s="509"/>
      <c r="Q113" s="523"/>
      <c r="R113" s="496">
        <f t="shared" si="37"/>
        <v>47000</v>
      </c>
      <c r="S113" s="496">
        <f t="shared" ref="S113:S118" si="40">J113*15480</f>
        <v>15480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8">
        <f>C114*47000</f>
        <v>0</v>
      </c>
      <c r="L114" s="526">
        <f t="shared" si="39"/>
        <v>0</v>
      </c>
      <c r="M114" s="508">
        <f t="shared" si="39"/>
        <v>0</v>
      </c>
      <c r="N114" s="509">
        <f>F114*22500</f>
        <v>0</v>
      </c>
      <c r="O114" s="509"/>
      <c r="P114" s="509"/>
      <c r="Q114" s="523"/>
      <c r="R114" s="496">
        <f t="shared" si="37"/>
        <v>0</v>
      </c>
      <c r="S114" s="496">
        <f t="shared" si="40"/>
        <v>0</v>
      </c>
    </row>
    <row r="115" spans="1:19">
      <c r="A115" s="69" t="s">
        <v>199</v>
      </c>
      <c r="B115" s="476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8">
        <v>45000</v>
      </c>
      <c r="L115" s="526">
        <f t="shared" si="39"/>
        <v>0</v>
      </c>
      <c r="M115" s="508">
        <f t="shared" si="39"/>
        <v>0</v>
      </c>
      <c r="N115" s="509">
        <f>F115*22500</f>
        <v>0</v>
      </c>
      <c r="O115" s="509"/>
      <c r="P115" s="509"/>
      <c r="Q115" s="523"/>
      <c r="R115" s="496">
        <f t="shared" si="37"/>
        <v>45000</v>
      </c>
      <c r="S115" s="496">
        <f t="shared" si="40"/>
        <v>15480</v>
      </c>
    </row>
    <row r="116" spans="1:19">
      <c r="A116" s="69" t="s">
        <v>200</v>
      </c>
      <c r="B116" s="476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8">
        <f>C116*47000</f>
        <v>94000</v>
      </c>
      <c r="L116" s="526">
        <f t="shared" si="39"/>
        <v>0</v>
      </c>
      <c r="M116" s="508">
        <f t="shared" si="39"/>
        <v>0</v>
      </c>
      <c r="N116" s="509">
        <f>F116*22500</f>
        <v>0</v>
      </c>
      <c r="O116" s="509"/>
      <c r="P116" s="509"/>
      <c r="Q116" s="523"/>
      <c r="R116" s="496">
        <f t="shared" si="37"/>
        <v>94000</v>
      </c>
      <c r="S116" s="496">
        <f t="shared" si="40"/>
        <v>30960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8">
        <f>C117*47000</f>
        <v>0</v>
      </c>
      <c r="L117" s="526">
        <f t="shared" si="39"/>
        <v>0</v>
      </c>
      <c r="M117" s="508">
        <f t="shared" si="39"/>
        <v>0</v>
      </c>
      <c r="N117" s="509">
        <f>F117*22500</f>
        <v>0</v>
      </c>
      <c r="O117" s="509"/>
      <c r="P117" s="509"/>
      <c r="Q117" s="523"/>
      <c r="R117" s="496">
        <f t="shared" si="37"/>
        <v>0</v>
      </c>
      <c r="S117" s="496">
        <f t="shared" si="40"/>
        <v>0</v>
      </c>
    </row>
    <row r="118" spans="1:19">
      <c r="A118" s="69" t="s">
        <v>202</v>
      </c>
      <c r="B118" s="476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8">
        <f>C118*47000</f>
        <v>47000</v>
      </c>
      <c r="L118" s="526">
        <f t="shared" si="39"/>
        <v>0</v>
      </c>
      <c r="M118" s="508">
        <f t="shared" si="39"/>
        <v>0</v>
      </c>
      <c r="N118" s="509">
        <f>F118*31500</f>
        <v>0</v>
      </c>
      <c r="O118" s="509"/>
      <c r="P118" s="509"/>
      <c r="Q118" s="523"/>
      <c r="R118" s="496">
        <f t="shared" si="37"/>
        <v>47000</v>
      </c>
      <c r="S118" s="496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1">SUM(K107:K119)</f>
        <v>905000</v>
      </c>
      <c r="L120" s="527">
        <f t="shared" si="41"/>
        <v>0</v>
      </c>
      <c r="M120" s="515">
        <f t="shared" si="41"/>
        <v>0</v>
      </c>
      <c r="N120" s="516">
        <f t="shared" si="41"/>
        <v>0</v>
      </c>
      <c r="O120" s="516">
        <f t="shared" si="41"/>
        <v>0</v>
      </c>
      <c r="P120" s="516">
        <f t="shared" si="41"/>
        <v>0</v>
      </c>
      <c r="Q120" s="552">
        <f t="shared" si="41"/>
        <v>0</v>
      </c>
      <c r="R120" s="517">
        <f t="shared" si="41"/>
        <v>905000</v>
      </c>
      <c r="S120" s="518">
        <f t="shared" si="41"/>
        <v>411552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9">
        <f>C123*100800</f>
        <v>0</v>
      </c>
      <c r="L123" s="526">
        <f t="shared" ref="L123:M126" si="42">D123*86900</f>
        <v>0</v>
      </c>
      <c r="M123" s="508">
        <f t="shared" si="42"/>
        <v>0</v>
      </c>
      <c r="N123" s="509"/>
      <c r="O123" s="509"/>
      <c r="P123" s="509"/>
      <c r="R123" s="496">
        <f>SUM(K123:Q123)</f>
        <v>0</v>
      </c>
      <c r="S123" s="496">
        <f>J123*36064</f>
        <v>0</v>
      </c>
    </row>
    <row r="124" spans="1:19">
      <c r="A124" s="20" t="s">
        <v>208</v>
      </c>
      <c r="B124" s="476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9">
        <f>C124*100800</f>
        <v>201600</v>
      </c>
      <c r="L124" s="526">
        <f t="shared" si="42"/>
        <v>0</v>
      </c>
      <c r="M124" s="508">
        <f t="shared" si="42"/>
        <v>0</v>
      </c>
      <c r="N124" s="509"/>
      <c r="O124" s="509"/>
      <c r="P124" s="509"/>
      <c r="R124" s="496">
        <f>SUM(K124:Q124)</f>
        <v>201600</v>
      </c>
      <c r="S124" s="496">
        <f>J124*36064</f>
        <v>72128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42"/>
        <v>0</v>
      </c>
      <c r="M125" s="508">
        <f t="shared" si="42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9">
        <f>C126*100800</f>
        <v>0</v>
      </c>
      <c r="L126" s="526">
        <f t="shared" si="42"/>
        <v>0</v>
      </c>
      <c r="M126" s="508">
        <f t="shared" si="42"/>
        <v>86900</v>
      </c>
      <c r="N126" s="509"/>
      <c r="O126" s="509"/>
      <c r="P126" s="509"/>
      <c r="R126" s="496">
        <f>SUM(K126:Q126)</f>
        <v>86900</v>
      </c>
      <c r="S126" s="496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43">SUM(K123:K126)</f>
        <v>403200</v>
      </c>
      <c r="L127" s="527">
        <f t="shared" si="43"/>
        <v>0</v>
      </c>
      <c r="M127" s="515">
        <f t="shared" si="43"/>
        <v>86900</v>
      </c>
      <c r="N127" s="516">
        <f t="shared" si="43"/>
        <v>0</v>
      </c>
      <c r="O127" s="516">
        <f t="shared" si="43"/>
        <v>0</v>
      </c>
      <c r="P127" s="516">
        <f t="shared" si="43"/>
        <v>0</v>
      </c>
      <c r="Q127" s="513">
        <f t="shared" si="43"/>
        <v>0</v>
      </c>
      <c r="R127" s="517">
        <f t="shared" si="43"/>
        <v>490100</v>
      </c>
      <c r="S127" s="518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44">SUM(K129:K132)</f>
        <v>0</v>
      </c>
      <c r="L133" s="514">
        <f t="shared" si="44"/>
        <v>0</v>
      </c>
      <c r="M133" s="515">
        <f t="shared" si="44"/>
        <v>0</v>
      </c>
      <c r="N133" s="516">
        <f t="shared" si="44"/>
        <v>0</v>
      </c>
      <c r="O133" s="516">
        <f t="shared" si="44"/>
        <v>0</v>
      </c>
      <c r="P133" s="513">
        <f t="shared" si="44"/>
        <v>0</v>
      </c>
      <c r="Q133" s="513">
        <f t="shared" si="44"/>
        <v>0</v>
      </c>
      <c r="R133" s="517">
        <f t="shared" si="44"/>
        <v>0</v>
      </c>
      <c r="S133" s="518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51">
        <f>C138*134000</f>
        <v>670000</v>
      </c>
      <c r="L138" s="507">
        <f>D138*106700</f>
        <v>0</v>
      </c>
      <c r="M138" s="508">
        <f>E138*106700</f>
        <v>853600</v>
      </c>
      <c r="N138" s="509"/>
      <c r="O138" s="509"/>
      <c r="P138" s="509"/>
      <c r="Q138" s="510"/>
      <c r="R138" s="496">
        <f>SUM(K138:Q138)</f>
        <v>1523600</v>
      </c>
      <c r="S138" s="496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51">
        <f>C139*134000</f>
        <v>134000</v>
      </c>
      <c r="L139" s="507">
        <f>D139*106700</f>
        <v>0</v>
      </c>
      <c r="M139" s="508">
        <f>E139*106700</f>
        <v>213400</v>
      </c>
      <c r="N139" s="509"/>
      <c r="O139" s="509"/>
      <c r="P139" s="509"/>
      <c r="Q139" s="510"/>
      <c r="R139" s="496">
        <f>SUM(K139:Q139)</f>
        <v>347400</v>
      </c>
      <c r="S139" s="496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45">SUM(K137:K140)</f>
        <v>804000</v>
      </c>
      <c r="L141" s="514">
        <f t="shared" si="45"/>
        <v>0</v>
      </c>
      <c r="M141" s="515">
        <f t="shared" si="45"/>
        <v>1067000</v>
      </c>
      <c r="N141" s="516">
        <f t="shared" si="45"/>
        <v>0</v>
      </c>
      <c r="O141" s="516">
        <f t="shared" si="45"/>
        <v>0</v>
      </c>
      <c r="P141" s="516">
        <f t="shared" si="45"/>
        <v>0</v>
      </c>
      <c r="Q141" s="516">
        <f t="shared" si="45"/>
        <v>0</v>
      </c>
      <c r="R141" s="517">
        <f t="shared" si="45"/>
        <v>1871000</v>
      </c>
      <c r="S141" s="518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51">
        <v>4362000</v>
      </c>
      <c r="L150" s="507">
        <f>D150*9000</f>
        <v>0</v>
      </c>
      <c r="M150" s="508">
        <f>E150*9000</f>
        <v>324000</v>
      </c>
      <c r="N150" s="509"/>
      <c r="O150" s="509"/>
      <c r="P150" s="509"/>
      <c r="Q150" s="532"/>
      <c r="R150" s="496">
        <f t="shared" ref="R150:R158" si="47">SUM(K150:Q150)</f>
        <v>4686000</v>
      </c>
      <c r="S150" s="496">
        <f>J150*5400</f>
        <v>2462400</v>
      </c>
    </row>
    <row r="151" spans="1:19">
      <c r="A151" s="69" t="s">
        <v>252</v>
      </c>
      <c r="B151" s="476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51">
        <v>3270400</v>
      </c>
      <c r="L151" s="507">
        <f>D151*12900</f>
        <v>258000</v>
      </c>
      <c r="M151" s="508">
        <f>E151*12900</f>
        <v>309600</v>
      </c>
      <c r="N151" s="509"/>
      <c r="O151" s="509">
        <f>F151*11760</f>
        <v>47040</v>
      </c>
      <c r="P151" s="509"/>
      <c r="Q151" s="532"/>
      <c r="R151" s="496">
        <f t="shared" si="47"/>
        <v>3885040</v>
      </c>
      <c r="S151" s="496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47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51">
        <f>C153*14700</f>
        <v>58800</v>
      </c>
      <c r="L153" s="507">
        <f>D153*11000</f>
        <v>0</v>
      </c>
      <c r="M153" s="508">
        <f>E153*11000</f>
        <v>77000</v>
      </c>
      <c r="N153" s="509"/>
      <c r="O153" s="509"/>
      <c r="P153" s="509"/>
      <c r="Q153" s="532"/>
      <c r="R153" s="496">
        <f t="shared" si="47"/>
        <v>135800</v>
      </c>
      <c r="S153" s="496">
        <f>J153*4658</f>
        <v>51238</v>
      </c>
    </row>
    <row r="154" spans="1:19">
      <c r="A154" s="69" t="s">
        <v>257</v>
      </c>
      <c r="B154" s="476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51">
        <f>C154*26400</f>
        <v>1663200</v>
      </c>
      <c r="L154" s="507">
        <f>D154*19200</f>
        <v>96000</v>
      </c>
      <c r="M154" s="508">
        <f>E154*18500</f>
        <v>1110000</v>
      </c>
      <c r="N154" s="509"/>
      <c r="O154" s="509"/>
      <c r="P154" s="509"/>
      <c r="Q154" s="532"/>
      <c r="R154" s="496">
        <f t="shared" si="47"/>
        <v>2869200</v>
      </c>
      <c r="S154" s="496">
        <f>J154*6653</f>
        <v>851584</v>
      </c>
    </row>
    <row r="155" spans="1:19">
      <c r="A155" s="69" t="s">
        <v>259</v>
      </c>
      <c r="B155" s="476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51">
        <f>C155*23100</f>
        <v>485100</v>
      </c>
      <c r="L155" s="507">
        <f>D155*17000</f>
        <v>0</v>
      </c>
      <c r="M155" s="508">
        <f>E155*15200</f>
        <v>273600</v>
      </c>
      <c r="N155" s="509"/>
      <c r="O155" s="509"/>
      <c r="P155" s="509"/>
      <c r="Q155" s="532"/>
      <c r="R155" s="496">
        <f t="shared" si="47"/>
        <v>758700</v>
      </c>
      <c r="S155" s="496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56">
        <v>722520</v>
      </c>
      <c r="L156" s="507">
        <f>D156*15200</f>
        <v>0</v>
      </c>
      <c r="M156" s="508">
        <f>E156*15200</f>
        <v>0</v>
      </c>
      <c r="N156" s="509">
        <f>F156*19640</f>
        <v>0</v>
      </c>
      <c r="O156" s="509"/>
      <c r="P156" s="509"/>
      <c r="Q156" s="532"/>
      <c r="R156" s="496">
        <f t="shared" si="47"/>
        <v>722520</v>
      </c>
      <c r="S156" s="496">
        <f>J156*8415</f>
        <v>302940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47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51">
        <f>C158*17500</f>
        <v>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47"/>
        <v>0</v>
      </c>
      <c r="S158" s="496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48">SUM(K150:K158)</f>
        <v>10562020</v>
      </c>
      <c r="L159" s="514">
        <f t="shared" si="48"/>
        <v>354000</v>
      </c>
      <c r="M159" s="515">
        <f t="shared" si="48"/>
        <v>2094200</v>
      </c>
      <c r="N159" s="513">
        <f t="shared" si="48"/>
        <v>0</v>
      </c>
      <c r="O159" s="516">
        <f t="shared" si="48"/>
        <v>47040</v>
      </c>
      <c r="P159" s="516">
        <f t="shared" si="48"/>
        <v>0</v>
      </c>
      <c r="Q159" s="516">
        <f t="shared" si="48"/>
        <v>0</v>
      </c>
      <c r="R159" s="517">
        <f t="shared" si="48"/>
        <v>13057260</v>
      </c>
      <c r="S159" s="518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71">
        <f>C172*12800</f>
        <v>0</v>
      </c>
      <c r="L172" s="570">
        <f>D172*9600</f>
        <v>57600</v>
      </c>
      <c r="M172" s="508">
        <f>E172*9600</f>
        <v>0</v>
      </c>
      <c r="N172" s="532"/>
      <c r="O172" s="532"/>
      <c r="P172" s="532"/>
      <c r="Q172" s="510"/>
      <c r="R172" s="498">
        <f t="shared" ref="R172:R219" si="50">SUM(K172:Q172)</f>
        <v>57600</v>
      </c>
      <c r="S172" s="496">
        <f>J172*3857</f>
        <v>23142</v>
      </c>
    </row>
    <row r="173" spans="1:19">
      <c r="A173" s="69" t="s">
        <v>339</v>
      </c>
      <c r="B173" s="476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71">
        <f>C173*36000</f>
        <v>72000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0"/>
        <v>105000</v>
      </c>
      <c r="S173" s="496">
        <f>J173*8619</f>
        <v>25857</v>
      </c>
    </row>
    <row r="174" spans="1:19">
      <c r="A174" s="104" t="s">
        <v>273</v>
      </c>
      <c r="B174" s="476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51">
        <f>C174*28800</f>
        <v>3628800</v>
      </c>
      <c r="L174" s="526">
        <f>D174*26400</f>
        <v>475200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0"/>
        <v>4104000</v>
      </c>
      <c r="S174" s="496">
        <f>J174*6704</f>
        <v>965376</v>
      </c>
    </row>
    <row r="175" spans="1:19">
      <c r="A175" s="104" t="s">
        <v>278</v>
      </c>
      <c r="B175" s="476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51">
        <f>C175*16000</f>
        <v>1744000</v>
      </c>
      <c r="L175" s="526">
        <f>D175*11200</f>
        <v>369600</v>
      </c>
      <c r="M175" s="508">
        <f>E175*11200</f>
        <v>0</v>
      </c>
      <c r="N175" s="509"/>
      <c r="O175" s="532"/>
      <c r="P175" s="509"/>
      <c r="Q175" s="510"/>
      <c r="R175" s="498">
        <f t="shared" si="50"/>
        <v>2113600</v>
      </c>
      <c r="S175" s="496">
        <f>J175*3489</f>
        <v>495438</v>
      </c>
    </row>
    <row r="176" spans="1:19">
      <c r="A176" s="180" t="s">
        <v>343</v>
      </c>
      <c r="B176" s="477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51">
        <f>C176*16800</f>
        <v>218400</v>
      </c>
      <c r="L176" s="526">
        <f>D176*12800</f>
        <v>204800</v>
      </c>
      <c r="M176" s="508">
        <f>E176*12800</f>
        <v>0</v>
      </c>
      <c r="N176" s="509"/>
      <c r="O176" s="509"/>
      <c r="P176" s="509"/>
      <c r="Q176" s="510"/>
      <c r="R176" s="498">
        <f t="shared" si="50"/>
        <v>423200</v>
      </c>
      <c r="S176" s="496">
        <f>J176*3075</f>
        <v>89175</v>
      </c>
    </row>
    <row r="177" spans="1:19">
      <c r="A177" s="180" t="s">
        <v>345</v>
      </c>
      <c r="B177" s="694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51">
        <f>C177*36800</f>
        <v>809600</v>
      </c>
      <c r="L177" s="526">
        <f>D177*27200</f>
        <v>136000</v>
      </c>
      <c r="M177" s="508">
        <f>E177*27200</f>
        <v>0</v>
      </c>
      <c r="N177" s="509"/>
      <c r="O177" s="509"/>
      <c r="P177" s="509"/>
      <c r="Q177" s="510"/>
      <c r="R177" s="498">
        <f t="shared" si="50"/>
        <v>945600</v>
      </c>
      <c r="S177" s="496">
        <f>J177*6040</f>
        <v>163080</v>
      </c>
    </row>
    <row r="178" spans="1:19">
      <c r="A178" s="180" t="s">
        <v>347</v>
      </c>
      <c r="B178" s="683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51">
        <f>C178*16000</f>
        <v>48000</v>
      </c>
      <c r="L178" s="526">
        <f>D178*12800</f>
        <v>12800</v>
      </c>
      <c r="M178" s="508">
        <f>E178*12800</f>
        <v>0</v>
      </c>
      <c r="N178" s="509"/>
      <c r="O178" s="509"/>
      <c r="P178" s="509"/>
      <c r="Q178" s="510"/>
      <c r="R178" s="498">
        <f t="shared" si="50"/>
        <v>60800</v>
      </c>
      <c r="S178" s="496">
        <f>J178*4212</f>
        <v>16848</v>
      </c>
    </row>
    <row r="179" spans="1:19">
      <c r="A179" s="180" t="s">
        <v>298</v>
      </c>
      <c r="B179" s="477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51">
        <f>C179*28000</f>
        <v>0</v>
      </c>
      <c r="L179" s="526">
        <f>D179*19600</f>
        <v>58800</v>
      </c>
      <c r="M179" s="508">
        <f>E179*19600</f>
        <v>0</v>
      </c>
      <c r="N179" s="509"/>
      <c r="O179" s="509"/>
      <c r="P179" s="509"/>
      <c r="Q179" s="510"/>
      <c r="R179" s="498">
        <f t="shared" si="50"/>
        <v>58800</v>
      </c>
      <c r="S179" s="496">
        <f>J179*6097</f>
        <v>18291</v>
      </c>
    </row>
    <row r="180" spans="1:19">
      <c r="A180" s="180" t="s">
        <v>349</v>
      </c>
      <c r="B180" s="477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51">
        <f>C180*31000</f>
        <v>93000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0"/>
        <v>231600</v>
      </c>
      <c r="S180" s="496">
        <f>J180*6612</f>
        <v>66120</v>
      </c>
    </row>
    <row r="181" spans="1:19" s="388" customFormat="1">
      <c r="A181" s="256" t="s">
        <v>351</v>
      </c>
      <c r="B181" s="477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72">
        <f>C181*27200</f>
        <v>190400</v>
      </c>
      <c r="L181" s="526">
        <f>D181*20000</f>
        <v>140000</v>
      </c>
      <c r="M181" s="508">
        <f>E181*20000</f>
        <v>0</v>
      </c>
      <c r="N181" s="509"/>
      <c r="O181" s="509"/>
      <c r="P181" s="509"/>
      <c r="Q181" s="510"/>
      <c r="R181" s="573">
        <f t="shared" si="50"/>
        <v>330400</v>
      </c>
      <c r="S181" s="574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51">
        <f>C182*16000</f>
        <v>192000</v>
      </c>
      <c r="L182" s="526">
        <f>D182*12000</f>
        <v>72000</v>
      </c>
      <c r="M182" s="508">
        <f>E182*19200</f>
        <v>0</v>
      </c>
      <c r="N182" s="509"/>
      <c r="O182" s="509"/>
      <c r="P182" s="509"/>
      <c r="Q182" s="510"/>
      <c r="R182" s="498">
        <f t="shared" si="50"/>
        <v>264000</v>
      </c>
      <c r="S182" s="496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51">
        <f>C183*19000</f>
        <v>95000</v>
      </c>
      <c r="L183" s="526">
        <f>D183*13000</f>
        <v>26000</v>
      </c>
      <c r="M183" s="508">
        <f>E183*13000</f>
        <v>0</v>
      </c>
      <c r="N183" s="509"/>
      <c r="O183" s="509"/>
      <c r="P183" s="509"/>
      <c r="Q183" s="510"/>
      <c r="R183" s="498">
        <f t="shared" si="50"/>
        <v>121000</v>
      </c>
      <c r="S183" s="496">
        <f>J183*3677</f>
        <v>25739</v>
      </c>
    </row>
    <row r="184" spans="1:19">
      <c r="A184" s="256" t="s">
        <v>332</v>
      </c>
      <c r="B184" s="477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51">
        <f>C184*16000</f>
        <v>448000</v>
      </c>
      <c r="L184" s="526">
        <f>D184*12000</f>
        <v>108000</v>
      </c>
      <c r="M184" s="508">
        <f>E184*12000</f>
        <v>0</v>
      </c>
      <c r="N184" s="509"/>
      <c r="O184" s="509"/>
      <c r="P184" s="509"/>
      <c r="Q184" s="510"/>
      <c r="R184" s="498">
        <f t="shared" si="50"/>
        <v>556000</v>
      </c>
      <c r="S184" s="496">
        <f>J184*4716</f>
        <v>174492</v>
      </c>
    </row>
    <row r="185" spans="1:19" s="221" customFormat="1">
      <c r="A185" s="220" t="s">
        <v>358</v>
      </c>
      <c r="B185" s="476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51">
        <f>C185*26880</f>
        <v>295680</v>
      </c>
      <c r="L185" s="526">
        <f>D185*26400</f>
        <v>26400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0"/>
        <v>322080</v>
      </c>
      <c r="S185" s="496">
        <f>J185*8712</f>
        <v>104544</v>
      </c>
    </row>
    <row r="186" spans="1:19">
      <c r="A186" s="104" t="s">
        <v>360</v>
      </c>
      <c r="B186" s="476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51">
        <f>C186*30400</f>
        <v>121600</v>
      </c>
      <c r="L186" s="526">
        <f>D186*25600</f>
        <v>76800</v>
      </c>
      <c r="M186" s="508">
        <f>E186*25600</f>
        <v>0</v>
      </c>
      <c r="N186" s="509"/>
      <c r="O186" s="509"/>
      <c r="P186" s="509"/>
      <c r="Q186" s="510"/>
      <c r="R186" s="498">
        <f t="shared" si="50"/>
        <v>198400</v>
      </c>
      <c r="S186" s="496">
        <f>J186*5760</f>
        <v>40320</v>
      </c>
    </row>
    <row r="187" spans="1:19">
      <c r="A187" s="104" t="s">
        <v>362</v>
      </c>
      <c r="B187" s="476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51">
        <f>C187*17600</f>
        <v>316800</v>
      </c>
      <c r="L187" s="526">
        <f>D187*14400</f>
        <v>144000</v>
      </c>
      <c r="M187" s="575">
        <f>E187*14400</f>
        <v>0</v>
      </c>
      <c r="N187" s="556"/>
      <c r="O187" s="509"/>
      <c r="P187" s="509"/>
      <c r="Q187" s="510"/>
      <c r="R187" s="498">
        <f t="shared" si="50"/>
        <v>460800</v>
      </c>
      <c r="S187" s="496">
        <f>J187*3867</f>
        <v>108276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0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51">
        <f>C189*11000</f>
        <v>3476000</v>
      </c>
      <c r="L189" s="526">
        <f>D189*9900</f>
        <v>198000</v>
      </c>
      <c r="M189" s="508">
        <f>E189*8800</f>
        <v>844800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0"/>
        <v>4518800</v>
      </c>
      <c r="S189" s="496">
        <f>J189*2006</f>
        <v>866592</v>
      </c>
    </row>
    <row r="190" spans="1:19">
      <c r="A190" s="104" t="s">
        <v>295</v>
      </c>
      <c r="B190" s="476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51">
        <f>C190*16000</f>
        <v>80000</v>
      </c>
      <c r="L190" s="526">
        <f>D190*12000</f>
        <v>120000</v>
      </c>
      <c r="M190" s="508">
        <f>E190*12000</f>
        <v>0</v>
      </c>
      <c r="N190" s="509"/>
      <c r="O190" s="509">
        <f>F190*13200</f>
        <v>13200</v>
      </c>
      <c r="P190" s="509"/>
      <c r="Q190" s="510"/>
      <c r="R190" s="498">
        <f t="shared" si="50"/>
        <v>213200</v>
      </c>
      <c r="S190" s="496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56">
        <f>C191*1800</f>
        <v>720000</v>
      </c>
      <c r="L191" s="526">
        <f>D191*1600</f>
        <v>160000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0"/>
        <v>880000</v>
      </c>
      <c r="S191" s="496">
        <f>J191*818</f>
        <v>409000</v>
      </c>
    </row>
    <row r="192" spans="1:19">
      <c r="A192" s="104" t="s">
        <v>371</v>
      </c>
      <c r="B192" s="476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51">
        <f>C192*2000</f>
        <v>320000</v>
      </c>
      <c r="L192" s="526">
        <f>D192*1600</f>
        <v>0</v>
      </c>
      <c r="M192" s="508">
        <f>E192*1600</f>
        <v>0</v>
      </c>
      <c r="N192" s="509"/>
      <c r="O192" s="509">
        <f>F192*1600</f>
        <v>8000</v>
      </c>
      <c r="P192" s="509"/>
      <c r="Q192" s="510"/>
      <c r="R192" s="498">
        <f t="shared" si="50"/>
        <v>328000</v>
      </c>
      <c r="S192" s="496">
        <f>J192*863</f>
        <v>142395</v>
      </c>
    </row>
    <row r="193" spans="1:19">
      <c r="A193" s="104" t="s">
        <v>306</v>
      </c>
      <c r="B193" s="476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51">
        <f>C193*19200</f>
        <v>672000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0"/>
        <v>672000</v>
      </c>
      <c r="S193" s="496">
        <f>J193*4062</f>
        <v>142170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0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51">
        <f>C195*19200</f>
        <v>57600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0"/>
        <v>57600</v>
      </c>
      <c r="S195" s="496">
        <f>J195*4314</f>
        <v>12942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0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0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0"/>
        <v>0</v>
      </c>
      <c r="S198" s="496">
        <f>J198*5557</f>
        <v>0</v>
      </c>
    </row>
    <row r="199" spans="1:19" s="495" customFormat="1">
      <c r="A199" s="104" t="s">
        <v>382</v>
      </c>
      <c r="B199" s="682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51">
        <f>C199*12000</f>
        <v>60000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0"/>
        <v>60000</v>
      </c>
      <c r="S199" s="496">
        <f>J199*2633</f>
        <v>13165</v>
      </c>
    </row>
    <row r="200" spans="1:19" s="495" customFormat="1">
      <c r="A200" s="180" t="s">
        <v>384</v>
      </c>
      <c r="B200" s="683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95">
        <f>C200*14000</f>
        <v>70000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0"/>
        <v>70000</v>
      </c>
      <c r="S200" s="496">
        <f>J200*3569</f>
        <v>17845</v>
      </c>
    </row>
    <row r="201" spans="1:19" s="495" customFormat="1">
      <c r="A201" s="104" t="s">
        <v>385</v>
      </c>
      <c r="B201" s="682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51">
        <f>C201*6600</f>
        <v>138600</v>
      </c>
      <c r="L201" s="526"/>
      <c r="M201" s="508">
        <f>E201*5500</f>
        <v>0</v>
      </c>
      <c r="N201" s="509"/>
      <c r="O201" s="509">
        <f>F201*5300</f>
        <v>5300</v>
      </c>
      <c r="P201" s="509"/>
      <c r="Q201" s="532">
        <f>I201*4620</f>
        <v>9240</v>
      </c>
      <c r="R201" s="498">
        <f t="shared" si="50"/>
        <v>153140</v>
      </c>
      <c r="S201" s="496">
        <f>J201*2573</f>
        <v>61752</v>
      </c>
    </row>
    <row r="202" spans="1:19" s="495" customFormat="1">
      <c r="A202" s="104" t="s">
        <v>387</v>
      </c>
      <c r="B202" s="683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51">
        <f>C202*6600</f>
        <v>204600</v>
      </c>
      <c r="L202" s="526"/>
      <c r="M202" s="508">
        <f>E202*5500</f>
        <v>0</v>
      </c>
      <c r="N202" s="509"/>
      <c r="O202" s="509">
        <f>F202*5300</f>
        <v>5300</v>
      </c>
      <c r="P202" s="509"/>
      <c r="Q202" s="532">
        <f>I202*4620</f>
        <v>9240</v>
      </c>
      <c r="R202" s="498">
        <f t="shared" si="50"/>
        <v>219140</v>
      </c>
      <c r="S202" s="496">
        <f>J202*3222</f>
        <v>109548</v>
      </c>
    </row>
    <row r="203" spans="1:19" s="495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26"/>
      <c r="M203" s="508">
        <f>E203*180000</f>
        <v>0</v>
      </c>
      <c r="N203" s="509"/>
      <c r="O203" s="509"/>
      <c r="P203" s="509"/>
      <c r="Q203" s="510"/>
      <c r="R203" s="498">
        <f t="shared" si="50"/>
        <v>0</v>
      </c>
      <c r="S203" s="496">
        <f>J203*63000</f>
        <v>0</v>
      </c>
    </row>
    <row r="204" spans="1:19" s="495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26"/>
      <c r="M204" s="508">
        <f>E204*180000</f>
        <v>0</v>
      </c>
      <c r="N204" s="509"/>
      <c r="O204" s="509"/>
      <c r="P204" s="509"/>
      <c r="Q204" s="510"/>
      <c r="R204" s="498">
        <f t="shared" si="50"/>
        <v>0</v>
      </c>
      <c r="S204" s="496">
        <f>J204*90000</f>
        <v>0</v>
      </c>
    </row>
    <row r="205" spans="1:19" s="495" customFormat="1">
      <c r="A205" s="104" t="s">
        <v>390</v>
      </c>
      <c r="B205" s="476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95">
        <f>C205*16500</f>
        <v>1683000</v>
      </c>
      <c r="L205" s="526"/>
      <c r="M205" s="508">
        <f>E205*12500</f>
        <v>62500</v>
      </c>
      <c r="N205" s="509"/>
      <c r="O205" s="509"/>
      <c r="P205" s="509"/>
      <c r="Q205" s="532"/>
      <c r="R205" s="498">
        <f t="shared" si="50"/>
        <v>1745500</v>
      </c>
      <c r="S205" s="496">
        <f>J205*3069</f>
        <v>328383</v>
      </c>
    </row>
    <row r="206" spans="1:19" s="495" customFormat="1">
      <c r="A206" s="104" t="s">
        <v>392</v>
      </c>
      <c r="B206" s="476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95">
        <f>C206*18000</f>
        <v>504000</v>
      </c>
      <c r="L206" s="526"/>
      <c r="M206" s="508">
        <f>E206*13200</f>
        <v>250800</v>
      </c>
      <c r="N206" s="509">
        <f>F206*18000</f>
        <v>0</v>
      </c>
      <c r="O206" s="509"/>
      <c r="P206" s="509"/>
      <c r="Q206" s="510"/>
      <c r="R206" s="498">
        <f t="shared" si="50"/>
        <v>754800</v>
      </c>
      <c r="S206" s="496">
        <f>J206*3147</f>
        <v>147909</v>
      </c>
    </row>
    <row r="207" spans="1:19" s="495" customFormat="1">
      <c r="A207" s="104" t="s">
        <v>394</v>
      </c>
      <c r="B207" s="476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95">
        <f>C207*12000</f>
        <v>120000</v>
      </c>
      <c r="L207" s="526"/>
      <c r="M207" s="508">
        <f>E207*9600</f>
        <v>19200</v>
      </c>
      <c r="N207" s="509">
        <f>F207*12000</f>
        <v>0</v>
      </c>
      <c r="O207" s="509">
        <f>G207*9600</f>
        <v>96000</v>
      </c>
      <c r="P207" s="509"/>
      <c r="Q207" s="510"/>
      <c r="R207" s="498">
        <f t="shared" si="50"/>
        <v>235200</v>
      </c>
      <c r="S207" s="496">
        <f>J207*2740</f>
        <v>60280</v>
      </c>
    </row>
    <row r="208" spans="1:19" s="495" customFormat="1">
      <c r="A208" s="104" t="s">
        <v>396</v>
      </c>
      <c r="B208" s="476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95">
        <f>C208*28000</f>
        <v>224000</v>
      </c>
      <c r="L208" s="526"/>
      <c r="M208" s="508"/>
      <c r="N208" s="509">
        <f>F208*19600</f>
        <v>0</v>
      </c>
      <c r="O208" s="509"/>
      <c r="P208" s="509">
        <f>H208*22400</f>
        <v>0</v>
      </c>
      <c r="Q208" s="510"/>
      <c r="R208" s="498">
        <f t="shared" si="50"/>
        <v>224000</v>
      </c>
      <c r="S208" s="496">
        <f>J208*6493</f>
        <v>51944</v>
      </c>
    </row>
    <row r="209" spans="1:19" s="495" customFormat="1">
      <c r="A209" s="104" t="s">
        <v>398</v>
      </c>
      <c r="B209" s="476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95">
        <f>C209*28000</f>
        <v>168000</v>
      </c>
      <c r="L209" s="526"/>
      <c r="M209" s="508"/>
      <c r="N209" s="509">
        <f>F209*19600</f>
        <v>0</v>
      </c>
      <c r="O209" s="509"/>
      <c r="P209" s="509">
        <f>H209*22400</f>
        <v>0</v>
      </c>
      <c r="Q209" s="510"/>
      <c r="R209" s="498">
        <f t="shared" si="50"/>
        <v>168000</v>
      </c>
      <c r="S209" s="496">
        <f>J209*6900</f>
        <v>41400</v>
      </c>
    </row>
    <row r="210" spans="1:19" s="495" customFormat="1">
      <c r="A210" s="104" t="s">
        <v>400</v>
      </c>
      <c r="B210" s="476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95">
        <f>C210*22000</f>
        <v>0</v>
      </c>
      <c r="L210" s="526"/>
      <c r="M210" s="508"/>
      <c r="N210" s="509">
        <f>F210*17100</f>
        <v>0</v>
      </c>
      <c r="O210" s="509"/>
      <c r="P210" s="509"/>
      <c r="Q210" s="510"/>
      <c r="R210" s="498">
        <f t="shared" si="50"/>
        <v>0</v>
      </c>
      <c r="S210" s="496">
        <f>J210*2573</f>
        <v>0</v>
      </c>
    </row>
    <row r="211" spans="1:19" s="495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95">
        <f>C211*22000</f>
        <v>0</v>
      </c>
      <c r="L211" s="526"/>
      <c r="M211" s="508"/>
      <c r="N211" s="509"/>
      <c r="O211" s="509"/>
      <c r="P211" s="509"/>
      <c r="Q211" s="510"/>
      <c r="R211" s="498">
        <f t="shared" si="50"/>
        <v>0</v>
      </c>
      <c r="S211" s="496">
        <f>J211*4950</f>
        <v>0</v>
      </c>
    </row>
    <row r="212" spans="1:19" s="495" customFormat="1" ht="16.5" customHeight="1">
      <c r="A212" s="104" t="s">
        <v>404</v>
      </c>
      <c r="B212" s="689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95">
        <f>C212*12000</f>
        <v>0</v>
      </c>
      <c r="L212" s="526"/>
      <c r="M212" s="508">
        <f>E212*12000</f>
        <v>0</v>
      </c>
      <c r="N212" s="509">
        <f>F212*9600</f>
        <v>0</v>
      </c>
      <c r="O212" s="509"/>
      <c r="P212" s="509">
        <f>H212*12000</f>
        <v>0</v>
      </c>
      <c r="Q212" s="510"/>
      <c r="R212" s="498">
        <f t="shared" si="50"/>
        <v>0</v>
      </c>
      <c r="S212" s="496">
        <f>J212*2645</f>
        <v>0</v>
      </c>
    </row>
    <row r="213" spans="1:19" s="495" customFormat="1">
      <c r="A213" s="104" t="s">
        <v>406</v>
      </c>
      <c r="B213" s="683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95">
        <f>C213*48000</f>
        <v>0</v>
      </c>
      <c r="L213" s="526"/>
      <c r="M213" s="508">
        <f>E213*48000</f>
        <v>0</v>
      </c>
      <c r="N213" s="509">
        <f>F213*38400</f>
        <v>0</v>
      </c>
      <c r="O213" s="509"/>
      <c r="P213" s="509"/>
      <c r="Q213" s="510"/>
      <c r="R213" s="498">
        <f t="shared" si="50"/>
        <v>0</v>
      </c>
      <c r="S213" s="496">
        <f>J213*5981</f>
        <v>0</v>
      </c>
    </row>
    <row r="214" spans="1:19" ht="16.5" customHeight="1">
      <c r="A214" s="104" t="s">
        <v>407</v>
      </c>
      <c r="B214" s="689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50"/>
        <v>0</v>
      </c>
      <c r="S214" s="496">
        <f>J214*2718</f>
        <v>0</v>
      </c>
    </row>
    <row r="215" spans="1:19">
      <c r="A215" s="104" t="s">
        <v>409</v>
      </c>
      <c r="B215" s="683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50"/>
        <v>0</v>
      </c>
      <c r="S215" s="496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95">
        <f>C216*18000</f>
        <v>90000</v>
      </c>
      <c r="L216" s="526"/>
      <c r="M216" s="508"/>
      <c r="N216" s="509">
        <f>F216*14400</f>
        <v>0</v>
      </c>
      <c r="O216" s="509"/>
      <c r="P216" s="509"/>
      <c r="Q216" s="510"/>
      <c r="R216" s="498">
        <f t="shared" si="50"/>
        <v>90000</v>
      </c>
      <c r="S216" s="496">
        <f>J216*3129</f>
        <v>15645</v>
      </c>
    </row>
    <row r="217" spans="1:19" ht="16.5" customHeight="1">
      <c r="A217" s="104" t="s">
        <v>412</v>
      </c>
      <c r="B217" s="689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95">
        <f>C217*18000</f>
        <v>504000</v>
      </c>
      <c r="L217" s="526"/>
      <c r="M217" s="508">
        <f>E217*18000</f>
        <v>0</v>
      </c>
      <c r="N217" s="509">
        <f>F217*14400</f>
        <v>72000</v>
      </c>
      <c r="O217" s="509"/>
      <c r="P217" s="509">
        <f>H217*18000</f>
        <v>0</v>
      </c>
      <c r="Q217" s="510"/>
      <c r="R217" s="498">
        <f t="shared" si="50"/>
        <v>576000</v>
      </c>
      <c r="S217" s="496">
        <f>J217*2748</f>
        <v>90684</v>
      </c>
    </row>
    <row r="218" spans="1:19">
      <c r="A218" s="104" t="s">
        <v>414</v>
      </c>
      <c r="B218" s="688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95">
        <f>C218*36000</f>
        <v>540000</v>
      </c>
      <c r="L218" s="526"/>
      <c r="M218" s="508">
        <f>E218*36000</f>
        <v>0</v>
      </c>
      <c r="N218" s="509">
        <f>F218*28800</f>
        <v>57600</v>
      </c>
      <c r="O218" s="509"/>
      <c r="P218" s="509">
        <f>H218*36000</f>
        <v>0</v>
      </c>
      <c r="Q218" s="510"/>
      <c r="R218" s="498">
        <f t="shared" si="50"/>
        <v>597600</v>
      </c>
      <c r="S218" s="496">
        <f>J218*4960</f>
        <v>84320</v>
      </c>
    </row>
    <row r="219" spans="1:19">
      <c r="A219" s="104" t="s">
        <v>415</v>
      </c>
      <c r="B219" s="683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95">
        <f>C219*90000</f>
        <v>90000</v>
      </c>
      <c r="L219" s="526"/>
      <c r="M219" s="508">
        <f>E219*90000</f>
        <v>0</v>
      </c>
      <c r="N219" s="509">
        <f>F219*72000</f>
        <v>0</v>
      </c>
      <c r="O219" s="509"/>
      <c r="P219" s="509"/>
      <c r="Q219" s="510"/>
      <c r="R219" s="498">
        <f t="shared" si="50"/>
        <v>90000</v>
      </c>
      <c r="S219" s="496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76">
        <f t="shared" ref="K220:S220" si="51">SUM(K171:K219)</f>
        <v>17995080</v>
      </c>
      <c r="L220" s="577">
        <f t="shared" si="51"/>
        <v>2557600</v>
      </c>
      <c r="M220" s="578">
        <f t="shared" si="51"/>
        <v>1177300</v>
      </c>
      <c r="N220" s="579">
        <f t="shared" si="51"/>
        <v>129600</v>
      </c>
      <c r="O220" s="579">
        <f t="shared" si="51"/>
        <v>127800</v>
      </c>
      <c r="P220" s="579">
        <f t="shared" si="51"/>
        <v>0</v>
      </c>
      <c r="Q220" s="576">
        <f t="shared" si="51"/>
        <v>18480</v>
      </c>
      <c r="R220" s="580">
        <f t="shared" si="51"/>
        <v>22005860</v>
      </c>
      <c r="S220" s="580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81"/>
      <c r="L221" s="582"/>
      <c r="M221" s="583"/>
      <c r="N221" s="584"/>
      <c r="O221" s="584"/>
      <c r="P221" s="584"/>
      <c r="Q221" s="581"/>
      <c r="R221" s="585"/>
      <c r="S221" s="585"/>
    </row>
    <row r="222" spans="1:19" ht="24" customHeight="1">
      <c r="A222" s="107" t="s">
        <v>417</v>
      </c>
      <c r="C222" s="108" t="s">
        <v>418</v>
      </c>
      <c r="D222" s="692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25"/>
      <c r="P222" s="521"/>
    </row>
    <row r="223" spans="1:19" ht="17.25" customHeight="1">
      <c r="A223" s="107"/>
      <c r="C223" s="406" t="s">
        <v>422</v>
      </c>
      <c r="D223" s="688"/>
      <c r="E223" s="294"/>
      <c r="F223" s="293"/>
      <c r="G223" s="14"/>
      <c r="H223" s="369"/>
      <c r="I223" s="361"/>
      <c r="J223" s="14"/>
      <c r="K223" s="308"/>
      <c r="P223" s="521"/>
    </row>
    <row r="224" spans="1:19" ht="21.75" customHeight="1">
      <c r="A224" s="107"/>
      <c r="C224" s="406" t="s">
        <v>423</v>
      </c>
      <c r="D224" s="688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21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503" t="s">
        <v>4</v>
      </c>
      <c r="L225" s="684" t="s">
        <v>431</v>
      </c>
      <c r="M225" s="685"/>
      <c r="N225" s="685"/>
      <c r="O225" s="586"/>
      <c r="P225" s="587"/>
      <c r="Q225" s="588" t="s">
        <v>432</v>
      </c>
      <c r="R225" s="505" t="s">
        <v>29</v>
      </c>
      <c r="S225" s="531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51">
        <f>C226*12000</f>
        <v>1560000</v>
      </c>
      <c r="L226" s="526">
        <f>D226*9900</f>
        <v>287100</v>
      </c>
      <c r="M226" s="526">
        <f>F226*9900</f>
        <v>0</v>
      </c>
      <c r="N226" s="508"/>
      <c r="O226" s="589"/>
      <c r="P226" s="590"/>
      <c r="Q226" s="510">
        <f>H226*12000</f>
        <v>0</v>
      </c>
      <c r="R226" s="496">
        <f>SUM(K226:Q226)</f>
        <v>1847100</v>
      </c>
      <c r="S226" s="496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51">
        <f>C227*22000</f>
        <v>2222000</v>
      </c>
      <c r="L227" s="526">
        <f>D227*18000</f>
        <v>756000</v>
      </c>
      <c r="M227" s="526">
        <f>F227*18000</f>
        <v>0</v>
      </c>
      <c r="N227" s="508"/>
      <c r="O227" s="589"/>
      <c r="P227" s="590"/>
      <c r="Q227" s="510">
        <f>H227*22000</f>
        <v>0</v>
      </c>
      <c r="R227" s="496">
        <f>SUM(K227:Q227)</f>
        <v>2978000</v>
      </c>
      <c r="S227" s="496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51">
        <f>C228*16500</f>
        <v>429000</v>
      </c>
      <c r="L228" s="526">
        <f>D228*13200</f>
        <v>39600</v>
      </c>
      <c r="M228" s="526">
        <f>F228*13200</f>
        <v>0</v>
      </c>
      <c r="N228" s="508"/>
      <c r="O228" s="589"/>
      <c r="P228" s="590"/>
      <c r="Q228" s="510">
        <f>H228*13200</f>
        <v>0</v>
      </c>
      <c r="R228" s="496">
        <f>SUM(K228:Q228)</f>
        <v>468600</v>
      </c>
      <c r="S228" s="496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51">
        <f>C229*16000</f>
        <v>464000</v>
      </c>
      <c r="L229" s="526">
        <f>D229*13100</f>
        <v>0</v>
      </c>
      <c r="M229" s="526"/>
      <c r="N229" s="508"/>
      <c r="O229" s="589"/>
      <c r="P229" s="590"/>
      <c r="Q229" s="510">
        <f>G229*16000</f>
        <v>0</v>
      </c>
      <c r="R229" s="496">
        <f>SUM(K229:Q229)</f>
        <v>464000</v>
      </c>
      <c r="S229" s="496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76">
        <f t="shared" ref="K230:S230" si="52">SUM(K226:K229)</f>
        <v>4675000</v>
      </c>
      <c r="L230" s="577">
        <f t="shared" si="52"/>
        <v>1082700</v>
      </c>
      <c r="M230" s="576">
        <f t="shared" si="52"/>
        <v>0</v>
      </c>
      <c r="N230" s="578">
        <f t="shared" si="52"/>
        <v>0</v>
      </c>
      <c r="O230" s="579">
        <f t="shared" si="52"/>
        <v>0</v>
      </c>
      <c r="P230" s="579">
        <f t="shared" si="52"/>
        <v>0</v>
      </c>
      <c r="Q230" s="576">
        <f t="shared" si="52"/>
        <v>0</v>
      </c>
      <c r="R230" s="580">
        <f t="shared" si="52"/>
        <v>5757700</v>
      </c>
      <c r="S230" s="580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81"/>
      <c r="L231" s="582"/>
      <c r="M231" s="581"/>
      <c r="N231" s="581"/>
      <c r="O231" s="584"/>
      <c r="P231" s="581"/>
      <c r="Q231" s="581"/>
      <c r="R231" s="585"/>
      <c r="S231" s="585"/>
    </row>
    <row r="232" spans="1:19">
      <c r="A232" s="64" t="s">
        <v>444</v>
      </c>
      <c r="B232" s="113"/>
      <c r="C232" s="89"/>
      <c r="D232" s="469" t="s">
        <v>445</v>
      </c>
      <c r="E232" s="102"/>
      <c r="F232" s="114"/>
      <c r="G232" s="168"/>
      <c r="H232" s="14" t="s">
        <v>27</v>
      </c>
      <c r="I232" s="14"/>
      <c r="J232" s="97"/>
      <c r="K232" s="564" t="s">
        <v>4</v>
      </c>
      <c r="L232" s="696" t="s">
        <v>446</v>
      </c>
      <c r="M232" s="697"/>
      <c r="N232" s="532" t="s">
        <v>93</v>
      </c>
      <c r="O232" s="532" t="s">
        <v>27</v>
      </c>
      <c r="P232" s="591" t="s">
        <v>9</v>
      </c>
      <c r="Q232" s="532"/>
      <c r="R232" s="498" t="s">
        <v>29</v>
      </c>
      <c r="S232" s="496" t="s">
        <v>167</v>
      </c>
    </row>
    <row r="233" spans="1:19">
      <c r="A233" s="115" t="s">
        <v>447</v>
      </c>
      <c r="B233" s="478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95">
        <f>C233*7000</f>
        <v>0</v>
      </c>
      <c r="L233" s="526"/>
      <c r="M233" s="508">
        <f>E233*0</f>
        <v>0</v>
      </c>
      <c r="N233" s="509"/>
      <c r="O233" s="509">
        <f>H233*1680</f>
        <v>0</v>
      </c>
      <c r="P233" s="592"/>
      <c r="Q233" s="532"/>
      <c r="R233" s="496">
        <f>SUM(K233:Q233)</f>
        <v>0</v>
      </c>
      <c r="S233" s="496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56">
        <f>C234*7800</f>
        <v>0</v>
      </c>
      <c r="L234" s="526"/>
      <c r="M234" s="508">
        <f>E234*0</f>
        <v>0</v>
      </c>
      <c r="N234" s="509"/>
      <c r="O234" s="509">
        <f>H234*1680</f>
        <v>0</v>
      </c>
      <c r="P234" s="592"/>
      <c r="Q234" s="532"/>
      <c r="R234" s="496">
        <f>SUM(K234:Q234)</f>
        <v>0</v>
      </c>
      <c r="S234" s="496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51">
        <f>C235*600</f>
        <v>144000</v>
      </c>
      <c r="L235" s="526">
        <f>D235*600</f>
        <v>180000</v>
      </c>
      <c r="M235" s="508">
        <f>E235*600</f>
        <v>0</v>
      </c>
      <c r="N235" s="509"/>
      <c r="O235" s="509">
        <f>H235*1680</f>
        <v>0</v>
      </c>
      <c r="P235" s="592"/>
      <c r="Q235" s="532"/>
      <c r="R235" s="496">
        <f>SUM(K235:Q235)</f>
        <v>324000</v>
      </c>
      <c r="S235" s="496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76">
        <f t="shared" ref="K236:S236" si="53">SUM(K233:K235)</f>
        <v>144000</v>
      </c>
      <c r="L236" s="577">
        <f t="shared" si="53"/>
        <v>180000</v>
      </c>
      <c r="M236" s="593">
        <f t="shared" si="53"/>
        <v>0</v>
      </c>
      <c r="N236" s="579">
        <f t="shared" si="53"/>
        <v>0</v>
      </c>
      <c r="O236" s="579">
        <f t="shared" si="53"/>
        <v>0</v>
      </c>
      <c r="P236" s="579">
        <f t="shared" si="53"/>
        <v>0</v>
      </c>
      <c r="Q236" s="579">
        <f t="shared" si="53"/>
        <v>0</v>
      </c>
      <c r="R236" s="580">
        <f t="shared" si="53"/>
        <v>324000</v>
      </c>
      <c r="S236" s="580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21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21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21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21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64" t="s">
        <v>4</v>
      </c>
      <c r="L241" s="594" t="s">
        <v>460</v>
      </c>
      <c r="M241" s="523" t="s">
        <v>461</v>
      </c>
      <c r="N241" s="595" t="s">
        <v>462</v>
      </c>
      <c r="O241" s="596"/>
      <c r="P241" s="597" t="s">
        <v>454</v>
      </c>
      <c r="Q241" s="597"/>
      <c r="R241" s="564" t="s">
        <v>29</v>
      </c>
      <c r="S241" s="496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51">
        <f>C242*1750</f>
        <v>420000</v>
      </c>
      <c r="L242" s="526">
        <f>D242*1750</f>
        <v>0</v>
      </c>
      <c r="M242" s="598">
        <f>E242*1400</f>
        <v>2380000</v>
      </c>
      <c r="N242" s="508">
        <f>F242*1400</f>
        <v>490000</v>
      </c>
      <c r="O242" s="596"/>
      <c r="P242" s="508">
        <f>H242*1200</f>
        <v>0</v>
      </c>
      <c r="Q242" s="508"/>
      <c r="R242" s="495">
        <f>SUM(K242:Q242)</f>
        <v>3290000</v>
      </c>
      <c r="S242" s="495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51">
        <f>C243*1750</f>
        <v>140000</v>
      </c>
      <c r="L243" s="526">
        <f>D243*1750</f>
        <v>0</v>
      </c>
      <c r="M243" s="598">
        <f>E243*1400</f>
        <v>2030000</v>
      </c>
      <c r="N243" s="508">
        <f>F243*1400</f>
        <v>350000</v>
      </c>
      <c r="O243" s="596"/>
      <c r="P243" s="508">
        <f>H243*1200</f>
        <v>0</v>
      </c>
      <c r="Q243" s="508"/>
      <c r="R243" s="495">
        <f>SUM(I243:Q243)</f>
        <v>2521780</v>
      </c>
      <c r="S243" s="495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76">
        <f t="shared" ref="K244:S244" si="54">SUM(K242:K243)</f>
        <v>560000</v>
      </c>
      <c r="L244" s="577">
        <f t="shared" si="54"/>
        <v>0</v>
      </c>
      <c r="M244" s="576">
        <f t="shared" si="54"/>
        <v>4410000</v>
      </c>
      <c r="N244" s="576">
        <f t="shared" si="54"/>
        <v>840000</v>
      </c>
      <c r="O244" s="578">
        <f t="shared" si="54"/>
        <v>0</v>
      </c>
      <c r="P244" s="576">
        <f t="shared" si="54"/>
        <v>0</v>
      </c>
      <c r="Q244" s="576">
        <f t="shared" si="54"/>
        <v>0</v>
      </c>
      <c r="R244" s="599">
        <f t="shared" si="54"/>
        <v>5811780</v>
      </c>
      <c r="S244" s="600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601"/>
      <c r="L245" s="601"/>
      <c r="M245" s="602"/>
      <c r="N245" s="602"/>
      <c r="O245" s="603"/>
      <c r="P245" s="604"/>
      <c r="Q245" s="605"/>
      <c r="R245" s="601"/>
      <c r="S245" s="606"/>
    </row>
    <row r="246" spans="1:19" s="16" customFormat="1">
      <c r="B246" s="64"/>
      <c r="C246" s="64"/>
      <c r="D246" s="302" t="s">
        <v>467</v>
      </c>
      <c r="E246" s="128" t="s">
        <v>6</v>
      </c>
      <c r="F246" s="471" t="s">
        <v>468</v>
      </c>
      <c r="G246" s="7" t="s">
        <v>469</v>
      </c>
      <c r="H246" s="129"/>
      <c r="I246" s="471"/>
      <c r="J246" s="345" t="s">
        <v>93</v>
      </c>
      <c r="K246" s="601"/>
      <c r="L246" s="601"/>
      <c r="M246" s="602"/>
      <c r="N246" s="602"/>
      <c r="O246" s="603"/>
      <c r="P246" s="604"/>
      <c r="Q246" s="605"/>
      <c r="R246" s="601"/>
      <c r="S246" s="606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503" t="s">
        <v>4</v>
      </c>
      <c r="L248" s="684" t="s">
        <v>474</v>
      </c>
      <c r="M248" s="685"/>
      <c r="N248" s="563"/>
      <c r="O248" s="563" t="s">
        <v>475</v>
      </c>
      <c r="P248" s="607"/>
      <c r="Q248" s="588" t="s">
        <v>27</v>
      </c>
      <c r="R248" s="505" t="s">
        <v>29</v>
      </c>
      <c r="S248" s="608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51">
        <v>2421000</v>
      </c>
      <c r="L249" s="526">
        <f>D249*176000</f>
        <v>176000</v>
      </c>
      <c r="M249" s="508">
        <f>E249*176000</f>
        <v>0</v>
      </c>
      <c r="N249" s="497"/>
      <c r="O249" s="497">
        <f>F249*162000</f>
        <v>648000</v>
      </c>
      <c r="P249" s="521"/>
      <c r="Q249" s="510"/>
      <c r="R249" s="496">
        <f t="shared" ref="R249:R255" si="56">SUM(K249:Q249)</f>
        <v>3245000</v>
      </c>
      <c r="S249" s="496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51">
        <v>270600</v>
      </c>
      <c r="L250" s="526">
        <f>D250*44000</f>
        <v>0</v>
      </c>
      <c r="M250" s="508">
        <f>E250*44000</f>
        <v>0</v>
      </c>
      <c r="N250" s="497"/>
      <c r="O250" s="497">
        <f>F250*36520</f>
        <v>36520</v>
      </c>
      <c r="P250" s="521"/>
      <c r="Q250" s="510">
        <f>I250*30800</f>
        <v>61600</v>
      </c>
      <c r="R250" s="496">
        <f t="shared" si="56"/>
        <v>368720</v>
      </c>
      <c r="S250" s="496">
        <f>J250*13500</f>
        <v>121500</v>
      </c>
    </row>
    <row r="251" spans="1:19">
      <c r="A251" s="69" t="s">
        <v>479</v>
      </c>
      <c r="B251" s="478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51">
        <v>521000</v>
      </c>
      <c r="L251" s="526">
        <f>D251*15400</f>
        <v>0</v>
      </c>
      <c r="M251" s="508">
        <f>E251*15400</f>
        <v>30800</v>
      </c>
      <c r="N251" s="497"/>
      <c r="P251" s="521"/>
      <c r="Q251" s="510"/>
      <c r="R251" s="496">
        <f t="shared" si="56"/>
        <v>551800</v>
      </c>
      <c r="S251" s="496">
        <f>J251*4500</f>
        <v>121500</v>
      </c>
    </row>
    <row r="252" spans="1:19">
      <c r="A252" s="115" t="s">
        <v>481</v>
      </c>
      <c r="B252" s="478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51">
        <v>453000</v>
      </c>
      <c r="L252" s="526">
        <f>D252*15400</f>
        <v>0</v>
      </c>
      <c r="M252" s="508">
        <f>E252*15400</f>
        <v>30800</v>
      </c>
      <c r="N252" s="497"/>
      <c r="P252" s="521"/>
      <c r="Q252" s="510"/>
      <c r="R252" s="496">
        <f t="shared" si="56"/>
        <v>483800</v>
      </c>
      <c r="S252" s="496">
        <f>J252*4700</f>
        <v>112800</v>
      </c>
    </row>
    <row r="253" spans="1:19">
      <c r="A253" s="115" t="s">
        <v>482</v>
      </c>
      <c r="B253" s="478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51">
        <f>C253*10400</f>
        <v>62400</v>
      </c>
      <c r="L253" s="526">
        <f>D253*10400</f>
        <v>0</v>
      </c>
      <c r="M253" s="508">
        <f>E253*10400</f>
        <v>0</v>
      </c>
      <c r="N253" s="497"/>
      <c r="P253" s="521"/>
      <c r="Q253" s="510"/>
      <c r="R253" s="496">
        <f t="shared" si="56"/>
        <v>62400</v>
      </c>
      <c r="S253" s="496">
        <f>J253*2700</f>
        <v>16200</v>
      </c>
    </row>
    <row r="254" spans="1:19">
      <c r="A254" s="69" t="s">
        <v>483</v>
      </c>
      <c r="B254" s="478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95">
        <f>C254*150000</f>
        <v>0</v>
      </c>
      <c r="L254" s="526">
        <f>D254*120000</f>
        <v>0</v>
      </c>
      <c r="M254" s="508">
        <f>E254*120000</f>
        <v>0</v>
      </c>
      <c r="N254" s="497"/>
      <c r="P254" s="521"/>
      <c r="Q254" s="510"/>
      <c r="R254" s="496">
        <f t="shared" si="56"/>
        <v>0</v>
      </c>
      <c r="S254" s="496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7">
        <f>C255*12000</f>
        <v>0</v>
      </c>
      <c r="L255" s="526"/>
      <c r="M255" s="508"/>
      <c r="N255" s="497"/>
      <c r="P255" s="521"/>
      <c r="Q255" s="510">
        <f>F255*12000</f>
        <v>0</v>
      </c>
      <c r="R255" s="496">
        <f t="shared" si="56"/>
        <v>0</v>
      </c>
      <c r="S255" s="496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81"/>
      <c r="L256" s="582"/>
      <c r="M256" s="581"/>
      <c r="N256" s="581"/>
      <c r="O256" s="583"/>
      <c r="P256" s="581"/>
      <c r="Q256" s="581"/>
      <c r="R256" s="581"/>
      <c r="S256" s="609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10">
        <f t="shared" ref="K257:S257" si="57">SUM(K249:K256)</f>
        <v>3728000</v>
      </c>
      <c r="L257" s="610">
        <f t="shared" si="57"/>
        <v>176000</v>
      </c>
      <c r="M257" s="610">
        <f t="shared" si="57"/>
        <v>61600</v>
      </c>
      <c r="N257" s="610">
        <f t="shared" si="57"/>
        <v>0</v>
      </c>
      <c r="O257" s="610">
        <f t="shared" si="57"/>
        <v>684520</v>
      </c>
      <c r="P257" s="610">
        <f t="shared" si="57"/>
        <v>0</v>
      </c>
      <c r="Q257" s="610">
        <f t="shared" si="57"/>
        <v>61600</v>
      </c>
      <c r="R257" s="610">
        <f t="shared" si="57"/>
        <v>4711720</v>
      </c>
      <c r="S257" s="610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21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21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21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21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503" t="s">
        <v>4</v>
      </c>
      <c r="L262" s="684" t="s">
        <v>474</v>
      </c>
      <c r="M262" s="685"/>
      <c r="N262" s="504" t="s">
        <v>26</v>
      </c>
      <c r="O262" s="504" t="s">
        <v>27</v>
      </c>
      <c r="P262" s="504" t="s">
        <v>9</v>
      </c>
      <c r="Q262" s="505"/>
      <c r="R262" s="505" t="s">
        <v>29</v>
      </c>
      <c r="S262" s="608" t="s">
        <v>167</v>
      </c>
    </row>
    <row r="263" spans="1:19" s="495" customFormat="1">
      <c r="A263" s="104" t="s">
        <v>499</v>
      </c>
      <c r="B263" s="689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51">
        <f>C263*25000</f>
        <v>150000</v>
      </c>
      <c r="L263" s="526">
        <f>D263*22000</f>
        <v>88000</v>
      </c>
      <c r="M263" s="508">
        <f>E263*22000</f>
        <v>132000</v>
      </c>
      <c r="N263" s="509">
        <f>F263*10000</f>
        <v>0</v>
      </c>
      <c r="O263" s="509"/>
      <c r="P263" s="509"/>
      <c r="Q263" s="498"/>
      <c r="R263" s="496">
        <f t="shared" ref="R263:R294" si="59">SUM(K263:Q263)</f>
        <v>370000</v>
      </c>
      <c r="S263" s="496">
        <f>J263*15400</f>
        <v>246400</v>
      </c>
    </row>
    <row r="264" spans="1:19" s="495" customFormat="1">
      <c r="A264" s="104" t="s">
        <v>501</v>
      </c>
      <c r="B264" s="683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51">
        <f>C264*12000</f>
        <v>564000</v>
      </c>
      <c r="L264" s="526">
        <f>D264*12000</f>
        <v>0</v>
      </c>
      <c r="M264" s="508">
        <f>E264*12000</f>
        <v>0</v>
      </c>
      <c r="N264" s="509"/>
      <c r="O264" s="509"/>
      <c r="P264" s="509"/>
      <c r="Q264" s="498"/>
      <c r="R264" s="496">
        <f t="shared" si="59"/>
        <v>564000</v>
      </c>
      <c r="S264" s="496">
        <f>J264*7150</f>
        <v>336050</v>
      </c>
    </row>
    <row r="265" spans="1:19" s="495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51">
        <f>C265*22000</f>
        <v>352000</v>
      </c>
      <c r="L265" s="526">
        <f>D265*22000</f>
        <v>0</v>
      </c>
      <c r="M265" s="508">
        <f>E265*15000</f>
        <v>135000</v>
      </c>
      <c r="N265" s="509"/>
      <c r="O265" s="509"/>
      <c r="P265" s="509"/>
      <c r="Q265" s="498"/>
      <c r="R265" s="496">
        <f t="shared" si="59"/>
        <v>487000</v>
      </c>
      <c r="S265" s="496">
        <f>J265*10835</f>
        <v>270875</v>
      </c>
    </row>
    <row r="266" spans="1:19" s="495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51">
        <f>C266*22000</f>
        <v>462000</v>
      </c>
      <c r="L266" s="526">
        <f>D266*22000</f>
        <v>0</v>
      </c>
      <c r="M266" s="508">
        <f>E266*22000</f>
        <v>44000</v>
      </c>
      <c r="N266" s="509"/>
      <c r="O266" s="509"/>
      <c r="P266" s="509"/>
      <c r="Q266" s="498"/>
      <c r="R266" s="496">
        <f t="shared" si="59"/>
        <v>506000</v>
      </c>
      <c r="S266" s="496">
        <f>J266*9361</f>
        <v>215303</v>
      </c>
    </row>
    <row r="267" spans="1:19" s="495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51">
        <v>105000</v>
      </c>
      <c r="L267" s="526">
        <f>D267*15000</f>
        <v>0</v>
      </c>
      <c r="M267" s="508">
        <f>E267*14000</f>
        <v>0</v>
      </c>
      <c r="N267" s="509"/>
      <c r="O267" s="509">
        <f>I267*14400</f>
        <v>57600</v>
      </c>
      <c r="P267" s="509"/>
      <c r="Q267" s="532"/>
      <c r="R267" s="496">
        <f t="shared" si="59"/>
        <v>162600</v>
      </c>
      <c r="S267" s="496">
        <f>J267*4238</f>
        <v>42380</v>
      </c>
    </row>
    <row r="268" spans="1:19" s="495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51">
        <v>72000</v>
      </c>
      <c r="L268" s="526">
        <f>D268*11600</f>
        <v>0</v>
      </c>
      <c r="M268" s="508">
        <f>E268*11600</f>
        <v>11600</v>
      </c>
      <c r="N268" s="509"/>
      <c r="O268" s="509"/>
      <c r="P268" s="509"/>
      <c r="Q268" s="498"/>
      <c r="R268" s="496">
        <f t="shared" si="59"/>
        <v>83600</v>
      </c>
      <c r="S268" s="496">
        <f>J268*3719</f>
        <v>22314</v>
      </c>
    </row>
    <row r="269" spans="1:19" s="495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51">
        <f>C269*33000</f>
        <v>132000</v>
      </c>
      <c r="L269" s="526">
        <f>D269*33000</f>
        <v>0</v>
      </c>
      <c r="M269" s="575">
        <f>E269*33000</f>
        <v>0</v>
      </c>
      <c r="N269" s="556"/>
      <c r="O269" s="556"/>
      <c r="P269" s="556"/>
      <c r="Q269" s="498"/>
      <c r="R269" s="496">
        <f t="shared" si="59"/>
        <v>132000</v>
      </c>
      <c r="S269" s="496">
        <f>J269*16500</f>
        <v>66000</v>
      </c>
    </row>
    <row r="270" spans="1:19" s="495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95">
        <f>C270*77000</f>
        <v>77000</v>
      </c>
      <c r="L270" s="526">
        <f>D270*77000</f>
        <v>0</v>
      </c>
      <c r="M270" s="575">
        <f>E270*77000</f>
        <v>0</v>
      </c>
      <c r="N270" s="556"/>
      <c r="O270" s="556"/>
      <c r="P270" s="556"/>
      <c r="Q270" s="532"/>
      <c r="R270" s="496">
        <f t="shared" si="59"/>
        <v>77000</v>
      </c>
      <c r="S270" s="496">
        <f>J270*38500</f>
        <v>38500</v>
      </c>
    </row>
    <row r="271" spans="1:19" s="495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72">
        <f>C271*2500</f>
        <v>260000</v>
      </c>
      <c r="L271" s="526"/>
      <c r="M271" s="508"/>
      <c r="N271" s="509"/>
      <c r="O271" s="509"/>
      <c r="P271" s="509"/>
      <c r="Q271" s="532"/>
      <c r="R271" s="496">
        <f t="shared" si="59"/>
        <v>260000</v>
      </c>
      <c r="S271" s="496">
        <f>J271*1070</f>
        <v>111280</v>
      </c>
    </row>
    <row r="272" spans="1:19" s="495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56">
        <f>C272*1700</f>
        <v>0</v>
      </c>
      <c r="L272" s="526">
        <f>D272*1700</f>
        <v>0</v>
      </c>
      <c r="M272" s="508">
        <f>E272*1700</f>
        <v>170000</v>
      </c>
      <c r="N272" s="509"/>
      <c r="O272" s="509">
        <f>I272*2000</f>
        <v>8000</v>
      </c>
      <c r="P272" s="509"/>
      <c r="Q272" s="532"/>
      <c r="R272" s="496">
        <f t="shared" si="59"/>
        <v>178000</v>
      </c>
      <c r="S272" s="496">
        <f>J272*1070</f>
        <v>111280</v>
      </c>
    </row>
    <row r="273" spans="1:19" s="495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72">
        <f>C273*2500</f>
        <v>92500</v>
      </c>
      <c r="L273" s="526"/>
      <c r="M273" s="508">
        <f>E273*1500</f>
        <v>0</v>
      </c>
      <c r="N273" s="509"/>
      <c r="O273" s="509"/>
      <c r="P273" s="509"/>
      <c r="Q273" s="498"/>
      <c r="R273" s="496">
        <f t="shared" si="59"/>
        <v>92500</v>
      </c>
      <c r="S273" s="496">
        <f>J273*495</f>
        <v>18315</v>
      </c>
    </row>
    <row r="274" spans="1:19" s="495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56">
        <v>150000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498"/>
      <c r="R274" s="496">
        <f t="shared" si="59"/>
        <v>150000</v>
      </c>
      <c r="S274" s="496">
        <f>J274*495</f>
        <v>49500</v>
      </c>
    </row>
    <row r="275" spans="1:19" s="495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72">
        <f>C275*2500</f>
        <v>530000</v>
      </c>
      <c r="L275" s="526"/>
      <c r="M275" s="508"/>
      <c r="N275" s="509"/>
      <c r="O275" s="509"/>
      <c r="P275" s="509"/>
      <c r="Q275" s="532"/>
      <c r="R275" s="496">
        <f t="shared" si="59"/>
        <v>530000</v>
      </c>
      <c r="S275" s="496">
        <f>J275*310</f>
        <v>65720</v>
      </c>
    </row>
    <row r="276" spans="1:19" s="495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56">
        <v>150000</v>
      </c>
      <c r="L276" s="526">
        <f>D276*1700</f>
        <v>0</v>
      </c>
      <c r="M276" s="508">
        <f>E276*1700</f>
        <v>0</v>
      </c>
      <c r="N276" s="509"/>
      <c r="O276" s="509">
        <f>I276*2000</f>
        <v>10000</v>
      </c>
      <c r="P276" s="509"/>
      <c r="Q276" s="532"/>
      <c r="R276" s="496">
        <f t="shared" si="59"/>
        <v>160000</v>
      </c>
      <c r="S276" s="496">
        <f>J276*310</f>
        <v>32550</v>
      </c>
    </row>
    <row r="277" spans="1:19" s="495" customFormat="1">
      <c r="A277" s="206" t="s">
        <v>524</v>
      </c>
      <c r="B277" s="686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51">
        <v>93600</v>
      </c>
      <c r="L277" s="526">
        <f>D277*15400</f>
        <v>0</v>
      </c>
      <c r="M277" s="575">
        <f>E277*15400</f>
        <v>30800</v>
      </c>
      <c r="N277" s="556"/>
      <c r="O277" s="611">
        <f>I277*15120</f>
        <v>60480</v>
      </c>
      <c r="P277" s="556"/>
      <c r="Q277" s="556"/>
      <c r="R277" s="496">
        <f t="shared" si="59"/>
        <v>184880</v>
      </c>
      <c r="S277" s="496">
        <f>J277*4794</f>
        <v>52734</v>
      </c>
    </row>
    <row r="278" spans="1:19" s="495" customFormat="1">
      <c r="A278" s="139" t="s">
        <v>526</v>
      </c>
      <c r="B278" s="683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95">
        <f>C278*11000</f>
        <v>0</v>
      </c>
      <c r="L278" s="526">
        <f>D278*7000</f>
        <v>0</v>
      </c>
      <c r="M278" s="508">
        <f>E278*7000</f>
        <v>0</v>
      </c>
      <c r="N278" s="509"/>
      <c r="O278" s="509"/>
      <c r="P278" s="509"/>
      <c r="Q278" s="498"/>
      <c r="R278" s="496">
        <f t="shared" si="59"/>
        <v>0</v>
      </c>
      <c r="S278" s="496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51">
        <f>C279*25000</f>
        <v>50000</v>
      </c>
      <c r="L279" s="526">
        <f>D279*20000</f>
        <v>0</v>
      </c>
      <c r="M279" s="508">
        <f>E279*20000</f>
        <v>0</v>
      </c>
      <c r="N279" s="509"/>
      <c r="O279" s="509"/>
      <c r="P279" s="509"/>
      <c r="R279" s="496">
        <f t="shared" si="59"/>
        <v>50000</v>
      </c>
      <c r="S279" s="496">
        <f>J279*12400</f>
        <v>24800</v>
      </c>
    </row>
    <row r="280" spans="1:19">
      <c r="A280" s="139" t="s">
        <v>529</v>
      </c>
      <c r="B280" s="686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51">
        <f>C280*40000</f>
        <v>0</v>
      </c>
      <c r="L280" s="526">
        <f>D280*40000</f>
        <v>0</v>
      </c>
      <c r="M280" s="508">
        <f>E280*38000</f>
        <v>0</v>
      </c>
      <c r="N280" s="509"/>
      <c r="O280" s="611"/>
      <c r="P280" s="509"/>
      <c r="R280" s="496">
        <f t="shared" si="59"/>
        <v>0</v>
      </c>
      <c r="S280" s="496">
        <f>J280*26400</f>
        <v>0</v>
      </c>
    </row>
    <row r="281" spans="1:19">
      <c r="A281" s="139" t="s">
        <v>531</v>
      </c>
      <c r="B281" s="688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51">
        <f>C281*22000</f>
        <v>44000</v>
      </c>
      <c r="L281" s="526">
        <f>D281*22000</f>
        <v>0</v>
      </c>
      <c r="M281" s="508">
        <f>E281*18000</f>
        <v>0</v>
      </c>
      <c r="N281" s="509"/>
      <c r="O281" s="509"/>
      <c r="P281" s="509"/>
      <c r="R281" s="496">
        <f t="shared" si="59"/>
        <v>44000</v>
      </c>
      <c r="S281" s="496">
        <f>J281*11000</f>
        <v>22000</v>
      </c>
    </row>
    <row r="282" spans="1:19">
      <c r="A282" s="139" t="s">
        <v>532</v>
      </c>
      <c r="B282" s="683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95">
        <f>C282*4000</f>
        <v>40000</v>
      </c>
      <c r="L282" s="526">
        <f>D282*4000</f>
        <v>0</v>
      </c>
      <c r="M282" s="508">
        <f>E282*3000</f>
        <v>0</v>
      </c>
      <c r="N282" s="509"/>
      <c r="O282" s="509"/>
      <c r="P282" s="509"/>
      <c r="R282" s="496">
        <f t="shared" si="59"/>
        <v>40000</v>
      </c>
      <c r="S282" s="496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51">
        <f>C283*25000</f>
        <v>50000</v>
      </c>
      <c r="L283" s="526">
        <f>D283*25000</f>
        <v>0</v>
      </c>
      <c r="M283" s="508">
        <f>E283*25000</f>
        <v>0</v>
      </c>
      <c r="N283" s="509"/>
      <c r="O283" s="509"/>
      <c r="P283" s="509"/>
      <c r="R283" s="496">
        <f t="shared" si="59"/>
        <v>50000</v>
      </c>
      <c r="S283" s="496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51">
        <f>C284*5000</f>
        <v>0</v>
      </c>
      <c r="L284" s="526">
        <f>D284*5000</f>
        <v>0</v>
      </c>
      <c r="M284" s="508">
        <f>E284*4500</f>
        <v>0</v>
      </c>
      <c r="N284" s="509"/>
      <c r="O284" s="509"/>
      <c r="P284" s="509"/>
      <c r="R284" s="496">
        <f t="shared" si="59"/>
        <v>0</v>
      </c>
      <c r="S284" s="496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26">
        <f>D285*20000</f>
        <v>0</v>
      </c>
      <c r="M285" s="508">
        <f>E285*20000</f>
        <v>0</v>
      </c>
      <c r="N285" s="509"/>
      <c r="O285" s="509"/>
      <c r="P285" s="509"/>
      <c r="R285" s="496">
        <f t="shared" si="59"/>
        <v>0</v>
      </c>
      <c r="S285" s="496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95">
        <f>C286*4000</f>
        <v>0</v>
      </c>
      <c r="L286" s="526">
        <f>D286*4000</f>
        <v>0</v>
      </c>
      <c r="M286" s="508">
        <f>E286*4000</f>
        <v>0</v>
      </c>
      <c r="N286" s="509"/>
      <c r="O286" s="509"/>
      <c r="P286" s="509"/>
      <c r="R286" s="496">
        <f t="shared" si="59"/>
        <v>0</v>
      </c>
      <c r="S286" s="496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95">
        <f>C287*3900</f>
        <v>366600</v>
      </c>
      <c r="L287" s="526">
        <f>D287*3900</f>
        <v>0</v>
      </c>
      <c r="M287" s="508">
        <f>E287*3900</f>
        <v>0</v>
      </c>
      <c r="N287" s="509"/>
      <c r="O287" s="509"/>
      <c r="P287" s="509"/>
      <c r="R287" s="496">
        <f t="shared" si="59"/>
        <v>366600</v>
      </c>
      <c r="S287" s="496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95">
        <f>C288*6600</f>
        <v>85800</v>
      </c>
      <c r="L288" s="526">
        <f>D288*6600</f>
        <v>0</v>
      </c>
      <c r="M288" s="508">
        <f>E288*6600</f>
        <v>0</v>
      </c>
      <c r="N288" s="509"/>
      <c r="O288" s="509"/>
      <c r="P288" s="509"/>
      <c r="R288" s="496">
        <f t="shared" si="59"/>
        <v>85800</v>
      </c>
      <c r="S288" s="496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95">
        <f>C289*25000</f>
        <v>0</v>
      </c>
      <c r="L289" s="526">
        <f>D289*20000</f>
        <v>0</v>
      </c>
      <c r="M289" s="508">
        <f>E289*20000</f>
        <v>0</v>
      </c>
      <c r="N289" s="509"/>
      <c r="O289" s="509"/>
      <c r="P289" s="509"/>
      <c r="R289" s="496">
        <f t="shared" si="59"/>
        <v>0</v>
      </c>
      <c r="S289" s="496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51">
        <f>C290*15000</f>
        <v>15000</v>
      </c>
      <c r="L290" s="526">
        <f>D290*10000</f>
        <v>0</v>
      </c>
      <c r="M290" s="508">
        <f>E290*10000</f>
        <v>0</v>
      </c>
      <c r="N290" s="509"/>
      <c r="O290" s="509"/>
      <c r="P290" s="509"/>
      <c r="R290" s="496">
        <f t="shared" si="59"/>
        <v>15000</v>
      </c>
      <c r="S290" s="496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51">
        <f>C291*15000</f>
        <v>0</v>
      </c>
      <c r="L291" s="526">
        <f>D291*10000</f>
        <v>0</v>
      </c>
      <c r="M291" s="508">
        <f>E291*10000</f>
        <v>0</v>
      </c>
      <c r="N291" s="509"/>
      <c r="O291" s="509"/>
      <c r="P291" s="509"/>
      <c r="R291" s="496">
        <f t="shared" si="59"/>
        <v>0</v>
      </c>
      <c r="S291" s="496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72">
        <f>C292*30000</f>
        <v>0</v>
      </c>
      <c r="L292" s="526">
        <f>D292*25000</f>
        <v>0</v>
      </c>
      <c r="M292" s="508">
        <f>E292*25000</f>
        <v>0</v>
      </c>
      <c r="N292" s="509"/>
      <c r="O292" s="509"/>
      <c r="P292" s="509"/>
      <c r="Q292" s="612"/>
      <c r="R292" s="496">
        <f t="shared" si="59"/>
        <v>0</v>
      </c>
      <c r="S292" s="496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95">
        <f>C293*24000</f>
        <v>24000</v>
      </c>
      <c r="L293" s="526">
        <f>D293*20000</f>
        <v>0</v>
      </c>
      <c r="M293" s="508">
        <f>E293*18000</f>
        <v>0</v>
      </c>
      <c r="N293" s="509"/>
      <c r="O293" s="509"/>
      <c r="P293" s="509"/>
      <c r="R293" s="496">
        <f t="shared" si="59"/>
        <v>24000</v>
      </c>
      <c r="S293" s="496">
        <f>J293*9945</f>
        <v>9945</v>
      </c>
    </row>
    <row r="294" spans="1:19">
      <c r="A294" t="s">
        <v>444</v>
      </c>
      <c r="B294" s="686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95">
        <f>C294*25000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R294" s="496">
        <f t="shared" si="59"/>
        <v>0</v>
      </c>
      <c r="S294" s="496">
        <f>J294*18000</f>
        <v>0</v>
      </c>
    </row>
    <row r="295" spans="1:19">
      <c r="A295" s="115" t="s">
        <v>552</v>
      </c>
      <c r="B295" s="688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51">
        <f>C295*10000</f>
        <v>0</v>
      </c>
      <c r="L295" s="526"/>
      <c r="M295" s="508"/>
      <c r="N295" s="509"/>
      <c r="O295" s="509"/>
      <c r="P295" s="509"/>
      <c r="R295" s="496">
        <f t="shared" ref="R295:R326" si="61">SUM(K295:Q295)</f>
        <v>0</v>
      </c>
      <c r="S295" s="496">
        <f>J295*9000</f>
        <v>0</v>
      </c>
    </row>
    <row r="296" spans="1:19">
      <c r="A296" s="115" t="s">
        <v>553</v>
      </c>
      <c r="B296" s="688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95">
        <f>C296*24000</f>
        <v>0</v>
      </c>
      <c r="L296" s="526"/>
      <c r="M296" s="508"/>
      <c r="N296" s="509"/>
      <c r="O296" s="509"/>
      <c r="P296" s="509"/>
      <c r="R296" s="496">
        <f t="shared" si="61"/>
        <v>0</v>
      </c>
      <c r="S296" s="496">
        <f>J296*18000</f>
        <v>0</v>
      </c>
    </row>
    <row r="297" spans="1:19">
      <c r="A297" s="115" t="s">
        <v>554</v>
      </c>
      <c r="B297" s="683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95">
        <f>C297*7000</f>
        <v>7000</v>
      </c>
      <c r="L297" s="526">
        <f>D297*7000</f>
        <v>0</v>
      </c>
      <c r="M297" s="508">
        <f>E297*7000</f>
        <v>0</v>
      </c>
      <c r="N297" s="509"/>
      <c r="O297" s="509"/>
      <c r="P297" s="509"/>
      <c r="R297" s="496">
        <f t="shared" si="61"/>
        <v>7000</v>
      </c>
      <c r="S297" s="496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95">
        <f>C298*10000</f>
        <v>0</v>
      </c>
      <c r="L298" s="526">
        <f>D298*10000</f>
        <v>0</v>
      </c>
      <c r="M298" s="508">
        <f>E298*10000</f>
        <v>0</v>
      </c>
      <c r="N298" s="509"/>
      <c r="O298" s="509"/>
      <c r="P298" s="509"/>
      <c r="R298" s="496">
        <f t="shared" si="61"/>
        <v>0</v>
      </c>
      <c r="S298" s="496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51">
        <f t="shared" ref="K299:M300" si="62">C299*200</f>
        <v>44000</v>
      </c>
      <c r="L299" s="526">
        <f t="shared" si="62"/>
        <v>0</v>
      </c>
      <c r="M299" s="508">
        <f t="shared" si="62"/>
        <v>0</v>
      </c>
      <c r="N299" s="509"/>
      <c r="O299" s="509"/>
      <c r="P299" s="509"/>
      <c r="R299" s="496">
        <f t="shared" si="61"/>
        <v>44000</v>
      </c>
      <c r="S299" s="496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51">
        <f t="shared" si="62"/>
        <v>4000</v>
      </c>
      <c r="L300" s="526">
        <f t="shared" si="62"/>
        <v>0</v>
      </c>
      <c r="M300" s="508">
        <f t="shared" si="62"/>
        <v>0</v>
      </c>
      <c r="N300" s="509"/>
      <c r="O300" s="509"/>
      <c r="P300" s="509"/>
      <c r="R300" s="496">
        <f t="shared" si="61"/>
        <v>4000</v>
      </c>
      <c r="S300" s="496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51"/>
      <c r="L301" s="526"/>
      <c r="M301" s="508">
        <f>E301*150</f>
        <v>0</v>
      </c>
      <c r="N301" s="509"/>
      <c r="O301" s="509"/>
      <c r="P301" s="509"/>
      <c r="R301" s="496">
        <f t="shared" si="61"/>
        <v>0</v>
      </c>
      <c r="S301" s="496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51"/>
      <c r="L302" s="526"/>
      <c r="M302" s="508">
        <f>E302*15000</f>
        <v>15000</v>
      </c>
      <c r="N302" s="509"/>
      <c r="O302" s="509"/>
      <c r="P302" s="509"/>
      <c r="R302" s="496">
        <f t="shared" si="61"/>
        <v>15000</v>
      </c>
      <c r="S302" s="496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95">
        <f>C303*3000</f>
        <v>0</v>
      </c>
      <c r="L303" s="526">
        <f>D303*3000</f>
        <v>0</v>
      </c>
      <c r="M303" s="508">
        <f>E303*3000</f>
        <v>0</v>
      </c>
      <c r="N303" s="509"/>
      <c r="O303" s="509"/>
      <c r="P303" s="509"/>
      <c r="R303" s="496">
        <f t="shared" si="61"/>
        <v>0</v>
      </c>
      <c r="S303" s="496">
        <f>J303*1320</f>
        <v>0</v>
      </c>
    </row>
    <row r="304" spans="1:19" s="495" customFormat="1">
      <c r="A304" s="139" t="s">
        <v>564</v>
      </c>
      <c r="B304" s="686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51">
        <f>C304*1100</f>
        <v>22000</v>
      </c>
      <c r="L304" s="526">
        <f>D304*850</f>
        <v>0</v>
      </c>
      <c r="M304" s="508">
        <f>E304*850</f>
        <v>0</v>
      </c>
      <c r="N304" s="509"/>
      <c r="O304" s="509"/>
      <c r="P304" s="509"/>
      <c r="Q304" s="498"/>
      <c r="R304" s="496">
        <f t="shared" si="61"/>
        <v>22000</v>
      </c>
      <c r="S304" s="496">
        <f>J304*780</f>
        <v>15600</v>
      </c>
    </row>
    <row r="305" spans="1:19" s="495" customFormat="1">
      <c r="A305" s="139" t="s">
        <v>566</v>
      </c>
      <c r="B305" s="683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51">
        <f>C305*1200</f>
        <v>0</v>
      </c>
      <c r="L305" s="526">
        <f>D305*980</f>
        <v>0</v>
      </c>
      <c r="M305" s="508">
        <f>E305*980</f>
        <v>0</v>
      </c>
      <c r="N305" s="509"/>
      <c r="O305" s="509"/>
      <c r="P305" s="509"/>
      <c r="Q305" s="498"/>
      <c r="R305" s="496">
        <f t="shared" si="61"/>
        <v>0</v>
      </c>
      <c r="S305" s="496">
        <f>J305*836</f>
        <v>0</v>
      </c>
    </row>
    <row r="306" spans="1:19" s="495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51">
        <f>C306*1100</f>
        <v>0</v>
      </c>
      <c r="L306" s="526">
        <f>D306*1100</f>
        <v>0</v>
      </c>
      <c r="M306" s="508">
        <f>E306*1100</f>
        <v>0</v>
      </c>
      <c r="N306" s="509"/>
      <c r="O306" s="509"/>
      <c r="P306" s="509"/>
      <c r="Q306" s="498"/>
      <c r="R306" s="496">
        <f t="shared" si="61"/>
        <v>0</v>
      </c>
      <c r="S306" s="496">
        <f>J306*968</f>
        <v>0</v>
      </c>
    </row>
    <row r="307" spans="1:19" s="495" customFormat="1">
      <c r="A307" s="139" t="s">
        <v>569</v>
      </c>
      <c r="B307" s="695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95">
        <f t="shared" ref="K307:M309" si="63">C307*550</f>
        <v>0</v>
      </c>
      <c r="L307" s="526">
        <f t="shared" si="63"/>
        <v>0</v>
      </c>
      <c r="M307" s="508">
        <f t="shared" si="63"/>
        <v>0</v>
      </c>
      <c r="N307" s="509"/>
      <c r="O307" s="509"/>
      <c r="P307" s="509"/>
      <c r="Q307" s="498"/>
      <c r="R307" s="496">
        <f t="shared" si="61"/>
        <v>0</v>
      </c>
      <c r="S307" s="496">
        <f>J307*389</f>
        <v>0</v>
      </c>
    </row>
    <row r="308" spans="1:19" s="495" customFormat="1">
      <c r="A308" s="139" t="s">
        <v>571</v>
      </c>
      <c r="B308" s="688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95">
        <f t="shared" si="63"/>
        <v>0</v>
      </c>
      <c r="L308" s="526">
        <f t="shared" si="63"/>
        <v>0</v>
      </c>
      <c r="M308" s="508">
        <f t="shared" si="63"/>
        <v>0</v>
      </c>
      <c r="N308" s="509"/>
      <c r="O308" s="509"/>
      <c r="P308" s="509"/>
      <c r="Q308" s="498"/>
      <c r="R308" s="496">
        <f t="shared" si="61"/>
        <v>0</v>
      </c>
      <c r="S308" s="496">
        <f>J308*389</f>
        <v>0</v>
      </c>
    </row>
    <row r="309" spans="1:19" s="495" customFormat="1">
      <c r="A309" s="139" t="s">
        <v>572</v>
      </c>
      <c r="B309" s="683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95">
        <f t="shared" si="63"/>
        <v>0</v>
      </c>
      <c r="L309" s="526">
        <f t="shared" si="63"/>
        <v>0</v>
      </c>
      <c r="M309" s="508">
        <f t="shared" si="63"/>
        <v>0</v>
      </c>
      <c r="N309" s="509"/>
      <c r="O309" s="509"/>
      <c r="P309" s="509"/>
      <c r="Q309" s="498"/>
      <c r="R309" s="496">
        <f t="shared" si="61"/>
        <v>0</v>
      </c>
      <c r="S309" s="496">
        <f>J309*389</f>
        <v>0</v>
      </c>
    </row>
    <row r="310" spans="1:19" s="495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51">
        <f>C310*2500</f>
        <v>15000</v>
      </c>
      <c r="L310" s="526">
        <f>D310*2500</f>
        <v>0</v>
      </c>
      <c r="M310" s="508">
        <f>E310*2500</f>
        <v>0</v>
      </c>
      <c r="N310" s="509"/>
      <c r="O310" s="509"/>
      <c r="P310" s="509"/>
      <c r="Q310" s="498"/>
      <c r="R310" s="496">
        <f t="shared" si="61"/>
        <v>15000</v>
      </c>
      <c r="S310" s="496">
        <f>J310*1412</f>
        <v>8472</v>
      </c>
    </row>
    <row r="311" spans="1:19" s="495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51">
        <f>C311*110</f>
        <v>0</v>
      </c>
      <c r="L311" s="526"/>
      <c r="M311" s="508"/>
      <c r="N311" s="509"/>
      <c r="O311" s="509"/>
      <c r="P311" s="509"/>
      <c r="Q311" s="498"/>
      <c r="R311" s="496">
        <f t="shared" si="61"/>
        <v>0</v>
      </c>
      <c r="S311" s="496">
        <f>J311*60</f>
        <v>5220</v>
      </c>
    </row>
    <row r="312" spans="1:19" s="495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51">
        <f>C312*75000</f>
        <v>0</v>
      </c>
      <c r="L312" s="526"/>
      <c r="M312" s="508"/>
      <c r="N312" s="509"/>
      <c r="O312" s="509"/>
      <c r="P312" s="509"/>
      <c r="Q312" s="498"/>
      <c r="R312" s="496">
        <f t="shared" si="61"/>
        <v>0</v>
      </c>
      <c r="S312" s="496">
        <f>J312*27500</f>
        <v>0</v>
      </c>
    </row>
    <row r="313" spans="1:19" s="495" customFormat="1">
      <c r="A313" s="139" t="s">
        <v>579</v>
      </c>
      <c r="B313" s="695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51">
        <f>C313*120000</f>
        <v>0</v>
      </c>
      <c r="L313" s="526"/>
      <c r="M313" s="508"/>
      <c r="N313" s="509"/>
      <c r="O313" s="509"/>
      <c r="P313" s="509"/>
      <c r="Q313" s="498"/>
      <c r="R313" s="496">
        <f t="shared" si="61"/>
        <v>0</v>
      </c>
      <c r="S313" s="496">
        <f>J313*59400</f>
        <v>0</v>
      </c>
    </row>
    <row r="314" spans="1:19" s="495" customFormat="1">
      <c r="A314" s="139" t="s">
        <v>581</v>
      </c>
      <c r="B314" s="683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51">
        <f>C314*75000</f>
        <v>75000</v>
      </c>
      <c r="L314" s="526"/>
      <c r="M314" s="508"/>
      <c r="N314" s="509"/>
      <c r="O314" s="509"/>
      <c r="P314" s="509"/>
      <c r="Q314" s="498"/>
      <c r="R314" s="496">
        <f t="shared" si="61"/>
        <v>75000</v>
      </c>
      <c r="S314" s="496">
        <f>J314*33000</f>
        <v>33000</v>
      </c>
    </row>
    <row r="315" spans="1:19" s="495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51">
        <f>C315*35000</f>
        <v>35000</v>
      </c>
      <c r="L315" s="526"/>
      <c r="M315" s="508"/>
      <c r="N315" s="509"/>
      <c r="O315" s="509"/>
      <c r="P315" s="509"/>
      <c r="Q315" s="498"/>
      <c r="R315" s="496">
        <f t="shared" si="61"/>
        <v>35000</v>
      </c>
      <c r="S315" s="496">
        <f>J315*15400</f>
        <v>15400</v>
      </c>
    </row>
    <row r="316" spans="1:19" s="495" customFormat="1">
      <c r="A316" s="139" t="s">
        <v>584</v>
      </c>
      <c r="B316" s="695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51">
        <f>C316*36000</f>
        <v>0</v>
      </c>
      <c r="L316" s="526"/>
      <c r="M316" s="508"/>
      <c r="N316" s="509"/>
      <c r="O316" s="509"/>
      <c r="P316" s="509"/>
      <c r="Q316" s="498"/>
      <c r="R316" s="496">
        <f t="shared" si="61"/>
        <v>0</v>
      </c>
      <c r="S316" s="496">
        <f>J316*12000</f>
        <v>0</v>
      </c>
    </row>
    <row r="317" spans="1:19" s="495" customFormat="1">
      <c r="A317" s="139" t="s">
        <v>586</v>
      </c>
      <c r="B317" s="683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51">
        <f>C317*81000</f>
        <v>0</v>
      </c>
      <c r="L317" s="526"/>
      <c r="M317" s="508"/>
      <c r="N317" s="509"/>
      <c r="O317" s="509"/>
      <c r="P317" s="509"/>
      <c r="Q317" s="498"/>
      <c r="R317" s="496">
        <f t="shared" si="61"/>
        <v>0</v>
      </c>
      <c r="S317" s="496">
        <f>J317*34000</f>
        <v>0</v>
      </c>
    </row>
    <row r="318" spans="1:19" s="495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51">
        <f>C318*72000</f>
        <v>0</v>
      </c>
      <c r="L318" s="526"/>
      <c r="M318" s="508"/>
      <c r="N318" s="509"/>
      <c r="O318" s="509"/>
      <c r="P318" s="509"/>
      <c r="Q318" s="498"/>
      <c r="R318" s="496">
        <f t="shared" si="61"/>
        <v>0</v>
      </c>
      <c r="S318" s="496">
        <f>J318*12000</f>
        <v>0</v>
      </c>
    </row>
    <row r="319" spans="1:19" s="495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61"/>
        <v>0</v>
      </c>
      <c r="S319" s="496">
        <f>J319*12000</f>
        <v>0</v>
      </c>
    </row>
    <row r="320" spans="1:19" s="495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51">
        <f>C320*1100</f>
        <v>11000</v>
      </c>
      <c r="L320" s="526"/>
      <c r="M320" s="508"/>
      <c r="N320" s="509"/>
      <c r="O320" s="509"/>
      <c r="P320" s="509"/>
      <c r="Q320" s="498"/>
      <c r="R320" s="496">
        <f t="shared" si="61"/>
        <v>11000</v>
      </c>
      <c r="S320" s="496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13">
        <f>C321*3000</f>
        <v>48000</v>
      </c>
      <c r="L321" s="526"/>
      <c r="M321" s="508"/>
      <c r="N321" s="509"/>
      <c r="O321" s="509"/>
      <c r="P321" s="509"/>
      <c r="R321" s="496">
        <f t="shared" si="61"/>
        <v>48000</v>
      </c>
      <c r="S321" s="496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13">
        <f>C322*1000</f>
        <v>0</v>
      </c>
      <c r="L322" s="526">
        <f>D322*10000</f>
        <v>0</v>
      </c>
      <c r="M322" s="508">
        <f>E322*10000</f>
        <v>0</v>
      </c>
      <c r="N322" s="509"/>
      <c r="O322" s="509"/>
      <c r="P322" s="509"/>
      <c r="R322" s="496">
        <f t="shared" si="61"/>
        <v>0</v>
      </c>
      <c r="S322" s="496">
        <f>J322*528</f>
        <v>0</v>
      </c>
    </row>
    <row r="323" spans="1:19">
      <c r="A323" s="69" t="s">
        <v>597</v>
      </c>
      <c r="B323" s="686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95">
        <f>C323*600</f>
        <v>0</v>
      </c>
      <c r="L323" s="526">
        <f>D323*600</f>
        <v>0</v>
      </c>
      <c r="M323" s="508">
        <f>E323*600</f>
        <v>0</v>
      </c>
      <c r="N323" s="509"/>
      <c r="O323" s="509"/>
      <c r="P323" s="509"/>
      <c r="R323" s="496">
        <f t="shared" si="61"/>
        <v>0</v>
      </c>
      <c r="S323" s="496">
        <f>J323*484</f>
        <v>0</v>
      </c>
    </row>
    <row r="324" spans="1:19" s="432" customFormat="1">
      <c r="A324" s="115" t="s">
        <v>599</v>
      </c>
      <c r="B324" s="683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51">
        <f>C324*1500</f>
        <v>15000</v>
      </c>
      <c r="L324" s="526">
        <f>D324*1500</f>
        <v>0</v>
      </c>
      <c r="M324" s="508">
        <f>E324*1500</f>
        <v>0</v>
      </c>
      <c r="N324" s="509"/>
      <c r="O324" s="509"/>
      <c r="P324" s="509"/>
      <c r="Q324" s="498"/>
      <c r="R324" s="496">
        <f t="shared" si="61"/>
        <v>15000</v>
      </c>
      <c r="S324" s="496">
        <f>J324*1155</f>
        <v>11550</v>
      </c>
    </row>
    <row r="325" spans="1:19" s="432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95">
        <f>C325*1100</f>
        <v>0</v>
      </c>
      <c r="L325" s="526">
        <f>D325*110</f>
        <v>0</v>
      </c>
      <c r="M325" s="508">
        <f>E325*110</f>
        <v>0</v>
      </c>
      <c r="N325" s="509"/>
      <c r="O325" s="509"/>
      <c r="P325" s="509"/>
      <c r="Q325" s="498"/>
      <c r="R325" s="496">
        <f t="shared" si="61"/>
        <v>0</v>
      </c>
      <c r="S325" s="496">
        <f>J325*968</f>
        <v>0</v>
      </c>
    </row>
    <row r="326" spans="1:19" s="432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95">
        <f>C326*88000</f>
        <v>0</v>
      </c>
      <c r="L326" s="526">
        <f>D326*88000</f>
        <v>0</v>
      </c>
      <c r="M326" s="575">
        <f>E326*88000</f>
        <v>0</v>
      </c>
      <c r="N326" s="556"/>
      <c r="O326" s="509"/>
      <c r="P326" s="509"/>
      <c r="Q326" s="498"/>
      <c r="R326" s="496">
        <f t="shared" si="61"/>
        <v>0</v>
      </c>
      <c r="S326" s="496">
        <f>J326*66000</f>
        <v>0</v>
      </c>
    </row>
    <row r="327" spans="1:19" s="432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:J358" si="64">SUM(C327:I327)</f>
        <v>0</v>
      </c>
      <c r="K327" s="551">
        <f>C327*650</f>
        <v>0</v>
      </c>
      <c r="L327" s="526">
        <f>D327*650</f>
        <v>0</v>
      </c>
      <c r="M327" s="508">
        <f>E327*650</f>
        <v>0</v>
      </c>
      <c r="N327" s="509"/>
      <c r="O327" s="509"/>
      <c r="P327" s="509"/>
      <c r="Q327" s="498"/>
      <c r="R327" s="496">
        <f t="shared" ref="R327:R358" si="65">SUM(K327:Q327)</f>
        <v>0</v>
      </c>
      <c r="S327" s="496">
        <f>J327*517</f>
        <v>0</v>
      </c>
    </row>
    <row r="328" spans="1:19" s="432" customFormat="1">
      <c r="A328"/>
      <c r="C328" s="425"/>
      <c r="K328" s="610">
        <f t="shared" ref="K328:S328" si="66">SUM(K263:K327)</f>
        <v>4141500</v>
      </c>
      <c r="L328" s="614">
        <f t="shared" si="66"/>
        <v>88000</v>
      </c>
      <c r="M328" s="614">
        <f t="shared" si="66"/>
        <v>538400</v>
      </c>
      <c r="N328" s="614">
        <f t="shared" si="66"/>
        <v>0</v>
      </c>
      <c r="O328" s="614">
        <f t="shared" si="66"/>
        <v>136080</v>
      </c>
      <c r="P328" s="614">
        <f t="shared" si="66"/>
        <v>0</v>
      </c>
      <c r="Q328" s="614">
        <f t="shared" si="66"/>
        <v>0</v>
      </c>
      <c r="R328" s="614">
        <f t="shared" si="66"/>
        <v>4903980</v>
      </c>
      <c r="S328" s="614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81"/>
      <c r="L329" s="581"/>
      <c r="M329" s="585"/>
      <c r="N329" s="585"/>
      <c r="O329" s="615"/>
      <c r="P329" s="616"/>
      <c r="Q329" s="617"/>
      <c r="R329" s="585"/>
      <c r="S329" s="585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81"/>
      <c r="L330" s="581"/>
      <c r="M330" s="585"/>
      <c r="N330" s="585"/>
      <c r="O330" s="615"/>
      <c r="P330" s="616"/>
      <c r="Q330" s="617"/>
      <c r="R330" s="585"/>
      <c r="S330" s="585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>
      <c r="D332" s="474"/>
      <c r="E332" s="304"/>
      <c r="F332" s="214"/>
      <c r="G332" s="214"/>
      <c r="H332" s="123"/>
      <c r="I332" s="123"/>
      <c r="J332" s="124"/>
      <c r="P332" s="521"/>
    </row>
    <row r="333" spans="1:19">
      <c r="A333" s="64" t="s">
        <v>606</v>
      </c>
      <c r="D333" s="474"/>
      <c r="E333" s="304"/>
      <c r="F333" s="214"/>
      <c r="G333" s="214"/>
      <c r="I333" s="14"/>
      <c r="J333" s="125"/>
      <c r="P333" s="521"/>
    </row>
    <row r="334" spans="1:19" ht="48" customHeight="1">
      <c r="A334" s="100" t="s">
        <v>607</v>
      </c>
      <c r="B334" s="470" t="s">
        <v>608</v>
      </c>
      <c r="C334" s="474"/>
      <c r="D334" s="217"/>
      <c r="E334" s="304"/>
      <c r="F334" s="214"/>
      <c r="G334" s="214"/>
      <c r="H334" s="126"/>
      <c r="I334" s="126" t="s">
        <v>129</v>
      </c>
      <c r="J334" s="125"/>
      <c r="K334" s="564" t="s">
        <v>4</v>
      </c>
      <c r="L334" s="566"/>
      <c r="M334" s="566" t="s">
        <v>6</v>
      </c>
      <c r="N334" s="566"/>
      <c r="O334" s="510"/>
      <c r="P334" s="618"/>
      <c r="R334" s="564" t="s">
        <v>29</v>
      </c>
      <c r="S334" s="496" t="s">
        <v>167</v>
      </c>
    </row>
    <row r="335" spans="1:19" s="432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95">
        <f>C335*4400</f>
        <v>0</v>
      </c>
      <c r="L335" s="575"/>
      <c r="M335" s="508"/>
      <c r="N335" s="598"/>
      <c r="O335" s="497"/>
      <c r="P335" s="590"/>
      <c r="Q335" s="498"/>
      <c r="R335" s="495">
        <f t="shared" ref="R335:R366" si="68">SUM(K335:Q335)</f>
        <v>0</v>
      </c>
      <c r="S335" s="495">
        <f>J335*1340</f>
        <v>0</v>
      </c>
    </row>
    <row r="336" spans="1:19" s="432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95"/>
      <c r="L336" s="575"/>
      <c r="M336" s="508"/>
      <c r="N336" s="598"/>
      <c r="O336" s="497"/>
      <c r="P336" s="590"/>
      <c r="Q336" s="498"/>
      <c r="R336" s="495">
        <f t="shared" si="68"/>
        <v>0</v>
      </c>
      <c r="S336" s="495">
        <f>J336*1349</f>
        <v>0</v>
      </c>
    </row>
    <row r="337" spans="1:19" s="432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95">
        <f>C337*60000</f>
        <v>0</v>
      </c>
      <c r="L337" s="575"/>
      <c r="M337" s="508"/>
      <c r="N337" s="598">
        <f>F337*54000</f>
        <v>0</v>
      </c>
      <c r="O337" s="497"/>
      <c r="P337" s="590"/>
      <c r="Q337" s="498"/>
      <c r="R337" s="495">
        <f t="shared" si="68"/>
        <v>0</v>
      </c>
      <c r="S337" s="495">
        <f>J337*5060</f>
        <v>0</v>
      </c>
    </row>
    <row r="338" spans="1:19" s="432" customFormat="1" ht="16.5" customHeight="1">
      <c r="A338" s="265" t="s">
        <v>612</v>
      </c>
      <c r="B338" s="687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95">
        <v>0</v>
      </c>
      <c r="L338" s="575"/>
      <c r="M338" s="508"/>
      <c r="N338" s="598">
        <v>0</v>
      </c>
      <c r="O338" s="497"/>
      <c r="P338" s="590"/>
      <c r="Q338" s="498"/>
      <c r="R338" s="495">
        <f t="shared" si="68"/>
        <v>0</v>
      </c>
      <c r="S338" s="495">
        <f>J338*2850</f>
        <v>0</v>
      </c>
    </row>
    <row r="339" spans="1:19" s="432" customFormat="1" ht="16.5" customHeight="1">
      <c r="A339" s="265" t="s">
        <v>614</v>
      </c>
      <c r="B339" s="688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95">
        <f>C339*17000</f>
        <v>0</v>
      </c>
      <c r="L339" s="575"/>
      <c r="M339" s="508"/>
      <c r="N339" s="598">
        <f>F339*15000</f>
        <v>0</v>
      </c>
      <c r="O339" s="497"/>
      <c r="P339" s="590"/>
      <c r="Q339" s="498"/>
      <c r="R339" s="495">
        <f t="shared" si="68"/>
        <v>0</v>
      </c>
      <c r="S339" s="495">
        <f>J339*2670</f>
        <v>0</v>
      </c>
    </row>
    <row r="340" spans="1:19" s="432" customFormat="1">
      <c r="A340" s="265" t="s">
        <v>615</v>
      </c>
      <c r="B340" s="688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68"/>
        <v>0</v>
      </c>
      <c r="S340" s="495">
        <f>J340*2870</f>
        <v>0</v>
      </c>
    </row>
    <row r="341" spans="1:19" s="432" customFormat="1">
      <c r="A341" s="265" t="s">
        <v>616</v>
      </c>
      <c r="B341" s="688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95">
        <f>C341*16000</f>
        <v>0</v>
      </c>
      <c r="L341" s="575"/>
      <c r="M341" s="508"/>
      <c r="N341" s="598">
        <f>F341*14000</f>
        <v>0</v>
      </c>
      <c r="O341" s="497"/>
      <c r="P341" s="590"/>
      <c r="Q341" s="498"/>
      <c r="R341" s="495">
        <f t="shared" si="68"/>
        <v>0</v>
      </c>
      <c r="S341" s="495">
        <f>J341*2380</f>
        <v>0</v>
      </c>
    </row>
    <row r="342" spans="1:19" s="432" customFormat="1">
      <c r="A342" s="263" t="s">
        <v>617</v>
      </c>
      <c r="B342" s="688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95">
        <v>14000</v>
      </c>
      <c r="L342" s="575"/>
      <c r="M342" s="508"/>
      <c r="N342" s="598">
        <v>0</v>
      </c>
      <c r="O342" s="497"/>
      <c r="P342" s="590"/>
      <c r="Q342" s="498"/>
      <c r="R342" s="495">
        <f t="shared" si="68"/>
        <v>14000</v>
      </c>
      <c r="S342" s="495">
        <f>J342*2440</f>
        <v>2440</v>
      </c>
    </row>
    <row r="343" spans="1:19" s="432" customFormat="1">
      <c r="A343" s="263" t="s">
        <v>618</v>
      </c>
      <c r="B343" s="688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95">
        <v>0</v>
      </c>
      <c r="L343" s="575"/>
      <c r="M343" s="508"/>
      <c r="N343" s="598">
        <v>0</v>
      </c>
      <c r="O343" s="497"/>
      <c r="P343" s="590"/>
      <c r="Q343" s="498"/>
      <c r="R343" s="495">
        <f t="shared" si="68"/>
        <v>0</v>
      </c>
      <c r="S343" s="495">
        <f>J343*2740</f>
        <v>0</v>
      </c>
    </row>
    <row r="344" spans="1:19" s="432" customFormat="1">
      <c r="A344" s="264" t="s">
        <v>619</v>
      </c>
      <c r="B344" s="688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95">
        <f>C344*20000</f>
        <v>0</v>
      </c>
      <c r="L344" s="575"/>
      <c r="M344" s="508"/>
      <c r="N344" s="598">
        <f>F344*18000</f>
        <v>0</v>
      </c>
      <c r="O344" s="497"/>
      <c r="P344" s="590"/>
      <c r="Q344" s="498"/>
      <c r="R344" s="495">
        <f t="shared" si="68"/>
        <v>0</v>
      </c>
      <c r="S344" s="495">
        <f>J344*4940</f>
        <v>0</v>
      </c>
    </row>
    <row r="345" spans="1:19" s="432" customFormat="1">
      <c r="A345" s="263" t="s">
        <v>620</v>
      </c>
      <c r="B345" s="688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68"/>
        <v>0</v>
      </c>
      <c r="S345" s="495">
        <f>J345*2470</f>
        <v>0</v>
      </c>
    </row>
    <row r="346" spans="1:19" s="432" customFormat="1">
      <c r="A346" s="263" t="s">
        <v>621</v>
      </c>
      <c r="B346" s="688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68"/>
        <v>0</v>
      </c>
      <c r="S346" s="495">
        <f>J346*28700</f>
        <v>0</v>
      </c>
    </row>
    <row r="347" spans="1:19" s="432" customFormat="1">
      <c r="A347" s="263" t="s">
        <v>622</v>
      </c>
      <c r="B347" s="688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95">
        <f>C347*23000</f>
        <v>0</v>
      </c>
      <c r="L347" s="575"/>
      <c r="M347" s="508"/>
      <c r="N347" s="598">
        <f>F347*21000</f>
        <v>0</v>
      </c>
      <c r="O347" s="497"/>
      <c r="P347" s="590"/>
      <c r="Q347" s="498"/>
      <c r="R347" s="495">
        <f t="shared" si="68"/>
        <v>0</v>
      </c>
      <c r="S347" s="495">
        <f>J347*3170</f>
        <v>0</v>
      </c>
    </row>
    <row r="348" spans="1:19" s="432" customFormat="1">
      <c r="A348" s="263" t="s">
        <v>623</v>
      </c>
      <c r="B348" s="688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68"/>
        <v>0</v>
      </c>
      <c r="S348" s="495">
        <f>J348*2300</f>
        <v>0</v>
      </c>
    </row>
    <row r="349" spans="1:19" s="432" customFormat="1">
      <c r="A349" s="263" t="s">
        <v>624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68"/>
        <v>0</v>
      </c>
      <c r="S349" s="495">
        <f>J349*1670</f>
        <v>0</v>
      </c>
    </row>
    <row r="350" spans="1:19" s="432" customFormat="1">
      <c r="A350" s="265" t="s">
        <v>625</v>
      </c>
      <c r="B350" s="688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95">
        <v>0</v>
      </c>
      <c r="L350" s="575"/>
      <c r="M350" s="508"/>
      <c r="N350" s="598">
        <v>0</v>
      </c>
      <c r="O350" s="497"/>
      <c r="P350" s="590"/>
      <c r="Q350" s="498"/>
      <c r="R350" s="495">
        <f t="shared" si="68"/>
        <v>0</v>
      </c>
      <c r="S350" s="495">
        <f>J350*5710</f>
        <v>0</v>
      </c>
    </row>
    <row r="351" spans="1:19" s="432" customFormat="1">
      <c r="A351" s="265" t="s">
        <v>626</v>
      </c>
      <c r="B351" s="688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68"/>
        <v>0</v>
      </c>
      <c r="S351" s="495">
        <f>J351*4170</f>
        <v>0</v>
      </c>
    </row>
    <row r="352" spans="1:19" s="432" customFormat="1">
      <c r="A352" s="265" t="s">
        <v>627</v>
      </c>
      <c r="B352" s="688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68"/>
        <v>0</v>
      </c>
      <c r="S352" s="495">
        <f>J352*8570</f>
        <v>0</v>
      </c>
    </row>
    <row r="353" spans="1:19" s="432" customFormat="1">
      <c r="A353" s="265" t="s">
        <v>628</v>
      </c>
      <c r="B353" s="688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68"/>
        <v>0</v>
      </c>
      <c r="S353" s="495">
        <f>J353*2260</f>
        <v>0</v>
      </c>
    </row>
    <row r="354" spans="1:19" s="432" customFormat="1">
      <c r="A354" s="263" t="s">
        <v>629</v>
      </c>
      <c r="B354" s="688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95">
        <v>0</v>
      </c>
      <c r="L354" s="575"/>
      <c r="M354" s="508"/>
      <c r="N354" s="598">
        <v>0</v>
      </c>
      <c r="O354" s="497"/>
      <c r="P354" s="590"/>
      <c r="Q354" s="498"/>
      <c r="R354" s="495">
        <f t="shared" si="68"/>
        <v>0</v>
      </c>
      <c r="S354" s="495">
        <f>J354*16916</f>
        <v>0</v>
      </c>
    </row>
    <row r="355" spans="1:19" s="432" customFormat="1">
      <c r="A355" s="265" t="s">
        <v>630</v>
      </c>
      <c r="B355" s="688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68"/>
        <v>0</v>
      </c>
      <c r="S355" s="495">
        <f>J355*2470</f>
        <v>0</v>
      </c>
    </row>
    <row r="356" spans="1:19" s="432" customFormat="1">
      <c r="A356" s="265" t="s">
        <v>631</v>
      </c>
      <c r="B356" s="688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68"/>
        <v>0</v>
      </c>
      <c r="S356" s="495">
        <f>J356*2160</f>
        <v>0</v>
      </c>
    </row>
    <row r="357" spans="1:19" s="432" customFormat="1">
      <c r="A357" s="265" t="s">
        <v>632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68"/>
        <v>0</v>
      </c>
      <c r="S357" s="495">
        <f>J357*2540</f>
        <v>0</v>
      </c>
    </row>
    <row r="358" spans="1:19" s="432" customFormat="1">
      <c r="A358" s="263" t="s">
        <v>633</v>
      </c>
      <c r="B358" s="688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95">
        <v>17000</v>
      </c>
      <c r="L358" s="575"/>
      <c r="M358" s="508"/>
      <c r="N358" s="598">
        <v>0</v>
      </c>
      <c r="O358" s="497"/>
      <c r="P358" s="590"/>
      <c r="Q358" s="498"/>
      <c r="R358" s="495">
        <f t="shared" si="68"/>
        <v>17000</v>
      </c>
      <c r="S358" s="495">
        <f>J358*1690</f>
        <v>1690</v>
      </c>
    </row>
    <row r="359" spans="1:19" s="432" customFormat="1">
      <c r="A359" s="265" t="s">
        <v>634</v>
      </c>
      <c r="B359" s="688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95">
        <v>0</v>
      </c>
      <c r="L359" s="575"/>
      <c r="M359" s="508"/>
      <c r="N359" s="598">
        <v>0</v>
      </c>
      <c r="O359" s="497"/>
      <c r="P359" s="590"/>
      <c r="Q359" s="498"/>
      <c r="R359" s="495">
        <f t="shared" si="68"/>
        <v>0</v>
      </c>
      <c r="S359" s="495">
        <f>J359*10990</f>
        <v>0</v>
      </c>
    </row>
    <row r="360" spans="1:19" s="432" customFormat="1">
      <c r="A360" s="265" t="s">
        <v>635</v>
      </c>
      <c r="B360" s="688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68"/>
        <v>0</v>
      </c>
      <c r="S360" s="495">
        <f>J360*2180</f>
        <v>0</v>
      </c>
    </row>
    <row r="361" spans="1:19" s="432" customFormat="1">
      <c r="A361" s="265" t="s">
        <v>636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68"/>
        <v>0</v>
      </c>
      <c r="S361" s="495">
        <f>J361*7800</f>
        <v>0</v>
      </c>
    </row>
    <row r="362" spans="1:19" s="432" customFormat="1">
      <c r="A362" s="263" t="s">
        <v>637</v>
      </c>
      <c r="B362" s="688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68"/>
        <v>0</v>
      </c>
      <c r="S362" s="495">
        <f>J362*4225</f>
        <v>0</v>
      </c>
    </row>
    <row r="363" spans="1:19" s="432" customFormat="1">
      <c r="A363" s="265" t="s">
        <v>638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68"/>
        <v>0</v>
      </c>
      <c r="S363" s="495">
        <f>J363*2652</f>
        <v>0</v>
      </c>
    </row>
    <row r="364" spans="1:19" s="432" customFormat="1">
      <c r="A364" s="265" t="s">
        <v>639</v>
      </c>
      <c r="B364" s="688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68"/>
        <v>0</v>
      </c>
      <c r="S364" s="495">
        <f>J364*2410</f>
        <v>0</v>
      </c>
    </row>
    <row r="365" spans="1:19" s="432" customFormat="1">
      <c r="A365" s="265" t="s">
        <v>640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68"/>
        <v>0</v>
      </c>
      <c r="S365" s="495">
        <f>J365*1820</f>
        <v>0</v>
      </c>
    </row>
    <row r="366" spans="1:19" s="432" customFormat="1">
      <c r="A366" s="263" t="s">
        <v>641</v>
      </c>
      <c r="B366" s="688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68"/>
        <v>0</v>
      </c>
      <c r="S366" s="495">
        <f>J366*4170</f>
        <v>0</v>
      </c>
    </row>
    <row r="367" spans="1:19" s="432" customFormat="1">
      <c r="A367" s="263" t="s">
        <v>642</v>
      </c>
      <c r="B367" s="688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95">
        <f>C367*125000</f>
        <v>125000</v>
      </c>
      <c r="L367" s="575"/>
      <c r="M367" s="508"/>
      <c r="N367" s="598">
        <f>F367*113000</f>
        <v>0</v>
      </c>
      <c r="O367" s="497"/>
      <c r="P367" s="590"/>
      <c r="Q367" s="498"/>
      <c r="R367" s="495">
        <f t="shared" ref="R367:R398" si="70">SUM(K367:Q367)</f>
        <v>125000</v>
      </c>
      <c r="S367" s="495">
        <f>J367*9020</f>
        <v>9020</v>
      </c>
    </row>
    <row r="368" spans="1:19" s="432" customFormat="1">
      <c r="A368" s="263" t="s">
        <v>643</v>
      </c>
      <c r="B368" s="688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95">
        <f>C368*110000</f>
        <v>110000</v>
      </c>
      <c r="L368" s="575"/>
      <c r="M368" s="508"/>
      <c r="N368" s="598">
        <f>F368*99000</f>
        <v>0</v>
      </c>
      <c r="O368" s="497"/>
      <c r="P368" s="590"/>
      <c r="Q368" s="498"/>
      <c r="R368" s="495">
        <f t="shared" si="70"/>
        <v>110000</v>
      </c>
      <c r="S368" s="495">
        <f>J368*5930</f>
        <v>5930</v>
      </c>
    </row>
    <row r="369" spans="1:19" s="432" customFormat="1">
      <c r="A369" s="265" t="s">
        <v>644</v>
      </c>
      <c r="B369" s="688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0"/>
        <v>0</v>
      </c>
      <c r="S369" s="495">
        <f>J369*17940</f>
        <v>0</v>
      </c>
    </row>
    <row r="370" spans="1:19" s="432" customFormat="1">
      <c r="A370" s="265" t="s">
        <v>645</v>
      </c>
      <c r="B370" s="688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0"/>
        <v>0</v>
      </c>
      <c r="S370" s="495">
        <f>J370*2110</f>
        <v>0</v>
      </c>
    </row>
    <row r="371" spans="1:19" s="432" customFormat="1">
      <c r="A371" s="263" t="s">
        <v>646</v>
      </c>
      <c r="B371" s="688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0"/>
        <v>0</v>
      </c>
      <c r="S371" s="495">
        <f>J371*1728</f>
        <v>0</v>
      </c>
    </row>
    <row r="372" spans="1:19" s="432" customFormat="1">
      <c r="A372" s="263" t="s">
        <v>647</v>
      </c>
      <c r="B372" s="688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95">
        <f>C372*17000</f>
        <v>0</v>
      </c>
      <c r="L372" s="575"/>
      <c r="M372" s="508"/>
      <c r="N372" s="598">
        <f>F372*15000</f>
        <v>0</v>
      </c>
      <c r="O372" s="497"/>
      <c r="P372" s="590"/>
      <c r="Q372" s="498"/>
      <c r="R372" s="495">
        <f t="shared" si="70"/>
        <v>0</v>
      </c>
      <c r="S372" s="495">
        <f>J372*2620</f>
        <v>0</v>
      </c>
    </row>
    <row r="373" spans="1:19" s="432" customFormat="1">
      <c r="A373" s="263" t="s">
        <v>648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0"/>
        <v>0</v>
      </c>
      <c r="S373" s="495">
        <f>J373*1996</f>
        <v>0</v>
      </c>
    </row>
    <row r="374" spans="1:19" s="432" customFormat="1">
      <c r="A374" s="263" t="s">
        <v>649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0"/>
        <v>0</v>
      </c>
      <c r="S374" s="495">
        <f>J374*2080</f>
        <v>0</v>
      </c>
    </row>
    <row r="375" spans="1:19" s="432" customFormat="1">
      <c r="A375" s="265" t="s">
        <v>650</v>
      </c>
      <c r="B375" s="688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70"/>
        <v>0</v>
      </c>
      <c r="S375" s="495">
        <f>J375*5556</f>
        <v>0</v>
      </c>
    </row>
    <row r="376" spans="1:19" s="432" customFormat="1">
      <c r="A376" s="265" t="s">
        <v>651</v>
      </c>
      <c r="B376" s="688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70"/>
        <v>0</v>
      </c>
      <c r="S376" s="495">
        <f>J376*5480</f>
        <v>0</v>
      </c>
    </row>
    <row r="377" spans="1:19" s="432" customFormat="1">
      <c r="A377" s="263" t="s">
        <v>652</v>
      </c>
      <c r="B377" s="688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70"/>
        <v>0</v>
      </c>
      <c r="S377" s="495">
        <f>J377*6700</f>
        <v>0</v>
      </c>
    </row>
    <row r="378" spans="1:19" s="432" customFormat="1">
      <c r="A378" s="265" t="s">
        <v>653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70"/>
        <v>0</v>
      </c>
      <c r="S378" s="495">
        <f>J378*4225</f>
        <v>0</v>
      </c>
    </row>
    <row r="379" spans="1:19" s="432" customFormat="1">
      <c r="A379" s="265" t="s">
        <v>654</v>
      </c>
      <c r="B379" s="688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70"/>
        <v>0</v>
      </c>
      <c r="S379" s="495">
        <f>J379*5380</f>
        <v>0</v>
      </c>
    </row>
    <row r="380" spans="1:19" s="432" customFormat="1">
      <c r="A380" s="265" t="s">
        <v>655</v>
      </c>
      <c r="B380" s="688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95">
        <f>C380*23000</f>
        <v>0</v>
      </c>
      <c r="L380" s="575"/>
      <c r="M380" s="508"/>
      <c r="N380" s="598">
        <f>F380*21000</f>
        <v>0</v>
      </c>
      <c r="O380" s="497"/>
      <c r="P380" s="590"/>
      <c r="Q380" s="498"/>
      <c r="R380" s="495">
        <f t="shared" si="70"/>
        <v>0</v>
      </c>
      <c r="S380" s="495">
        <f>J380*3220</f>
        <v>0</v>
      </c>
    </row>
    <row r="381" spans="1:19" s="432" customFormat="1">
      <c r="A381" s="265" t="s">
        <v>656</v>
      </c>
      <c r="B381" s="688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95">
        <f>C381*29000</f>
        <v>0</v>
      </c>
      <c r="L381" s="575"/>
      <c r="M381" s="508"/>
      <c r="N381" s="598">
        <f>F381*26000</f>
        <v>0</v>
      </c>
      <c r="O381" s="497"/>
      <c r="P381" s="590"/>
      <c r="Q381" s="498"/>
      <c r="R381" s="495">
        <f t="shared" si="70"/>
        <v>0</v>
      </c>
      <c r="S381" s="495">
        <f>J381*5340</f>
        <v>0</v>
      </c>
    </row>
    <row r="382" spans="1:19" s="432" customFormat="1">
      <c r="A382" s="265" t="s">
        <v>657</v>
      </c>
      <c r="B382" s="688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70"/>
        <v>0</v>
      </c>
      <c r="S382" s="495">
        <f>J382*5600</f>
        <v>0</v>
      </c>
    </row>
    <row r="383" spans="1:19" s="432" customFormat="1">
      <c r="A383" s="265" t="s">
        <v>658</v>
      </c>
      <c r="B383" s="688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70"/>
        <v>0</v>
      </c>
      <c r="S383" s="495">
        <f>J383*2570</f>
        <v>0</v>
      </c>
    </row>
    <row r="384" spans="1:19" s="432" customFormat="1">
      <c r="A384" s="265" t="s">
        <v>659</v>
      </c>
      <c r="B384" s="688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95">
        <f>C384*23000</f>
        <v>23000</v>
      </c>
      <c r="L384" s="575"/>
      <c r="M384" s="508"/>
      <c r="N384" s="598">
        <f>F384*21000</f>
        <v>0</v>
      </c>
      <c r="O384" s="497"/>
      <c r="P384" s="590"/>
      <c r="Q384" s="498"/>
      <c r="R384" s="495">
        <f t="shared" si="70"/>
        <v>23000</v>
      </c>
      <c r="S384" s="495">
        <f>J384*3330</f>
        <v>3330</v>
      </c>
    </row>
    <row r="385" spans="1:19" s="432" customFormat="1">
      <c r="A385" s="265" t="s">
        <v>660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95">
        <f>C385*16000</f>
        <v>0</v>
      </c>
      <c r="L385" s="575"/>
      <c r="M385" s="508"/>
      <c r="N385" s="598">
        <f>F385*14000</f>
        <v>0</v>
      </c>
      <c r="O385" s="497"/>
      <c r="P385" s="590"/>
      <c r="Q385" s="498"/>
      <c r="R385" s="495">
        <f t="shared" si="70"/>
        <v>0</v>
      </c>
      <c r="S385" s="495">
        <f>J385*2090</f>
        <v>0</v>
      </c>
    </row>
    <row r="386" spans="1:19" s="432" customFormat="1">
      <c r="A386" s="265" t="s">
        <v>661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70"/>
        <v>0</v>
      </c>
      <c r="S386" s="495">
        <f>J386*3170</f>
        <v>0</v>
      </c>
    </row>
    <row r="387" spans="1:19" s="432" customFormat="1">
      <c r="A387" s="265" t="s">
        <v>662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70"/>
        <v>0</v>
      </c>
      <c r="S387" s="495">
        <f>J387*4720</f>
        <v>0</v>
      </c>
    </row>
    <row r="388" spans="1:19" s="432" customFormat="1">
      <c r="A388" s="265" t="s">
        <v>663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70"/>
        <v>0</v>
      </c>
      <c r="S388" s="495">
        <f>J388*3048</f>
        <v>0</v>
      </c>
    </row>
    <row r="389" spans="1:19" s="432" customFormat="1">
      <c r="A389" s="265" t="s">
        <v>664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70"/>
        <v>0</v>
      </c>
      <c r="S389" s="495">
        <f>J389*2740</f>
        <v>0</v>
      </c>
    </row>
    <row r="390" spans="1:19" s="432" customFormat="1">
      <c r="A390" s="265" t="s">
        <v>665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95">
        <f>C390*16000</f>
        <v>0</v>
      </c>
      <c r="L390" s="575"/>
      <c r="M390" s="508"/>
      <c r="N390" s="598">
        <f>F390*14000</f>
        <v>0</v>
      </c>
      <c r="O390" s="497"/>
      <c r="P390" s="590"/>
      <c r="Q390" s="498"/>
      <c r="R390" s="495">
        <f t="shared" si="70"/>
        <v>0</v>
      </c>
      <c r="S390" s="495">
        <f>J390*2160</f>
        <v>0</v>
      </c>
    </row>
    <row r="391" spans="1:19" s="432" customFormat="1">
      <c r="A391" s="263" t="s">
        <v>666</v>
      </c>
      <c r="B391" s="688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70"/>
        <v>0</v>
      </c>
      <c r="S391" s="495">
        <f>J391*2060</f>
        <v>0</v>
      </c>
    </row>
    <row r="392" spans="1:19" s="432" customFormat="1">
      <c r="A392" s="265" t="s">
        <v>667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95">
        <v>0</v>
      </c>
      <c r="L392" s="575"/>
      <c r="M392" s="508"/>
      <c r="N392" s="598">
        <v>0</v>
      </c>
      <c r="O392" s="497"/>
      <c r="P392" s="590"/>
      <c r="Q392" s="498"/>
      <c r="R392" s="495">
        <f t="shared" si="70"/>
        <v>0</v>
      </c>
      <c r="S392" s="495">
        <f>J392*3730</f>
        <v>0</v>
      </c>
    </row>
    <row r="393" spans="1:19" s="432" customFormat="1">
      <c r="A393" s="265" t="s">
        <v>668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70"/>
        <v>0</v>
      </c>
      <c r="S393" s="495">
        <f>J393*2160</f>
        <v>0</v>
      </c>
    </row>
    <row r="394" spans="1:19" s="432" customFormat="1">
      <c r="A394" s="263" t="s">
        <v>669</v>
      </c>
      <c r="B394" s="688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95">
        <v>10000</v>
      </c>
      <c r="L394" s="575"/>
      <c r="M394" s="508"/>
      <c r="N394" s="598">
        <v>0</v>
      </c>
      <c r="O394" s="497"/>
      <c r="P394" s="590"/>
      <c r="Q394" s="498"/>
      <c r="R394" s="495">
        <f t="shared" si="70"/>
        <v>10000</v>
      </c>
      <c r="S394" s="495">
        <f>J394*1790</f>
        <v>1790</v>
      </c>
    </row>
    <row r="395" spans="1:19" s="432" customFormat="1">
      <c r="A395" s="265" t="s">
        <v>670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70"/>
        <v>0</v>
      </c>
      <c r="S395" s="495">
        <f>J395*4060</f>
        <v>0</v>
      </c>
    </row>
    <row r="396" spans="1:19" s="432" customFormat="1">
      <c r="A396" s="265" t="s">
        <v>671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70"/>
        <v>0</v>
      </c>
      <c r="S396" s="495">
        <f>J396*7690</f>
        <v>0</v>
      </c>
    </row>
    <row r="397" spans="1:19" s="432" customFormat="1">
      <c r="A397" s="265" t="s">
        <v>672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70"/>
        <v>0</v>
      </c>
      <c r="S397" s="495">
        <f>J397*3730</f>
        <v>0</v>
      </c>
    </row>
    <row r="398" spans="1:19" s="432" customFormat="1">
      <c r="A398" s="265" t="s">
        <v>673</v>
      </c>
      <c r="B398" s="688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70"/>
        <v>0</v>
      </c>
      <c r="S398" s="495">
        <f>J398*5160</f>
        <v>0</v>
      </c>
    </row>
    <row r="399" spans="1:19" s="432" customFormat="1">
      <c r="A399" s="265" t="s">
        <v>674</v>
      </c>
      <c r="B399" s="688"/>
      <c r="C399" s="186"/>
      <c r="D399" s="187"/>
      <c r="E399" s="187"/>
      <c r="F399" s="183"/>
      <c r="G399" s="255"/>
      <c r="H399" s="70"/>
      <c r="I399" s="103"/>
      <c r="J399" s="26">
        <f t="shared" ref="J399:J430" si="71">SUM(B399:I399)</f>
        <v>0</v>
      </c>
      <c r="K399" s="495">
        <f>C399*125000</f>
        <v>0</v>
      </c>
      <c r="L399" s="575"/>
      <c r="M399" s="508"/>
      <c r="N399" s="598">
        <f>F399*113000</f>
        <v>0</v>
      </c>
      <c r="O399" s="497"/>
      <c r="P399" s="590"/>
      <c r="Q399" s="498"/>
      <c r="R399" s="495">
        <f t="shared" ref="R399:R430" si="72">SUM(K399:Q399)</f>
        <v>0</v>
      </c>
      <c r="S399" s="495">
        <f>J399*3640</f>
        <v>0</v>
      </c>
    </row>
    <row r="400" spans="1:19" s="432" customFormat="1">
      <c r="A400" s="265" t="s">
        <v>675</v>
      </c>
      <c r="B400" s="688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95">
        <f>C400*23000</f>
        <v>0</v>
      </c>
      <c r="L400" s="575"/>
      <c r="M400" s="508"/>
      <c r="N400" s="598">
        <f>F400*21000</f>
        <v>0</v>
      </c>
      <c r="O400" s="497"/>
      <c r="P400" s="590"/>
      <c r="Q400" s="498"/>
      <c r="R400" s="495">
        <f t="shared" si="72"/>
        <v>0</v>
      </c>
      <c r="S400" s="495">
        <f>J400*3220</f>
        <v>0</v>
      </c>
    </row>
    <row r="401" spans="1:19" s="432" customFormat="1">
      <c r="A401" s="265" t="s">
        <v>676</v>
      </c>
      <c r="B401" s="688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72"/>
        <v>0</v>
      </c>
      <c r="S401" s="495">
        <f>J401*8130</f>
        <v>0</v>
      </c>
    </row>
    <row r="402" spans="1:19" s="432" customFormat="1">
      <c r="A402" s="265" t="s">
        <v>677</v>
      </c>
      <c r="B402" s="688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72"/>
        <v>0</v>
      </c>
      <c r="S402" s="495">
        <f>J402*2960</f>
        <v>0</v>
      </c>
    </row>
    <row r="403" spans="1:19" s="432" customFormat="1">
      <c r="A403" s="265" t="s">
        <v>678</v>
      </c>
      <c r="B403" s="688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72"/>
        <v>0</v>
      </c>
      <c r="S403" s="495">
        <f>J403*4270</f>
        <v>0</v>
      </c>
    </row>
    <row r="404" spans="1:19" s="432" customFormat="1">
      <c r="A404" s="265" t="s">
        <v>679</v>
      </c>
      <c r="B404" s="688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72"/>
        <v>0</v>
      </c>
      <c r="S404" s="495">
        <f>J404*5610</f>
        <v>0</v>
      </c>
    </row>
    <row r="405" spans="1:19" s="432" customFormat="1">
      <c r="A405" s="265" t="s">
        <v>680</v>
      </c>
      <c r="B405" s="688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72"/>
        <v>0</v>
      </c>
      <c r="S405" s="495">
        <f>J405*7310</f>
        <v>0</v>
      </c>
    </row>
    <row r="406" spans="1:19" s="432" customFormat="1">
      <c r="A406" s="265" t="s">
        <v>681</v>
      </c>
      <c r="B406" s="688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72"/>
        <v>0</v>
      </c>
      <c r="S406" s="495">
        <f>J406*3980</f>
        <v>0</v>
      </c>
    </row>
    <row r="407" spans="1:19" s="432" customFormat="1">
      <c r="A407" s="265" t="s">
        <v>682</v>
      </c>
      <c r="B407" s="683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72"/>
        <v>0</v>
      </c>
      <c r="S407" s="495">
        <f>J407*3920</f>
        <v>0</v>
      </c>
    </row>
    <row r="408" spans="1:19" s="432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95"/>
      <c r="L408" s="575"/>
      <c r="M408" s="508"/>
      <c r="N408" s="598"/>
      <c r="O408" s="497"/>
      <c r="P408" s="590"/>
      <c r="Q408" s="498"/>
      <c r="R408" s="495"/>
      <c r="S408" s="495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9">
        <f t="shared" ref="K409:Q409" si="74">SUM(K335:K408)</f>
        <v>299000</v>
      </c>
      <c r="L409" s="619">
        <f t="shared" si="74"/>
        <v>0</v>
      </c>
      <c r="M409" s="619">
        <f t="shared" si="74"/>
        <v>0</v>
      </c>
      <c r="N409" s="620">
        <f t="shared" si="74"/>
        <v>0</v>
      </c>
      <c r="O409" s="619">
        <f t="shared" si="74"/>
        <v>0</v>
      </c>
      <c r="P409" s="619">
        <f t="shared" si="74"/>
        <v>0</v>
      </c>
      <c r="Q409" s="619">
        <f t="shared" si="74"/>
        <v>0</v>
      </c>
      <c r="R409" s="619">
        <f t="shared" ref="R409:R440" si="75">SUM(K409:Q409)</f>
        <v>299000</v>
      </c>
      <c r="S409" s="619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46">
        <f>C410*480000</f>
        <v>0</v>
      </c>
      <c r="L410" s="546"/>
      <c r="M410" s="546"/>
      <c r="N410" s="549">
        <f>F410*432000</f>
        <v>0</v>
      </c>
      <c r="O410" s="546"/>
      <c r="P410" s="546"/>
      <c r="Q410" s="546"/>
      <c r="R410" s="495">
        <f t="shared" si="75"/>
        <v>0</v>
      </c>
      <c r="S410" s="546">
        <f>J410*40100</f>
        <v>0</v>
      </c>
    </row>
    <row r="411" spans="1:19" s="432" customFormat="1" ht="16.5" customHeight="1">
      <c r="A411" s="265" t="s">
        <v>612</v>
      </c>
      <c r="B411" s="687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75"/>
        <v>0</v>
      </c>
      <c r="S411" s="495">
        <f>J411*18000</f>
        <v>0</v>
      </c>
    </row>
    <row r="412" spans="1:19" s="432" customFormat="1" ht="16.5" customHeight="1">
      <c r="A412" s="265" t="s">
        <v>614</v>
      </c>
      <c r="B412" s="688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95">
        <f>C412*136000</f>
        <v>0</v>
      </c>
      <c r="L412" s="575"/>
      <c r="M412" s="508"/>
      <c r="N412" s="598">
        <f>F412*122000</f>
        <v>0</v>
      </c>
      <c r="O412" s="497"/>
      <c r="P412" s="590"/>
      <c r="Q412" s="498"/>
      <c r="R412" s="495">
        <f t="shared" si="75"/>
        <v>0</v>
      </c>
      <c r="S412" s="495">
        <f>J412*16200</f>
        <v>0</v>
      </c>
    </row>
    <row r="413" spans="1:19" s="432" customFormat="1">
      <c r="A413" s="265" t="s">
        <v>615</v>
      </c>
      <c r="B413" s="688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75"/>
        <v>0</v>
      </c>
      <c r="S413" s="495">
        <f>J413*18200</f>
        <v>0</v>
      </c>
    </row>
    <row r="414" spans="1:19" s="432" customFormat="1">
      <c r="A414" s="265" t="s">
        <v>616</v>
      </c>
      <c r="B414" s="688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95">
        <f>C414*128000</f>
        <v>0</v>
      </c>
      <c r="L414" s="575"/>
      <c r="M414" s="508"/>
      <c r="N414" s="598">
        <f>F414*115000</f>
        <v>0</v>
      </c>
      <c r="O414" s="497"/>
      <c r="P414" s="590"/>
      <c r="Q414" s="498"/>
      <c r="R414" s="495">
        <f t="shared" si="75"/>
        <v>0</v>
      </c>
      <c r="S414" s="495">
        <f>J414*13300</f>
        <v>0</v>
      </c>
    </row>
    <row r="415" spans="1:19" s="432" customFormat="1">
      <c r="A415" s="263" t="s">
        <v>617</v>
      </c>
      <c r="B415" s="688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95">
        <v>88000</v>
      </c>
      <c r="L415" s="575"/>
      <c r="M415" s="508"/>
      <c r="N415" s="598">
        <v>0</v>
      </c>
      <c r="O415" s="497"/>
      <c r="P415" s="590"/>
      <c r="Q415" s="498"/>
      <c r="R415" s="495">
        <f t="shared" si="75"/>
        <v>88000</v>
      </c>
      <c r="S415" s="495">
        <f>J415*13900</f>
        <v>13900</v>
      </c>
    </row>
    <row r="416" spans="1:19" s="432" customFormat="1">
      <c r="A416" s="263" t="s">
        <v>618</v>
      </c>
      <c r="B416" s="688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95">
        <v>0</v>
      </c>
      <c r="L416" s="575"/>
      <c r="M416" s="508"/>
      <c r="N416" s="598">
        <v>0</v>
      </c>
      <c r="O416" s="497"/>
      <c r="P416" s="590"/>
      <c r="Q416" s="498"/>
      <c r="R416" s="495">
        <f t="shared" si="75"/>
        <v>0</v>
      </c>
      <c r="S416" s="495">
        <f>J416*16900</f>
        <v>0</v>
      </c>
    </row>
    <row r="417" spans="1:19" s="432" customFormat="1">
      <c r="A417" s="264" t="s">
        <v>619</v>
      </c>
      <c r="B417" s="688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95">
        <f>C417*146000</f>
        <v>0</v>
      </c>
      <c r="L417" s="575"/>
      <c r="M417" s="508"/>
      <c r="N417" s="598">
        <f>F417*131000</f>
        <v>0</v>
      </c>
      <c r="O417" s="497"/>
      <c r="P417" s="590"/>
      <c r="Q417" s="498"/>
      <c r="R417" s="495">
        <f t="shared" si="75"/>
        <v>0</v>
      </c>
      <c r="S417" s="495">
        <f>J417*38900</f>
        <v>0</v>
      </c>
    </row>
    <row r="418" spans="1:19" s="432" customFormat="1">
      <c r="A418" s="263" t="s">
        <v>620</v>
      </c>
      <c r="B418" s="688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75"/>
        <v>0</v>
      </c>
      <c r="S418" s="495">
        <f>J418*14200</f>
        <v>0</v>
      </c>
    </row>
    <row r="419" spans="1:19" s="432" customFormat="1">
      <c r="A419" s="263" t="s">
        <v>621</v>
      </c>
      <c r="B419" s="688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75"/>
        <v>0</v>
      </c>
      <c r="S419" s="495">
        <f>J419*276500</f>
        <v>0</v>
      </c>
    </row>
    <row r="420" spans="1:19" s="432" customFormat="1">
      <c r="A420" s="263" t="s">
        <v>622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95">
        <f>C420*184000</f>
        <v>0</v>
      </c>
      <c r="L420" s="575"/>
      <c r="M420" s="508"/>
      <c r="N420" s="598">
        <f>F420*166000</f>
        <v>0</v>
      </c>
      <c r="O420" s="497"/>
      <c r="P420" s="590"/>
      <c r="Q420" s="498"/>
      <c r="R420" s="495">
        <f t="shared" si="75"/>
        <v>0</v>
      </c>
      <c r="S420" s="495">
        <f>J420*21200</f>
        <v>0</v>
      </c>
    </row>
    <row r="421" spans="1:19" s="432" customFormat="1">
      <c r="A421" s="263" t="s">
        <v>623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75"/>
        <v>0</v>
      </c>
      <c r="S421" s="495">
        <f>J421*12500</f>
        <v>0</v>
      </c>
    </row>
    <row r="422" spans="1:19" s="432" customFormat="1">
      <c r="A422" s="263" t="s">
        <v>624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75"/>
        <v>0</v>
      </c>
      <c r="S422" s="495">
        <f>J422*6200</f>
        <v>0</v>
      </c>
    </row>
    <row r="423" spans="1:19" s="432" customFormat="1">
      <c r="A423" s="265" t="s">
        <v>625</v>
      </c>
      <c r="B423" s="688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75"/>
        <v>0</v>
      </c>
      <c r="S423" s="495">
        <f>J423*46600</f>
        <v>0</v>
      </c>
    </row>
    <row r="424" spans="1:19" s="432" customFormat="1">
      <c r="A424" s="265" t="s">
        <v>626</v>
      </c>
      <c r="B424" s="688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75"/>
        <v>0</v>
      </c>
      <c r="S424" s="495">
        <f>J424*31200</f>
        <v>0</v>
      </c>
    </row>
    <row r="425" spans="1:19" s="432" customFormat="1">
      <c r="A425" s="265" t="s">
        <v>627</v>
      </c>
      <c r="B425" s="688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75"/>
        <v>0</v>
      </c>
      <c r="S425" s="495">
        <f>J425*75200</f>
        <v>0</v>
      </c>
    </row>
    <row r="426" spans="1:19" s="432" customFormat="1">
      <c r="A426" s="265" t="s">
        <v>628</v>
      </c>
      <c r="B426" s="688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75"/>
        <v>0</v>
      </c>
      <c r="S426" s="495">
        <f>J426*12100</f>
        <v>0</v>
      </c>
    </row>
    <row r="427" spans="1:19" s="432" customFormat="1">
      <c r="A427" s="263" t="s">
        <v>629</v>
      </c>
      <c r="B427" s="688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75"/>
        <v>0</v>
      </c>
      <c r="S427" s="495">
        <f>J427*158660</f>
        <v>0</v>
      </c>
    </row>
    <row r="428" spans="1:19" s="432" customFormat="1">
      <c r="A428" s="265" t="s">
        <v>630</v>
      </c>
      <c r="B428" s="688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75"/>
        <v>0</v>
      </c>
      <c r="S428" s="495">
        <f>J428*14200</f>
        <v>0</v>
      </c>
    </row>
    <row r="429" spans="1:19" s="432" customFormat="1">
      <c r="A429" s="265" t="s">
        <v>631</v>
      </c>
      <c r="B429" s="688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75"/>
        <v>0</v>
      </c>
      <c r="S429" s="495">
        <f>J429*11100</f>
        <v>0</v>
      </c>
    </row>
    <row r="430" spans="1:19" s="432" customFormat="1">
      <c r="A430" s="265" t="s">
        <v>632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75"/>
        <v>0</v>
      </c>
      <c r="S430" s="495">
        <f>J430*14900</f>
        <v>0</v>
      </c>
    </row>
    <row r="431" spans="1:19" s="432" customFormat="1">
      <c r="A431" s="263" t="s">
        <v>633</v>
      </c>
      <c r="B431" s="688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75"/>
        <v>0</v>
      </c>
      <c r="S431" s="495">
        <f>J431*6400</f>
        <v>0</v>
      </c>
    </row>
    <row r="432" spans="1:19" s="432" customFormat="1">
      <c r="A432" s="265" t="s">
        <v>634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75"/>
        <v>0</v>
      </c>
      <c r="S432" s="495">
        <f>J432*99400</f>
        <v>0</v>
      </c>
    </row>
    <row r="433" spans="1:19" s="432" customFormat="1">
      <c r="A433" s="265" t="s">
        <v>635</v>
      </c>
      <c r="B433" s="688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75"/>
        <v>0</v>
      </c>
      <c r="S433" s="495">
        <f>J433*11300</f>
        <v>0</v>
      </c>
    </row>
    <row r="434" spans="1:19" s="432" customFormat="1">
      <c r="A434" s="265" t="s">
        <v>636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75"/>
        <v>0</v>
      </c>
      <c r="S434" s="495">
        <f>J434*67500</f>
        <v>0</v>
      </c>
    </row>
    <row r="435" spans="1:19" s="432" customFormat="1">
      <c r="A435" s="263" t="s">
        <v>637</v>
      </c>
      <c r="B435" s="688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75"/>
        <v>0</v>
      </c>
      <c r="S435" s="495">
        <f>J435*31750</f>
        <v>0</v>
      </c>
    </row>
    <row r="436" spans="1:19" s="432" customFormat="1">
      <c r="A436" s="265" t="s">
        <v>638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75"/>
        <v>0</v>
      </c>
      <c r="S436" s="495">
        <f>J436*16020</f>
        <v>0</v>
      </c>
    </row>
    <row r="437" spans="1:19" s="432" customFormat="1">
      <c r="A437" s="265" t="s">
        <v>639</v>
      </c>
      <c r="B437" s="688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75"/>
        <v>0</v>
      </c>
      <c r="S437" s="495">
        <f>J437*13600</f>
        <v>0</v>
      </c>
    </row>
    <row r="438" spans="1:19" s="432" customFormat="1">
      <c r="A438" s="265" t="s">
        <v>640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75"/>
        <v>0</v>
      </c>
      <c r="S438" s="495">
        <f>J438*13600</f>
        <v>0</v>
      </c>
    </row>
    <row r="439" spans="1:19" s="432" customFormat="1">
      <c r="A439" s="263" t="s">
        <v>641</v>
      </c>
      <c r="B439" s="688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75"/>
        <v>0</v>
      </c>
      <c r="S439" s="495">
        <f>J439*31200</f>
        <v>0</v>
      </c>
    </row>
    <row r="440" spans="1:19" s="432" customFormat="1">
      <c r="A440" s="263" t="s">
        <v>643</v>
      </c>
      <c r="B440" s="688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95">
        <f>C440*880000</f>
        <v>0</v>
      </c>
      <c r="L440" s="575"/>
      <c r="M440" s="508"/>
      <c r="N440" s="598">
        <f>F440*792000</f>
        <v>0</v>
      </c>
      <c r="O440" s="497"/>
      <c r="P440" s="590"/>
      <c r="Q440" s="498"/>
      <c r="R440" s="495">
        <f t="shared" si="75"/>
        <v>0</v>
      </c>
      <c r="S440" s="495">
        <f>J440*48800</f>
        <v>0</v>
      </c>
    </row>
    <row r="441" spans="1:19" s="432" customFormat="1">
      <c r="A441" s="263" t="s">
        <v>642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95">
        <f>C441*1000000</f>
        <v>0</v>
      </c>
      <c r="L441" s="575"/>
      <c r="M441" s="508"/>
      <c r="N441" s="598">
        <f>F441*900000</f>
        <v>0</v>
      </c>
      <c r="O441" s="497"/>
      <c r="P441" s="590"/>
      <c r="Q441" s="498"/>
      <c r="R441" s="495">
        <f t="shared" ref="R441:R472" si="77">SUM(K441:Q441)</f>
        <v>0</v>
      </c>
      <c r="S441" s="495">
        <f>J441*79700</f>
        <v>0</v>
      </c>
    </row>
    <row r="442" spans="1:19" s="432" customFormat="1">
      <c r="A442" s="265" t="s">
        <v>644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77"/>
        <v>0</v>
      </c>
      <c r="S442" s="495">
        <f>J442*168900</f>
        <v>0</v>
      </c>
    </row>
    <row r="443" spans="1:19" s="432" customFormat="1">
      <c r="A443" s="265" t="s">
        <v>645</v>
      </c>
      <c r="B443" s="688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77"/>
        <v>0</v>
      </c>
      <c r="S443" s="495">
        <f>J443*10600</f>
        <v>0</v>
      </c>
    </row>
    <row r="444" spans="1:19" s="432" customFormat="1">
      <c r="A444" s="263" t="s">
        <v>646</v>
      </c>
      <c r="B444" s="688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77"/>
        <v>0</v>
      </c>
      <c r="S444" s="495">
        <f>J444*6780</f>
        <v>0</v>
      </c>
    </row>
    <row r="445" spans="1:19" s="432" customFormat="1">
      <c r="A445" s="263" t="s">
        <v>647</v>
      </c>
      <c r="B445" s="688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95">
        <f>C445*136000</f>
        <v>0</v>
      </c>
      <c r="L445" s="575"/>
      <c r="M445" s="508"/>
      <c r="N445" s="598">
        <f>F445*122000</f>
        <v>0</v>
      </c>
      <c r="O445" s="497"/>
      <c r="P445" s="590"/>
      <c r="Q445" s="498"/>
      <c r="R445" s="495">
        <f t="shared" si="77"/>
        <v>0</v>
      </c>
      <c r="S445" s="495">
        <f>J445*15700</f>
        <v>0</v>
      </c>
    </row>
    <row r="446" spans="1:19" s="432" customFormat="1">
      <c r="A446" s="263" t="s">
        <v>648</v>
      </c>
      <c r="B446" s="688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95">
        <v>80000</v>
      </c>
      <c r="L446" s="575"/>
      <c r="M446" s="508"/>
      <c r="N446" s="598">
        <v>0</v>
      </c>
      <c r="O446" s="497"/>
      <c r="P446" s="590"/>
      <c r="Q446" s="498"/>
      <c r="R446" s="495">
        <f t="shared" si="77"/>
        <v>80000</v>
      </c>
      <c r="S446" s="495">
        <f>J446*9459</f>
        <v>9459</v>
      </c>
    </row>
    <row r="447" spans="1:19" s="432" customFormat="1">
      <c r="A447" s="263" t="s">
        <v>649</v>
      </c>
      <c r="B447" s="688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77"/>
        <v>0</v>
      </c>
      <c r="S447" s="495">
        <f>J447*13600</f>
        <v>0</v>
      </c>
    </row>
    <row r="448" spans="1:19" s="432" customFormat="1">
      <c r="A448" s="265" t="s">
        <v>650</v>
      </c>
      <c r="B448" s="688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77"/>
        <v>0</v>
      </c>
      <c r="S448" s="495">
        <f>J448*45060</f>
        <v>0</v>
      </c>
    </row>
    <row r="449" spans="1:19" s="432" customFormat="1">
      <c r="A449" s="265" t="s">
        <v>651</v>
      </c>
      <c r="B449" s="688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77"/>
        <v>0</v>
      </c>
      <c r="S449" s="495">
        <f>J449*44300</f>
        <v>0</v>
      </c>
    </row>
    <row r="450" spans="1:19" s="432" customFormat="1">
      <c r="A450" s="263" t="s">
        <v>652</v>
      </c>
      <c r="B450" s="688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77"/>
        <v>0</v>
      </c>
      <c r="S450" s="495">
        <f>J450*56500</f>
        <v>0</v>
      </c>
    </row>
    <row r="451" spans="1:19" s="432" customFormat="1">
      <c r="A451" s="265" t="s">
        <v>653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77"/>
        <v>0</v>
      </c>
      <c r="S451" s="495">
        <f>J451*31750</f>
        <v>0</v>
      </c>
    </row>
    <row r="452" spans="1:19" s="432" customFormat="1">
      <c r="A452" s="265" t="s">
        <v>654</v>
      </c>
      <c r="B452" s="688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77"/>
        <v>0</v>
      </c>
      <c r="S452" s="495">
        <f>J452*43300</f>
        <v>0</v>
      </c>
    </row>
    <row r="453" spans="1:19" s="432" customFormat="1">
      <c r="A453" s="265" t="s">
        <v>655</v>
      </c>
      <c r="B453" s="688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95">
        <f>C453*184000</f>
        <v>0</v>
      </c>
      <c r="L453" s="575"/>
      <c r="M453" s="508"/>
      <c r="N453" s="598">
        <f>F453*166000</f>
        <v>0</v>
      </c>
      <c r="O453" s="497"/>
      <c r="P453" s="590"/>
      <c r="Q453" s="498"/>
      <c r="R453" s="495">
        <f t="shared" si="77"/>
        <v>0</v>
      </c>
      <c r="S453" s="495">
        <f>J453*21700</f>
        <v>0</v>
      </c>
    </row>
    <row r="454" spans="1:19" s="432" customFormat="1">
      <c r="A454" s="265" t="s">
        <v>656</v>
      </c>
      <c r="B454" s="688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95">
        <f>C454*228000</f>
        <v>0</v>
      </c>
      <c r="L454" s="575"/>
      <c r="M454" s="508"/>
      <c r="N454" s="598">
        <f>F454*205000</f>
        <v>0</v>
      </c>
      <c r="O454" s="497"/>
      <c r="P454" s="590"/>
      <c r="Q454" s="498"/>
      <c r="R454" s="495">
        <f t="shared" si="77"/>
        <v>0</v>
      </c>
      <c r="S454" s="495">
        <f>J454*42900</f>
        <v>0</v>
      </c>
    </row>
    <row r="455" spans="1:19" s="432" customFormat="1">
      <c r="A455" s="265" t="s">
        <v>685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77"/>
        <v>0</v>
      </c>
      <c r="S455" s="495">
        <f>J455*21200</f>
        <v>0</v>
      </c>
    </row>
    <row r="456" spans="1:19" s="432" customFormat="1">
      <c r="A456" s="265" t="s">
        <v>657</v>
      </c>
      <c r="B456" s="688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77"/>
        <v>0</v>
      </c>
      <c r="S456" s="495">
        <f>J456*45500</f>
        <v>0</v>
      </c>
    </row>
    <row r="457" spans="1:19" s="432" customFormat="1">
      <c r="A457" s="265" t="s">
        <v>658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77"/>
        <v>0</v>
      </c>
      <c r="S457" s="495">
        <f>J457*15200</f>
        <v>0</v>
      </c>
    </row>
    <row r="458" spans="1:19" s="432" customFormat="1">
      <c r="A458" s="265" t="s">
        <v>659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95">
        <f>C458*184000</f>
        <v>0</v>
      </c>
      <c r="L458" s="575"/>
      <c r="M458" s="508"/>
      <c r="N458" s="598">
        <f>F458*166000</f>
        <v>0</v>
      </c>
      <c r="O458" s="497"/>
      <c r="P458" s="590"/>
      <c r="Q458" s="498"/>
      <c r="R458" s="495">
        <f t="shared" si="77"/>
        <v>0</v>
      </c>
      <c r="S458" s="495">
        <f>J458*22800</f>
        <v>0</v>
      </c>
    </row>
    <row r="459" spans="1:19" s="432" customFormat="1">
      <c r="A459" s="265" t="s">
        <v>660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95">
        <f>C459*128000</f>
        <v>0</v>
      </c>
      <c r="L459" s="575"/>
      <c r="M459" s="508"/>
      <c r="N459" s="598">
        <f>F459*115000</f>
        <v>0</v>
      </c>
      <c r="O459" s="497"/>
      <c r="P459" s="590"/>
      <c r="Q459" s="498"/>
      <c r="R459" s="495">
        <f t="shared" si="77"/>
        <v>0</v>
      </c>
      <c r="S459" s="495">
        <f>J459*10400</f>
        <v>0</v>
      </c>
    </row>
    <row r="460" spans="1:19" s="432" customFormat="1">
      <c r="A460" s="265" t="s">
        <v>662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77"/>
        <v>0</v>
      </c>
      <c r="S460" s="495">
        <f>J460*36700</f>
        <v>0</v>
      </c>
    </row>
    <row r="461" spans="1:19" s="432" customFormat="1">
      <c r="A461" s="265" t="s">
        <v>663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95">
        <v>0</v>
      </c>
      <c r="L461" s="575"/>
      <c r="M461" s="508"/>
      <c r="N461" s="598">
        <v>0</v>
      </c>
      <c r="O461" s="497"/>
      <c r="P461" s="590"/>
      <c r="Q461" s="498"/>
      <c r="R461" s="495">
        <f t="shared" si="77"/>
        <v>0</v>
      </c>
      <c r="S461" s="495">
        <f>J461*19980</f>
        <v>0</v>
      </c>
    </row>
    <row r="462" spans="1:19" s="432" customFormat="1">
      <c r="A462" s="265" t="s">
        <v>664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77"/>
        <v>0</v>
      </c>
      <c r="S462" s="495">
        <f>J462*16900</f>
        <v>0</v>
      </c>
    </row>
    <row r="463" spans="1:19" s="432" customFormat="1">
      <c r="A463" s="265" t="s">
        <v>665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95">
        <f>C463*128000</f>
        <v>0</v>
      </c>
      <c r="L463" s="575"/>
      <c r="M463" s="508"/>
      <c r="N463" s="598">
        <f>F463*115000</f>
        <v>0</v>
      </c>
      <c r="O463" s="497"/>
      <c r="P463" s="590"/>
      <c r="Q463" s="498"/>
      <c r="R463" s="495">
        <f t="shared" si="77"/>
        <v>0</v>
      </c>
      <c r="S463" s="495">
        <f>J463*11100</f>
        <v>0</v>
      </c>
    </row>
    <row r="464" spans="1:19" s="432" customFormat="1">
      <c r="A464" s="263" t="s">
        <v>666</v>
      </c>
      <c r="B464" s="688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77"/>
        <v>0</v>
      </c>
      <c r="S464" s="495">
        <f>J464*10100</f>
        <v>0</v>
      </c>
    </row>
    <row r="465" spans="1:19" s="432" customFormat="1">
      <c r="A465" s="265" t="s">
        <v>667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77"/>
        <v>0</v>
      </c>
      <c r="S465" s="495">
        <f>J465*26800</f>
        <v>0</v>
      </c>
    </row>
    <row r="466" spans="1:19" s="432" customFormat="1">
      <c r="A466" s="265" t="s">
        <v>668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77"/>
        <v>0</v>
      </c>
      <c r="S466" s="495">
        <f>J466*13600</f>
        <v>0</v>
      </c>
    </row>
    <row r="467" spans="1:19" s="432" customFormat="1">
      <c r="A467" s="263" t="s">
        <v>669</v>
      </c>
      <c r="B467" s="688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77"/>
        <v>0</v>
      </c>
      <c r="S467" s="495">
        <f>J467*7400</f>
        <v>0</v>
      </c>
    </row>
    <row r="468" spans="1:19" s="432" customFormat="1">
      <c r="A468" s="265" t="s">
        <v>670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77"/>
        <v>0</v>
      </c>
      <c r="S468" s="495">
        <f>J468*30100</f>
        <v>0</v>
      </c>
    </row>
    <row r="469" spans="1:19" s="432" customFormat="1">
      <c r="A469" s="265" t="s">
        <v>671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77"/>
        <v>0</v>
      </c>
      <c r="S469" s="495">
        <f>J469*66400</f>
        <v>0</v>
      </c>
    </row>
    <row r="470" spans="1:19" s="432" customFormat="1">
      <c r="A470" s="265" t="s">
        <v>672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77"/>
        <v>0</v>
      </c>
      <c r="S470" s="495">
        <f>J470*26800</f>
        <v>0</v>
      </c>
    </row>
    <row r="471" spans="1:19" s="432" customFormat="1">
      <c r="A471" s="265" t="s">
        <v>673</v>
      </c>
      <c r="B471" s="688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77"/>
        <v>0</v>
      </c>
      <c r="S471" s="495">
        <f>J471*41100</f>
        <v>0</v>
      </c>
    </row>
    <row r="472" spans="1:19" s="432" customFormat="1">
      <c r="A472" s="265" t="s">
        <v>674</v>
      </c>
      <c r="B472" s="688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95">
        <f>C472*1000000</f>
        <v>0</v>
      </c>
      <c r="L472" s="575"/>
      <c r="M472" s="508"/>
      <c r="N472" s="598">
        <f>F472*900000</f>
        <v>0</v>
      </c>
      <c r="O472" s="497"/>
      <c r="P472" s="590"/>
      <c r="Q472" s="498"/>
      <c r="R472" s="495">
        <f t="shared" si="77"/>
        <v>0</v>
      </c>
      <c r="S472" s="495">
        <f>J472*25900</f>
        <v>0</v>
      </c>
    </row>
    <row r="473" spans="1:19" s="432" customFormat="1">
      <c r="A473" s="265" t="s">
        <v>676</v>
      </c>
      <c r="B473" s="688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ref="R473:R504" si="79">SUM(K473:Q473)</f>
        <v>0</v>
      </c>
      <c r="S473" s="495">
        <f>J473*70800</f>
        <v>0</v>
      </c>
    </row>
    <row r="474" spans="1:19" s="432" customFormat="1">
      <c r="A474" s="265" t="s">
        <v>675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ref="J474:J505" si="80">SUM(B474:I474)</f>
        <v>0</v>
      </c>
      <c r="K474" s="495">
        <f>C474*184000</f>
        <v>0</v>
      </c>
      <c r="L474" s="575"/>
      <c r="M474" s="508"/>
      <c r="N474" s="598">
        <f>F474*166000</f>
        <v>0</v>
      </c>
      <c r="O474" s="497"/>
      <c r="P474" s="590"/>
      <c r="Q474" s="498"/>
      <c r="R474" s="495">
        <f t="shared" si="79"/>
        <v>0</v>
      </c>
      <c r="S474" s="495">
        <f>J474*21700</f>
        <v>0</v>
      </c>
    </row>
    <row r="475" spans="1:19" s="432" customFormat="1">
      <c r="A475" s="265" t="s">
        <v>677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79"/>
        <v>0</v>
      </c>
      <c r="S475" s="495">
        <f>J475*19100</f>
        <v>0</v>
      </c>
    </row>
    <row r="476" spans="1:19" s="432" customFormat="1">
      <c r="A476" s="265" t="s">
        <v>678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79"/>
        <v>0</v>
      </c>
      <c r="S476" s="495">
        <f>J476*32200</f>
        <v>0</v>
      </c>
    </row>
    <row r="477" spans="1:19" s="432" customFormat="1">
      <c r="A477" s="265" t="s">
        <v>679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79"/>
        <v>0</v>
      </c>
      <c r="S477" s="495">
        <f>J477*45600</f>
        <v>0</v>
      </c>
    </row>
    <row r="478" spans="1:19" s="432" customFormat="1">
      <c r="A478" s="265" t="s">
        <v>680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79"/>
        <v>0</v>
      </c>
      <c r="S478" s="495">
        <f>J478*62600</f>
        <v>0</v>
      </c>
    </row>
    <row r="479" spans="1:19" s="432" customFormat="1">
      <c r="A479" s="265" t="s">
        <v>681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79"/>
        <v>0</v>
      </c>
      <c r="S479" s="495">
        <f>J479*29300</f>
        <v>0</v>
      </c>
    </row>
    <row r="480" spans="1:19" s="432" customFormat="1">
      <c r="A480" s="265" t="s">
        <v>682</v>
      </c>
      <c r="B480" s="683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79"/>
        <v>0</v>
      </c>
      <c r="S480" s="495">
        <f>J480*28700</f>
        <v>0</v>
      </c>
    </row>
    <row r="481" spans="1:19" s="432" customFormat="1">
      <c r="A481" s="265"/>
      <c r="B481" s="475"/>
      <c r="C481" s="26"/>
      <c r="D481" s="187"/>
      <c r="E481" s="187"/>
      <c r="F481" s="150"/>
      <c r="G481" s="154"/>
      <c r="H481" s="70"/>
      <c r="I481" s="103"/>
      <c r="J481" s="26"/>
      <c r="K481" s="495"/>
      <c r="L481" s="575"/>
      <c r="M481" s="508"/>
      <c r="N481" s="598"/>
      <c r="O481" s="497"/>
      <c r="P481" s="590"/>
      <c r="Q481" s="498"/>
      <c r="R481" s="495"/>
      <c r="S481" s="495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9">
        <f t="shared" si="81"/>
        <v>168000</v>
      </c>
      <c r="L482" s="619">
        <f t="shared" si="81"/>
        <v>0</v>
      </c>
      <c r="M482" s="619">
        <f t="shared" si="81"/>
        <v>0</v>
      </c>
      <c r="N482" s="619">
        <f t="shared" si="81"/>
        <v>0</v>
      </c>
      <c r="O482" s="619">
        <f t="shared" si="81"/>
        <v>0</v>
      </c>
      <c r="P482" s="619">
        <f t="shared" si="81"/>
        <v>0</v>
      </c>
      <c r="Q482" s="619">
        <f t="shared" si="81"/>
        <v>0</v>
      </c>
      <c r="R482" s="619">
        <f>SUM(K482:Q482)</f>
        <v>168000</v>
      </c>
      <c r="S482" s="619">
        <f>SUM(S411:S481)</f>
        <v>23359</v>
      </c>
    </row>
    <row r="483" spans="1:19" s="432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72"/>
      <c r="L483" s="575"/>
      <c r="M483" s="508"/>
      <c r="N483" s="509"/>
      <c r="O483" s="497"/>
      <c r="P483" s="590"/>
      <c r="Q483" s="498"/>
      <c r="R483" s="495"/>
      <c r="S483" s="495"/>
    </row>
    <row r="484" spans="1:19" s="432" customFormat="1" ht="16.5" customHeight="1">
      <c r="A484" s="265" t="s">
        <v>687</v>
      </c>
      <c r="B484" s="687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72">
        <f>C484*156000</f>
        <v>0</v>
      </c>
      <c r="L484" s="575"/>
      <c r="M484" s="508">
        <f>E484*156000</f>
        <v>0</v>
      </c>
      <c r="N484" s="509">
        <f>F484*124800</f>
        <v>0</v>
      </c>
      <c r="O484" s="497"/>
      <c r="P484" s="590"/>
      <c r="Q484" s="498"/>
      <c r="R484" s="495">
        <f t="shared" ref="R484:R489" si="82">SUM(K484:Q484)</f>
        <v>0</v>
      </c>
      <c r="S484" s="495">
        <f>J484*22320</f>
        <v>0</v>
      </c>
    </row>
    <row r="485" spans="1:19" s="217" customFormat="1">
      <c r="A485" s="265" t="s">
        <v>689</v>
      </c>
      <c r="B485" s="688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72">
        <f>C485*44000</f>
        <v>0</v>
      </c>
      <c r="L485" s="621"/>
      <c r="M485" s="508">
        <f>E485*44000</f>
        <v>0</v>
      </c>
      <c r="N485" s="509">
        <f>F485*35200</f>
        <v>0</v>
      </c>
      <c r="O485" s="621"/>
      <c r="P485" s="622"/>
      <c r="Q485" s="623"/>
      <c r="R485" s="495">
        <f t="shared" si="82"/>
        <v>0</v>
      </c>
      <c r="S485" s="495">
        <f>J485*10230</f>
        <v>0</v>
      </c>
    </row>
    <row r="486" spans="1:19" s="217" customFormat="1">
      <c r="A486" s="265" t="s">
        <v>690</v>
      </c>
      <c r="B486" s="688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72">
        <f>C486*44000</f>
        <v>0</v>
      </c>
      <c r="L486" s="621"/>
      <c r="M486" s="508">
        <f>E486*44000</f>
        <v>0</v>
      </c>
      <c r="N486" s="509">
        <f>F486*35200</f>
        <v>0</v>
      </c>
      <c r="O486" s="621"/>
      <c r="P486" s="622"/>
      <c r="Q486" s="623"/>
      <c r="R486" s="495">
        <f t="shared" si="82"/>
        <v>0</v>
      </c>
      <c r="S486" s="495">
        <f>J486*10780</f>
        <v>0</v>
      </c>
    </row>
    <row r="487" spans="1:19" s="217" customFormat="1">
      <c r="A487" s="265" t="s">
        <v>691</v>
      </c>
      <c r="B487" s="688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72">
        <f>C487*66000</f>
        <v>0</v>
      </c>
      <c r="L487" s="621"/>
      <c r="M487" s="508">
        <f>E487*66000</f>
        <v>0</v>
      </c>
      <c r="N487" s="509">
        <f>F487*52800</f>
        <v>0</v>
      </c>
      <c r="O487" s="621"/>
      <c r="P487" s="622"/>
      <c r="Q487" s="623"/>
      <c r="R487" s="495">
        <f t="shared" si="82"/>
        <v>0</v>
      </c>
      <c r="S487" s="495">
        <f>J487*14300</f>
        <v>0</v>
      </c>
    </row>
    <row r="488" spans="1:19" s="306" customFormat="1">
      <c r="A488" s="265" t="s">
        <v>692</v>
      </c>
      <c r="B488" s="683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72">
        <f>C488*36000</f>
        <v>0</v>
      </c>
      <c r="L488" s="621"/>
      <c r="M488" s="508">
        <f>E488*36000</f>
        <v>0</v>
      </c>
      <c r="N488" s="509">
        <f>F488*28800</f>
        <v>0</v>
      </c>
      <c r="O488" s="621"/>
      <c r="P488" s="622"/>
      <c r="Q488" s="623"/>
      <c r="R488" s="495">
        <f t="shared" si="82"/>
        <v>0</v>
      </c>
      <c r="S488" s="495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24">
        <f t="shared" ref="K489:Q489" si="84">SUM(K483:K488)</f>
        <v>0</v>
      </c>
      <c r="L489" s="624">
        <f t="shared" si="84"/>
        <v>0</v>
      </c>
      <c r="M489" s="624">
        <f t="shared" si="84"/>
        <v>0</v>
      </c>
      <c r="N489" s="624">
        <f t="shared" si="84"/>
        <v>0</v>
      </c>
      <c r="O489" s="624">
        <f t="shared" si="84"/>
        <v>0</v>
      </c>
      <c r="P489" s="624">
        <f t="shared" si="84"/>
        <v>0</v>
      </c>
      <c r="Q489" s="624">
        <f t="shared" si="84"/>
        <v>0</v>
      </c>
      <c r="R489" s="625">
        <f t="shared" si="82"/>
        <v>0</v>
      </c>
      <c r="S489" s="626">
        <f>SUM(S483:S488)</f>
        <v>0</v>
      </c>
    </row>
    <row r="490" spans="1:19">
      <c r="A490" s="356"/>
      <c r="D490" s="127"/>
      <c r="E490" s="128"/>
      <c r="F490" s="471"/>
      <c r="G490" s="7"/>
      <c r="H490" s="471"/>
      <c r="I490" s="690" t="s">
        <v>694</v>
      </c>
      <c r="J490" s="691"/>
      <c r="K490" s="627">
        <f>K489+K482+K409</f>
        <v>467000</v>
      </c>
      <c r="L490" s="628"/>
      <c r="M490" s="629"/>
      <c r="N490" s="629"/>
      <c r="O490" s="629"/>
      <c r="P490" s="630"/>
      <c r="Q490" s="631"/>
      <c r="R490" s="627">
        <f>R489+R482+R409</f>
        <v>467000</v>
      </c>
      <c r="S490" s="632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601"/>
      <c r="L491" s="601"/>
      <c r="M491" s="602"/>
      <c r="N491" s="602"/>
      <c r="O491" s="603"/>
      <c r="P491" s="604"/>
      <c r="Q491" s="605"/>
      <c r="R491" s="601"/>
      <c r="S491" s="606"/>
    </row>
    <row r="492" spans="1:19" s="432" customFormat="1" ht="17.25" customHeight="1" thickBot="1">
      <c r="A492" t="s">
        <v>695</v>
      </c>
      <c r="C492" s="425"/>
      <c r="F492" s="144"/>
      <c r="J492" s="145"/>
      <c r="K492" s="633"/>
      <c r="L492" s="633"/>
      <c r="M492" s="633"/>
      <c r="N492" s="633"/>
      <c r="O492" s="556"/>
      <c r="P492" s="633"/>
      <c r="Q492" s="633"/>
      <c r="R492"/>
    </row>
    <row r="493" spans="1:19" s="432" customFormat="1">
      <c r="A493" t="s">
        <v>696</v>
      </c>
      <c r="C493" s="425"/>
      <c r="F493" s="144"/>
      <c r="J493" s="126"/>
      <c r="K493" s="634" t="s">
        <v>697</v>
      </c>
      <c r="L493" s="635" t="s">
        <v>698</v>
      </c>
      <c r="M493" s="636" t="s">
        <v>699</v>
      </c>
      <c r="N493" s="637" t="s">
        <v>700</v>
      </c>
      <c r="O493" s="638"/>
      <c r="P493" s="639" t="s">
        <v>118</v>
      </c>
      <c r="Q493" s="640"/>
      <c r="R493" s="533"/>
      <c r="S493"/>
    </row>
    <row r="494" spans="1:19" s="432" customFormat="1">
      <c r="A494"/>
      <c r="C494" s="425"/>
      <c r="F494" s="144"/>
      <c r="J494" s="126" t="s">
        <v>701</v>
      </c>
      <c r="K494" s="641">
        <f>R24+R44+R61+R85+R102+R120+R127+R133+R141+R159</f>
        <v>200812790</v>
      </c>
      <c r="L494" s="565">
        <f>R220+R230+R236+R244</f>
        <v>33899340</v>
      </c>
      <c r="M494" s="532">
        <f>R490</f>
        <v>467000</v>
      </c>
      <c r="N494" s="642">
        <f>R257+R328</f>
        <v>9615700</v>
      </c>
      <c r="O494" s="533"/>
      <c r="P494" s="643">
        <f>SUM(K494:O494)</f>
        <v>244794830</v>
      </c>
      <c r="Q494" s="640"/>
      <c r="R494" s="533"/>
      <c r="S494"/>
    </row>
    <row r="495" spans="1:19" s="432" customFormat="1" ht="17.25" customHeight="1" thickBot="1">
      <c r="A495" t="s">
        <v>702</v>
      </c>
      <c r="C495" s="425"/>
      <c r="F495" s="144"/>
      <c r="J495" s="357" t="s">
        <v>30</v>
      </c>
      <c r="K495" s="644">
        <f>S24+S44+S61+S85+S102+S120+S127+S133+S141+S159</f>
        <v>96514545</v>
      </c>
      <c r="L495" s="645">
        <f>S220+S230+S236+S244</f>
        <v>7901535</v>
      </c>
      <c r="M495" s="646">
        <f>S490</f>
        <v>47559</v>
      </c>
      <c r="N495" s="647">
        <f>S257+S328</f>
        <v>3610218</v>
      </c>
      <c r="O495" s="648"/>
      <c r="P495" s="649">
        <f>SUM(K495:O495)</f>
        <v>108073857</v>
      </c>
      <c r="Q495" s="640"/>
      <c r="R495" s="640"/>
      <c r="S495"/>
    </row>
    <row r="496" spans="1:19" s="432" customFormat="1">
      <c r="A496" t="s">
        <v>703</v>
      </c>
      <c r="C496" s="425"/>
      <c r="F496" s="144"/>
      <c r="K496" s="495"/>
      <c r="L496" s="495"/>
      <c r="M496" s="496"/>
      <c r="N496" s="650"/>
      <c r="O496" s="573" t="s">
        <v>704</v>
      </c>
      <c r="P496" s="651" t="s">
        <v>30</v>
      </c>
      <c r="Q496" s="498"/>
      <c r="R496" s="496"/>
      <c r="S496"/>
    </row>
    <row r="497" spans="1:19" s="432" customFormat="1">
      <c r="A497"/>
      <c r="C497" s="425"/>
      <c r="F497" s="144"/>
      <c r="K497" s="495"/>
      <c r="L497" s="495"/>
      <c r="M497" s="496"/>
      <c r="N497" s="650" t="s">
        <v>705</v>
      </c>
      <c r="O497" s="574">
        <f>K494</f>
        <v>200812790</v>
      </c>
      <c r="P497" s="652">
        <f>K495</f>
        <v>96514545</v>
      </c>
      <c r="Q497" s="557"/>
      <c r="R497" s="522"/>
      <c r="S497"/>
    </row>
    <row r="498" spans="1:19" s="432" customFormat="1">
      <c r="A498" t="s">
        <v>706</v>
      </c>
      <c r="B498" s="129"/>
      <c r="C498" s="425"/>
      <c r="F498" s="144"/>
      <c r="H498" s="174"/>
      <c r="I498" s="174"/>
      <c r="J498" s="175"/>
      <c r="K498" s="495"/>
      <c r="L498" s="495"/>
      <c r="M498" s="496"/>
      <c r="N498" s="653" t="s">
        <v>707</v>
      </c>
      <c r="O498" s="654">
        <f>L494</f>
        <v>33899340</v>
      </c>
      <c r="P498" s="655">
        <f>L495</f>
        <v>7901535</v>
      </c>
      <c r="Q498" s="656"/>
      <c r="R498" s="656"/>
      <c r="S498"/>
    </row>
    <row r="499" spans="1:19" s="432" customFormat="1">
      <c r="A499" t="s">
        <v>708</v>
      </c>
      <c r="C499" s="425"/>
      <c r="F499" s="144"/>
      <c r="K499" s="495"/>
      <c r="L499" s="495"/>
      <c r="M499" s="496"/>
      <c r="N499" s="657" t="s">
        <v>709</v>
      </c>
      <c r="O499" s="621">
        <f>N494</f>
        <v>9615700</v>
      </c>
      <c r="P499" s="658">
        <f>N495</f>
        <v>3610218</v>
      </c>
      <c r="Q499" s="659"/>
      <c r="R499" s="659"/>
      <c r="S499"/>
    </row>
    <row r="500" spans="1:19" s="432" customFormat="1">
      <c r="A500" t="s">
        <v>710</v>
      </c>
      <c r="C500" s="425"/>
      <c r="F500" s="144"/>
      <c r="K500" s="495"/>
      <c r="L500" s="660"/>
      <c r="M500" s="496"/>
      <c r="N500" s="661" t="s">
        <v>699</v>
      </c>
      <c r="O500" s="598">
        <f>M494</f>
        <v>467000</v>
      </c>
      <c r="P500" s="662">
        <f>M495</f>
        <v>47559</v>
      </c>
      <c r="Q500" s="598"/>
      <c r="R500" s="663"/>
      <c r="S500"/>
    </row>
    <row r="501" spans="1:19" s="432" customFormat="1">
      <c r="A501" t="s">
        <v>711</v>
      </c>
      <c r="C501" s="425"/>
      <c r="F501" s="171"/>
      <c r="G501" s="170"/>
      <c r="K501" s="495"/>
      <c r="L501" s="660"/>
      <c r="M501" s="496"/>
      <c r="N501" s="664"/>
      <c r="O501" s="665"/>
      <c r="P501" s="666"/>
      <c r="Q501" s="663"/>
      <c r="R501" s="667"/>
      <c r="S501"/>
    </row>
    <row r="502" spans="1:19" s="432" customFormat="1">
      <c r="A502" t="s">
        <v>712</v>
      </c>
      <c r="C502" s="425"/>
      <c r="F502" s="171"/>
      <c r="K502" s="495"/>
      <c r="L502" s="495"/>
      <c r="M502" s="496"/>
      <c r="N502" s="668" t="s">
        <v>118</v>
      </c>
      <c r="O502" s="669">
        <f>SUM(O497:O501)</f>
        <v>244794830</v>
      </c>
      <c r="P502" s="670">
        <f>SUM(P497:P501)</f>
        <v>108073857</v>
      </c>
      <c r="Q502" s="557"/>
      <c r="R502" s="496"/>
      <c r="S502"/>
    </row>
    <row r="503" spans="1:19" s="432" customFormat="1">
      <c r="A503" t="s">
        <v>713</v>
      </c>
      <c r="B503" s="393">
        <v>8</v>
      </c>
      <c r="C503" s="425"/>
      <c r="K503" s="496"/>
      <c r="L503" s="621" t="s">
        <v>709</v>
      </c>
      <c r="M503" s="496" t="s">
        <v>705</v>
      </c>
      <c r="N503" s="671" t="s">
        <v>707</v>
      </c>
      <c r="O503" s="598" t="s">
        <v>699</v>
      </c>
      <c r="P503" s="672" t="s">
        <v>10</v>
      </c>
      <c r="Q503" s="564" t="s">
        <v>714</v>
      </c>
      <c r="R503" s="432" t="s">
        <v>715</v>
      </c>
      <c r="S503" s="672"/>
    </row>
    <row r="504" spans="1:19">
      <c r="A504" t="s">
        <v>716</v>
      </c>
      <c r="B504" s="432">
        <v>5</v>
      </c>
      <c r="E504" s="212"/>
      <c r="K504" s="496" t="s">
        <v>4</v>
      </c>
      <c r="L504" s="621">
        <v>8751700</v>
      </c>
      <c r="M504" s="496">
        <v>174458690</v>
      </c>
      <c r="N504" s="673">
        <v>28061490</v>
      </c>
      <c r="O504" s="598">
        <v>467000</v>
      </c>
      <c r="P504" s="674">
        <f t="shared" ref="P504:P509" si="85">SUM(L504:O504)</f>
        <v>211738880</v>
      </c>
      <c r="Q504" s="495">
        <v>211693976</v>
      </c>
      <c r="R504" s="210"/>
      <c r="S504" s="674"/>
    </row>
    <row r="505" spans="1:19">
      <c r="A505" t="s">
        <v>717</v>
      </c>
      <c r="K505" s="496"/>
      <c r="L505" s="621">
        <v>3136594</v>
      </c>
      <c r="M505" s="496">
        <v>82065787</v>
      </c>
      <c r="N505" s="673">
        <v>6309778</v>
      </c>
      <c r="O505" s="598">
        <v>47559</v>
      </c>
      <c r="P505" s="674">
        <f t="shared" si="85"/>
        <v>91559718</v>
      </c>
      <c r="Q505" s="495"/>
      <c r="R505" s="210"/>
      <c r="S505" s="674"/>
    </row>
    <row r="506" spans="1:19">
      <c r="K506" s="496" t="s">
        <v>718</v>
      </c>
      <c r="L506" s="621">
        <v>264000</v>
      </c>
      <c r="M506" s="496">
        <v>1227800</v>
      </c>
      <c r="N506" s="673">
        <v>3820300</v>
      </c>
      <c r="O506" s="598"/>
      <c r="P506" s="674">
        <f t="shared" si="85"/>
        <v>5312100</v>
      </c>
      <c r="Q506" s="495">
        <v>5312217</v>
      </c>
      <c r="R506" s="210"/>
      <c r="S506" s="674"/>
    </row>
    <row r="507" spans="1:19">
      <c r="K507" s="496"/>
      <c r="L507" s="621">
        <v>116600</v>
      </c>
      <c r="M507" s="496">
        <v>628581</v>
      </c>
      <c r="N507" s="673">
        <v>1141163</v>
      </c>
      <c r="O507" s="598"/>
      <c r="P507" s="674">
        <f t="shared" si="85"/>
        <v>1886344</v>
      </c>
      <c r="Q507" s="495"/>
      <c r="R507" s="210"/>
      <c r="S507" s="674"/>
    </row>
    <row r="508" spans="1:19">
      <c r="K508" s="496" t="s">
        <v>6</v>
      </c>
      <c r="L508" s="621">
        <f>N494-L504-L506</f>
        <v>600000</v>
      </c>
      <c r="M508" s="496">
        <f t="shared" ref="M508:O509" si="86">K494-M504-M506</f>
        <v>25126300</v>
      </c>
      <c r="N508" s="673">
        <f t="shared" si="86"/>
        <v>2017550</v>
      </c>
      <c r="O508" s="598">
        <f t="shared" si="86"/>
        <v>0</v>
      </c>
      <c r="P508" s="674">
        <f t="shared" si="85"/>
        <v>27743850</v>
      </c>
      <c r="Q508" s="495">
        <v>27743522</v>
      </c>
      <c r="R508" s="210"/>
      <c r="S508" s="674"/>
    </row>
    <row r="509" spans="1:19">
      <c r="K509" s="496"/>
      <c r="L509" s="621">
        <f>N495-L505-L507</f>
        <v>357024</v>
      </c>
      <c r="M509" s="496">
        <f t="shared" si="86"/>
        <v>13820177</v>
      </c>
      <c r="N509" s="673">
        <f t="shared" si="86"/>
        <v>450594</v>
      </c>
      <c r="O509" s="598">
        <f t="shared" si="86"/>
        <v>0</v>
      </c>
      <c r="P509" s="674">
        <f t="shared" si="85"/>
        <v>14627795</v>
      </c>
      <c r="Q509" s="495"/>
      <c r="R509" s="210"/>
      <c r="S509" s="674"/>
    </row>
    <row r="510" spans="1:19">
      <c r="K510" s="496"/>
      <c r="L510" s="621"/>
      <c r="N510" s="673"/>
      <c r="O510" s="598"/>
      <c r="P510" s="674"/>
      <c r="Q510" s="495"/>
      <c r="R510"/>
      <c r="S510" s="674"/>
    </row>
    <row r="511" spans="1:19">
      <c r="K511" s="496" t="s">
        <v>719</v>
      </c>
      <c r="L511" s="621">
        <f t="shared" ref="L511:O512" si="87">L504+L506+L508</f>
        <v>9615700</v>
      </c>
      <c r="M511" s="496">
        <f t="shared" si="87"/>
        <v>200812790</v>
      </c>
      <c r="N511" s="654">
        <f t="shared" si="87"/>
        <v>33899340</v>
      </c>
      <c r="O511" s="598">
        <f t="shared" si="87"/>
        <v>467000</v>
      </c>
      <c r="P511" s="674">
        <f>SUM(L511:O511)</f>
        <v>244794830</v>
      </c>
      <c r="Q511" s="553">
        <f>Q504+Q506+Q508</f>
        <v>244749715</v>
      </c>
      <c r="R511" s="553">
        <v>255934800</v>
      </c>
      <c r="S511" s="674"/>
    </row>
    <row r="512" spans="1:19" s="432" customFormat="1">
      <c r="A512"/>
      <c r="C512" s="425"/>
      <c r="K512" s="496" t="s">
        <v>720</v>
      </c>
      <c r="L512" s="621">
        <f t="shared" si="87"/>
        <v>3610218</v>
      </c>
      <c r="M512" s="496">
        <f t="shared" si="87"/>
        <v>96514545</v>
      </c>
      <c r="N512" s="654">
        <f t="shared" si="87"/>
        <v>7901535</v>
      </c>
      <c r="O512" s="598">
        <f t="shared" si="87"/>
        <v>47559</v>
      </c>
      <c r="P512" s="674">
        <f>SUM(L512:O512)</f>
        <v>108073857</v>
      </c>
      <c r="Q512" s="553">
        <f>Q505+Q507+Q509</f>
        <v>0</v>
      </c>
      <c r="R512" s="211">
        <f>R505+R507+R509</f>
        <v>0</v>
      </c>
      <c r="S512" s="674"/>
    </row>
    <row r="514" spans="1:19">
      <c r="R514" s="16" t="s">
        <v>721</v>
      </c>
    </row>
    <row r="515" spans="1:19">
      <c r="R515" s="258" t="s">
        <v>722</v>
      </c>
      <c r="S515" s="496">
        <v>19915880</v>
      </c>
    </row>
    <row r="516" spans="1:19" ht="25.5" customHeight="1">
      <c r="R516" s="258" t="s">
        <v>723</v>
      </c>
      <c r="S516" s="496">
        <v>387900</v>
      </c>
    </row>
    <row r="517" spans="1:19">
      <c r="L517" s="659" t="s">
        <v>709</v>
      </c>
      <c r="M517" s="496" t="s">
        <v>705</v>
      </c>
      <c r="N517" s="656" t="s">
        <v>707</v>
      </c>
      <c r="O517" s="598" t="s">
        <v>724</v>
      </c>
      <c r="P517" s="498" t="s">
        <v>10</v>
      </c>
      <c r="R517" s="258" t="s">
        <v>725</v>
      </c>
    </row>
    <row r="518" spans="1:19">
      <c r="K518" s="495" t="s">
        <v>726</v>
      </c>
      <c r="L518" s="621">
        <v>7569500</v>
      </c>
      <c r="M518" s="496">
        <v>46789800</v>
      </c>
      <c r="N518" s="673">
        <v>22654160</v>
      </c>
      <c r="O518" s="598">
        <v>467000</v>
      </c>
      <c r="P518" s="495">
        <f>SUM(K518:O518)</f>
        <v>77480460</v>
      </c>
      <c r="Q518" s="495"/>
      <c r="R518" s="58" t="s">
        <v>727</v>
      </c>
    </row>
    <row r="519" spans="1:19">
      <c r="L519" s="621">
        <v>2748416</v>
      </c>
      <c r="M519" s="496">
        <v>18404894</v>
      </c>
      <c r="N519" s="673">
        <v>4974124</v>
      </c>
      <c r="O519" s="598">
        <v>47559</v>
      </c>
      <c r="P519" s="495">
        <f>SUM(K519:O519)</f>
        <v>26174993</v>
      </c>
      <c r="Q519" s="495"/>
      <c r="R519" s="58" t="s">
        <v>728</v>
      </c>
      <c r="S519" s="496">
        <f>Q512+S514+S515+S516+S517</f>
        <v>20303780</v>
      </c>
    </row>
    <row r="520" spans="1:19">
      <c r="K520" s="495" t="s">
        <v>729</v>
      </c>
      <c r="L520" s="621">
        <v>1182200</v>
      </c>
      <c r="M520" s="496">
        <v>127668890</v>
      </c>
      <c r="N520" s="654">
        <v>5407330</v>
      </c>
      <c r="O520" s="598"/>
      <c r="P520" s="496">
        <f>SUM(K520:O520)</f>
        <v>134258420</v>
      </c>
      <c r="Q520" s="496"/>
      <c r="R520" t="s">
        <v>730</v>
      </c>
      <c r="S520" s="496">
        <f>R511-P511-S519</f>
        <v>-9163810</v>
      </c>
    </row>
    <row r="521" spans="1:19">
      <c r="L521" s="621">
        <v>388178</v>
      </c>
      <c r="M521" s="496">
        <v>63660893</v>
      </c>
      <c r="N521" s="654">
        <v>1335654</v>
      </c>
      <c r="O521" s="598"/>
      <c r="P521" s="496">
        <f>SUM(K521:O521)</f>
        <v>65384725</v>
      </c>
      <c r="Q521" s="496"/>
      <c r="R521" s="675"/>
      <c r="S521" s="675"/>
    </row>
    <row r="522" spans="1:19">
      <c r="L522" s="496"/>
      <c r="N522" s="497"/>
      <c r="O522" s="496"/>
      <c r="Q522" s="496"/>
    </row>
    <row r="523" spans="1:19">
      <c r="L523" s="659">
        <f t="shared" ref="L523:O524" si="88">L518+L520</f>
        <v>8751700</v>
      </c>
      <c r="M523" s="496">
        <f t="shared" si="88"/>
        <v>174458690</v>
      </c>
      <c r="N523" s="656">
        <f t="shared" si="88"/>
        <v>28061490</v>
      </c>
      <c r="O523" s="497">
        <f t="shared" si="88"/>
        <v>467000</v>
      </c>
      <c r="P523" s="496">
        <f>SUM(K523:O523)</f>
        <v>211738880</v>
      </c>
      <c r="Q523" s="496"/>
    </row>
    <row r="524" spans="1:19" s="496" customFormat="1">
      <c r="A524"/>
      <c r="B524" s="432"/>
      <c r="C524" s="425"/>
      <c r="D524" s="432"/>
      <c r="E524" s="432"/>
      <c r="F524" s="432"/>
      <c r="G524" s="432"/>
      <c r="H524" s="432"/>
      <c r="I524" s="432"/>
      <c r="J524" s="432"/>
      <c r="K524" s="495"/>
      <c r="L524" s="659">
        <f t="shared" si="88"/>
        <v>3136594</v>
      </c>
      <c r="M524" s="496">
        <f t="shared" si="88"/>
        <v>82065787</v>
      </c>
      <c r="N524" s="656">
        <f t="shared" si="88"/>
        <v>6309778</v>
      </c>
      <c r="O524" s="497">
        <f t="shared" si="88"/>
        <v>47559</v>
      </c>
      <c r="P524" s="496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506">
        <f t="shared" ref="K7:K12" si="1">C7*26300</f>
        <v>1078300</v>
      </c>
      <c r="L7" s="507">
        <f t="shared" ref="L7:M11" si="2">D7*19200</f>
        <v>0</v>
      </c>
      <c r="M7" s="508">
        <f t="shared" si="2"/>
        <v>1382400</v>
      </c>
      <c r="N7" s="509"/>
      <c r="O7" s="509">
        <f>F7*21040</f>
        <v>0</v>
      </c>
      <c r="P7" s="509"/>
      <c r="Q7" s="510"/>
      <c r="R7" s="496">
        <f t="shared" ref="R7:R23" si="3">SUM(K7:Q7)</f>
        <v>2460700</v>
      </c>
      <c r="S7" s="496">
        <f>(C7+D7+E7+F7+I7+H7+G7)*8655</f>
        <v>978015</v>
      </c>
    </row>
    <row r="8" spans="1:19">
      <c r="A8" s="20" t="s">
        <v>33</v>
      </c>
      <c r="B8" s="478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506">
        <f t="shared" si="1"/>
        <v>289300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289300</v>
      </c>
      <c r="S8" s="496">
        <f>(C8+D8+E8+F8+I8+H8+G8)*8926</f>
        <v>98186</v>
      </c>
    </row>
    <row r="9" spans="1:19">
      <c r="A9" s="20" t="s">
        <v>35</v>
      </c>
      <c r="B9" s="478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506">
        <f t="shared" si="1"/>
        <v>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0</v>
      </c>
      <c r="S9" s="496">
        <f>(C9+D9+E9+F9+I9+H9+G9)*8926</f>
        <v>0</v>
      </c>
    </row>
    <row r="10" spans="1:19">
      <c r="A10" s="20" t="s">
        <v>37</v>
      </c>
      <c r="B10" s="478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506">
        <f t="shared" si="1"/>
        <v>184100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184100</v>
      </c>
      <c r="S10" s="496">
        <f>(C10+D10+E10+F10+I10+H10+G10)*8926</f>
        <v>62482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506">
        <f t="shared" si="1"/>
        <v>236700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236700</v>
      </c>
      <c r="S12" s="496">
        <f>(C12+D12+E12+F12+I12+H12+G12)*8926</f>
        <v>80334</v>
      </c>
    </row>
    <row r="13" spans="1:19" ht="16.5" customHeight="1">
      <c r="A13" s="20" t="s">
        <v>42</v>
      </c>
      <c r="B13" s="687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44</v>
      </c>
      <c r="B14" s="688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11">
        <f>C14*35500</f>
        <v>35500</v>
      </c>
      <c r="L14" s="507"/>
      <c r="M14" s="508">
        <f>E14*33600</f>
        <v>33600</v>
      </c>
      <c r="N14" s="509"/>
      <c r="O14" s="509"/>
      <c r="P14" s="509">
        <f>H14*32000</f>
        <v>0</v>
      </c>
      <c r="Q14" s="510"/>
      <c r="R14" s="496">
        <f t="shared" si="3"/>
        <v>69100</v>
      </c>
      <c r="S14" s="496">
        <f>(C14+D14+E14+F14+I14+H14+G14)*14065</f>
        <v>28130</v>
      </c>
    </row>
    <row r="15" spans="1:19">
      <c r="A15" s="20" t="s">
        <v>45</v>
      </c>
      <c r="B15" s="688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11">
        <f>C15*35500</f>
        <v>142000</v>
      </c>
      <c r="L15" s="507"/>
      <c r="M15" s="508">
        <f>E15*33600</f>
        <v>33600</v>
      </c>
      <c r="N15" s="509"/>
      <c r="O15" s="509"/>
      <c r="P15" s="509">
        <f>H15*32000</f>
        <v>0</v>
      </c>
      <c r="Q15" s="510"/>
      <c r="R15" s="496">
        <f t="shared" si="3"/>
        <v>175600</v>
      </c>
      <c r="S15" s="496">
        <f>(C15+D15+E15+F15+I15+H15+G15)*14876</f>
        <v>74380</v>
      </c>
    </row>
    <row r="16" spans="1:19">
      <c r="A16" s="20" t="s">
        <v>46</v>
      </c>
      <c r="B16" s="688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11">
        <f>C16*40000</f>
        <v>160000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3"/>
        <v>160000</v>
      </c>
      <c r="S16" s="496">
        <f>(C16+D16+E16+F16+I16+H16+G16)*15958</f>
        <v>63832</v>
      </c>
    </row>
    <row r="17" spans="1:19">
      <c r="A17" s="20" t="s">
        <v>47</v>
      </c>
      <c r="B17" s="688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11">
        <f>C17*30000</f>
        <v>810000</v>
      </c>
      <c r="L17" s="507"/>
      <c r="M17" s="508">
        <f>E17*20000</f>
        <v>0</v>
      </c>
      <c r="N17" s="509">
        <f>F17*20000</f>
        <v>1080000</v>
      </c>
      <c r="O17" s="509"/>
      <c r="P17" s="509"/>
      <c r="Q17" s="510"/>
      <c r="R17" s="496">
        <f t="shared" si="3"/>
        <v>1890000</v>
      </c>
      <c r="S17" s="496">
        <f>(C17+D17+E17+F17+I17+H17+G17)*13262</f>
        <v>1074222</v>
      </c>
    </row>
    <row r="18" spans="1:19">
      <c r="A18" s="20" t="s">
        <v>48</v>
      </c>
      <c r="B18" s="688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11">
        <f>C18*190000</f>
        <v>0</v>
      </c>
      <c r="L18" s="507"/>
      <c r="M18" s="508">
        <f>E18*154000</f>
        <v>462000</v>
      </c>
      <c r="N18" s="509"/>
      <c r="O18" s="509"/>
      <c r="P18" s="509"/>
      <c r="Q18" s="510"/>
      <c r="R18" s="496">
        <f t="shared" si="3"/>
        <v>462000</v>
      </c>
      <c r="S18" s="496">
        <f>(C18+D18+E18+F18+I18+H18+G18)*89709</f>
        <v>269127</v>
      </c>
    </row>
    <row r="19" spans="1:19">
      <c r="A19" s="20" t="s">
        <v>49</v>
      </c>
      <c r="B19" s="688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11">
        <f>C19*190000</f>
        <v>570000</v>
      </c>
      <c r="L19" s="507"/>
      <c r="M19" s="508">
        <f>E19*154000</f>
        <v>308000</v>
      </c>
      <c r="N19" s="509"/>
      <c r="O19" s="509"/>
      <c r="P19" s="509"/>
      <c r="Q19" s="510"/>
      <c r="R19" s="496">
        <f t="shared" si="3"/>
        <v>878000</v>
      </c>
      <c r="S19" s="496">
        <f>(C19+D19+E19+F19+I19+H19+G19)*85201</f>
        <v>426005</v>
      </c>
    </row>
    <row r="20" spans="1:19">
      <c r="A20" s="20" t="s">
        <v>50</v>
      </c>
      <c r="B20" s="688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11">
        <f>C20*190000</f>
        <v>570000</v>
      </c>
      <c r="L20" s="507"/>
      <c r="M20" s="508">
        <f>E20*154000</f>
        <v>154000</v>
      </c>
      <c r="N20" s="509"/>
      <c r="O20" s="509"/>
      <c r="P20" s="509"/>
      <c r="Q20" s="510"/>
      <c r="R20" s="496">
        <f t="shared" si="3"/>
        <v>724000</v>
      </c>
      <c r="S20" s="496">
        <f>(C20+D20+E20+F20+I20+H20+G20)*89709</f>
        <v>358836</v>
      </c>
    </row>
    <row r="21" spans="1:19">
      <c r="A21" s="20" t="s">
        <v>51</v>
      </c>
      <c r="B21" s="683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11">
        <f>C21*206000</f>
        <v>824000</v>
      </c>
      <c r="L21" s="507"/>
      <c r="M21" s="508">
        <f>E21*171000</f>
        <v>855000</v>
      </c>
      <c r="N21" s="509"/>
      <c r="O21" s="509"/>
      <c r="P21" s="509"/>
      <c r="Q21" s="510"/>
      <c r="R21" s="496">
        <f t="shared" si="3"/>
        <v>1679000</v>
      </c>
      <c r="S21" s="496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13">
        <f t="shared" si="4"/>
        <v>4899900</v>
      </c>
      <c r="L24" s="514">
        <f t="shared" si="4"/>
        <v>0</v>
      </c>
      <c r="M24" s="515">
        <f t="shared" si="4"/>
        <v>3228600</v>
      </c>
      <c r="N24" s="516">
        <f t="shared" si="4"/>
        <v>1080000</v>
      </c>
      <c r="O24" s="516">
        <f t="shared" si="4"/>
        <v>0</v>
      </c>
      <c r="P24" s="516">
        <f t="shared" si="4"/>
        <v>0</v>
      </c>
      <c r="Q24" s="516">
        <f t="shared" si="4"/>
        <v>0</v>
      </c>
      <c r="R24" s="517">
        <f t="shared" si="4"/>
        <v>9208500</v>
      </c>
      <c r="S24" s="518">
        <f t="shared" si="4"/>
        <v>4381788</v>
      </c>
    </row>
    <row r="25" spans="1:19" s="16" customFormat="1">
      <c r="A25" s="75" t="s">
        <v>55</v>
      </c>
      <c r="B25" s="682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506">
        <f>C25*6200</f>
        <v>18600</v>
      </c>
      <c r="L25" s="519"/>
      <c r="M25" s="520"/>
      <c r="N25" s="509">
        <f>F25*5580</f>
        <v>33480</v>
      </c>
      <c r="O25" s="509">
        <f>G25*4340</f>
        <v>4340</v>
      </c>
      <c r="P25" s="521"/>
      <c r="Q25" s="498"/>
      <c r="R25" s="496">
        <f t="shared" ref="R25:R41" si="6">SUM(K25:Q25)</f>
        <v>56420</v>
      </c>
      <c r="S25" s="522">
        <f>(C25+D25+E25+F25+I25+G25+H25)*3923</f>
        <v>39230</v>
      </c>
    </row>
    <row r="26" spans="1:19" s="16" customFormat="1">
      <c r="A26" s="75" t="s">
        <v>57</v>
      </c>
      <c r="B26" s="688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506">
        <f>C26*6200</f>
        <v>12400</v>
      </c>
      <c r="L26" s="519"/>
      <c r="M26" s="520"/>
      <c r="N26" s="509">
        <f>F26*5580</f>
        <v>33480</v>
      </c>
      <c r="O26" s="509">
        <f>G26*4340</f>
        <v>4340</v>
      </c>
      <c r="P26" s="521"/>
      <c r="Q26" s="498"/>
      <c r="R26" s="496">
        <f t="shared" si="6"/>
        <v>50220</v>
      </c>
      <c r="S26" s="522">
        <f>(C26+D26+E26+F26+I26+G26+H26)*3923</f>
        <v>35307</v>
      </c>
    </row>
    <row r="27" spans="1:19" s="16" customFormat="1">
      <c r="A27" s="75" t="s">
        <v>58</v>
      </c>
      <c r="B27" s="688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22320</v>
      </c>
      <c r="O27" s="509">
        <f>G27*4340</f>
        <v>4340</v>
      </c>
      <c r="P27" s="521"/>
      <c r="Q27" s="498"/>
      <c r="R27" s="496">
        <f t="shared" si="6"/>
        <v>32860</v>
      </c>
      <c r="S27" s="522">
        <f>(C27+D27+E27+F27+I27+G27+H27)*3923</f>
        <v>23538</v>
      </c>
    </row>
    <row r="28" spans="1:19" s="16" customFormat="1">
      <c r="A28" s="75" t="s">
        <v>59</v>
      </c>
      <c r="B28" s="683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506">
        <f>C28*6200</f>
        <v>0</v>
      </c>
      <c r="L28" s="519"/>
      <c r="M28" s="520"/>
      <c r="N28" s="509">
        <f>F28*5580</f>
        <v>33480</v>
      </c>
      <c r="O28" s="509">
        <f>G28*4340</f>
        <v>4340</v>
      </c>
      <c r="P28" s="521"/>
      <c r="Q28" s="498"/>
      <c r="R28" s="496">
        <f t="shared" si="6"/>
        <v>37820</v>
      </c>
      <c r="S28" s="522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506">
        <f>C29*40000</f>
        <v>1760000</v>
      </c>
      <c r="L29" s="507">
        <f>D29*30800</f>
        <v>0</v>
      </c>
      <c r="M29" s="508">
        <f>E29*30800</f>
        <v>4219600</v>
      </c>
      <c r="N29" s="497">
        <f>F29*34000</f>
        <v>23528000</v>
      </c>
      <c r="O29" s="509"/>
      <c r="P29" s="523">
        <f>H29*34000</f>
        <v>0</v>
      </c>
      <c r="Q29" s="523"/>
      <c r="R29" s="496">
        <f t="shared" si="6"/>
        <v>29507600</v>
      </c>
      <c r="S29" s="522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506">
        <f t="shared" ref="K30:K41" si="7">C30*37800</f>
        <v>1360800</v>
      </c>
      <c r="L30" s="507">
        <f t="shared" ref="L30:L41" si="8">D30*27800</f>
        <v>0</v>
      </c>
      <c r="M30" s="508">
        <f t="shared" ref="M30:M41" si="9">E30*27800</f>
        <v>4726000</v>
      </c>
      <c r="N30" s="497">
        <f t="shared" ref="N30:N41" si="10">F30*32130</f>
        <v>20852370</v>
      </c>
      <c r="O30" s="509"/>
      <c r="P30" s="523">
        <f t="shared" ref="P30:P41" si="11">H30*32130</f>
        <v>0</v>
      </c>
      <c r="Q30" s="523"/>
      <c r="R30" s="496">
        <f t="shared" si="6"/>
        <v>26939170</v>
      </c>
      <c r="S30" s="522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506">
        <f t="shared" si="7"/>
        <v>982800</v>
      </c>
      <c r="L31" s="507">
        <f t="shared" si="8"/>
        <v>0</v>
      </c>
      <c r="M31" s="508">
        <f t="shared" si="9"/>
        <v>4670400</v>
      </c>
      <c r="N31" s="497">
        <f t="shared" si="10"/>
        <v>15036840</v>
      </c>
      <c r="O31" s="509"/>
      <c r="P31" s="523">
        <f t="shared" si="11"/>
        <v>0</v>
      </c>
      <c r="Q31" s="523"/>
      <c r="R31" s="496">
        <f t="shared" si="6"/>
        <v>20690040</v>
      </c>
      <c r="S31" s="522">
        <f>(C31+D31+E31+F31+I31+G31+H31)*15958</f>
        <v>10564196</v>
      </c>
    </row>
    <row r="32" spans="1:19">
      <c r="A32" s="20" t="s">
        <v>66</v>
      </c>
      <c r="B32" s="478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506">
        <f t="shared" si="7"/>
        <v>718200</v>
      </c>
      <c r="L32" s="507">
        <f t="shared" si="8"/>
        <v>0</v>
      </c>
      <c r="M32" s="508">
        <f t="shared" si="9"/>
        <v>1112000</v>
      </c>
      <c r="N32" s="497">
        <f t="shared" si="10"/>
        <v>5719140</v>
      </c>
      <c r="O32" s="509"/>
      <c r="P32" s="523">
        <f t="shared" si="11"/>
        <v>0</v>
      </c>
      <c r="Q32" s="523"/>
      <c r="R32" s="496">
        <f t="shared" si="6"/>
        <v>7549340</v>
      </c>
      <c r="S32" s="522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506">
        <f t="shared" si="7"/>
        <v>378000</v>
      </c>
      <c r="L33" s="507">
        <f t="shared" si="8"/>
        <v>0</v>
      </c>
      <c r="M33" s="508">
        <f t="shared" si="9"/>
        <v>3419400</v>
      </c>
      <c r="N33" s="497">
        <f t="shared" si="10"/>
        <v>8932140</v>
      </c>
      <c r="O33" s="509">
        <f>G33*30240</f>
        <v>0</v>
      </c>
      <c r="P33" s="523">
        <f t="shared" si="11"/>
        <v>0</v>
      </c>
      <c r="Q33" s="523"/>
      <c r="R33" s="496">
        <f t="shared" si="6"/>
        <v>12729540</v>
      </c>
      <c r="S33" s="522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506">
        <f t="shared" si="7"/>
        <v>869400</v>
      </c>
      <c r="L34" s="507">
        <f t="shared" si="8"/>
        <v>0</v>
      </c>
      <c r="M34" s="508">
        <f t="shared" si="9"/>
        <v>1751400</v>
      </c>
      <c r="N34" s="497">
        <f t="shared" si="10"/>
        <v>13366080</v>
      </c>
      <c r="O34" s="509"/>
      <c r="P34" s="523">
        <f t="shared" si="11"/>
        <v>0</v>
      </c>
      <c r="Q34" s="523"/>
      <c r="R34" s="496">
        <f t="shared" si="6"/>
        <v>15986880</v>
      </c>
      <c r="S34" s="522">
        <f t="shared" si="12"/>
        <v>8373360</v>
      </c>
    </row>
    <row r="35" spans="1:19">
      <c r="A35" s="20" t="s">
        <v>72</v>
      </c>
      <c r="B35" s="478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506">
        <f t="shared" si="7"/>
        <v>226800</v>
      </c>
      <c r="L35" s="507">
        <f t="shared" si="8"/>
        <v>0</v>
      </c>
      <c r="M35" s="508">
        <f t="shared" si="9"/>
        <v>0</v>
      </c>
      <c r="N35" s="497">
        <f t="shared" si="10"/>
        <v>64260</v>
      </c>
      <c r="O35" s="509"/>
      <c r="P35" s="523">
        <f t="shared" si="11"/>
        <v>0</v>
      </c>
      <c r="Q35" s="523"/>
      <c r="R35" s="496">
        <f t="shared" si="6"/>
        <v>291060</v>
      </c>
      <c r="S35" s="522">
        <f t="shared" si="12"/>
        <v>133440</v>
      </c>
    </row>
    <row r="36" spans="1:19">
      <c r="A36" s="20" t="s">
        <v>74</v>
      </c>
      <c r="B36" s="478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506">
        <f t="shared" si="7"/>
        <v>189000</v>
      </c>
      <c r="L36" s="507">
        <f t="shared" si="8"/>
        <v>0</v>
      </c>
      <c r="M36" s="508">
        <f t="shared" si="9"/>
        <v>583800</v>
      </c>
      <c r="N36" s="497">
        <f t="shared" si="10"/>
        <v>2313360</v>
      </c>
      <c r="O36" s="509"/>
      <c r="P36" s="523">
        <f t="shared" si="11"/>
        <v>0</v>
      </c>
      <c r="Q36" s="523"/>
      <c r="R36" s="496">
        <f t="shared" si="6"/>
        <v>3086160</v>
      </c>
      <c r="S36" s="522">
        <f t="shared" si="12"/>
        <v>1634640</v>
      </c>
    </row>
    <row r="37" spans="1:19">
      <c r="A37" s="20" t="s">
        <v>76</v>
      </c>
      <c r="B37" s="478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506">
        <f t="shared" si="7"/>
        <v>226800</v>
      </c>
      <c r="L37" s="507">
        <f t="shared" si="8"/>
        <v>0</v>
      </c>
      <c r="M37" s="508">
        <f t="shared" si="9"/>
        <v>0</v>
      </c>
      <c r="N37" s="497">
        <f t="shared" si="10"/>
        <v>96390</v>
      </c>
      <c r="O37" s="509"/>
      <c r="P37" s="523">
        <f t="shared" si="11"/>
        <v>0</v>
      </c>
      <c r="Q37" s="523"/>
      <c r="R37" s="496">
        <f t="shared" si="6"/>
        <v>323190</v>
      </c>
      <c r="S37" s="522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506">
        <f t="shared" si="7"/>
        <v>37800</v>
      </c>
      <c r="L38" s="507">
        <f t="shared" si="8"/>
        <v>0</v>
      </c>
      <c r="M38" s="508">
        <f t="shared" si="9"/>
        <v>222400</v>
      </c>
      <c r="N38" s="497">
        <f t="shared" si="10"/>
        <v>1124550</v>
      </c>
      <c r="O38" s="509"/>
      <c r="P38" s="523">
        <f t="shared" si="11"/>
        <v>0</v>
      </c>
      <c r="Q38" s="523"/>
      <c r="R38" s="496">
        <f t="shared" si="6"/>
        <v>1384750</v>
      </c>
      <c r="S38" s="522">
        <f t="shared" si="12"/>
        <v>733920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506">
        <f t="shared" si="7"/>
        <v>151200</v>
      </c>
      <c r="L40" s="507">
        <f t="shared" si="8"/>
        <v>0</v>
      </c>
      <c r="M40" s="508">
        <f t="shared" si="9"/>
        <v>333600</v>
      </c>
      <c r="N40" s="497">
        <f t="shared" si="10"/>
        <v>3341520</v>
      </c>
      <c r="O40" s="509"/>
      <c r="P40" s="523">
        <f t="shared" si="11"/>
        <v>0</v>
      </c>
      <c r="Q40" s="523"/>
      <c r="R40" s="496">
        <f t="shared" si="6"/>
        <v>3826320</v>
      </c>
      <c r="S40" s="522">
        <f>(C40+D40+E40+F40+I40+G40+H40)*15688</f>
        <v>1882560</v>
      </c>
    </row>
    <row r="41" spans="1:19">
      <c r="A41" s="20" t="s">
        <v>84</v>
      </c>
      <c r="B41" s="478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506">
        <f t="shared" si="7"/>
        <v>189000</v>
      </c>
      <c r="L41" s="507">
        <f t="shared" si="8"/>
        <v>0</v>
      </c>
      <c r="M41" s="508">
        <f t="shared" si="9"/>
        <v>139000</v>
      </c>
      <c r="N41" s="497">
        <f t="shared" si="10"/>
        <v>1510110</v>
      </c>
      <c r="O41" s="509"/>
      <c r="P41" s="523">
        <f t="shared" si="11"/>
        <v>0</v>
      </c>
      <c r="Q41" s="523"/>
      <c r="R41" s="496">
        <f t="shared" si="6"/>
        <v>1838110</v>
      </c>
      <c r="S41" s="522">
        <f>(C41+D41+E41+F41+I41+G41+H41)*15688</f>
        <v>894216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13">
        <f t="shared" ref="K44:S44" si="14">SUM(K25:K43)</f>
        <v>7127000</v>
      </c>
      <c r="L44" s="514">
        <f t="shared" si="14"/>
        <v>0</v>
      </c>
      <c r="M44" s="515">
        <f t="shared" si="14"/>
        <v>21177600</v>
      </c>
      <c r="N44" s="513">
        <f t="shared" si="14"/>
        <v>96007520</v>
      </c>
      <c r="O44" s="516">
        <f t="shared" si="14"/>
        <v>17360</v>
      </c>
      <c r="P44" s="516">
        <f t="shared" si="14"/>
        <v>0</v>
      </c>
      <c r="Q44" s="516">
        <f t="shared" si="14"/>
        <v>0</v>
      </c>
      <c r="R44" s="524">
        <f t="shared" si="14"/>
        <v>124329480</v>
      </c>
      <c r="S44" s="518">
        <f t="shared" si="14"/>
        <v>64358400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506">
        <f>C48*35700</f>
        <v>571200</v>
      </c>
      <c r="L48" s="526">
        <f t="shared" ref="L48:L59" si="16">D48*25400</f>
        <v>0</v>
      </c>
      <c r="M48" s="508">
        <f t="shared" ref="M48:M59" si="17">E48*25400</f>
        <v>381000</v>
      </c>
      <c r="N48" s="497">
        <f t="shared" ref="N48:N59" si="18">F48*29500</f>
        <v>4808500</v>
      </c>
      <c r="P48" s="509">
        <f t="shared" ref="P48:P59" si="19">H48*29500</f>
        <v>0</v>
      </c>
      <c r="R48" s="496">
        <f t="shared" ref="R48:R59" si="20">SUM(K48:Q48)</f>
        <v>5760700</v>
      </c>
      <c r="S48" s="496">
        <f>(C48+D48+E48+F48+I48+H48+G48)*14155</f>
        <v>2746070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506">
        <f>C49*35700</f>
        <v>142800</v>
      </c>
      <c r="L49" s="526">
        <f t="shared" si="16"/>
        <v>0</v>
      </c>
      <c r="M49" s="508">
        <f t="shared" si="17"/>
        <v>76200</v>
      </c>
      <c r="N49" s="497">
        <f t="shared" si="18"/>
        <v>737500</v>
      </c>
      <c r="P49" s="509">
        <f t="shared" si="19"/>
        <v>0</v>
      </c>
      <c r="R49" s="496">
        <f t="shared" si="20"/>
        <v>956500</v>
      </c>
      <c r="S49" s="496">
        <f>(C49+D49+E49+F49+I49+H49+G49)*14155</f>
        <v>452960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506">
        <f t="shared" ref="K50:K59" si="21">C50*34700</f>
        <v>104100</v>
      </c>
      <c r="L50" s="526">
        <f t="shared" si="16"/>
        <v>0</v>
      </c>
      <c r="M50" s="508">
        <f t="shared" si="17"/>
        <v>0</v>
      </c>
      <c r="N50" s="497">
        <f t="shared" si="18"/>
        <v>413000</v>
      </c>
      <c r="P50" s="509">
        <f t="shared" si="19"/>
        <v>0</v>
      </c>
      <c r="R50" s="496">
        <f t="shared" si="20"/>
        <v>517100</v>
      </c>
      <c r="S50" s="496">
        <f t="shared" ref="S50:S55" si="22">(C50+D50+E50+F50+I50+H50+G50)*13975</f>
        <v>237575</v>
      </c>
    </row>
    <row r="51" spans="1:19">
      <c r="A51" s="41" t="s">
        <v>100</v>
      </c>
      <c r="B51" s="476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506">
        <f t="shared" si="21"/>
        <v>208200</v>
      </c>
      <c r="L51" s="526">
        <f t="shared" si="16"/>
        <v>0</v>
      </c>
      <c r="M51" s="508">
        <f t="shared" si="17"/>
        <v>76200</v>
      </c>
      <c r="N51" s="497">
        <f t="shared" si="18"/>
        <v>1829000</v>
      </c>
      <c r="P51" s="509">
        <f t="shared" si="19"/>
        <v>0</v>
      </c>
      <c r="R51" s="496">
        <f t="shared" si="20"/>
        <v>2113400</v>
      </c>
      <c r="S51" s="496">
        <f t="shared" si="22"/>
        <v>992225</v>
      </c>
    </row>
    <row r="52" spans="1:19">
      <c r="A52" s="41" t="s">
        <v>102</v>
      </c>
      <c r="B52" s="477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506">
        <f t="shared" si="21"/>
        <v>34700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34700</v>
      </c>
      <c r="S52" s="496">
        <f t="shared" si="22"/>
        <v>13975</v>
      </c>
    </row>
    <row r="53" spans="1:19">
      <c r="A53" s="41" t="s">
        <v>104</v>
      </c>
      <c r="B53" s="477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506">
        <f t="shared" si="21"/>
        <v>520500</v>
      </c>
      <c r="L53" s="526">
        <f t="shared" si="16"/>
        <v>0</v>
      </c>
      <c r="M53" s="508">
        <f t="shared" si="17"/>
        <v>0</v>
      </c>
      <c r="N53" s="497">
        <f t="shared" si="18"/>
        <v>678500</v>
      </c>
      <c r="O53" s="509">
        <f>G53*27760</f>
        <v>0</v>
      </c>
      <c r="P53" s="509">
        <f t="shared" si="19"/>
        <v>0</v>
      </c>
      <c r="Q53" s="523"/>
      <c r="R53" s="496">
        <f t="shared" si="20"/>
        <v>1199000</v>
      </c>
      <c r="S53" s="496">
        <f t="shared" si="22"/>
        <v>531050</v>
      </c>
    </row>
    <row r="54" spans="1:19">
      <c r="A54" s="41" t="s">
        <v>106</v>
      </c>
      <c r="B54" s="476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506">
        <f t="shared" si="21"/>
        <v>242900</v>
      </c>
      <c r="L54" s="526">
        <f t="shared" si="16"/>
        <v>0</v>
      </c>
      <c r="M54" s="508">
        <f t="shared" si="17"/>
        <v>0</v>
      </c>
      <c r="N54" s="497">
        <f t="shared" si="18"/>
        <v>796500</v>
      </c>
      <c r="P54" s="509">
        <f t="shared" si="19"/>
        <v>0</v>
      </c>
      <c r="R54" s="496">
        <f t="shared" si="20"/>
        <v>1039400</v>
      </c>
      <c r="S54" s="496">
        <f t="shared" si="22"/>
        <v>475150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506">
        <f t="shared" si="21"/>
        <v>138800</v>
      </c>
      <c r="L56" s="526">
        <f t="shared" si="16"/>
        <v>0</v>
      </c>
      <c r="M56" s="508">
        <f t="shared" si="17"/>
        <v>0</v>
      </c>
      <c r="N56" s="497">
        <f t="shared" si="18"/>
        <v>826000</v>
      </c>
      <c r="P56" s="509">
        <f t="shared" si="19"/>
        <v>0</v>
      </c>
      <c r="R56" s="496">
        <f t="shared" si="20"/>
        <v>964800</v>
      </c>
      <c r="S56" s="496">
        <f>(C56+D56+E56+F56+I56+H56+G56)*13434</f>
        <v>429888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506">
        <f t="shared" si="21"/>
        <v>659300</v>
      </c>
      <c r="L57" s="526">
        <f t="shared" si="16"/>
        <v>0</v>
      </c>
      <c r="M57" s="508">
        <f t="shared" si="17"/>
        <v>381000</v>
      </c>
      <c r="N57" s="497">
        <f t="shared" si="18"/>
        <v>2242000</v>
      </c>
      <c r="P57" s="509">
        <f t="shared" si="19"/>
        <v>0</v>
      </c>
      <c r="R57" s="496">
        <f t="shared" si="20"/>
        <v>3282300</v>
      </c>
      <c r="S57" s="496">
        <f>(C57+D57+E57+F57+I57+H57+G57)*13975</f>
        <v>1537250</v>
      </c>
    </row>
    <row r="58" spans="1:19">
      <c r="A58" s="41" t="s">
        <v>114</v>
      </c>
      <c r="B58" s="476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506">
        <f t="shared" si="21"/>
        <v>312300</v>
      </c>
      <c r="L58" s="526">
        <f t="shared" si="16"/>
        <v>0</v>
      </c>
      <c r="M58" s="508">
        <f t="shared" si="17"/>
        <v>0</v>
      </c>
      <c r="N58" s="497">
        <f t="shared" si="18"/>
        <v>767000</v>
      </c>
      <c r="P58" s="509">
        <f t="shared" si="19"/>
        <v>0</v>
      </c>
      <c r="R58" s="496">
        <f t="shared" si="20"/>
        <v>1079300</v>
      </c>
      <c r="S58" s="496">
        <f>(C58+D58+E58+F58+I58+H58+G58)*13434</f>
        <v>470190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13">
        <f t="shared" si="23"/>
        <v>2934800</v>
      </c>
      <c r="L61" s="527">
        <f t="shared" si="23"/>
        <v>0</v>
      </c>
      <c r="M61" s="515">
        <f t="shared" si="23"/>
        <v>914400</v>
      </c>
      <c r="N61" s="516">
        <f t="shared" si="23"/>
        <v>13098000</v>
      </c>
      <c r="O61" s="516">
        <f t="shared" si="23"/>
        <v>0</v>
      </c>
      <c r="P61" s="516">
        <f t="shared" si="23"/>
        <v>0</v>
      </c>
      <c r="Q61" s="516">
        <f t="shared" si="23"/>
        <v>0</v>
      </c>
      <c r="R61" s="517">
        <f t="shared" si="23"/>
        <v>16947200</v>
      </c>
      <c r="S61" s="518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8">
        <f>C68*25200</f>
        <v>2570400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2885400</v>
      </c>
      <c r="S68" s="496">
        <f>(C68+D68+E68+F68+I68+G68+H68)*7032</f>
        <v>822744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8">
        <f>C69*47000</f>
        <v>0</v>
      </c>
      <c r="L69" s="526">
        <f>D69*39600</f>
        <v>0</v>
      </c>
      <c r="M69" s="508">
        <f>E69*39600</f>
        <v>514800</v>
      </c>
      <c r="N69" s="509"/>
      <c r="O69" s="509"/>
      <c r="P69" s="509"/>
      <c r="Q69" s="498"/>
      <c r="R69" s="496">
        <f t="shared" si="25"/>
        <v>514800</v>
      </c>
      <c r="S69" s="496">
        <f>(C69+D69+E69+F69+I69+G69+H69)*11631</f>
        <v>151203</v>
      </c>
    </row>
    <row r="70" spans="1:19" s="495" customFormat="1">
      <c r="A70" s="104" t="s">
        <v>134</v>
      </c>
      <c r="B70" s="476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8">
        <f>C70*29400</f>
        <v>2675400</v>
      </c>
      <c r="L70" s="526">
        <f>D70*25000</f>
        <v>0</v>
      </c>
      <c r="M70" s="508">
        <f>E70*25000</f>
        <v>25000</v>
      </c>
      <c r="N70" s="509"/>
      <c r="O70" s="509"/>
      <c r="P70" s="509"/>
      <c r="Q70" s="498"/>
      <c r="R70" s="496">
        <f t="shared" si="25"/>
        <v>2700400</v>
      </c>
      <c r="S70" s="496">
        <f>(C70+D70+E70+F70+I70+G70+H70)*8565</f>
        <v>787980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8">
        <f>C71*47000</f>
        <v>0</v>
      </c>
      <c r="L71" s="526">
        <f>D71*39600</f>
        <v>0</v>
      </c>
      <c r="M71" s="508">
        <f>E71*39600</f>
        <v>356400</v>
      </c>
      <c r="N71" s="509"/>
      <c r="O71" s="509"/>
      <c r="P71" s="509"/>
      <c r="Q71" s="498"/>
      <c r="R71" s="496">
        <f t="shared" si="25"/>
        <v>356400</v>
      </c>
      <c r="S71" s="496">
        <f>(C71+D71+E71+F71+I71+G71+H71)*13073</f>
        <v>117657</v>
      </c>
    </row>
    <row r="72" spans="1:19" s="495" customFormat="1">
      <c r="A72" s="104" t="s">
        <v>137</v>
      </c>
      <c r="B72" s="476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8">
        <f>C72*25200</f>
        <v>1360800</v>
      </c>
      <c r="L72" s="526">
        <f>D72*21000</f>
        <v>0</v>
      </c>
      <c r="M72" s="508">
        <f>E72*21000</f>
        <v>42000</v>
      </c>
      <c r="N72" s="509"/>
      <c r="O72" s="509"/>
      <c r="P72" s="509"/>
      <c r="Q72" s="498"/>
      <c r="R72" s="496">
        <f t="shared" si="25"/>
        <v>1402800</v>
      </c>
      <c r="S72" s="496">
        <f>(C72+D72+E72+F72+I72+G72+H72)*7032</f>
        <v>393792</v>
      </c>
    </row>
    <row r="73" spans="1:19" s="495" customFormat="1">
      <c r="A73" s="104" t="s">
        <v>139</v>
      </c>
      <c r="B73" s="476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8">
        <f>C73*29400</f>
        <v>676200</v>
      </c>
      <c r="L73" s="526">
        <f>D73*25000</f>
        <v>0</v>
      </c>
      <c r="M73" s="508">
        <f>E73*25000</f>
        <v>0</v>
      </c>
      <c r="N73" s="509"/>
      <c r="O73" s="509"/>
      <c r="P73" s="509"/>
      <c r="Q73" s="498"/>
      <c r="R73" s="496">
        <f t="shared" si="25"/>
        <v>676200</v>
      </c>
      <c r="S73" s="496">
        <f>(C73+D73+E73+F73+I73+G73+H73)*8565</f>
        <v>196995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5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5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8">
        <f>C76*25200</f>
        <v>252000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252000</v>
      </c>
      <c r="S76" s="496">
        <f>(C76+D76+E76+F76+I76+G76+H76)*7032</f>
        <v>70320</v>
      </c>
    </row>
    <row r="77" spans="1:19" s="495" customFormat="1">
      <c r="A77" s="104" t="s">
        <v>146</v>
      </c>
      <c r="B77" s="476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9">
        <f>C77*47000</f>
        <v>329000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368600</v>
      </c>
      <c r="S77" s="496">
        <f>(C77+D77+E77+F77+I77+G77+H77)*11631</f>
        <v>93048</v>
      </c>
    </row>
    <row r="78" spans="1:19" s="495" customFormat="1">
      <c r="A78" s="104" t="s">
        <v>147</v>
      </c>
      <c r="B78" s="476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8">
        <f>C78*29400</f>
        <v>441000</v>
      </c>
      <c r="L78" s="526">
        <f t="shared" ref="L78:M80" si="26">D78*25000</f>
        <v>0</v>
      </c>
      <c r="M78" s="508">
        <f t="shared" si="26"/>
        <v>550000</v>
      </c>
      <c r="N78" s="509"/>
      <c r="O78" s="509"/>
      <c r="P78" s="509"/>
      <c r="Q78" s="498"/>
      <c r="R78" s="496">
        <f t="shared" si="25"/>
        <v>991000</v>
      </c>
      <c r="S78" s="496">
        <f>(C78+D78+E78+F78+I78+G78+H78)*8926</f>
        <v>330262</v>
      </c>
    </row>
    <row r="79" spans="1:19" s="495" customFormat="1">
      <c r="A79" s="104" t="s">
        <v>149</v>
      </c>
      <c r="B79" s="476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8">
        <f>C79*29400</f>
        <v>676200</v>
      </c>
      <c r="L79" s="526">
        <f t="shared" si="26"/>
        <v>0</v>
      </c>
      <c r="M79" s="508">
        <f t="shared" si="26"/>
        <v>50000</v>
      </c>
      <c r="N79" s="509"/>
      <c r="O79" s="509"/>
      <c r="P79" s="509"/>
      <c r="Q79" s="498"/>
      <c r="R79" s="496">
        <f t="shared" si="25"/>
        <v>726200</v>
      </c>
      <c r="S79" s="496">
        <f>(C79+D79+E79+F79+I79+G79+H79)*8926</f>
        <v>223150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8">
        <f>C80*29400</f>
        <v>235200</v>
      </c>
      <c r="L80" s="526">
        <f t="shared" si="26"/>
        <v>0</v>
      </c>
      <c r="M80" s="508">
        <f t="shared" si="26"/>
        <v>75000</v>
      </c>
      <c r="N80" s="509"/>
      <c r="O80" s="509"/>
      <c r="P80" s="509"/>
      <c r="Q80" s="498"/>
      <c r="R80" s="496">
        <f t="shared" si="25"/>
        <v>310200</v>
      </c>
      <c r="S80" s="496">
        <f>(C80+D80+E80+F80+I80+G80+H80)*8926</f>
        <v>98186</v>
      </c>
    </row>
    <row r="81" spans="1:19" s="495" customFormat="1">
      <c r="A81" s="104" t="s">
        <v>151</v>
      </c>
      <c r="B81" s="476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8">
        <f>C81*47000</f>
        <v>423000</v>
      </c>
      <c r="L81" s="526">
        <f>D81*35200</f>
        <v>0</v>
      </c>
      <c r="M81" s="508">
        <f>E81*35200</f>
        <v>0</v>
      </c>
      <c r="N81" s="509"/>
      <c r="O81" s="509">
        <f>F81*37600</f>
        <v>0</v>
      </c>
      <c r="P81" s="509"/>
      <c r="Q81" s="498"/>
      <c r="R81" s="496">
        <f t="shared" si="25"/>
        <v>423000</v>
      </c>
      <c r="S81" s="496">
        <f>(C81+D81+E81+F81+I81+G81+H81)*18934</f>
        <v>170406</v>
      </c>
    </row>
    <row r="82" spans="1:19" s="495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9">
        <f>C82*16800</f>
        <v>50400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50400</v>
      </c>
      <c r="S82" s="496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9">
        <f>C83*16800</f>
        <v>50400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50400</v>
      </c>
      <c r="S83" s="496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9">
        <f>C84*16800</f>
        <v>67200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67200</v>
      </c>
      <c r="S84" s="496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8">SUM(K68:K84)</f>
        <v>9983600</v>
      </c>
      <c r="L85" s="527">
        <f t="shared" si="28"/>
        <v>0</v>
      </c>
      <c r="M85" s="515">
        <f t="shared" si="28"/>
        <v>2007400</v>
      </c>
      <c r="N85" s="516">
        <f t="shared" si="28"/>
        <v>0</v>
      </c>
      <c r="O85" s="516">
        <f t="shared" si="28"/>
        <v>0</v>
      </c>
      <c r="P85" s="516">
        <f t="shared" si="28"/>
        <v>0</v>
      </c>
      <c r="Q85" s="513">
        <f t="shared" si="28"/>
        <v>0</v>
      </c>
      <c r="R85" s="517">
        <f t="shared" si="28"/>
        <v>11991000</v>
      </c>
      <c r="S85" s="518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8">
        <f t="shared" ref="K88:K93" si="30">C88*18900</f>
        <v>1341900</v>
      </c>
      <c r="L88" s="526">
        <f t="shared" ref="L88:M93" si="31">D88*15400</f>
        <v>0</v>
      </c>
      <c r="M88" s="508">
        <f t="shared" si="31"/>
        <v>46200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1388100</v>
      </c>
      <c r="S88" s="496">
        <f t="shared" ref="S88:S93" si="34">J88*7734</f>
        <v>572316</v>
      </c>
    </row>
    <row r="89" spans="1:19">
      <c r="A89" s="69" t="s">
        <v>170</v>
      </c>
      <c r="B89" s="476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8">
        <f t="shared" si="30"/>
        <v>1549800</v>
      </c>
      <c r="L89" s="526">
        <f t="shared" si="31"/>
        <v>0</v>
      </c>
      <c r="M89" s="508">
        <f t="shared" si="31"/>
        <v>246400</v>
      </c>
      <c r="N89" s="509"/>
      <c r="O89" s="509"/>
      <c r="P89" s="532">
        <f t="shared" si="32"/>
        <v>0</v>
      </c>
      <c r="Q89" s="533"/>
      <c r="R89" s="496">
        <f t="shared" si="33"/>
        <v>1796200</v>
      </c>
      <c r="S89" s="496">
        <f t="shared" si="34"/>
        <v>757932</v>
      </c>
    </row>
    <row r="90" spans="1:19">
      <c r="A90" s="69" t="s">
        <v>171</v>
      </c>
      <c r="B90" s="476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8">
        <f t="shared" si="30"/>
        <v>1360800</v>
      </c>
      <c r="L90" s="526">
        <f t="shared" si="31"/>
        <v>0</v>
      </c>
      <c r="M90" s="508">
        <f t="shared" si="31"/>
        <v>46200</v>
      </c>
      <c r="N90" s="509"/>
      <c r="O90" s="509"/>
      <c r="P90" s="532">
        <f t="shared" si="32"/>
        <v>0</v>
      </c>
      <c r="Q90" s="533"/>
      <c r="R90" s="496">
        <f t="shared" si="33"/>
        <v>1407000</v>
      </c>
      <c r="S90" s="496">
        <f t="shared" si="34"/>
        <v>580050</v>
      </c>
    </row>
    <row r="91" spans="1:19">
      <c r="A91" s="69" t="s">
        <v>172</v>
      </c>
      <c r="B91" s="476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8">
        <f t="shared" si="30"/>
        <v>1341900</v>
      </c>
      <c r="L91" s="526">
        <f t="shared" si="31"/>
        <v>0</v>
      </c>
      <c r="M91" s="508">
        <f t="shared" si="31"/>
        <v>30800</v>
      </c>
      <c r="N91" s="509"/>
      <c r="O91" s="509"/>
      <c r="P91" s="532">
        <f t="shared" si="32"/>
        <v>0</v>
      </c>
      <c r="Q91" s="533"/>
      <c r="R91" s="496">
        <f t="shared" si="33"/>
        <v>1372700</v>
      </c>
      <c r="S91" s="496">
        <f t="shared" si="34"/>
        <v>564582</v>
      </c>
    </row>
    <row r="92" spans="1:19">
      <c r="A92" s="69" t="s">
        <v>173</v>
      </c>
      <c r="B92" s="476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8">
        <f t="shared" si="30"/>
        <v>869400</v>
      </c>
      <c r="L92" s="526">
        <f t="shared" si="31"/>
        <v>0</v>
      </c>
      <c r="M92" s="508">
        <f t="shared" si="31"/>
        <v>92400</v>
      </c>
      <c r="N92" s="509"/>
      <c r="O92" s="509"/>
      <c r="P92" s="532">
        <f t="shared" si="32"/>
        <v>0</v>
      </c>
      <c r="Q92" s="533"/>
      <c r="R92" s="496">
        <f t="shared" si="33"/>
        <v>961800</v>
      </c>
      <c r="S92" s="496">
        <f t="shared" si="34"/>
        <v>402168</v>
      </c>
    </row>
    <row r="93" spans="1:19">
      <c r="A93" s="69" t="s">
        <v>174</v>
      </c>
      <c r="B93" s="476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8">
        <f t="shared" si="30"/>
        <v>718200</v>
      </c>
      <c r="L93" s="526">
        <f t="shared" si="31"/>
        <v>0</v>
      </c>
      <c r="M93" s="508">
        <f t="shared" si="31"/>
        <v>92400</v>
      </c>
      <c r="N93" s="509"/>
      <c r="O93" s="509"/>
      <c r="P93" s="532">
        <f t="shared" si="32"/>
        <v>0</v>
      </c>
      <c r="Q93" s="533"/>
      <c r="R93" s="496">
        <f t="shared" si="33"/>
        <v>810600</v>
      </c>
      <c r="S93" s="496">
        <f t="shared" si="34"/>
        <v>340296</v>
      </c>
    </row>
    <row r="94" spans="1:19">
      <c r="A94" s="69" t="s">
        <v>175</v>
      </c>
      <c r="B94" s="476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8">
        <f t="shared" ref="K94:K99" si="35">C94*8400</f>
        <v>361200</v>
      </c>
      <c r="L94" s="526">
        <f t="shared" ref="L94:M99" si="36">D94*6600</f>
        <v>0</v>
      </c>
      <c r="M94" s="508">
        <f t="shared" si="36"/>
        <v>125400</v>
      </c>
      <c r="N94" s="509">
        <f t="shared" ref="N94:N99" si="37">F94*6720</f>
        <v>3628800</v>
      </c>
      <c r="O94" s="509"/>
      <c r="P94" s="509"/>
      <c r="Q94" s="533"/>
      <c r="R94" s="496">
        <f t="shared" si="33"/>
        <v>4115400</v>
      </c>
      <c r="S94" s="496">
        <f t="shared" ref="S94:S99" si="38">J94*2880</f>
        <v>1733760</v>
      </c>
    </row>
    <row r="95" spans="1:19">
      <c r="A95" s="69" t="s">
        <v>177</v>
      </c>
      <c r="B95" s="476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8">
        <f t="shared" si="35"/>
        <v>520800</v>
      </c>
      <c r="L95" s="526">
        <f t="shared" si="36"/>
        <v>0</v>
      </c>
      <c r="M95" s="508">
        <f t="shared" si="36"/>
        <v>653400</v>
      </c>
      <c r="N95" s="509">
        <f t="shared" si="37"/>
        <v>2419200</v>
      </c>
      <c r="O95" s="509"/>
      <c r="P95" s="509"/>
      <c r="Q95" s="533"/>
      <c r="R95" s="496">
        <f t="shared" si="33"/>
        <v>3593400</v>
      </c>
      <c r="S95" s="496">
        <f t="shared" si="38"/>
        <v>1500480</v>
      </c>
    </row>
    <row r="96" spans="1:19">
      <c r="A96" s="69" t="s">
        <v>178</v>
      </c>
      <c r="B96" s="476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8">
        <f t="shared" si="35"/>
        <v>831600</v>
      </c>
      <c r="L96" s="526">
        <f t="shared" si="36"/>
        <v>0</v>
      </c>
      <c r="M96" s="508">
        <f t="shared" si="36"/>
        <v>191400</v>
      </c>
      <c r="N96" s="509">
        <f t="shared" si="37"/>
        <v>2419200</v>
      </c>
      <c r="O96" s="509"/>
      <c r="P96" s="509"/>
      <c r="Q96" s="533"/>
      <c r="R96" s="496">
        <f t="shared" si="33"/>
        <v>3442200</v>
      </c>
      <c r="S96" s="496">
        <f t="shared" si="38"/>
        <v>1405440</v>
      </c>
    </row>
    <row r="97" spans="1:19">
      <c r="A97" s="69" t="s">
        <v>179</v>
      </c>
      <c r="B97" s="476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8">
        <f t="shared" si="35"/>
        <v>436800</v>
      </c>
      <c r="L97" s="526">
        <f t="shared" si="36"/>
        <v>0</v>
      </c>
      <c r="M97" s="508">
        <f t="shared" si="36"/>
        <v>99000</v>
      </c>
      <c r="N97" s="509">
        <f t="shared" si="37"/>
        <v>3628800</v>
      </c>
      <c r="O97" s="509"/>
      <c r="P97" s="509"/>
      <c r="Q97" s="533"/>
      <c r="R97" s="496">
        <f t="shared" si="33"/>
        <v>4164600</v>
      </c>
      <c r="S97" s="496">
        <f t="shared" si="38"/>
        <v>1748160</v>
      </c>
    </row>
    <row r="98" spans="1:19">
      <c r="A98" s="69" t="s">
        <v>180</v>
      </c>
      <c r="B98" s="476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8">
        <f t="shared" si="35"/>
        <v>470400</v>
      </c>
      <c r="L98" s="526">
        <f t="shared" si="36"/>
        <v>0</v>
      </c>
      <c r="M98" s="508">
        <f t="shared" si="36"/>
        <v>125400</v>
      </c>
      <c r="N98" s="509">
        <f t="shared" si="37"/>
        <v>0</v>
      </c>
      <c r="O98" s="509"/>
      <c r="P98" s="509"/>
      <c r="Q98" s="533"/>
      <c r="R98" s="496">
        <f t="shared" si="33"/>
        <v>595800</v>
      </c>
      <c r="S98" s="496">
        <f t="shared" si="38"/>
        <v>216000</v>
      </c>
    </row>
    <row r="99" spans="1:19">
      <c r="A99" s="313" t="s">
        <v>181</v>
      </c>
      <c r="B99" s="472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8">
        <f t="shared" si="35"/>
        <v>277200</v>
      </c>
      <c r="L99" s="526">
        <f t="shared" si="36"/>
        <v>0</v>
      </c>
      <c r="M99" s="508">
        <f t="shared" si="36"/>
        <v>455400</v>
      </c>
      <c r="N99" s="509">
        <f t="shared" si="37"/>
        <v>0</v>
      </c>
      <c r="O99" s="509"/>
      <c r="P99" s="509"/>
      <c r="Q99" s="533"/>
      <c r="R99" s="496">
        <f t="shared" si="33"/>
        <v>732600</v>
      </c>
      <c r="S99" s="496">
        <f t="shared" si="38"/>
        <v>293760</v>
      </c>
    </row>
    <row r="100" spans="1:19" s="16" customFormat="1">
      <c r="A100" s="71" t="s">
        <v>182</v>
      </c>
      <c r="B100" s="476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34">
        <f t="shared" si="39"/>
        <v>7182000</v>
      </c>
      <c r="L100" s="535">
        <f t="shared" si="39"/>
        <v>0</v>
      </c>
      <c r="M100" s="536">
        <f t="shared" si="39"/>
        <v>554400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40">
        <f t="shared" si="40"/>
        <v>2898000</v>
      </c>
      <c r="L101" s="541">
        <f t="shared" si="40"/>
        <v>0</v>
      </c>
      <c r="M101" s="542">
        <f t="shared" si="40"/>
        <v>1650000</v>
      </c>
      <c r="N101" s="543">
        <f t="shared" si="40"/>
        <v>12096000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10080000</v>
      </c>
      <c r="L102" s="527">
        <f t="shared" si="41"/>
        <v>0</v>
      </c>
      <c r="M102" s="515">
        <f t="shared" si="41"/>
        <v>2204400</v>
      </c>
      <c r="N102" s="516">
        <f t="shared" si="41"/>
        <v>12096000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24380400</v>
      </c>
      <c r="S102" s="518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51">
        <f t="shared" si="43"/>
        <v>204000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204000</v>
      </c>
      <c r="S110" s="496">
        <f t="shared" si="45"/>
        <v>101439</v>
      </c>
    </row>
    <row r="111" spans="1:19">
      <c r="A111" s="69" t="s">
        <v>194</v>
      </c>
      <c r="B111" s="476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51">
        <f t="shared" si="43"/>
        <v>204000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204000</v>
      </c>
      <c r="S111" s="496">
        <f t="shared" si="45"/>
        <v>101439</v>
      </c>
    </row>
    <row r="112" spans="1:19">
      <c r="A112" s="69" t="s">
        <v>195</v>
      </c>
      <c r="B112" s="476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51">
        <f t="shared" si="43"/>
        <v>132000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132000</v>
      </c>
      <c r="S112" s="496">
        <f t="shared" si="45"/>
        <v>65637</v>
      </c>
    </row>
    <row r="113" spans="1:19">
      <c r="A113" s="69" t="s">
        <v>196</v>
      </c>
      <c r="B113" s="476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8">
        <f t="shared" ref="K113:K118" si="46">C113*47000</f>
        <v>94000</v>
      </c>
      <c r="L113" s="526">
        <f t="shared" ref="L113:M118" si="47">D113*35200</f>
        <v>0</v>
      </c>
      <c r="M113" s="508">
        <f t="shared" si="47"/>
        <v>0</v>
      </c>
      <c r="N113" s="509"/>
      <c r="O113" s="509"/>
      <c r="P113" s="509"/>
      <c r="Q113" s="523"/>
      <c r="R113" s="496">
        <f t="shared" si="44"/>
        <v>94000</v>
      </c>
      <c r="S113" s="496">
        <f t="shared" ref="S113:S118" si="48">J113*15480</f>
        <v>30960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>F114*22500</f>
        <v>0</v>
      </c>
      <c r="O114" s="509"/>
      <c r="P114" s="509"/>
      <c r="Q114" s="523"/>
      <c r="R114" s="496">
        <f t="shared" si="44"/>
        <v>0</v>
      </c>
      <c r="S114" s="496">
        <f t="shared" si="48"/>
        <v>0</v>
      </c>
    </row>
    <row r="115" spans="1:19">
      <c r="A115" s="69" t="s">
        <v>199</v>
      </c>
      <c r="B115" s="476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>F115*22500</f>
        <v>0</v>
      </c>
      <c r="O115" s="509"/>
      <c r="P115" s="509"/>
      <c r="Q115" s="523"/>
      <c r="R115" s="496">
        <f t="shared" si="44"/>
        <v>0</v>
      </c>
      <c r="S115" s="496">
        <f t="shared" si="48"/>
        <v>0</v>
      </c>
    </row>
    <row r="116" spans="1:19">
      <c r="A116" s="69" t="s">
        <v>200</v>
      </c>
      <c r="B116" s="476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>F116*22500</f>
        <v>0</v>
      </c>
      <c r="O116" s="509"/>
      <c r="P116" s="509"/>
      <c r="Q116" s="523"/>
      <c r="R116" s="496">
        <f t="shared" si="44"/>
        <v>0</v>
      </c>
      <c r="S116" s="496">
        <f t="shared" si="48"/>
        <v>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>F117*22500</f>
        <v>0</v>
      </c>
      <c r="O117" s="509"/>
      <c r="P117" s="509"/>
      <c r="Q117" s="523"/>
      <c r="R117" s="496">
        <f t="shared" si="44"/>
        <v>0</v>
      </c>
      <c r="S117" s="496">
        <f t="shared" si="48"/>
        <v>0</v>
      </c>
    </row>
    <row r="118" spans="1:19">
      <c r="A118" s="69" t="s">
        <v>202</v>
      </c>
      <c r="B118" s="476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8">
        <f t="shared" si="46"/>
        <v>0</v>
      </c>
      <c r="L118" s="526">
        <f t="shared" si="47"/>
        <v>0</v>
      </c>
      <c r="M118" s="508">
        <f t="shared" si="47"/>
        <v>0</v>
      </c>
      <c r="N118" s="509">
        <f>F118*31500</f>
        <v>0</v>
      </c>
      <c r="O118" s="509"/>
      <c r="P118" s="509"/>
      <c r="Q118" s="523"/>
      <c r="R118" s="496">
        <f t="shared" si="44"/>
        <v>0</v>
      </c>
      <c r="S118" s="496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9">SUM(K107:K119)</f>
        <v>634000</v>
      </c>
      <c r="L120" s="527">
        <f t="shared" si="49"/>
        <v>0</v>
      </c>
      <c r="M120" s="515">
        <f t="shared" si="49"/>
        <v>0</v>
      </c>
      <c r="N120" s="516">
        <f t="shared" si="49"/>
        <v>0</v>
      </c>
      <c r="O120" s="516">
        <f t="shared" si="49"/>
        <v>0</v>
      </c>
      <c r="P120" s="516">
        <f t="shared" si="49"/>
        <v>0</v>
      </c>
      <c r="Q120" s="552">
        <f t="shared" si="49"/>
        <v>0</v>
      </c>
      <c r="R120" s="517">
        <f t="shared" si="49"/>
        <v>634000</v>
      </c>
      <c r="S120" s="518">
        <f t="shared" si="49"/>
        <v>299475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ref="L123:M126" si="50">D123*86900</f>
        <v>0</v>
      </c>
      <c r="M123" s="508">
        <f t="shared" si="50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208</v>
      </c>
      <c r="B124" s="476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0"/>
        <v>0</v>
      </c>
      <c r="M124" s="508">
        <f t="shared" si="50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50"/>
        <v>0</v>
      </c>
      <c r="M125" s="508">
        <f t="shared" si="50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0"/>
        <v>0</v>
      </c>
      <c r="M126" s="508">
        <f t="shared" si="50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1">SUM(K123:K126)</f>
        <v>403200</v>
      </c>
      <c r="L127" s="527">
        <f t="shared" si="51"/>
        <v>0</v>
      </c>
      <c r="M127" s="515">
        <f t="shared" si="51"/>
        <v>0</v>
      </c>
      <c r="N127" s="516">
        <f t="shared" si="51"/>
        <v>0</v>
      </c>
      <c r="O127" s="516">
        <f t="shared" si="51"/>
        <v>0</v>
      </c>
      <c r="P127" s="516">
        <f t="shared" si="51"/>
        <v>0</v>
      </c>
      <c r="Q127" s="513">
        <f t="shared" si="51"/>
        <v>0</v>
      </c>
      <c r="R127" s="517">
        <f t="shared" si="51"/>
        <v>403200</v>
      </c>
      <c r="S127" s="518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2">SUM(K129:K132)</f>
        <v>0</v>
      </c>
      <c r="L133" s="514">
        <f t="shared" si="52"/>
        <v>0</v>
      </c>
      <c r="M133" s="515">
        <f t="shared" si="52"/>
        <v>0</v>
      </c>
      <c r="N133" s="516">
        <f t="shared" si="52"/>
        <v>0</v>
      </c>
      <c r="O133" s="516">
        <f t="shared" si="52"/>
        <v>0</v>
      </c>
      <c r="P133" s="513">
        <f t="shared" si="52"/>
        <v>0</v>
      </c>
      <c r="Q133" s="513">
        <f t="shared" si="52"/>
        <v>0</v>
      </c>
      <c r="R133" s="517">
        <f t="shared" si="52"/>
        <v>0</v>
      </c>
      <c r="S133" s="518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51">
        <f>C138*134000</f>
        <v>268000</v>
      </c>
      <c r="L138" s="507">
        <f>D138*106700</f>
        <v>0</v>
      </c>
      <c r="M138" s="508">
        <f>E138*106700</f>
        <v>426800</v>
      </c>
      <c r="N138" s="509"/>
      <c r="O138" s="509"/>
      <c r="P138" s="509"/>
      <c r="Q138" s="510"/>
      <c r="R138" s="496">
        <f>SUM(K138:Q138)</f>
        <v>694800</v>
      </c>
      <c r="S138" s="496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89600</v>
      </c>
      <c r="O140" s="509"/>
      <c r="P140" s="509"/>
      <c r="Q140" s="510"/>
      <c r="R140" s="496">
        <f>SUM(K140:Q140)</f>
        <v>89600</v>
      </c>
      <c r="S140" s="496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3">SUM(K137:K140)</f>
        <v>268000</v>
      </c>
      <c r="L141" s="514">
        <f t="shared" si="53"/>
        <v>0</v>
      </c>
      <c r="M141" s="515">
        <f t="shared" si="53"/>
        <v>426800</v>
      </c>
      <c r="N141" s="516">
        <f t="shared" si="53"/>
        <v>89600</v>
      </c>
      <c r="O141" s="516">
        <f t="shared" si="53"/>
        <v>0</v>
      </c>
      <c r="P141" s="516">
        <f t="shared" si="53"/>
        <v>0</v>
      </c>
      <c r="Q141" s="516">
        <f t="shared" si="53"/>
        <v>0</v>
      </c>
      <c r="R141" s="517">
        <f t="shared" si="53"/>
        <v>784400</v>
      </c>
      <c r="S141" s="518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51">
        <f>C150*10400</f>
        <v>4243200</v>
      </c>
      <c r="L150" s="507">
        <f>D150*9000</f>
        <v>0</v>
      </c>
      <c r="M150" s="508">
        <f>E150*9000</f>
        <v>648000</v>
      </c>
      <c r="N150" s="509"/>
      <c r="O150" s="509"/>
      <c r="P150" s="509"/>
      <c r="Q150" s="532"/>
      <c r="R150" s="496">
        <f t="shared" ref="R150:R158" si="55">SUM(K150:Q150)</f>
        <v>4891200</v>
      </c>
      <c r="S150" s="496">
        <f>J150*5400</f>
        <v>2592000</v>
      </c>
    </row>
    <row r="151" spans="1:19">
      <c r="A151" s="69" t="s">
        <v>252</v>
      </c>
      <c r="B151" s="476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51">
        <f>C151*14700</f>
        <v>2748900</v>
      </c>
      <c r="L151" s="507">
        <f>D151*12900</f>
        <v>0</v>
      </c>
      <c r="M151" s="508">
        <f>E151*12900</f>
        <v>1857600</v>
      </c>
      <c r="N151" s="509"/>
      <c r="O151" s="509">
        <f>F151*11760</f>
        <v>0</v>
      </c>
      <c r="P151" s="509"/>
      <c r="Q151" s="532"/>
      <c r="R151" s="496">
        <f t="shared" si="55"/>
        <v>4606500</v>
      </c>
      <c r="S151" s="496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5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51">
        <f>C153*14700</f>
        <v>44100</v>
      </c>
      <c r="L153" s="507">
        <f>D153*11000</f>
        <v>0</v>
      </c>
      <c r="M153" s="508">
        <f>E153*11000</f>
        <v>110000</v>
      </c>
      <c r="N153" s="509"/>
      <c r="O153" s="509"/>
      <c r="P153" s="509"/>
      <c r="Q153" s="532"/>
      <c r="R153" s="496">
        <f t="shared" si="55"/>
        <v>154100</v>
      </c>
      <c r="S153" s="496">
        <f>J153*4658</f>
        <v>60554</v>
      </c>
    </row>
    <row r="154" spans="1:19">
      <c r="A154" s="69" t="s">
        <v>257</v>
      </c>
      <c r="B154" s="476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51">
        <f>C154*26400</f>
        <v>1346400</v>
      </c>
      <c r="L154" s="507">
        <f>D154*18500</f>
        <v>0</v>
      </c>
      <c r="M154" s="508">
        <f>E154*18500</f>
        <v>1110000</v>
      </c>
      <c r="N154" s="509"/>
      <c r="O154" s="509"/>
      <c r="P154" s="509"/>
      <c r="Q154" s="532"/>
      <c r="R154" s="496">
        <f t="shared" si="55"/>
        <v>2456400</v>
      </c>
      <c r="S154" s="496">
        <f>J154*6653</f>
        <v>738483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5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56">
        <f>C156*21000</f>
        <v>0</v>
      </c>
      <c r="L156" s="507">
        <f>D156*15200</f>
        <v>0</v>
      </c>
      <c r="M156" s="508">
        <f>E156*15200</f>
        <v>273600</v>
      </c>
      <c r="N156" s="509">
        <f>F156*19640</f>
        <v>1237320</v>
      </c>
      <c r="O156" s="509"/>
      <c r="P156" s="509"/>
      <c r="Q156" s="532"/>
      <c r="R156" s="496">
        <f t="shared" si="55"/>
        <v>1510920</v>
      </c>
      <c r="S156" s="496">
        <f>J156*8415</f>
        <v>681615</v>
      </c>
    </row>
    <row r="157" spans="1:19">
      <c r="A157" s="104" t="s">
        <v>263</v>
      </c>
      <c r="B157" s="476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51">
        <f>C157*14700</f>
        <v>102900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5"/>
        <v>102900</v>
      </c>
      <c r="S157" s="496">
        <f>J157*5590</f>
        <v>39130</v>
      </c>
    </row>
    <row r="158" spans="1:19">
      <c r="A158" s="104" t="s">
        <v>265</v>
      </c>
      <c r="B158" s="476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51">
        <f>C158*17500</f>
        <v>17500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5"/>
        <v>17500</v>
      </c>
      <c r="S158" s="496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6">SUM(K150:K158)</f>
        <v>9011200</v>
      </c>
      <c r="L159" s="514">
        <f t="shared" si="56"/>
        <v>0</v>
      </c>
      <c r="M159" s="515">
        <f t="shared" si="56"/>
        <v>3999200</v>
      </c>
      <c r="N159" s="513">
        <f t="shared" si="56"/>
        <v>1237320</v>
      </c>
      <c r="O159" s="516">
        <f t="shared" si="56"/>
        <v>0</v>
      </c>
      <c r="P159" s="516">
        <f t="shared" si="56"/>
        <v>0</v>
      </c>
      <c r="Q159" s="516">
        <f t="shared" si="56"/>
        <v>0</v>
      </c>
      <c r="R159" s="517">
        <f t="shared" si="56"/>
        <v>14247720</v>
      </c>
      <c r="S159" s="518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71">
        <f>C172*12800</f>
        <v>12800</v>
      </c>
      <c r="L172" s="570">
        <f>D172*9600</f>
        <v>0</v>
      </c>
      <c r="M172" s="508">
        <f>E172*9600</f>
        <v>0</v>
      </c>
      <c r="N172" s="532"/>
      <c r="O172" s="532"/>
      <c r="P172" s="532"/>
      <c r="Q172" s="510"/>
      <c r="R172" s="498">
        <f t="shared" ref="R172:R203" si="58">SUM(K172:Q172)</f>
        <v>12800</v>
      </c>
      <c r="S172" s="496">
        <f>J172*3857</f>
        <v>3857</v>
      </c>
    </row>
    <row r="173" spans="1:19">
      <c r="A173" s="69" t="s">
        <v>339</v>
      </c>
      <c r="B173" s="476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71">
        <f>C173*36000</f>
        <v>72000</v>
      </c>
      <c r="L173" s="570">
        <f>D173*33000</f>
        <v>0</v>
      </c>
      <c r="M173" s="508">
        <f>E173*33000</f>
        <v>0</v>
      </c>
      <c r="N173" s="532"/>
      <c r="O173" s="532"/>
      <c r="P173" s="532"/>
      <c r="Q173" s="510"/>
      <c r="R173" s="498">
        <f t="shared" si="58"/>
        <v>72000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51">
        <f>C174*28800</f>
        <v>3081600</v>
      </c>
      <c r="L174" s="526">
        <f>D174*26400</f>
        <v>1029600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8"/>
        <v>4111200</v>
      </c>
      <c r="S174" s="496">
        <f>J174*6704</f>
        <v>978784</v>
      </c>
    </row>
    <row r="175" spans="1:19">
      <c r="A175" s="104" t="s">
        <v>278</v>
      </c>
      <c r="B175" s="476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51">
        <f>C175*16000</f>
        <v>1488000</v>
      </c>
      <c r="L175" s="526">
        <f>D175*11200</f>
        <v>392000</v>
      </c>
      <c r="M175" s="508">
        <f>E175*11200</f>
        <v>0</v>
      </c>
      <c r="N175" s="509"/>
      <c r="O175" s="532"/>
      <c r="P175" s="509"/>
      <c r="Q175" s="510"/>
      <c r="R175" s="498">
        <f t="shared" si="58"/>
        <v>1880000</v>
      </c>
      <c r="S175" s="496">
        <f>J175*3489</f>
        <v>446592</v>
      </c>
    </row>
    <row r="176" spans="1:19">
      <c r="A176" s="180" t="s">
        <v>343</v>
      </c>
      <c r="B176" s="477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51">
        <f>C176*16800</f>
        <v>151200</v>
      </c>
      <c r="L176" s="526">
        <f>D176*12800</f>
        <v>76800</v>
      </c>
      <c r="M176" s="508">
        <f>E176*12800</f>
        <v>0</v>
      </c>
      <c r="N176" s="509"/>
      <c r="O176" s="509"/>
      <c r="P176" s="509"/>
      <c r="Q176" s="510"/>
      <c r="R176" s="498">
        <f t="shared" si="58"/>
        <v>228000</v>
      </c>
      <c r="S176" s="496">
        <f>J176*3075</f>
        <v>46125</v>
      </c>
    </row>
    <row r="177" spans="1:19">
      <c r="A177" s="180" t="s">
        <v>345</v>
      </c>
      <c r="B177" s="694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51">
        <f>C177*36800</f>
        <v>552000</v>
      </c>
      <c r="L177" s="526">
        <f>D177*27200</f>
        <v>27200</v>
      </c>
      <c r="M177" s="508">
        <f>E177*27200</f>
        <v>0</v>
      </c>
      <c r="N177" s="509"/>
      <c r="O177" s="509"/>
      <c r="P177" s="509"/>
      <c r="Q177" s="510"/>
      <c r="R177" s="498">
        <f t="shared" si="58"/>
        <v>579200</v>
      </c>
      <c r="S177" s="496">
        <f>J177*6040</f>
        <v>96640</v>
      </c>
    </row>
    <row r="178" spans="1:19">
      <c r="A178" s="180" t="s">
        <v>347</v>
      </c>
      <c r="B178" s="683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8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51">
        <f>C179*28000</f>
        <v>28000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8"/>
        <v>28000</v>
      </c>
      <c r="S179" s="496">
        <f>J179*6097</f>
        <v>6097</v>
      </c>
    </row>
    <row r="180" spans="1:19">
      <c r="A180" s="180" t="s">
        <v>349</v>
      </c>
      <c r="B180" s="477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51">
        <f>C180*31000</f>
        <v>31000</v>
      </c>
      <c r="L180" s="526">
        <f>D180*19800</f>
        <v>79200</v>
      </c>
      <c r="M180" s="508">
        <f>E180*19800</f>
        <v>0</v>
      </c>
      <c r="N180" s="509"/>
      <c r="O180" s="509"/>
      <c r="P180" s="509"/>
      <c r="Q180" s="510"/>
      <c r="R180" s="498">
        <f t="shared" si="58"/>
        <v>110200</v>
      </c>
      <c r="S180" s="496">
        <f>J180*6612</f>
        <v>33060</v>
      </c>
    </row>
    <row r="181" spans="1:19" s="388" customFormat="1">
      <c r="A181" s="256" t="s">
        <v>351</v>
      </c>
      <c r="B181" s="477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72">
        <f>C181*27200</f>
        <v>81600</v>
      </c>
      <c r="L181" s="526">
        <f>D181*20000</f>
        <v>20000</v>
      </c>
      <c r="M181" s="508">
        <f>E181*20000</f>
        <v>0</v>
      </c>
      <c r="N181" s="509"/>
      <c r="O181" s="509"/>
      <c r="P181" s="509"/>
      <c r="Q181" s="510"/>
      <c r="R181" s="573">
        <f t="shared" si="58"/>
        <v>101600</v>
      </c>
      <c r="S181" s="574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51">
        <f>C182*16000</f>
        <v>80000</v>
      </c>
      <c r="L182" s="526">
        <f>D182*12000</f>
        <v>24000</v>
      </c>
      <c r="M182" s="508">
        <f>E182*19200</f>
        <v>0</v>
      </c>
      <c r="N182" s="509"/>
      <c r="O182" s="509"/>
      <c r="P182" s="509"/>
      <c r="Q182" s="510"/>
      <c r="R182" s="498">
        <f t="shared" si="58"/>
        <v>104000</v>
      </c>
      <c r="S182" s="496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51">
        <f>C183*19000</f>
        <v>475000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8"/>
        <v>475000</v>
      </c>
      <c r="S183" s="496">
        <f>J183*3677</f>
        <v>91925</v>
      </c>
    </row>
    <row r="184" spans="1:19">
      <c r="A184" s="256" t="s">
        <v>332</v>
      </c>
      <c r="B184" s="477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51">
        <f>C184*16000</f>
        <v>128000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8"/>
        <v>128000</v>
      </c>
      <c r="S184" s="496">
        <f>J184*4716</f>
        <v>37728</v>
      </c>
    </row>
    <row r="185" spans="1:19" s="221" customFormat="1">
      <c r="A185" s="220" t="s">
        <v>358</v>
      </c>
      <c r="B185" s="476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51">
        <f>C185*26880</f>
        <v>188160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8"/>
        <v>188160</v>
      </c>
      <c r="S185" s="496">
        <f>J185*8712</f>
        <v>60984</v>
      </c>
    </row>
    <row r="186" spans="1:19">
      <c r="A186" s="104" t="s">
        <v>360</v>
      </c>
      <c r="B186" s="476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51">
        <f>C186*30400</f>
        <v>243200</v>
      </c>
      <c r="L186" s="526">
        <f>D186*25600</f>
        <v>0</v>
      </c>
      <c r="M186" s="508">
        <f>E186*25600</f>
        <v>0</v>
      </c>
      <c r="N186" s="509"/>
      <c r="O186" s="509"/>
      <c r="P186" s="509"/>
      <c r="Q186" s="510"/>
      <c r="R186" s="498">
        <f t="shared" si="58"/>
        <v>243200</v>
      </c>
      <c r="S186" s="496">
        <f>J186*5760</f>
        <v>46080</v>
      </c>
    </row>
    <row r="187" spans="1:19">
      <c r="A187" s="104" t="s">
        <v>362</v>
      </c>
      <c r="B187" s="476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51">
        <f>C187*17600</f>
        <v>211200</v>
      </c>
      <c r="L187" s="526">
        <f>D187*14400</f>
        <v>100800</v>
      </c>
      <c r="M187" s="575">
        <f>E187*14400</f>
        <v>0</v>
      </c>
      <c r="N187" s="556"/>
      <c r="O187" s="509"/>
      <c r="P187" s="509"/>
      <c r="Q187" s="510"/>
      <c r="R187" s="498">
        <f t="shared" si="58"/>
        <v>312000</v>
      </c>
      <c r="S187" s="496">
        <f>J187*3867</f>
        <v>73473</v>
      </c>
    </row>
    <row r="188" spans="1:19">
      <c r="A188" s="104" t="s">
        <v>364</v>
      </c>
      <c r="B188" s="476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51">
        <f>C188*64800</f>
        <v>129600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8"/>
        <v>129600</v>
      </c>
      <c r="S188" s="496">
        <f>J188*20308</f>
        <v>40616</v>
      </c>
    </row>
    <row r="189" spans="1:19">
      <c r="A189" s="180" t="s">
        <v>366</v>
      </c>
      <c r="B189" s="476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51">
        <f>C189*11000</f>
        <v>3938000</v>
      </c>
      <c r="L189" s="526">
        <f>D189*9900</f>
        <v>396000</v>
      </c>
      <c r="M189" s="508">
        <f>E189*8800</f>
        <v>1056000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8"/>
        <v>5390000</v>
      </c>
      <c r="S189" s="496">
        <f>J189*2006</f>
        <v>1039108</v>
      </c>
    </row>
    <row r="190" spans="1:19">
      <c r="A190" s="104" t="s">
        <v>295</v>
      </c>
      <c r="B190" s="476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51">
        <f>C190*16000</f>
        <v>96000</v>
      </c>
      <c r="L190" s="526">
        <f>D190*12000</f>
        <v>24000</v>
      </c>
      <c r="M190" s="508">
        <f>E190*12000</f>
        <v>0</v>
      </c>
      <c r="N190" s="509"/>
      <c r="O190" s="509">
        <f>F190*13200</f>
        <v>0</v>
      </c>
      <c r="P190" s="509"/>
      <c r="Q190" s="510"/>
      <c r="R190" s="498">
        <f t="shared" si="58"/>
        <v>120000</v>
      </c>
      <c r="S190" s="496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56">
        <f>C191*1800</f>
        <v>0</v>
      </c>
      <c r="L191" s="526">
        <f>D191*1600</f>
        <v>320000</v>
      </c>
      <c r="M191" s="508">
        <f>E191*1600</f>
        <v>0</v>
      </c>
      <c r="N191" s="509"/>
      <c r="O191" s="509">
        <f>F191*1800</f>
        <v>270000</v>
      </c>
      <c r="P191" s="509"/>
      <c r="Q191" s="510"/>
      <c r="R191" s="498">
        <f t="shared" si="58"/>
        <v>590000</v>
      </c>
      <c r="S191" s="496">
        <f>J191*818</f>
        <v>286300</v>
      </c>
    </row>
    <row r="192" spans="1:19">
      <c r="A192" s="104" t="s">
        <v>371</v>
      </c>
      <c r="B192" s="476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51">
        <f>C192*2000</f>
        <v>250000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8"/>
        <v>250000</v>
      </c>
      <c r="S192" s="496">
        <f>J192*863</f>
        <v>107875</v>
      </c>
    </row>
    <row r="193" spans="1:19">
      <c r="A193" s="104" t="s">
        <v>306</v>
      </c>
      <c r="B193" s="476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51">
        <f>C193*19200</f>
        <v>576000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8"/>
        <v>576000</v>
      </c>
      <c r="S193" s="496">
        <f>J193*4062</f>
        <v>121860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8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51">
        <f>C195*19200</f>
        <v>38400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8"/>
        <v>38400</v>
      </c>
      <c r="S195" s="496">
        <f>J195*4314</f>
        <v>8628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8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8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8"/>
        <v>0</v>
      </c>
      <c r="S198" s="496">
        <f>J198*5557</f>
        <v>0</v>
      </c>
    </row>
    <row r="199" spans="1:19" s="495" customFormat="1">
      <c r="A199" s="104" t="s">
        <v>382</v>
      </c>
      <c r="B199" s="682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51">
        <f>C199*12000</f>
        <v>36000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8"/>
        <v>36000</v>
      </c>
      <c r="S199" s="496">
        <f>J199*2633</f>
        <v>7899</v>
      </c>
    </row>
    <row r="200" spans="1:19" s="495" customFormat="1">
      <c r="A200" s="180" t="s">
        <v>384</v>
      </c>
      <c r="B200" s="683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95">
        <f>C200*14000</f>
        <v>14000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8"/>
        <v>14000</v>
      </c>
      <c r="S200" s="496">
        <f>J200*3569</f>
        <v>3569</v>
      </c>
    </row>
    <row r="201" spans="1:19" s="495" customFormat="1">
      <c r="A201" s="180" t="s">
        <v>734</v>
      </c>
      <c r="B201" s="476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95">
        <f>C201*28000</f>
        <v>28000</v>
      </c>
      <c r="L201" s="526"/>
      <c r="M201" s="508">
        <f>E201*22400</f>
        <v>89600</v>
      </c>
      <c r="N201" s="509"/>
      <c r="O201" s="509"/>
      <c r="P201" s="509"/>
      <c r="Q201" s="510"/>
      <c r="R201" s="498">
        <f t="shared" si="58"/>
        <v>117600</v>
      </c>
      <c r="S201" s="496">
        <f>J201*4618</f>
        <v>23090</v>
      </c>
    </row>
    <row r="202" spans="1:19" s="495" customFormat="1">
      <c r="A202" s="180" t="s">
        <v>736</v>
      </c>
      <c r="B202" s="476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95">
        <f>C202*27000</f>
        <v>0</v>
      </c>
      <c r="L202" s="526"/>
      <c r="M202" s="508">
        <f>E202*21600</f>
        <v>216000</v>
      </c>
      <c r="N202" s="509"/>
      <c r="O202" s="509"/>
      <c r="P202" s="509"/>
      <c r="Q202" s="510"/>
      <c r="R202" s="498">
        <f t="shared" si="58"/>
        <v>216000</v>
      </c>
      <c r="S202" s="496">
        <f>J202*4063</f>
        <v>40630</v>
      </c>
    </row>
    <row r="203" spans="1:19" s="495" customFormat="1">
      <c r="A203" s="104" t="s">
        <v>385</v>
      </c>
      <c r="B203" s="682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51">
        <f>C203*6600</f>
        <v>171600</v>
      </c>
      <c r="L203" s="526"/>
      <c r="M203" s="508">
        <f>E203*5500</f>
        <v>0</v>
      </c>
      <c r="N203" s="509"/>
      <c r="O203" s="509">
        <f>F203*5300</f>
        <v>0</v>
      </c>
      <c r="P203" s="509"/>
      <c r="Q203" s="532">
        <f>I203*4620</f>
        <v>18480</v>
      </c>
      <c r="R203" s="498">
        <f t="shared" si="58"/>
        <v>190080</v>
      </c>
      <c r="S203" s="496">
        <f>J203*2573</f>
        <v>77190</v>
      </c>
    </row>
    <row r="204" spans="1:19" s="495" customFormat="1">
      <c r="A204" s="104" t="s">
        <v>387</v>
      </c>
      <c r="B204" s="683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35" si="59">SUM(C204:I204)</f>
        <v>22</v>
      </c>
      <c r="K204" s="551">
        <f>C204*6600</f>
        <v>118800</v>
      </c>
      <c r="L204" s="526"/>
      <c r="M204" s="508">
        <f>E204*5500</f>
        <v>0</v>
      </c>
      <c r="N204" s="509"/>
      <c r="O204" s="509">
        <f>F204*5300</f>
        <v>0</v>
      </c>
      <c r="P204" s="509"/>
      <c r="Q204" s="532">
        <f>I204*4620</f>
        <v>18480</v>
      </c>
      <c r="R204" s="498">
        <f t="shared" ref="R204:R235" si="60">SUM(K204:Q204)</f>
        <v>137280</v>
      </c>
      <c r="S204" s="496">
        <f>J204*3222</f>
        <v>70884</v>
      </c>
    </row>
    <row r="205" spans="1:19" s="495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26"/>
      <c r="M205" s="508">
        <f>E205*180000</f>
        <v>0</v>
      </c>
      <c r="N205" s="509"/>
      <c r="O205" s="509"/>
      <c r="P205" s="509"/>
      <c r="Q205" s="510"/>
      <c r="R205" s="498">
        <f t="shared" si="60"/>
        <v>0</v>
      </c>
      <c r="S205" s="496">
        <f>J205*63000</f>
        <v>0</v>
      </c>
    </row>
    <row r="206" spans="1:19" s="495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0"/>
        <v>0</v>
      </c>
      <c r="S206" s="496">
        <f>J206*90000</f>
        <v>0</v>
      </c>
    </row>
    <row r="207" spans="1:19" s="495" customFormat="1">
      <c r="A207" s="104" t="s">
        <v>390</v>
      </c>
      <c r="B207" s="476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95">
        <f>C207*16500</f>
        <v>1237500</v>
      </c>
      <c r="L207" s="526"/>
      <c r="M207" s="508">
        <f>E207*12500</f>
        <v>475000</v>
      </c>
      <c r="N207" s="509"/>
      <c r="O207" s="509"/>
      <c r="P207" s="509"/>
      <c r="Q207" s="532"/>
      <c r="R207" s="498">
        <f t="shared" si="60"/>
        <v>1712500</v>
      </c>
      <c r="S207" s="496">
        <f>J207*3069</f>
        <v>346797</v>
      </c>
    </row>
    <row r="208" spans="1:19" s="495" customFormat="1">
      <c r="A208" s="104" t="s">
        <v>392</v>
      </c>
      <c r="B208" s="476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95">
        <f>C208*18000</f>
        <v>1008000</v>
      </c>
      <c r="L208" s="526"/>
      <c r="M208" s="508">
        <f>E208*13200</f>
        <v>52800</v>
      </c>
      <c r="N208" s="509">
        <f>F208*18000</f>
        <v>0</v>
      </c>
      <c r="O208" s="509"/>
      <c r="P208" s="509"/>
      <c r="Q208" s="510"/>
      <c r="R208" s="498">
        <f t="shared" si="60"/>
        <v>1060800</v>
      </c>
      <c r="S208" s="496">
        <f>J208*3147</f>
        <v>188820</v>
      </c>
    </row>
    <row r="209" spans="1:19" s="495" customFormat="1">
      <c r="A209" s="104" t="s">
        <v>394</v>
      </c>
      <c r="B209" s="476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95">
        <f>C209*12000</f>
        <v>72000</v>
      </c>
      <c r="L209" s="526"/>
      <c r="M209" s="508">
        <f>E209*9600</f>
        <v>0</v>
      </c>
      <c r="N209" s="509">
        <f>F209*12000</f>
        <v>0</v>
      </c>
      <c r="O209" s="509">
        <f>G209*9600</f>
        <v>0</v>
      </c>
      <c r="P209" s="509"/>
      <c r="Q209" s="510"/>
      <c r="R209" s="498">
        <f t="shared" si="60"/>
        <v>72000</v>
      </c>
      <c r="S209" s="496">
        <f>J209*2740</f>
        <v>16440</v>
      </c>
    </row>
    <row r="210" spans="1:19" s="495" customFormat="1">
      <c r="A210" s="104" t="s">
        <v>396</v>
      </c>
      <c r="B210" s="476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95">
        <f>C210*28000</f>
        <v>0</v>
      </c>
      <c r="L210" s="526"/>
      <c r="M210" s="508"/>
      <c r="N210" s="509">
        <f>F210*19600</f>
        <v>0</v>
      </c>
      <c r="O210" s="509"/>
      <c r="P210" s="509">
        <f>H210*22400</f>
        <v>0</v>
      </c>
      <c r="Q210" s="510"/>
      <c r="R210" s="498">
        <f t="shared" si="60"/>
        <v>0</v>
      </c>
      <c r="S210" s="496">
        <f>J210*6493</f>
        <v>0</v>
      </c>
    </row>
    <row r="211" spans="1:19" s="495" customFormat="1">
      <c r="A211" s="104" t="s">
        <v>398</v>
      </c>
      <c r="B211" s="476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95">
        <f>C211*28000</f>
        <v>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0"/>
        <v>0</v>
      </c>
      <c r="S211" s="496">
        <f>J211*6900</f>
        <v>0</v>
      </c>
    </row>
    <row r="212" spans="1:19" s="495" customFormat="1">
      <c r="A212" s="104" t="s">
        <v>400</v>
      </c>
      <c r="B212" s="476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95">
        <f>C212*22000</f>
        <v>0</v>
      </c>
      <c r="L212" s="526"/>
      <c r="M212" s="508"/>
      <c r="N212" s="509">
        <f>F212*17100</f>
        <v>0</v>
      </c>
      <c r="O212" s="509"/>
      <c r="P212" s="509"/>
      <c r="Q212" s="510"/>
      <c r="R212" s="498">
        <f t="shared" si="60"/>
        <v>0</v>
      </c>
      <c r="S212" s="496">
        <f>J212*2573</f>
        <v>0</v>
      </c>
    </row>
    <row r="213" spans="1:19" s="495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95">
        <f>C213*22000</f>
        <v>0</v>
      </c>
      <c r="L213" s="526"/>
      <c r="M213" s="508"/>
      <c r="N213" s="509"/>
      <c r="O213" s="509"/>
      <c r="P213" s="509"/>
      <c r="Q213" s="510"/>
      <c r="R213" s="498">
        <f t="shared" si="60"/>
        <v>0</v>
      </c>
      <c r="S213" s="496">
        <f>J213*4950</f>
        <v>0</v>
      </c>
    </row>
    <row r="214" spans="1:19" s="495" customFormat="1" ht="16.5" customHeight="1">
      <c r="A214" s="104" t="s">
        <v>404</v>
      </c>
      <c r="B214" s="689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60"/>
        <v>0</v>
      </c>
      <c r="S214" s="496">
        <f>J214*2645</f>
        <v>0</v>
      </c>
    </row>
    <row r="215" spans="1:19" s="495" customFormat="1">
      <c r="A215" s="104" t="s">
        <v>406</v>
      </c>
      <c r="B215" s="683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60"/>
        <v>0</v>
      </c>
      <c r="S215" s="496">
        <f>J215*5981</f>
        <v>0</v>
      </c>
    </row>
    <row r="216" spans="1:19" ht="16.5" customHeight="1">
      <c r="A216" s="104" t="s">
        <v>407</v>
      </c>
      <c r="B216" s="689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95">
        <f>C216*12000</f>
        <v>84000</v>
      </c>
      <c r="L216" s="526"/>
      <c r="M216" s="508">
        <f>E216*12000</f>
        <v>0</v>
      </c>
      <c r="N216" s="509">
        <f>F216*9600</f>
        <v>0</v>
      </c>
      <c r="O216" s="509"/>
      <c r="P216" s="509">
        <f>H216*12000</f>
        <v>0</v>
      </c>
      <c r="Q216" s="510"/>
      <c r="R216" s="498">
        <f t="shared" si="60"/>
        <v>84000</v>
      </c>
      <c r="S216" s="496">
        <f>J216*2718</f>
        <v>19026</v>
      </c>
    </row>
    <row r="217" spans="1:19">
      <c r="A217" s="104" t="s">
        <v>409</v>
      </c>
      <c r="B217" s="683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95">
        <f>C217*48000</f>
        <v>48000</v>
      </c>
      <c r="L217" s="526"/>
      <c r="M217" s="508">
        <f>E217*48000</f>
        <v>0</v>
      </c>
      <c r="N217" s="509">
        <f>F217*38400</f>
        <v>0</v>
      </c>
      <c r="O217" s="509"/>
      <c r="P217" s="509"/>
      <c r="Q217" s="510"/>
      <c r="R217" s="498">
        <f t="shared" si="60"/>
        <v>48000</v>
      </c>
      <c r="S217" s="496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95">
        <f>C218*18000</f>
        <v>0</v>
      </c>
      <c r="L218" s="526"/>
      <c r="M218" s="508"/>
      <c r="N218" s="509">
        <f>F218*14400</f>
        <v>0</v>
      </c>
      <c r="O218" s="509"/>
      <c r="P218" s="509"/>
      <c r="Q218" s="510"/>
      <c r="R218" s="498">
        <f t="shared" si="60"/>
        <v>0</v>
      </c>
      <c r="S218" s="496">
        <f>J218*3129</f>
        <v>0</v>
      </c>
    </row>
    <row r="219" spans="1:19" ht="16.5" customHeight="1">
      <c r="A219" s="104" t="s">
        <v>412</v>
      </c>
      <c r="B219" s="689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95">
        <f>C219*18000</f>
        <v>630000</v>
      </c>
      <c r="L219" s="526"/>
      <c r="M219" s="508">
        <f>E219*18000</f>
        <v>0</v>
      </c>
      <c r="N219" s="509">
        <f>F219*14400</f>
        <v>14400</v>
      </c>
      <c r="O219" s="509"/>
      <c r="P219" s="509">
        <f>H219*18000</f>
        <v>0</v>
      </c>
      <c r="Q219" s="510"/>
      <c r="R219" s="498">
        <f t="shared" si="60"/>
        <v>644400</v>
      </c>
      <c r="S219" s="496">
        <f>J219*2748</f>
        <v>98928</v>
      </c>
    </row>
    <row r="220" spans="1:19">
      <c r="A220" s="104" t="s">
        <v>414</v>
      </c>
      <c r="B220" s="688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95">
        <f>C220*36000</f>
        <v>216000</v>
      </c>
      <c r="L220" s="526"/>
      <c r="M220" s="508">
        <f>E220*36000</f>
        <v>0</v>
      </c>
      <c r="N220" s="509">
        <f>F220*28800</f>
        <v>0</v>
      </c>
      <c r="O220" s="509"/>
      <c r="P220" s="509">
        <f>H220*36000</f>
        <v>0</v>
      </c>
      <c r="Q220" s="510"/>
      <c r="R220" s="498">
        <f t="shared" si="60"/>
        <v>216000</v>
      </c>
      <c r="S220" s="496">
        <f>J220*4960</f>
        <v>29760</v>
      </c>
    </row>
    <row r="221" spans="1:19">
      <c r="A221" s="104" t="s">
        <v>415</v>
      </c>
      <c r="B221" s="683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95">
        <f>C221*90000</f>
        <v>270000</v>
      </c>
      <c r="L221" s="526"/>
      <c r="M221" s="508">
        <f>E221*90000</f>
        <v>0</v>
      </c>
      <c r="N221" s="509">
        <f>F221*72000</f>
        <v>72000</v>
      </c>
      <c r="O221" s="509"/>
      <c r="P221" s="509"/>
      <c r="Q221" s="510"/>
      <c r="R221" s="498">
        <f t="shared" si="60"/>
        <v>342000</v>
      </c>
      <c r="S221" s="496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76">
        <f t="shared" ref="K222:S222" si="61">SUM(K171:K221)</f>
        <v>15833660</v>
      </c>
      <c r="L222" s="577">
        <f t="shared" si="61"/>
        <v>2489600</v>
      </c>
      <c r="M222" s="578">
        <f t="shared" si="61"/>
        <v>1889400</v>
      </c>
      <c r="N222" s="579">
        <f t="shared" si="61"/>
        <v>86400</v>
      </c>
      <c r="O222" s="579">
        <f t="shared" si="61"/>
        <v>270000</v>
      </c>
      <c r="P222" s="579">
        <f t="shared" si="61"/>
        <v>0</v>
      </c>
      <c r="Q222" s="576">
        <f t="shared" si="61"/>
        <v>36960</v>
      </c>
      <c r="R222" s="580">
        <f t="shared" si="61"/>
        <v>20606020</v>
      </c>
      <c r="S222" s="580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81"/>
      <c r="L223" s="582"/>
      <c r="M223" s="583"/>
      <c r="N223" s="584"/>
      <c r="O223" s="584"/>
      <c r="P223" s="584"/>
      <c r="Q223" s="581"/>
      <c r="R223" s="585"/>
      <c r="S223" s="585"/>
    </row>
    <row r="224" spans="1:19" ht="24" customHeight="1">
      <c r="A224" s="107" t="s">
        <v>417</v>
      </c>
      <c r="C224" s="108" t="s">
        <v>418</v>
      </c>
      <c r="D224" s="692"/>
      <c r="E224" s="227"/>
      <c r="F224" s="5" t="s">
        <v>420</v>
      </c>
      <c r="G224" s="9" t="s">
        <v>421</v>
      </c>
      <c r="H224" s="10"/>
      <c r="I224" s="112"/>
      <c r="J224" s="96"/>
      <c r="K224" s="525"/>
      <c r="P224" s="521"/>
    </row>
    <row r="225" spans="1:19" ht="17.25" customHeight="1">
      <c r="A225" s="107"/>
      <c r="C225" s="406" t="s">
        <v>422</v>
      </c>
      <c r="D225" s="688"/>
      <c r="E225" s="294"/>
      <c r="F225" s="293"/>
      <c r="G225" s="14"/>
      <c r="H225" s="369"/>
      <c r="I225" s="361"/>
      <c r="J225" s="14"/>
      <c r="K225" s="308"/>
      <c r="P225" s="521"/>
    </row>
    <row r="226" spans="1:19" ht="21.75" customHeight="1">
      <c r="A226" s="107"/>
      <c r="C226" s="406" t="s">
        <v>423</v>
      </c>
      <c r="D226" s="688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21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503" t="s">
        <v>4</v>
      </c>
      <c r="L227" s="684" t="s">
        <v>431</v>
      </c>
      <c r="M227" s="685"/>
      <c r="N227" s="685"/>
      <c r="O227" s="586"/>
      <c r="P227" s="587"/>
      <c r="Q227" s="588" t="s">
        <v>432</v>
      </c>
      <c r="R227" s="505" t="s">
        <v>29</v>
      </c>
      <c r="S227" s="531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51">
        <f>C228*12000</f>
        <v>1116000</v>
      </c>
      <c r="L228" s="526">
        <f>D228*9900</f>
        <v>0</v>
      </c>
      <c r="M228" s="575">
        <f>F228*9900</f>
        <v>316800</v>
      </c>
      <c r="N228" s="508"/>
      <c r="O228" s="589"/>
      <c r="P228" s="590"/>
      <c r="Q228" s="510">
        <f>H228*12000</f>
        <v>0</v>
      </c>
      <c r="R228" s="496">
        <f>SUM(K228:Q228)</f>
        <v>1432800</v>
      </c>
      <c r="S228" s="496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51">
        <f>C229*22000</f>
        <v>2486000</v>
      </c>
      <c r="L229" s="526">
        <f>D229*18000</f>
        <v>0</v>
      </c>
      <c r="M229" s="575">
        <f>F229*18000</f>
        <v>594000</v>
      </c>
      <c r="N229" s="508"/>
      <c r="O229" s="589"/>
      <c r="P229" s="590"/>
      <c r="Q229" s="510">
        <f>H229*22000</f>
        <v>0</v>
      </c>
      <c r="R229" s="496">
        <f>SUM(K229:Q229)</f>
        <v>3080000</v>
      </c>
      <c r="S229" s="496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51">
        <f>C230*16500</f>
        <v>396000</v>
      </c>
      <c r="L230" s="526">
        <f>D230*13200</f>
        <v>0</v>
      </c>
      <c r="M230" s="575">
        <f>F230*13200</f>
        <v>435600</v>
      </c>
      <c r="N230" s="508"/>
      <c r="O230" s="589"/>
      <c r="P230" s="590"/>
      <c r="Q230" s="510">
        <f>H230*13200</f>
        <v>0</v>
      </c>
      <c r="R230" s="496">
        <f>SUM(K230:Q230)</f>
        <v>831600</v>
      </c>
      <c r="S230" s="496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51">
        <f>C231*16000</f>
        <v>400000</v>
      </c>
      <c r="L231" s="526">
        <f>D231*13100</f>
        <v>0</v>
      </c>
      <c r="M231" s="575">
        <f>E231*13100</f>
        <v>393000</v>
      </c>
      <c r="N231" s="508"/>
      <c r="O231" s="589"/>
      <c r="P231" s="590"/>
      <c r="Q231" s="510">
        <f>G231*16000</f>
        <v>0</v>
      </c>
      <c r="R231" s="496">
        <f>SUM(K231:Q231)</f>
        <v>793000</v>
      </c>
      <c r="S231" s="496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76">
        <f t="shared" ref="K232:S232" si="62">SUM(K228:K231)</f>
        <v>4398000</v>
      </c>
      <c r="L232" s="577">
        <f t="shared" si="62"/>
        <v>0</v>
      </c>
      <c r="M232" s="576">
        <f t="shared" si="62"/>
        <v>1739400</v>
      </c>
      <c r="N232" s="578">
        <f t="shared" si="62"/>
        <v>0</v>
      </c>
      <c r="O232" s="579">
        <f t="shared" si="62"/>
        <v>0</v>
      </c>
      <c r="P232" s="579">
        <f t="shared" si="62"/>
        <v>0</v>
      </c>
      <c r="Q232" s="576">
        <f t="shared" si="62"/>
        <v>0</v>
      </c>
      <c r="R232" s="580">
        <f t="shared" si="62"/>
        <v>6137400</v>
      </c>
      <c r="S232" s="580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81"/>
      <c r="L233" s="582"/>
      <c r="M233" s="581"/>
      <c r="N233" s="581"/>
      <c r="O233" s="584"/>
      <c r="P233" s="581"/>
      <c r="Q233" s="581"/>
      <c r="R233" s="585"/>
      <c r="S233" s="585"/>
    </row>
    <row r="234" spans="1:19">
      <c r="A234" s="64" t="s">
        <v>444</v>
      </c>
      <c r="B234" s="113"/>
      <c r="C234" s="89"/>
      <c r="D234" s="469" t="s">
        <v>445</v>
      </c>
      <c r="E234" s="102"/>
      <c r="F234" s="114"/>
      <c r="G234" s="168"/>
      <c r="H234" s="14" t="s">
        <v>27</v>
      </c>
      <c r="I234" s="14"/>
      <c r="J234" s="97"/>
      <c r="K234" s="564" t="s">
        <v>4</v>
      </c>
      <c r="L234" s="696" t="s">
        <v>446</v>
      </c>
      <c r="M234" s="697"/>
      <c r="N234" s="532" t="s">
        <v>93</v>
      </c>
      <c r="O234" s="532" t="s">
        <v>27</v>
      </c>
      <c r="P234" s="591" t="s">
        <v>9</v>
      </c>
      <c r="Q234" s="532"/>
      <c r="R234" s="498" t="s">
        <v>29</v>
      </c>
      <c r="S234" s="496" t="s">
        <v>167</v>
      </c>
    </row>
    <row r="235" spans="1:19">
      <c r="A235" s="115" t="s">
        <v>447</v>
      </c>
      <c r="B235" s="478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95">
        <f>C235*7000</f>
        <v>0</v>
      </c>
      <c r="L235" s="526"/>
      <c r="M235" s="508">
        <f>E235*0</f>
        <v>0</v>
      </c>
      <c r="N235" s="509"/>
      <c r="O235" s="509">
        <f>H235*1680</f>
        <v>0</v>
      </c>
      <c r="P235" s="592"/>
      <c r="Q235" s="532"/>
      <c r="R235" s="496">
        <f>SUM(K235:Q235)</f>
        <v>0</v>
      </c>
      <c r="S235" s="496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56">
        <f>C236*7800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51">
        <f>C237*600</f>
        <v>252000</v>
      </c>
      <c r="L237" s="526">
        <f>D237*600</f>
        <v>0</v>
      </c>
      <c r="M237" s="508">
        <f>E237*600</f>
        <v>0</v>
      </c>
      <c r="N237" s="509"/>
      <c r="O237" s="509">
        <f>H237*1680</f>
        <v>0</v>
      </c>
      <c r="P237" s="592"/>
      <c r="Q237" s="532"/>
      <c r="R237" s="496">
        <f>SUM(K237:Q237)</f>
        <v>252000</v>
      </c>
      <c r="S237" s="496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76">
        <f t="shared" ref="K238:S238" si="63">SUM(K235:K237)</f>
        <v>252000</v>
      </c>
      <c r="L238" s="577">
        <f t="shared" si="63"/>
        <v>0</v>
      </c>
      <c r="M238" s="593">
        <f t="shared" si="63"/>
        <v>0</v>
      </c>
      <c r="N238" s="579">
        <f t="shared" si="63"/>
        <v>0</v>
      </c>
      <c r="O238" s="579">
        <f t="shared" si="63"/>
        <v>0</v>
      </c>
      <c r="P238" s="579">
        <f t="shared" si="63"/>
        <v>0</v>
      </c>
      <c r="Q238" s="579">
        <f t="shared" si="63"/>
        <v>0</v>
      </c>
      <c r="R238" s="580">
        <f t="shared" si="63"/>
        <v>252000</v>
      </c>
      <c r="S238" s="580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21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21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21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21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64" t="s">
        <v>4</v>
      </c>
      <c r="L243" s="594" t="s">
        <v>460</v>
      </c>
      <c r="M243" s="523" t="s">
        <v>461</v>
      </c>
      <c r="N243" s="595" t="s">
        <v>462</v>
      </c>
      <c r="O243" s="596"/>
      <c r="P243" s="597" t="s">
        <v>454</v>
      </c>
      <c r="Q243" s="597"/>
      <c r="R243" s="564" t="s">
        <v>29</v>
      </c>
      <c r="S243" s="496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51">
        <f>C244*1750</f>
        <v>192500</v>
      </c>
      <c r="L244" s="526">
        <f>D244*1750</f>
        <v>0</v>
      </c>
      <c r="M244" s="598">
        <f>E244*1400</f>
        <v>1470000</v>
      </c>
      <c r="N244" s="508">
        <f>F244*1400</f>
        <v>280000</v>
      </c>
      <c r="O244" s="596">
        <f>G244*1750</f>
        <v>35000</v>
      </c>
      <c r="P244" s="508">
        <f>H244*1200</f>
        <v>0</v>
      </c>
      <c r="Q244" s="508"/>
      <c r="R244" s="495">
        <f>SUM(K244:Q244)</f>
        <v>1977500</v>
      </c>
      <c r="S244" s="495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51">
        <f>C245*1750</f>
        <v>210000</v>
      </c>
      <c r="L245" s="526">
        <f>D245*1750</f>
        <v>0</v>
      </c>
      <c r="M245" s="598">
        <f>E245*1400</f>
        <v>2730000</v>
      </c>
      <c r="N245" s="508">
        <f>F245*1400</f>
        <v>140000</v>
      </c>
      <c r="O245" s="596">
        <f>G245*1750</f>
        <v>35000</v>
      </c>
      <c r="P245" s="508">
        <f>H245*1200</f>
        <v>0</v>
      </c>
      <c r="Q245" s="508"/>
      <c r="R245" s="495">
        <f>SUM(I245:Q245)</f>
        <v>3117190</v>
      </c>
      <c r="S245" s="495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76">
        <f t="shared" ref="K246:S246" si="64">SUM(K244:K245)</f>
        <v>402500</v>
      </c>
      <c r="L246" s="577">
        <f t="shared" si="64"/>
        <v>0</v>
      </c>
      <c r="M246" s="576">
        <f t="shared" si="64"/>
        <v>4200000</v>
      </c>
      <c r="N246" s="576">
        <f t="shared" si="64"/>
        <v>420000</v>
      </c>
      <c r="O246" s="578">
        <f t="shared" si="64"/>
        <v>70000</v>
      </c>
      <c r="P246" s="576">
        <f t="shared" si="64"/>
        <v>0</v>
      </c>
      <c r="Q246" s="576">
        <f t="shared" si="64"/>
        <v>0</v>
      </c>
      <c r="R246" s="599">
        <f t="shared" si="64"/>
        <v>5094690</v>
      </c>
      <c r="S246" s="600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 s="16" customFormat="1">
      <c r="B248" s="64"/>
      <c r="C248" s="64"/>
      <c r="D248" s="479" t="s">
        <v>467</v>
      </c>
      <c r="E248" s="128" t="s">
        <v>6</v>
      </c>
      <c r="F248" s="471" t="s">
        <v>468</v>
      </c>
      <c r="G248" s="7" t="s">
        <v>469</v>
      </c>
      <c r="H248" s="129"/>
      <c r="I248" s="471"/>
      <c r="J248" s="345" t="s">
        <v>93</v>
      </c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503" t="s">
        <v>4</v>
      </c>
      <c r="L250" s="684" t="s">
        <v>474</v>
      </c>
      <c r="M250" s="685"/>
      <c r="N250" s="563"/>
      <c r="O250" s="563" t="s">
        <v>19</v>
      </c>
      <c r="P250" s="607"/>
      <c r="Q250" s="588" t="s">
        <v>27</v>
      </c>
      <c r="R250" s="505" t="s">
        <v>29</v>
      </c>
      <c r="S250" s="608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51">
        <f>C251*204000</f>
        <v>2856000</v>
      </c>
      <c r="L251" s="526">
        <f>D251*176000</f>
        <v>0</v>
      </c>
      <c r="M251" s="508">
        <f>E251*176000</f>
        <v>176000</v>
      </c>
      <c r="N251" s="497"/>
      <c r="O251" s="497">
        <f>F251*163200</f>
        <v>0</v>
      </c>
      <c r="P251" s="521"/>
      <c r="Q251" s="510"/>
      <c r="R251" s="496">
        <f t="shared" ref="R251:R257" si="66">SUM(K251:Q251)</f>
        <v>3032000</v>
      </c>
      <c r="S251" s="496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51">
        <f>C252*46200</f>
        <v>369600</v>
      </c>
      <c r="L252" s="526">
        <f>D252*44000</f>
        <v>0</v>
      </c>
      <c r="M252" s="508">
        <f>E252*44000</f>
        <v>0</v>
      </c>
      <c r="N252" s="497"/>
      <c r="O252" s="497">
        <f>F252*36520</f>
        <v>0</v>
      </c>
      <c r="P252" s="521"/>
      <c r="Q252" s="510">
        <f>I252*30800</f>
        <v>123200</v>
      </c>
      <c r="R252" s="496">
        <f t="shared" si="66"/>
        <v>492800</v>
      </c>
      <c r="S252" s="496">
        <f>J252*13500</f>
        <v>162000</v>
      </c>
    </row>
    <row r="253" spans="1:19">
      <c r="A253" s="69" t="s">
        <v>479</v>
      </c>
      <c r="B253" s="478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51">
        <f>C253*21000</f>
        <v>273000</v>
      </c>
      <c r="L253" s="526">
        <f>D253*15400</f>
        <v>0</v>
      </c>
      <c r="M253" s="508">
        <f>E253*15400</f>
        <v>77000</v>
      </c>
      <c r="N253" s="497"/>
      <c r="P253" s="521"/>
      <c r="Q253" s="510"/>
      <c r="R253" s="496">
        <f t="shared" si="66"/>
        <v>350000</v>
      </c>
      <c r="S253" s="496">
        <f>J253*4500</f>
        <v>81000</v>
      </c>
    </row>
    <row r="254" spans="1:19">
      <c r="A254" s="115" t="s">
        <v>481</v>
      </c>
      <c r="B254" s="478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51">
        <f>C254*21000</f>
        <v>252000</v>
      </c>
      <c r="L254" s="526">
        <f>D254*15400</f>
        <v>0</v>
      </c>
      <c r="M254" s="508">
        <f>E254*15400</f>
        <v>92400</v>
      </c>
      <c r="N254" s="497"/>
      <c r="P254" s="521"/>
      <c r="Q254" s="510"/>
      <c r="R254" s="496">
        <f t="shared" si="66"/>
        <v>344400</v>
      </c>
      <c r="S254" s="496">
        <f>J254*4700</f>
        <v>84600</v>
      </c>
    </row>
    <row r="255" spans="1:19">
      <c r="A255" s="115" t="s">
        <v>482</v>
      </c>
      <c r="B255" s="478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51">
        <f>C255*10400</f>
        <v>10400</v>
      </c>
      <c r="L255" s="526">
        <f>D255*10400</f>
        <v>0</v>
      </c>
      <c r="M255" s="508">
        <f>E255*10400</f>
        <v>0</v>
      </c>
      <c r="N255" s="497"/>
      <c r="P255" s="521"/>
      <c r="Q255" s="510"/>
      <c r="R255" s="496">
        <f t="shared" si="66"/>
        <v>10400</v>
      </c>
      <c r="S255" s="496">
        <f>J255*2700</f>
        <v>2700</v>
      </c>
    </row>
    <row r="256" spans="1:19">
      <c r="A256" s="69" t="s">
        <v>483</v>
      </c>
      <c r="B256" s="478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95">
        <f>C256*150000</f>
        <v>0</v>
      </c>
      <c r="L256" s="526">
        <f>D256*120000</f>
        <v>0</v>
      </c>
      <c r="M256" s="508">
        <f>E256*120000</f>
        <v>0</v>
      </c>
      <c r="N256" s="497"/>
      <c r="P256" s="521"/>
      <c r="Q256" s="510"/>
      <c r="R256" s="496">
        <f t="shared" si="66"/>
        <v>0</v>
      </c>
      <c r="S256" s="496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7">
        <f>C257*12000</f>
        <v>0</v>
      </c>
      <c r="L257" s="526"/>
      <c r="M257" s="508"/>
      <c r="N257" s="497"/>
      <c r="P257" s="521"/>
      <c r="Q257" s="510">
        <f>F257*12000</f>
        <v>0</v>
      </c>
      <c r="R257" s="496">
        <f t="shared" si="66"/>
        <v>0</v>
      </c>
      <c r="S257" s="496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81"/>
      <c r="L258" s="582"/>
      <c r="M258" s="581"/>
      <c r="N258" s="581"/>
      <c r="O258" s="583"/>
      <c r="P258" s="581"/>
      <c r="Q258" s="581"/>
      <c r="R258" s="581"/>
      <c r="S258" s="609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10">
        <f t="shared" ref="K259:S259" si="67">SUM(K251:K258)</f>
        <v>3761000</v>
      </c>
      <c r="L259" s="610">
        <f t="shared" si="67"/>
        <v>0</v>
      </c>
      <c r="M259" s="610">
        <f t="shared" si="67"/>
        <v>345400</v>
      </c>
      <c r="N259" s="610">
        <f t="shared" si="67"/>
        <v>0</v>
      </c>
      <c r="O259" s="610">
        <f t="shared" si="67"/>
        <v>0</v>
      </c>
      <c r="P259" s="610">
        <f t="shared" si="67"/>
        <v>0</v>
      </c>
      <c r="Q259" s="610">
        <f t="shared" si="67"/>
        <v>123200</v>
      </c>
      <c r="R259" s="610">
        <f t="shared" si="67"/>
        <v>4229600</v>
      </c>
      <c r="S259" s="610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21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21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21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21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503" t="s">
        <v>4</v>
      </c>
      <c r="L264" s="684" t="s">
        <v>474</v>
      </c>
      <c r="M264" s="685"/>
      <c r="N264" s="504" t="s">
        <v>26</v>
      </c>
      <c r="O264" s="504" t="s">
        <v>27</v>
      </c>
      <c r="P264" s="504" t="s">
        <v>9</v>
      </c>
      <c r="Q264" s="505"/>
      <c r="R264" s="505" t="s">
        <v>29</v>
      </c>
      <c r="S264" s="608" t="s">
        <v>167</v>
      </c>
    </row>
    <row r="265" spans="1:19" s="495" customFormat="1">
      <c r="A265" s="104" t="s">
        <v>499</v>
      </c>
      <c r="B265" s="689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51">
        <f>C265*25000</f>
        <v>200000</v>
      </c>
      <c r="L265" s="526">
        <f>D265*22000</f>
        <v>0</v>
      </c>
      <c r="M265" s="508">
        <f>E265*22000</f>
        <v>176000</v>
      </c>
      <c r="N265" s="509">
        <f>F265*10000</f>
        <v>0</v>
      </c>
      <c r="O265" s="509"/>
      <c r="P265" s="509"/>
      <c r="Q265" s="498"/>
      <c r="R265" s="496">
        <f t="shared" ref="R265:R296" si="69">SUM(K265:Q265)</f>
        <v>376000</v>
      </c>
      <c r="S265" s="496">
        <f>J265*15400</f>
        <v>246400</v>
      </c>
    </row>
    <row r="266" spans="1:19" s="495" customFormat="1">
      <c r="A266" s="104" t="s">
        <v>501</v>
      </c>
      <c r="B266" s="683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51">
        <f>C266*12000</f>
        <v>420000</v>
      </c>
      <c r="L266" s="526">
        <f>D266*12000</f>
        <v>0</v>
      </c>
      <c r="M266" s="508">
        <f>E266*12000</f>
        <v>0</v>
      </c>
      <c r="N266" s="509"/>
      <c r="O266" s="509"/>
      <c r="P266" s="509"/>
      <c r="Q266" s="498"/>
      <c r="R266" s="496">
        <f t="shared" si="69"/>
        <v>420000</v>
      </c>
      <c r="S266" s="496">
        <f>J266*7150</f>
        <v>250250</v>
      </c>
    </row>
    <row r="267" spans="1:19" s="495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51">
        <f>C267*22000</f>
        <v>462000</v>
      </c>
      <c r="L267" s="526">
        <f>D267*22000</f>
        <v>0</v>
      </c>
      <c r="M267" s="508">
        <f>E267*15000</f>
        <v>75000</v>
      </c>
      <c r="N267" s="509"/>
      <c r="O267" s="509"/>
      <c r="P267" s="509"/>
      <c r="Q267" s="498"/>
      <c r="R267" s="496">
        <f t="shared" si="69"/>
        <v>537000</v>
      </c>
      <c r="S267" s="496">
        <f>J267*10835</f>
        <v>281710</v>
      </c>
    </row>
    <row r="268" spans="1:19" s="495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51">
        <f>C268*22000</f>
        <v>550000</v>
      </c>
      <c r="L268" s="526">
        <f>D268*22000</f>
        <v>0</v>
      </c>
      <c r="M268" s="508">
        <f>E268*22000</f>
        <v>88000</v>
      </c>
      <c r="N268" s="509"/>
      <c r="O268" s="509"/>
      <c r="P268" s="509"/>
      <c r="Q268" s="498"/>
      <c r="R268" s="496">
        <f t="shared" si="69"/>
        <v>638000</v>
      </c>
      <c r="S268" s="496">
        <f>J268*9361</f>
        <v>271469</v>
      </c>
    </row>
    <row r="269" spans="1:19" s="495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51">
        <f>C269*18000</f>
        <v>108000</v>
      </c>
      <c r="L269" s="526">
        <f>D269*15000</f>
        <v>0</v>
      </c>
      <c r="M269" s="508">
        <f>E269*15000</f>
        <v>75000</v>
      </c>
      <c r="N269" s="509"/>
      <c r="O269" s="509">
        <f>I269*14400</f>
        <v>0</v>
      </c>
      <c r="P269" s="509"/>
      <c r="Q269" s="532"/>
      <c r="R269" s="496">
        <f t="shared" si="69"/>
        <v>183000</v>
      </c>
      <c r="S269" s="496">
        <f>J269*4238</f>
        <v>46618</v>
      </c>
    </row>
    <row r="270" spans="1:19" s="495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51">
        <f>C270*15000</f>
        <v>45000</v>
      </c>
      <c r="L270" s="526">
        <f>D270*11600</f>
        <v>0</v>
      </c>
      <c r="M270" s="508">
        <f>E270*11000</f>
        <v>0</v>
      </c>
      <c r="N270" s="509"/>
      <c r="O270" s="509"/>
      <c r="P270" s="509"/>
      <c r="Q270" s="498"/>
      <c r="R270" s="496">
        <f t="shared" si="69"/>
        <v>45000</v>
      </c>
      <c r="S270" s="496">
        <f>J270*3719</f>
        <v>11157</v>
      </c>
    </row>
    <row r="271" spans="1:19" s="495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51">
        <f>C271*33000</f>
        <v>165000</v>
      </c>
      <c r="L271" s="526">
        <f>D271*33000</f>
        <v>0</v>
      </c>
      <c r="M271" s="575">
        <f>E271*33000</f>
        <v>0</v>
      </c>
      <c r="N271" s="556"/>
      <c r="O271" s="556"/>
      <c r="P271" s="556"/>
      <c r="Q271" s="498"/>
      <c r="R271" s="496">
        <f t="shared" si="69"/>
        <v>165000</v>
      </c>
      <c r="S271" s="496">
        <f>J271*16500</f>
        <v>82500</v>
      </c>
    </row>
    <row r="272" spans="1:19" s="495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95">
        <f>C272*77000</f>
        <v>0</v>
      </c>
      <c r="L272" s="526">
        <f>D272*77000</f>
        <v>0</v>
      </c>
      <c r="M272" s="575">
        <f>E272*77000</f>
        <v>0</v>
      </c>
      <c r="N272" s="556"/>
      <c r="O272" s="556"/>
      <c r="P272" s="556"/>
      <c r="Q272" s="532"/>
      <c r="R272" s="496">
        <f t="shared" si="69"/>
        <v>0</v>
      </c>
      <c r="S272" s="496">
        <f>J272*38500</f>
        <v>0</v>
      </c>
    </row>
    <row r="273" spans="1:19" s="495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72">
        <f>C273*2500</f>
        <v>362500</v>
      </c>
      <c r="L273" s="526"/>
      <c r="M273" s="508"/>
      <c r="N273" s="509"/>
      <c r="O273" s="509"/>
      <c r="P273" s="509"/>
      <c r="Q273" s="532"/>
      <c r="R273" s="496">
        <f t="shared" si="69"/>
        <v>362500</v>
      </c>
      <c r="S273" s="496">
        <f>J273*1070</f>
        <v>155150</v>
      </c>
    </row>
    <row r="274" spans="1:19" s="495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56">
        <f>C274*1700</f>
        <v>510000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532"/>
      <c r="R274" s="496">
        <f t="shared" si="69"/>
        <v>510000</v>
      </c>
      <c r="S274" s="496">
        <f>J274*1070</f>
        <v>321000</v>
      </c>
    </row>
    <row r="275" spans="1:19" s="495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72">
        <f>C275*2500</f>
        <v>117500</v>
      </c>
      <c r="L275" s="526"/>
      <c r="M275" s="508">
        <f>E275*1500</f>
        <v>0</v>
      </c>
      <c r="N275" s="509"/>
      <c r="O275" s="509"/>
      <c r="P275" s="509"/>
      <c r="Q275" s="498"/>
      <c r="R275" s="496">
        <f t="shared" si="69"/>
        <v>117500</v>
      </c>
      <c r="S275" s="496">
        <f>J275*495</f>
        <v>23265</v>
      </c>
    </row>
    <row r="276" spans="1:19" s="495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56">
        <f>C276*1700</f>
        <v>0</v>
      </c>
      <c r="L276" s="526">
        <f>D276*1700</f>
        <v>0</v>
      </c>
      <c r="M276" s="508">
        <f>E276*1700</f>
        <v>0</v>
      </c>
      <c r="N276" s="509"/>
      <c r="O276" s="509">
        <f>I276*2000</f>
        <v>0</v>
      </c>
      <c r="P276" s="509"/>
      <c r="Q276" s="498"/>
      <c r="R276" s="496">
        <f t="shared" si="69"/>
        <v>0</v>
      </c>
      <c r="S276" s="496">
        <f>J276*495</f>
        <v>0</v>
      </c>
    </row>
    <row r="277" spans="1:19" s="495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72">
        <f>C277*2500</f>
        <v>472500</v>
      </c>
      <c r="L277" s="526"/>
      <c r="M277" s="508"/>
      <c r="N277" s="509"/>
      <c r="O277" s="509"/>
      <c r="P277" s="509"/>
      <c r="Q277" s="532"/>
      <c r="R277" s="496">
        <f t="shared" si="69"/>
        <v>472500</v>
      </c>
      <c r="S277" s="496">
        <f>J277*310</f>
        <v>58590</v>
      </c>
    </row>
    <row r="278" spans="1:19" s="495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56">
        <f>C278*1700</f>
        <v>170000</v>
      </c>
      <c r="L278" s="526">
        <f>D278*1700</f>
        <v>0</v>
      </c>
      <c r="M278" s="508">
        <f>E278*1700</f>
        <v>170000</v>
      </c>
      <c r="N278" s="509"/>
      <c r="O278" s="509">
        <f>I278*2000</f>
        <v>0</v>
      </c>
      <c r="P278" s="509"/>
      <c r="Q278" s="532"/>
      <c r="R278" s="496">
        <f t="shared" si="69"/>
        <v>340000</v>
      </c>
      <c r="S278" s="496">
        <f>J278*310</f>
        <v>62000</v>
      </c>
    </row>
    <row r="279" spans="1:19" s="495" customFormat="1">
      <c r="A279" s="206" t="s">
        <v>524</v>
      </c>
      <c r="B279" s="686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51">
        <f>C279*18900</f>
        <v>56700</v>
      </c>
      <c r="L279" s="526">
        <f>D279*15400</f>
        <v>0</v>
      </c>
      <c r="M279" s="575">
        <f>E279*15400</f>
        <v>15400</v>
      </c>
      <c r="N279" s="556"/>
      <c r="O279" s="611">
        <f>I279*15120</f>
        <v>0</v>
      </c>
      <c r="P279" s="556"/>
      <c r="Q279" s="556"/>
      <c r="R279" s="496">
        <f t="shared" si="69"/>
        <v>72100</v>
      </c>
      <c r="S279" s="496">
        <f>J279*4794</f>
        <v>19176</v>
      </c>
    </row>
    <row r="280" spans="1:19" s="495" customFormat="1">
      <c r="A280" s="139" t="s">
        <v>526</v>
      </c>
      <c r="B280" s="683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95">
        <f>C280*11000</f>
        <v>0</v>
      </c>
      <c r="L280" s="526">
        <f>D280*7000</f>
        <v>0</v>
      </c>
      <c r="M280" s="508">
        <f>E280*7000</f>
        <v>0</v>
      </c>
      <c r="N280" s="509"/>
      <c r="O280" s="509"/>
      <c r="P280" s="509"/>
      <c r="Q280" s="498"/>
      <c r="R280" s="496">
        <f t="shared" si="69"/>
        <v>0</v>
      </c>
      <c r="S280" s="496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51">
        <f>C281*25000</f>
        <v>75000</v>
      </c>
      <c r="L281" s="526">
        <f>D281*20000</f>
        <v>0</v>
      </c>
      <c r="M281" s="508">
        <f>E281*20000</f>
        <v>20000</v>
      </c>
      <c r="N281" s="509"/>
      <c r="O281" s="509"/>
      <c r="P281" s="509"/>
      <c r="R281" s="496">
        <f t="shared" si="69"/>
        <v>95000</v>
      </c>
      <c r="S281" s="496">
        <f>J281*12400</f>
        <v>49600</v>
      </c>
    </row>
    <row r="282" spans="1:19">
      <c r="A282" s="139" t="s">
        <v>529</v>
      </c>
      <c r="B282" s="686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51">
        <f>C282*40000</f>
        <v>120000</v>
      </c>
      <c r="L282" s="526">
        <f>D282*40000</f>
        <v>0</v>
      </c>
      <c r="M282" s="508">
        <f>E282*38000</f>
        <v>38000</v>
      </c>
      <c r="N282" s="509"/>
      <c r="O282" s="611"/>
      <c r="P282" s="509"/>
      <c r="R282" s="496">
        <f t="shared" si="69"/>
        <v>158000</v>
      </c>
      <c r="S282" s="496">
        <f>J282*26400</f>
        <v>105600</v>
      </c>
    </row>
    <row r="283" spans="1:19">
      <c r="A283" s="139" t="s">
        <v>531</v>
      </c>
      <c r="B283" s="688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51">
        <f>C283*22000</f>
        <v>22000</v>
      </c>
      <c r="L283" s="526">
        <f>D283*22000</f>
        <v>0</v>
      </c>
      <c r="M283" s="508">
        <f>E283*18000</f>
        <v>0</v>
      </c>
      <c r="N283" s="509"/>
      <c r="O283" s="509"/>
      <c r="P283" s="509"/>
      <c r="R283" s="496">
        <f t="shared" si="69"/>
        <v>22000</v>
      </c>
      <c r="S283" s="496">
        <f>J283*11000</f>
        <v>11000</v>
      </c>
    </row>
    <row r="284" spans="1:19">
      <c r="A284" s="139" t="s">
        <v>532</v>
      </c>
      <c r="B284" s="683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95">
        <f>C284*4000</f>
        <v>0</v>
      </c>
      <c r="L284" s="526">
        <f>D284*4000</f>
        <v>0</v>
      </c>
      <c r="M284" s="508">
        <f>E284*3000</f>
        <v>0</v>
      </c>
      <c r="N284" s="509"/>
      <c r="O284" s="509"/>
      <c r="P284" s="509"/>
      <c r="R284" s="496">
        <f t="shared" si="69"/>
        <v>0</v>
      </c>
      <c r="S284" s="496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51">
        <f>C285*25000</f>
        <v>0</v>
      </c>
      <c r="L285" s="526">
        <f>D285*25000</f>
        <v>0</v>
      </c>
      <c r="M285" s="508">
        <f>E285*25000</f>
        <v>0</v>
      </c>
      <c r="N285" s="509"/>
      <c r="O285" s="509"/>
      <c r="P285" s="509"/>
      <c r="R285" s="496">
        <f t="shared" si="69"/>
        <v>0</v>
      </c>
      <c r="S285" s="496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51">
        <f>C286*5000</f>
        <v>10000</v>
      </c>
      <c r="L286" s="526">
        <f>D286*5000</f>
        <v>0</v>
      </c>
      <c r="M286" s="508">
        <f>E286*4500</f>
        <v>0</v>
      </c>
      <c r="N286" s="509"/>
      <c r="O286" s="509"/>
      <c r="P286" s="509"/>
      <c r="R286" s="496">
        <f t="shared" si="69"/>
        <v>10000</v>
      </c>
      <c r="S286" s="496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26">
        <f>D287*20000</f>
        <v>0</v>
      </c>
      <c r="M287" s="508">
        <f>E287*20000</f>
        <v>0</v>
      </c>
      <c r="N287" s="509"/>
      <c r="O287" s="509"/>
      <c r="P287" s="509"/>
      <c r="R287" s="496">
        <f t="shared" si="69"/>
        <v>0</v>
      </c>
      <c r="S287" s="496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95">
        <f>C288*4000</f>
        <v>0</v>
      </c>
      <c r="L288" s="526">
        <f>D288*4000</f>
        <v>0</v>
      </c>
      <c r="M288" s="508">
        <f>E288*4000</f>
        <v>0</v>
      </c>
      <c r="N288" s="509"/>
      <c r="O288" s="509"/>
      <c r="P288" s="509"/>
      <c r="R288" s="496">
        <f t="shared" si="69"/>
        <v>0</v>
      </c>
      <c r="S288" s="496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95">
        <f>C289*3900</f>
        <v>335400</v>
      </c>
      <c r="L289" s="526">
        <f>D289*3900</f>
        <v>0</v>
      </c>
      <c r="M289" s="508">
        <f>E289*3900</f>
        <v>0</v>
      </c>
      <c r="N289" s="509"/>
      <c r="O289" s="509"/>
      <c r="P289" s="509"/>
      <c r="R289" s="496">
        <f t="shared" si="69"/>
        <v>335400</v>
      </c>
      <c r="S289" s="496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95">
        <f>C290*6600</f>
        <v>19800</v>
      </c>
      <c r="L290" s="526">
        <f>D290*6600</f>
        <v>0</v>
      </c>
      <c r="M290" s="508">
        <f>E290*6600</f>
        <v>0</v>
      </c>
      <c r="N290" s="509"/>
      <c r="O290" s="509"/>
      <c r="P290" s="509"/>
      <c r="R290" s="496">
        <f t="shared" si="69"/>
        <v>19800</v>
      </c>
      <c r="S290" s="496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95">
        <f>C291*25000</f>
        <v>0</v>
      </c>
      <c r="L291" s="526">
        <f>D291*20000</f>
        <v>0</v>
      </c>
      <c r="M291" s="508">
        <f>E291*20000</f>
        <v>0</v>
      </c>
      <c r="N291" s="509"/>
      <c r="O291" s="509"/>
      <c r="P291" s="509"/>
      <c r="R291" s="496">
        <f t="shared" si="69"/>
        <v>0</v>
      </c>
      <c r="S291" s="496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51">
        <f>C292*15000</f>
        <v>15000</v>
      </c>
      <c r="L292" s="526">
        <f>D292*10000</f>
        <v>0</v>
      </c>
      <c r="M292" s="508">
        <f>E292*10000</f>
        <v>0</v>
      </c>
      <c r="N292" s="509"/>
      <c r="O292" s="509"/>
      <c r="P292" s="509"/>
      <c r="R292" s="496">
        <f t="shared" si="69"/>
        <v>15000</v>
      </c>
      <c r="S292" s="496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51">
        <f>C293*15000</f>
        <v>15000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69"/>
        <v>15000</v>
      </c>
      <c r="S293" s="496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72">
        <f>C294*30000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Q294" s="612"/>
      <c r="R294" s="496">
        <f t="shared" si="69"/>
        <v>0</v>
      </c>
      <c r="S294" s="496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95">
        <f>C295*24000</f>
        <v>0</v>
      </c>
      <c r="L295" s="526">
        <f>D295*20000</f>
        <v>0</v>
      </c>
      <c r="M295" s="508">
        <f>E295*18000</f>
        <v>0</v>
      </c>
      <c r="N295" s="509"/>
      <c r="O295" s="509"/>
      <c r="P295" s="509"/>
      <c r="R295" s="496">
        <f t="shared" si="69"/>
        <v>0</v>
      </c>
      <c r="S295" s="496">
        <f>J295*9945</f>
        <v>0</v>
      </c>
    </row>
    <row r="296" spans="1:19">
      <c r="A296" t="s">
        <v>444</v>
      </c>
      <c r="B296" s="686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95">
        <f>C296*25000</f>
        <v>0</v>
      </c>
      <c r="L296" s="526">
        <f>D296*25000</f>
        <v>0</v>
      </c>
      <c r="M296" s="508">
        <f>E296*25000</f>
        <v>0</v>
      </c>
      <c r="N296" s="509"/>
      <c r="O296" s="509"/>
      <c r="P296" s="509"/>
      <c r="R296" s="496">
        <f t="shared" si="69"/>
        <v>0</v>
      </c>
      <c r="S296" s="496">
        <f>J296*18000</f>
        <v>0</v>
      </c>
    </row>
    <row r="297" spans="1:19">
      <c r="A297" s="115" t="s">
        <v>552</v>
      </c>
      <c r="B297" s="688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51">
        <f>C297*10000</f>
        <v>30000</v>
      </c>
      <c r="L297" s="526"/>
      <c r="M297" s="508"/>
      <c r="N297" s="509"/>
      <c r="O297" s="509"/>
      <c r="P297" s="509"/>
      <c r="R297" s="496">
        <f t="shared" ref="R297:R328" si="71">SUM(K297:Q297)</f>
        <v>30000</v>
      </c>
      <c r="S297" s="496">
        <f>J297*9000</f>
        <v>27000</v>
      </c>
    </row>
    <row r="298" spans="1:19">
      <c r="A298" s="115" t="s">
        <v>553</v>
      </c>
      <c r="B298" s="688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95">
        <f>C298*24000</f>
        <v>0</v>
      </c>
      <c r="L298" s="526"/>
      <c r="M298" s="508"/>
      <c r="N298" s="509"/>
      <c r="O298" s="509"/>
      <c r="P298" s="509"/>
      <c r="R298" s="496">
        <f t="shared" si="71"/>
        <v>0</v>
      </c>
      <c r="S298" s="496">
        <f>J298*18000</f>
        <v>0</v>
      </c>
    </row>
    <row r="299" spans="1:19">
      <c r="A299" s="115" t="s">
        <v>554</v>
      </c>
      <c r="B299" s="683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95">
        <f>C299*7000</f>
        <v>14000</v>
      </c>
      <c r="L299" s="526">
        <f>D299*7000</f>
        <v>0</v>
      </c>
      <c r="M299" s="508">
        <f>E299*7000</f>
        <v>0</v>
      </c>
      <c r="N299" s="509"/>
      <c r="O299" s="509"/>
      <c r="P299" s="509"/>
      <c r="R299" s="496">
        <f t="shared" si="71"/>
        <v>14000</v>
      </c>
      <c r="S299" s="496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95">
        <f>C300*10000</f>
        <v>0</v>
      </c>
      <c r="L300" s="526">
        <f>D300*10000</f>
        <v>0</v>
      </c>
      <c r="M300" s="508">
        <f>E300*10000</f>
        <v>0</v>
      </c>
      <c r="N300" s="509"/>
      <c r="O300" s="509"/>
      <c r="P300" s="509"/>
      <c r="R300" s="496">
        <f t="shared" si="71"/>
        <v>0</v>
      </c>
      <c r="S300" s="496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51">
        <f t="shared" ref="K301:M302" si="72">C301*200</f>
        <v>58000</v>
      </c>
      <c r="L301" s="526">
        <f t="shared" si="72"/>
        <v>0</v>
      </c>
      <c r="M301" s="508">
        <f t="shared" si="72"/>
        <v>0</v>
      </c>
      <c r="N301" s="509"/>
      <c r="O301" s="509"/>
      <c r="P301" s="509"/>
      <c r="R301" s="496">
        <f t="shared" si="71"/>
        <v>58000</v>
      </c>
      <c r="S301" s="496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51">
        <f t="shared" si="72"/>
        <v>6000</v>
      </c>
      <c r="L302" s="526">
        <f t="shared" si="72"/>
        <v>0</v>
      </c>
      <c r="M302" s="508">
        <f t="shared" si="72"/>
        <v>0</v>
      </c>
      <c r="N302" s="509"/>
      <c r="O302" s="509"/>
      <c r="P302" s="509"/>
      <c r="R302" s="496">
        <f t="shared" si="71"/>
        <v>6000</v>
      </c>
      <c r="S302" s="496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51"/>
      <c r="L303" s="526"/>
      <c r="M303" s="508">
        <f>E303*150</f>
        <v>0</v>
      </c>
      <c r="N303" s="509"/>
      <c r="O303" s="509"/>
      <c r="P303" s="509"/>
      <c r="R303" s="496">
        <f t="shared" si="71"/>
        <v>0</v>
      </c>
      <c r="S303" s="496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51"/>
      <c r="L304" s="526"/>
      <c r="M304" s="508">
        <f>E304*15000</f>
        <v>30000</v>
      </c>
      <c r="N304" s="509"/>
      <c r="O304" s="509"/>
      <c r="P304" s="509"/>
      <c r="R304" s="496">
        <f t="shared" si="71"/>
        <v>30000</v>
      </c>
      <c r="S304" s="496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95">
        <f>C305*3000</f>
        <v>0</v>
      </c>
      <c r="L305" s="526">
        <f>D305*3000</f>
        <v>0</v>
      </c>
      <c r="M305" s="508">
        <f>E305*3000</f>
        <v>0</v>
      </c>
      <c r="N305" s="509"/>
      <c r="O305" s="509"/>
      <c r="P305" s="509"/>
      <c r="R305" s="496">
        <f t="shared" si="71"/>
        <v>0</v>
      </c>
      <c r="S305" s="496">
        <f>J305*1320</f>
        <v>0</v>
      </c>
    </row>
    <row r="306" spans="1:19" s="495" customFormat="1">
      <c r="A306" s="139" t="s">
        <v>564</v>
      </c>
      <c r="B306" s="686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51">
        <f>C306*1100</f>
        <v>44000</v>
      </c>
      <c r="L306" s="526">
        <f>D306*850</f>
        <v>0</v>
      </c>
      <c r="M306" s="508">
        <f>E306*850</f>
        <v>0</v>
      </c>
      <c r="N306" s="509"/>
      <c r="O306" s="509"/>
      <c r="P306" s="509"/>
      <c r="Q306" s="498"/>
      <c r="R306" s="496">
        <f t="shared" si="71"/>
        <v>44000</v>
      </c>
      <c r="S306" s="496">
        <f>J306*780</f>
        <v>31200</v>
      </c>
    </row>
    <row r="307" spans="1:19" s="495" customFormat="1">
      <c r="A307" s="139" t="s">
        <v>566</v>
      </c>
      <c r="B307" s="683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51">
        <f>C307*1200</f>
        <v>0</v>
      </c>
      <c r="L307" s="526">
        <f>D307*980</f>
        <v>0</v>
      </c>
      <c r="M307" s="508">
        <f>E307*980</f>
        <v>0</v>
      </c>
      <c r="N307" s="509"/>
      <c r="O307" s="509"/>
      <c r="P307" s="509"/>
      <c r="Q307" s="498"/>
      <c r="R307" s="496">
        <f t="shared" si="71"/>
        <v>0</v>
      </c>
      <c r="S307" s="496">
        <f>J307*836</f>
        <v>0</v>
      </c>
    </row>
    <row r="308" spans="1:19" s="495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51">
        <f>C308*1100</f>
        <v>0</v>
      </c>
      <c r="L308" s="526">
        <f>D308*1100</f>
        <v>0</v>
      </c>
      <c r="M308" s="508">
        <f>E308*1100</f>
        <v>0</v>
      </c>
      <c r="N308" s="509"/>
      <c r="O308" s="509"/>
      <c r="P308" s="509"/>
      <c r="Q308" s="498"/>
      <c r="R308" s="496">
        <f t="shared" si="71"/>
        <v>0</v>
      </c>
      <c r="S308" s="496">
        <f>J308*968</f>
        <v>0</v>
      </c>
    </row>
    <row r="309" spans="1:19" s="495" customFormat="1">
      <c r="A309" s="139" t="s">
        <v>569</v>
      </c>
      <c r="B309" s="695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95">
        <f t="shared" ref="K309:M311" si="73">C309*550</f>
        <v>0</v>
      </c>
      <c r="L309" s="526">
        <f t="shared" si="73"/>
        <v>0</v>
      </c>
      <c r="M309" s="508">
        <f t="shared" si="73"/>
        <v>0</v>
      </c>
      <c r="N309" s="509"/>
      <c r="O309" s="509"/>
      <c r="P309" s="509"/>
      <c r="Q309" s="498"/>
      <c r="R309" s="496">
        <f t="shared" si="71"/>
        <v>0</v>
      </c>
      <c r="S309" s="496">
        <f>J309*389</f>
        <v>0</v>
      </c>
    </row>
    <row r="310" spans="1:19" s="495" customFormat="1">
      <c r="A310" s="139" t="s">
        <v>571</v>
      </c>
      <c r="B310" s="688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95">
        <f t="shared" si="73"/>
        <v>0</v>
      </c>
      <c r="L310" s="526">
        <f t="shared" si="73"/>
        <v>0</v>
      </c>
      <c r="M310" s="508">
        <f t="shared" si="73"/>
        <v>0</v>
      </c>
      <c r="N310" s="509"/>
      <c r="O310" s="509"/>
      <c r="P310" s="509"/>
      <c r="Q310" s="498"/>
      <c r="R310" s="496">
        <f t="shared" si="71"/>
        <v>0</v>
      </c>
      <c r="S310" s="496">
        <f>J310*389</f>
        <v>0</v>
      </c>
    </row>
    <row r="311" spans="1:19" s="495" customFormat="1">
      <c r="A311" s="139" t="s">
        <v>572</v>
      </c>
      <c r="B311" s="683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95">
        <f t="shared" si="73"/>
        <v>0</v>
      </c>
      <c r="L311" s="526">
        <f t="shared" si="73"/>
        <v>0</v>
      </c>
      <c r="M311" s="508">
        <f t="shared" si="73"/>
        <v>0</v>
      </c>
      <c r="N311" s="509"/>
      <c r="O311" s="509"/>
      <c r="P311" s="509"/>
      <c r="Q311" s="498"/>
      <c r="R311" s="496">
        <f t="shared" si="71"/>
        <v>0</v>
      </c>
      <c r="S311" s="496">
        <f>J311*389</f>
        <v>0</v>
      </c>
    </row>
    <row r="312" spans="1:19" s="495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51">
        <f>C312*2500</f>
        <v>7500</v>
      </c>
      <c r="L312" s="526">
        <f>D312*2500</f>
        <v>0</v>
      </c>
      <c r="M312" s="508">
        <f>E312*2500</f>
        <v>0</v>
      </c>
      <c r="N312" s="509"/>
      <c r="O312" s="509"/>
      <c r="P312" s="509"/>
      <c r="Q312" s="498"/>
      <c r="R312" s="496">
        <f t="shared" si="71"/>
        <v>7500</v>
      </c>
      <c r="S312" s="496">
        <f>J312*1412</f>
        <v>4236</v>
      </c>
    </row>
    <row r="313" spans="1:19" s="495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51">
        <f>C313*110</f>
        <v>11000</v>
      </c>
      <c r="L313" s="526"/>
      <c r="M313" s="508"/>
      <c r="N313" s="509"/>
      <c r="O313" s="509"/>
      <c r="P313" s="509"/>
      <c r="Q313" s="498"/>
      <c r="R313" s="496">
        <f t="shared" si="71"/>
        <v>11000</v>
      </c>
      <c r="S313" s="496">
        <f>J313*60</f>
        <v>10500</v>
      </c>
    </row>
    <row r="314" spans="1:19" s="495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51">
        <f>C314*75000</f>
        <v>0</v>
      </c>
      <c r="L314" s="526"/>
      <c r="M314" s="508"/>
      <c r="N314" s="509"/>
      <c r="O314" s="509"/>
      <c r="P314" s="509"/>
      <c r="Q314" s="498"/>
      <c r="R314" s="496">
        <f t="shared" si="71"/>
        <v>0</v>
      </c>
      <c r="S314" s="496">
        <f>J314*27500</f>
        <v>0</v>
      </c>
    </row>
    <row r="315" spans="1:19" s="495" customFormat="1">
      <c r="A315" s="139" t="s">
        <v>579</v>
      </c>
      <c r="B315" s="695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51">
        <f>C315*120000</f>
        <v>0</v>
      </c>
      <c r="L315" s="526"/>
      <c r="M315" s="508"/>
      <c r="N315" s="509"/>
      <c r="O315" s="509"/>
      <c r="P315" s="509"/>
      <c r="Q315" s="498"/>
      <c r="R315" s="496">
        <f t="shared" si="71"/>
        <v>0</v>
      </c>
      <c r="S315" s="496">
        <f>J315*59400</f>
        <v>0</v>
      </c>
    </row>
    <row r="316" spans="1:19" s="495" customFormat="1">
      <c r="A316" s="139" t="s">
        <v>581</v>
      </c>
      <c r="B316" s="683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51">
        <f>C316*75000</f>
        <v>0</v>
      </c>
      <c r="L316" s="526"/>
      <c r="M316" s="508"/>
      <c r="N316" s="509"/>
      <c r="O316" s="509"/>
      <c r="P316" s="509"/>
      <c r="Q316" s="498"/>
      <c r="R316" s="496">
        <f t="shared" si="71"/>
        <v>0</v>
      </c>
      <c r="S316" s="496">
        <f>J316*33000</f>
        <v>0</v>
      </c>
    </row>
    <row r="317" spans="1:19" s="495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51">
        <f>C317*35000</f>
        <v>0</v>
      </c>
      <c r="L317" s="526"/>
      <c r="M317" s="508"/>
      <c r="N317" s="509"/>
      <c r="O317" s="509"/>
      <c r="P317" s="509"/>
      <c r="Q317" s="498"/>
      <c r="R317" s="496">
        <f t="shared" si="71"/>
        <v>0</v>
      </c>
      <c r="S317" s="496">
        <f>J317*15400</f>
        <v>0</v>
      </c>
    </row>
    <row r="318" spans="1:19" s="495" customFormat="1">
      <c r="A318" s="139" t="s">
        <v>584</v>
      </c>
      <c r="B318" s="695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51">
        <f>C318*36000</f>
        <v>0</v>
      </c>
      <c r="L318" s="526"/>
      <c r="M318" s="508"/>
      <c r="N318" s="509"/>
      <c r="O318" s="509"/>
      <c r="P318" s="509"/>
      <c r="Q318" s="498"/>
      <c r="R318" s="496">
        <f t="shared" si="71"/>
        <v>0</v>
      </c>
      <c r="S318" s="496">
        <f>J318*12000</f>
        <v>0</v>
      </c>
    </row>
    <row r="319" spans="1:19" s="495" customFormat="1">
      <c r="A319" s="139" t="s">
        <v>586</v>
      </c>
      <c r="B319" s="683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71"/>
        <v>0</v>
      </c>
      <c r="S319" s="496">
        <f>J319*34000</f>
        <v>0</v>
      </c>
    </row>
    <row r="320" spans="1:19" s="495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51">
        <f>C320*72000</f>
        <v>0</v>
      </c>
      <c r="L320" s="526"/>
      <c r="M320" s="508"/>
      <c r="N320" s="509"/>
      <c r="O320" s="509"/>
      <c r="P320" s="509"/>
      <c r="Q320" s="498"/>
      <c r="R320" s="496">
        <f t="shared" si="71"/>
        <v>0</v>
      </c>
      <c r="S320" s="496">
        <f>J320*12000</f>
        <v>0</v>
      </c>
    </row>
    <row r="321" spans="1:19" s="495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51">
        <f>C321*81000</f>
        <v>0</v>
      </c>
      <c r="L321" s="526"/>
      <c r="M321" s="508"/>
      <c r="N321" s="509"/>
      <c r="O321" s="509"/>
      <c r="P321" s="509"/>
      <c r="Q321" s="498"/>
      <c r="R321" s="496">
        <f t="shared" si="71"/>
        <v>0</v>
      </c>
      <c r="S321" s="496">
        <f>J321*12000</f>
        <v>0</v>
      </c>
    </row>
    <row r="322" spans="1:19" s="495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51">
        <f>C322*1100</f>
        <v>22000</v>
      </c>
      <c r="L322" s="526"/>
      <c r="M322" s="508"/>
      <c r="N322" s="509"/>
      <c r="O322" s="509"/>
      <c r="P322" s="509"/>
      <c r="Q322" s="498"/>
      <c r="R322" s="496">
        <f t="shared" si="71"/>
        <v>22000</v>
      </c>
      <c r="S322" s="496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13">
        <f>C323*3000</f>
        <v>54000</v>
      </c>
      <c r="L323" s="526"/>
      <c r="M323" s="508"/>
      <c r="N323" s="509"/>
      <c r="O323" s="509"/>
      <c r="P323" s="509"/>
      <c r="R323" s="496">
        <f t="shared" si="71"/>
        <v>54000</v>
      </c>
      <c r="S323" s="496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13">
        <f>C324*1000</f>
        <v>0</v>
      </c>
      <c r="L324" s="526">
        <f>D324*10000</f>
        <v>0</v>
      </c>
      <c r="M324" s="508">
        <f>E324*10000</f>
        <v>0</v>
      </c>
      <c r="N324" s="509"/>
      <c r="O324" s="509"/>
      <c r="P324" s="509"/>
      <c r="R324" s="496">
        <f t="shared" si="71"/>
        <v>0</v>
      </c>
      <c r="S324" s="496">
        <f>J324*528</f>
        <v>0</v>
      </c>
    </row>
    <row r="325" spans="1:19">
      <c r="A325" s="69" t="s">
        <v>597</v>
      </c>
      <c r="B325" s="686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95">
        <f>C325*600</f>
        <v>0</v>
      </c>
      <c r="L325" s="526">
        <f>D325*600</f>
        <v>0</v>
      </c>
      <c r="M325" s="508">
        <f>E325*600</f>
        <v>0</v>
      </c>
      <c r="N325" s="509"/>
      <c r="O325" s="509"/>
      <c r="P325" s="509"/>
      <c r="R325" s="496">
        <f t="shared" si="71"/>
        <v>0</v>
      </c>
      <c r="S325" s="496">
        <f>J325*484</f>
        <v>0</v>
      </c>
    </row>
    <row r="326" spans="1:19" s="432" customFormat="1">
      <c r="A326" s="115" t="s">
        <v>599</v>
      </c>
      <c r="B326" s="683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51">
        <f>C326*1500</f>
        <v>0</v>
      </c>
      <c r="L326" s="526">
        <f>D326*1500</f>
        <v>0</v>
      </c>
      <c r="M326" s="508">
        <f>E326*1500</f>
        <v>0</v>
      </c>
      <c r="N326" s="509"/>
      <c r="O326" s="509"/>
      <c r="P326" s="509"/>
      <c r="Q326" s="498"/>
      <c r="R326" s="496">
        <f t="shared" si="71"/>
        <v>0</v>
      </c>
      <c r="S326" s="496">
        <f>J326*1155</f>
        <v>0</v>
      </c>
    </row>
    <row r="327" spans="1:19" s="432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95">
        <f>C327*1100</f>
        <v>0</v>
      </c>
      <c r="L327" s="526">
        <f>D327*110</f>
        <v>0</v>
      </c>
      <c r="M327" s="508">
        <f>E327*110</f>
        <v>0</v>
      </c>
      <c r="N327" s="509"/>
      <c r="O327" s="509"/>
      <c r="P327" s="509"/>
      <c r="Q327" s="498"/>
      <c r="R327" s="496">
        <f t="shared" si="71"/>
        <v>0</v>
      </c>
      <c r="S327" s="496">
        <f>J327*968</f>
        <v>0</v>
      </c>
    </row>
    <row r="328" spans="1:19" s="432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95">
        <f>C328*88000</f>
        <v>0</v>
      </c>
      <c r="L328" s="526">
        <f>D328*88000</f>
        <v>0</v>
      </c>
      <c r="M328" s="575">
        <f>E328*88000</f>
        <v>0</v>
      </c>
      <c r="N328" s="556"/>
      <c r="O328" s="509"/>
      <c r="P328" s="509"/>
      <c r="Q328" s="498"/>
      <c r="R328" s="496">
        <f t="shared" si="71"/>
        <v>0</v>
      </c>
      <c r="S328" s="496">
        <f>J328*66000</f>
        <v>0</v>
      </c>
    </row>
    <row r="329" spans="1:19" s="432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:J360" si="74">SUM(C329:I329)</f>
        <v>0</v>
      </c>
      <c r="K329" s="551">
        <f>C329*650</f>
        <v>0</v>
      </c>
      <c r="L329" s="526">
        <f>D329*650</f>
        <v>0</v>
      </c>
      <c r="M329" s="508">
        <f>E329*650</f>
        <v>0</v>
      </c>
      <c r="N329" s="509"/>
      <c r="O329" s="509"/>
      <c r="P329" s="509"/>
      <c r="Q329" s="498"/>
      <c r="R329" s="496">
        <f t="shared" ref="R329:R360" si="75">SUM(K329:Q329)</f>
        <v>0</v>
      </c>
      <c r="S329" s="496">
        <f>J329*517</f>
        <v>0</v>
      </c>
    </row>
    <row r="330" spans="1:19" s="432" customFormat="1">
      <c r="A330"/>
      <c r="C330" s="425"/>
      <c r="K330" s="610">
        <f t="shared" ref="K330:S330" si="76">SUM(K265:K329)</f>
        <v>4497900</v>
      </c>
      <c r="L330" s="614">
        <f t="shared" si="76"/>
        <v>0</v>
      </c>
      <c r="M330" s="614">
        <f t="shared" si="76"/>
        <v>687400</v>
      </c>
      <c r="N330" s="614">
        <f t="shared" si="76"/>
        <v>0</v>
      </c>
      <c r="O330" s="614">
        <f t="shared" si="76"/>
        <v>0</v>
      </c>
      <c r="P330" s="614">
        <f t="shared" si="76"/>
        <v>0</v>
      </c>
      <c r="Q330" s="614">
        <f t="shared" si="76"/>
        <v>0</v>
      </c>
      <c r="R330" s="614">
        <f t="shared" si="76"/>
        <v>5185300</v>
      </c>
      <c r="S330" s="614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81"/>
      <c r="L332" s="581"/>
      <c r="M332" s="585"/>
      <c r="N332" s="585"/>
      <c r="O332" s="615"/>
      <c r="P332" s="616"/>
      <c r="Q332" s="617"/>
      <c r="R332" s="585"/>
      <c r="S332" s="585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81"/>
      <c r="L333" s="581"/>
      <c r="M333" s="585"/>
      <c r="N333" s="585"/>
      <c r="O333" s="615"/>
      <c r="P333" s="616"/>
      <c r="Q333" s="617"/>
      <c r="R333" s="585"/>
      <c r="S333" s="585"/>
    </row>
    <row r="334" spans="1:19">
      <c r="D334" s="474"/>
      <c r="E334" s="304"/>
      <c r="F334" s="214"/>
      <c r="G334" s="214"/>
      <c r="H334" s="123"/>
      <c r="I334" s="123"/>
      <c r="J334" s="124"/>
      <c r="P334" s="521"/>
    </row>
    <row r="335" spans="1:19">
      <c r="A335" s="64" t="s">
        <v>606</v>
      </c>
      <c r="D335" s="474"/>
      <c r="E335" s="304"/>
      <c r="F335" s="214"/>
      <c r="G335" s="214"/>
      <c r="I335" s="14"/>
      <c r="J335" s="125"/>
      <c r="P335" s="521"/>
    </row>
    <row r="336" spans="1:19" ht="48" customHeight="1">
      <c r="A336" s="100" t="s">
        <v>607</v>
      </c>
      <c r="B336" s="470" t="s">
        <v>608</v>
      </c>
      <c r="C336" s="474"/>
      <c r="D336" s="217"/>
      <c r="E336" s="304"/>
      <c r="F336" s="214"/>
      <c r="G336" s="214"/>
      <c r="H336" s="126"/>
      <c r="I336" s="126" t="s">
        <v>129</v>
      </c>
      <c r="J336" s="125"/>
      <c r="K336" s="564" t="s">
        <v>4</v>
      </c>
      <c r="L336" s="566"/>
      <c r="M336" s="566" t="s">
        <v>6</v>
      </c>
      <c r="N336" s="566"/>
      <c r="O336" s="510"/>
      <c r="P336" s="618"/>
      <c r="R336" s="564" t="s">
        <v>29</v>
      </c>
      <c r="S336" s="496" t="s">
        <v>167</v>
      </c>
    </row>
    <row r="337" spans="1:19" s="432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95">
        <f>C337*4400</f>
        <v>0</v>
      </c>
      <c r="L337" s="575"/>
      <c r="M337" s="508"/>
      <c r="N337" s="598"/>
      <c r="O337" s="497"/>
      <c r="P337" s="590"/>
      <c r="Q337" s="498"/>
      <c r="R337" s="495">
        <f t="shared" ref="R337:R368" si="78">SUM(K337:Q337)</f>
        <v>0</v>
      </c>
      <c r="S337" s="495">
        <f>J337*1340</f>
        <v>0</v>
      </c>
    </row>
    <row r="338" spans="1:19" s="432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95"/>
      <c r="L338" s="575"/>
      <c r="M338" s="508"/>
      <c r="N338" s="598"/>
      <c r="O338" s="497"/>
      <c r="P338" s="590"/>
      <c r="Q338" s="498"/>
      <c r="R338" s="495">
        <f t="shared" si="78"/>
        <v>0</v>
      </c>
      <c r="S338" s="495">
        <f>J338*1349</f>
        <v>0</v>
      </c>
    </row>
    <row r="339" spans="1:19" s="432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95">
        <f>C339*60000</f>
        <v>0</v>
      </c>
      <c r="L339" s="575"/>
      <c r="M339" s="508"/>
      <c r="N339" s="598">
        <f>F339*54000</f>
        <v>0</v>
      </c>
      <c r="O339" s="497"/>
      <c r="P339" s="590"/>
      <c r="Q339" s="498"/>
      <c r="R339" s="495">
        <f t="shared" si="78"/>
        <v>0</v>
      </c>
      <c r="S339" s="495">
        <f>J339*5060</f>
        <v>0</v>
      </c>
    </row>
    <row r="340" spans="1:19" s="432" customFormat="1" ht="16.5" customHeight="1">
      <c r="A340" s="265" t="s">
        <v>612</v>
      </c>
      <c r="B340" s="687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78"/>
        <v>0</v>
      </c>
      <c r="S340" s="495">
        <f>J340*2850</f>
        <v>0</v>
      </c>
    </row>
    <row r="341" spans="1:19" s="432" customFormat="1" ht="16.5" customHeight="1">
      <c r="A341" s="265" t="s">
        <v>614</v>
      </c>
      <c r="B341" s="688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95">
        <f>C341*17000</f>
        <v>0</v>
      </c>
      <c r="L341" s="575"/>
      <c r="M341" s="508"/>
      <c r="N341" s="598">
        <f>F341*15000</f>
        <v>0</v>
      </c>
      <c r="O341" s="497"/>
      <c r="P341" s="590"/>
      <c r="Q341" s="498"/>
      <c r="R341" s="495">
        <f t="shared" si="78"/>
        <v>0</v>
      </c>
      <c r="S341" s="495">
        <f>J341*2670</f>
        <v>0</v>
      </c>
    </row>
    <row r="342" spans="1:19" s="432" customFormat="1">
      <c r="A342" s="265" t="s">
        <v>615</v>
      </c>
      <c r="B342" s="688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95">
        <v>21000</v>
      </c>
      <c r="L342" s="575"/>
      <c r="M342" s="508"/>
      <c r="N342" s="598">
        <v>0</v>
      </c>
      <c r="O342" s="497"/>
      <c r="P342" s="590"/>
      <c r="Q342" s="498"/>
      <c r="R342" s="495">
        <f t="shared" si="78"/>
        <v>21000</v>
      </c>
      <c r="S342" s="495">
        <f>J342*2870</f>
        <v>2870</v>
      </c>
    </row>
    <row r="343" spans="1:19" s="432" customFormat="1">
      <c r="A343" s="265" t="s">
        <v>616</v>
      </c>
      <c r="B343" s="688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95">
        <f>C343*16000</f>
        <v>0</v>
      </c>
      <c r="L343" s="575"/>
      <c r="M343" s="508"/>
      <c r="N343" s="598">
        <f>F343*14000</f>
        <v>0</v>
      </c>
      <c r="O343" s="497"/>
      <c r="P343" s="590"/>
      <c r="Q343" s="498"/>
      <c r="R343" s="495">
        <f t="shared" si="78"/>
        <v>0</v>
      </c>
      <c r="S343" s="495">
        <f>J343*2380</f>
        <v>0</v>
      </c>
    </row>
    <row r="344" spans="1:19" s="432" customFormat="1">
      <c r="A344" s="263" t="s">
        <v>617</v>
      </c>
      <c r="B344" s="688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95">
        <v>42000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42000</v>
      </c>
      <c r="S344" s="495">
        <f>J344*2440</f>
        <v>7320</v>
      </c>
    </row>
    <row r="345" spans="1:19" s="432" customFormat="1">
      <c r="A345" s="263" t="s">
        <v>618</v>
      </c>
      <c r="B345" s="688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78"/>
        <v>0</v>
      </c>
      <c r="S345" s="495">
        <f>J345*2740</f>
        <v>0</v>
      </c>
    </row>
    <row r="346" spans="1:19" s="432" customFormat="1">
      <c r="A346" s="264" t="s">
        <v>619</v>
      </c>
      <c r="B346" s="688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95">
        <f>C346*20000</f>
        <v>0</v>
      </c>
      <c r="L346" s="575"/>
      <c r="M346" s="508"/>
      <c r="N346" s="598">
        <f>F346*18000</f>
        <v>0</v>
      </c>
      <c r="O346" s="497"/>
      <c r="P346" s="590"/>
      <c r="Q346" s="498"/>
      <c r="R346" s="495">
        <f t="shared" si="78"/>
        <v>0</v>
      </c>
      <c r="S346" s="495">
        <f>J346*4940</f>
        <v>0</v>
      </c>
    </row>
    <row r="347" spans="1:19" s="432" customFormat="1">
      <c r="A347" s="263" t="s">
        <v>620</v>
      </c>
      <c r="B347" s="688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95">
        <v>0</v>
      </c>
      <c r="L347" s="575"/>
      <c r="M347" s="508"/>
      <c r="N347" s="598">
        <v>0</v>
      </c>
      <c r="O347" s="497"/>
      <c r="P347" s="590"/>
      <c r="Q347" s="498"/>
      <c r="R347" s="495">
        <f t="shared" si="78"/>
        <v>0</v>
      </c>
      <c r="S347" s="495">
        <f>J347*2470</f>
        <v>0</v>
      </c>
    </row>
    <row r="348" spans="1:19" s="432" customFormat="1">
      <c r="A348" s="263" t="s">
        <v>621</v>
      </c>
      <c r="B348" s="688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J348*28700</f>
        <v>0</v>
      </c>
    </row>
    <row r="349" spans="1:19" s="432" customFormat="1">
      <c r="A349" s="263" t="s">
        <v>622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C349*23000</f>
        <v>0</v>
      </c>
      <c r="L349" s="575"/>
      <c r="M349" s="508"/>
      <c r="N349" s="598">
        <f>F349*21000</f>
        <v>0</v>
      </c>
      <c r="O349" s="497"/>
      <c r="P349" s="590"/>
      <c r="Q349" s="498"/>
      <c r="R349" s="495">
        <f t="shared" si="78"/>
        <v>0</v>
      </c>
      <c r="S349" s="495">
        <f>J349*3170</f>
        <v>0</v>
      </c>
    </row>
    <row r="350" spans="1:19" s="432" customFormat="1">
      <c r="A350" s="263" t="s">
        <v>623</v>
      </c>
      <c r="B350" s="688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95">
        <v>14000</v>
      </c>
      <c r="L350" s="575"/>
      <c r="M350" s="508"/>
      <c r="N350" s="598">
        <v>0</v>
      </c>
      <c r="O350" s="497"/>
      <c r="P350" s="590"/>
      <c r="Q350" s="498"/>
      <c r="R350" s="495">
        <f t="shared" si="78"/>
        <v>14000</v>
      </c>
      <c r="S350" s="495">
        <f>J350*2300</f>
        <v>4600</v>
      </c>
    </row>
    <row r="351" spans="1:19" s="432" customFormat="1">
      <c r="A351" s="263" t="s">
        <v>624</v>
      </c>
      <c r="B351" s="688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0</v>
      </c>
      <c r="S351" s="495">
        <f>J351*1920</f>
        <v>0</v>
      </c>
    </row>
    <row r="352" spans="1:19" s="432" customFormat="1">
      <c r="A352" s="265" t="s">
        <v>625</v>
      </c>
      <c r="B352" s="688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J352*5710</f>
        <v>0</v>
      </c>
    </row>
    <row r="353" spans="1:19" s="432" customFormat="1">
      <c r="A353" s="265" t="s">
        <v>626</v>
      </c>
      <c r="B353" s="688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78"/>
        <v>0</v>
      </c>
      <c r="S353" s="495">
        <f>J353*4170</f>
        <v>0</v>
      </c>
    </row>
    <row r="354" spans="1:19" s="432" customFormat="1">
      <c r="A354" s="265" t="s">
        <v>627</v>
      </c>
      <c r="B354" s="688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95">
        <v>29000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29000</v>
      </c>
      <c r="S354" s="495">
        <f>J354*8570</f>
        <v>8570</v>
      </c>
    </row>
    <row r="355" spans="1:19" s="432" customFormat="1">
      <c r="A355" s="265" t="s">
        <v>628</v>
      </c>
      <c r="B355" s="688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J355*2260</f>
        <v>0</v>
      </c>
    </row>
    <row r="356" spans="1:19" s="432" customFormat="1">
      <c r="A356" s="263" t="s">
        <v>629</v>
      </c>
      <c r="B356" s="688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J356*16916</f>
        <v>0</v>
      </c>
    </row>
    <row r="357" spans="1:19" s="432" customFormat="1">
      <c r="A357" s="265" t="s">
        <v>630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J357*2470</f>
        <v>0</v>
      </c>
    </row>
    <row r="358" spans="1:19" s="432" customFormat="1">
      <c r="A358" s="265" t="s">
        <v>631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J358*2160</f>
        <v>0</v>
      </c>
    </row>
    <row r="359" spans="1:19" s="432" customFormat="1">
      <c r="A359" s="265" t="s">
        <v>632</v>
      </c>
      <c r="B359" s="688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95">
        <f>C359*23000</f>
        <v>0</v>
      </c>
      <c r="L359" s="575"/>
      <c r="M359" s="508"/>
      <c r="N359" s="598">
        <f>F359*21000</f>
        <v>0</v>
      </c>
      <c r="O359" s="497"/>
      <c r="P359" s="590"/>
      <c r="Q359" s="498"/>
      <c r="R359" s="495">
        <f t="shared" si="78"/>
        <v>0</v>
      </c>
      <c r="S359" s="495">
        <f>J359*2540</f>
        <v>0</v>
      </c>
    </row>
    <row r="360" spans="1:19" s="432" customFormat="1">
      <c r="A360" s="263" t="s">
        <v>633</v>
      </c>
      <c r="B360" s="688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J360*1690</f>
        <v>0</v>
      </c>
    </row>
    <row r="361" spans="1:19" s="432" customFormat="1">
      <c r="A361" s="265" t="s">
        <v>634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J361*10990</f>
        <v>0</v>
      </c>
    </row>
    <row r="362" spans="1:19" s="432" customFormat="1">
      <c r="A362" s="265" t="s">
        <v>635</v>
      </c>
      <c r="B362" s="688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J362*2180</f>
        <v>0</v>
      </c>
    </row>
    <row r="363" spans="1:19" s="432" customFormat="1">
      <c r="A363" s="265" t="s">
        <v>636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J363*7800</f>
        <v>0</v>
      </c>
    </row>
    <row r="364" spans="1:19" s="432" customFormat="1">
      <c r="A364" s="263" t="s">
        <v>637</v>
      </c>
      <c r="B364" s="688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J364*4225</f>
        <v>0</v>
      </c>
    </row>
    <row r="365" spans="1:19" s="432" customFormat="1">
      <c r="A365" s="265" t="s">
        <v>638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J365*2652</f>
        <v>0</v>
      </c>
    </row>
    <row r="366" spans="1:19" s="432" customFormat="1">
      <c r="A366" s="265" t="s">
        <v>639</v>
      </c>
      <c r="B366" s="688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J366*2410</f>
        <v>0</v>
      </c>
    </row>
    <row r="367" spans="1:19" s="432" customFormat="1">
      <c r="A367" s="265" t="s">
        <v>640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J367*1820</f>
        <v>0</v>
      </c>
    </row>
    <row r="368" spans="1:19" s="432" customFormat="1">
      <c r="A368" s="263" t="s">
        <v>641</v>
      </c>
      <c r="B368" s="688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J368*4170</f>
        <v>0</v>
      </c>
    </row>
    <row r="369" spans="1:19" s="432" customFormat="1">
      <c r="A369" s="263" t="s">
        <v>642</v>
      </c>
      <c r="B369" s="688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95">
        <f>C369*125000</f>
        <v>0</v>
      </c>
      <c r="L369" s="575"/>
      <c r="M369" s="508"/>
      <c r="N369" s="598">
        <f>F369*113000</f>
        <v>0</v>
      </c>
      <c r="O369" s="497"/>
      <c r="P369" s="590"/>
      <c r="Q369" s="498"/>
      <c r="R369" s="495">
        <f t="shared" ref="R369:R400" si="80">SUM(K369:Q369)</f>
        <v>0</v>
      </c>
      <c r="S369" s="495">
        <f>J369*9020</f>
        <v>0</v>
      </c>
    </row>
    <row r="370" spans="1:19" s="432" customFormat="1">
      <c r="A370" s="263" t="s">
        <v>643</v>
      </c>
      <c r="B370" s="688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95">
        <f>C370*110000</f>
        <v>0</v>
      </c>
      <c r="L370" s="575"/>
      <c r="M370" s="508"/>
      <c r="N370" s="598">
        <f>F370*99000</f>
        <v>0</v>
      </c>
      <c r="O370" s="497"/>
      <c r="P370" s="590"/>
      <c r="Q370" s="498"/>
      <c r="R370" s="495">
        <f t="shared" si="80"/>
        <v>0</v>
      </c>
      <c r="S370" s="495">
        <f>J370*5930</f>
        <v>0</v>
      </c>
    </row>
    <row r="371" spans="1:19" s="432" customFormat="1">
      <c r="A371" s="265" t="s">
        <v>644</v>
      </c>
      <c r="B371" s="688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80"/>
        <v>0</v>
      </c>
      <c r="S371" s="495">
        <f>J371*17940</f>
        <v>0</v>
      </c>
    </row>
    <row r="372" spans="1:19" s="432" customFormat="1">
      <c r="A372" s="265" t="s">
        <v>645</v>
      </c>
      <c r="B372" s="688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95">
        <v>0</v>
      </c>
      <c r="L372" s="575"/>
      <c r="M372" s="508"/>
      <c r="N372" s="598">
        <v>0</v>
      </c>
      <c r="O372" s="497"/>
      <c r="P372" s="590"/>
      <c r="Q372" s="498"/>
      <c r="R372" s="495">
        <f t="shared" si="80"/>
        <v>0</v>
      </c>
      <c r="S372" s="495">
        <f>J372*2110</f>
        <v>0</v>
      </c>
    </row>
    <row r="373" spans="1:19" s="432" customFormat="1">
      <c r="A373" s="263" t="s">
        <v>646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80"/>
        <v>0</v>
      </c>
      <c r="S373" s="495">
        <f>J373*1728</f>
        <v>0</v>
      </c>
    </row>
    <row r="374" spans="1:19" s="432" customFormat="1">
      <c r="A374" s="263" t="s">
        <v>647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C374*17000</f>
        <v>0</v>
      </c>
      <c r="L374" s="575"/>
      <c r="M374" s="508"/>
      <c r="N374" s="598">
        <f>F374*15000</f>
        <v>0</v>
      </c>
      <c r="O374" s="497"/>
      <c r="P374" s="590"/>
      <c r="Q374" s="498"/>
      <c r="R374" s="495">
        <f t="shared" si="80"/>
        <v>0</v>
      </c>
      <c r="S374" s="495">
        <f>J374*2620</f>
        <v>0</v>
      </c>
    </row>
    <row r="375" spans="1:19" s="432" customFormat="1">
      <c r="A375" s="263" t="s">
        <v>648</v>
      </c>
      <c r="B375" s="688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J375*1996</f>
        <v>0</v>
      </c>
    </row>
    <row r="376" spans="1:19" s="432" customFormat="1">
      <c r="A376" s="263" t="s">
        <v>649</v>
      </c>
      <c r="B376" s="688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J376*2080</f>
        <v>0</v>
      </c>
    </row>
    <row r="377" spans="1:19" s="432" customFormat="1">
      <c r="A377" s="265" t="s">
        <v>650</v>
      </c>
      <c r="B377" s="688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J377*5556</f>
        <v>0</v>
      </c>
    </row>
    <row r="378" spans="1:19" s="432" customFormat="1">
      <c r="A378" s="265" t="s">
        <v>651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J378*5480</f>
        <v>0</v>
      </c>
    </row>
    <row r="379" spans="1:19" s="432" customFormat="1">
      <c r="A379" s="263" t="s">
        <v>652</v>
      </c>
      <c r="B379" s="688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J379*6700</f>
        <v>0</v>
      </c>
    </row>
    <row r="380" spans="1:19" s="432" customFormat="1">
      <c r="A380" s="265" t="s">
        <v>653</v>
      </c>
      <c r="B380" s="688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J380*4225</f>
        <v>0</v>
      </c>
    </row>
    <row r="381" spans="1:19" s="432" customFormat="1">
      <c r="A381" s="265" t="s">
        <v>654</v>
      </c>
      <c r="B381" s="688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J381*5380</f>
        <v>0</v>
      </c>
    </row>
    <row r="382" spans="1:19" s="432" customFormat="1">
      <c r="A382" s="265" t="s">
        <v>655</v>
      </c>
      <c r="B382" s="688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95">
        <f>C382*23000</f>
        <v>0</v>
      </c>
      <c r="L382" s="575"/>
      <c r="M382" s="508"/>
      <c r="N382" s="598">
        <f>F382*21000</f>
        <v>0</v>
      </c>
      <c r="O382" s="497"/>
      <c r="P382" s="590"/>
      <c r="Q382" s="498"/>
      <c r="R382" s="495">
        <f t="shared" si="80"/>
        <v>0</v>
      </c>
      <c r="S382" s="495">
        <f>J382*3220</f>
        <v>0</v>
      </c>
    </row>
    <row r="383" spans="1:19" s="432" customFormat="1">
      <c r="A383" s="265" t="s">
        <v>656</v>
      </c>
      <c r="B383" s="688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95">
        <f>C383*29000</f>
        <v>0</v>
      </c>
      <c r="L383" s="575"/>
      <c r="M383" s="508"/>
      <c r="N383" s="598">
        <f>F383*26000</f>
        <v>0</v>
      </c>
      <c r="O383" s="497"/>
      <c r="P383" s="590"/>
      <c r="Q383" s="498"/>
      <c r="R383" s="495">
        <f t="shared" si="80"/>
        <v>0</v>
      </c>
      <c r="S383" s="495">
        <f>J383*5340</f>
        <v>0</v>
      </c>
    </row>
    <row r="384" spans="1:19" s="432" customFormat="1">
      <c r="A384" s="265" t="s">
        <v>657</v>
      </c>
      <c r="B384" s="688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J384*5600</f>
        <v>0</v>
      </c>
    </row>
    <row r="385" spans="1:19" s="432" customFormat="1">
      <c r="A385" s="265" t="s">
        <v>658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J385*2570</f>
        <v>0</v>
      </c>
    </row>
    <row r="386" spans="1:19" s="432" customFormat="1">
      <c r="A386" s="265" t="s">
        <v>659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J386*3330</f>
        <v>0</v>
      </c>
    </row>
    <row r="387" spans="1:19" s="432" customFormat="1">
      <c r="A387" s="265" t="s">
        <v>660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C387*16000</f>
        <v>0</v>
      </c>
      <c r="L387" s="575"/>
      <c r="M387" s="508"/>
      <c r="N387" s="598">
        <f>F387*14000</f>
        <v>0</v>
      </c>
      <c r="O387" s="497"/>
      <c r="P387" s="590"/>
      <c r="Q387" s="498"/>
      <c r="R387" s="495">
        <f t="shared" si="80"/>
        <v>0</v>
      </c>
      <c r="S387" s="495">
        <f>J387*2090</f>
        <v>0</v>
      </c>
    </row>
    <row r="388" spans="1:19" s="432" customFormat="1">
      <c r="A388" s="265" t="s">
        <v>661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J388*3170</f>
        <v>0</v>
      </c>
    </row>
    <row r="389" spans="1:19" s="432" customFormat="1">
      <c r="A389" s="265" t="s">
        <v>662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J389*4720</f>
        <v>0</v>
      </c>
    </row>
    <row r="390" spans="1:19" s="432" customFormat="1">
      <c r="A390" s="265" t="s">
        <v>663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J390*3048</f>
        <v>0</v>
      </c>
    </row>
    <row r="391" spans="1:19" s="432" customFormat="1">
      <c r="A391" s="265" t="s">
        <v>664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J391*2740</f>
        <v>0</v>
      </c>
    </row>
    <row r="392" spans="1:19" s="432" customFormat="1">
      <c r="A392" s="265" t="s">
        <v>665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C392*16000</f>
        <v>0</v>
      </c>
      <c r="L392" s="575"/>
      <c r="M392" s="508"/>
      <c r="N392" s="598">
        <f>F392*14000</f>
        <v>0</v>
      </c>
      <c r="O392" s="497"/>
      <c r="P392" s="590"/>
      <c r="Q392" s="498"/>
      <c r="R392" s="495">
        <f t="shared" si="80"/>
        <v>0</v>
      </c>
      <c r="S392" s="495">
        <f>J392*2160</f>
        <v>0</v>
      </c>
    </row>
    <row r="393" spans="1:19" s="432" customFormat="1">
      <c r="A393" s="263" t="s">
        <v>666</v>
      </c>
      <c r="B393" s="688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J393*2060</f>
        <v>0</v>
      </c>
    </row>
    <row r="394" spans="1:19" s="432" customFormat="1">
      <c r="A394" s="265" t="s">
        <v>667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J394*3730</f>
        <v>0</v>
      </c>
    </row>
    <row r="395" spans="1:19" s="432" customFormat="1">
      <c r="A395" s="265" t="s">
        <v>668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J395*2360</f>
        <v>0</v>
      </c>
    </row>
    <row r="396" spans="1:19" s="432" customFormat="1">
      <c r="A396" s="263" t="s">
        <v>669</v>
      </c>
      <c r="B396" s="688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95">
        <v>10000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10000</v>
      </c>
      <c r="S396" s="495">
        <f>J396*1790</f>
        <v>1790</v>
      </c>
    </row>
    <row r="397" spans="1:19" s="432" customFormat="1">
      <c r="A397" s="265" t="s">
        <v>670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J397*4060</f>
        <v>0</v>
      </c>
    </row>
    <row r="398" spans="1:19" s="432" customFormat="1">
      <c r="A398" s="265" t="s">
        <v>671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J398*7690</f>
        <v>0</v>
      </c>
    </row>
    <row r="399" spans="1:19" s="432" customFormat="1">
      <c r="A399" s="265" t="s">
        <v>672</v>
      </c>
      <c r="B399" s="688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J399*3730</f>
        <v>0</v>
      </c>
    </row>
    <row r="400" spans="1:19" s="432" customFormat="1">
      <c r="A400" s="265" t="s">
        <v>673</v>
      </c>
      <c r="B400" s="688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95">
        <v>24000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24000</v>
      </c>
      <c r="S400" s="495">
        <f>J400*5160</f>
        <v>5160</v>
      </c>
    </row>
    <row r="401" spans="1:19" s="432" customFormat="1">
      <c r="A401" s="265" t="s">
        <v>674</v>
      </c>
      <c r="B401" s="688"/>
      <c r="C401" s="186"/>
      <c r="D401" s="187"/>
      <c r="E401" s="187"/>
      <c r="F401" s="183"/>
      <c r="G401" s="255"/>
      <c r="H401" s="70"/>
      <c r="I401" s="103"/>
      <c r="J401" s="26">
        <f t="shared" ref="J401:J432" si="81">SUM(B401:I401)</f>
        <v>0</v>
      </c>
      <c r="K401" s="495">
        <f>C401*125000</f>
        <v>0</v>
      </c>
      <c r="L401" s="575"/>
      <c r="M401" s="508"/>
      <c r="N401" s="598">
        <f>F401*113000</f>
        <v>0</v>
      </c>
      <c r="O401" s="497"/>
      <c r="P401" s="590"/>
      <c r="Q401" s="498"/>
      <c r="R401" s="495">
        <f t="shared" ref="R401:R432" si="82">SUM(K401:Q401)</f>
        <v>0</v>
      </c>
      <c r="S401" s="495">
        <f>J401*3640</f>
        <v>0</v>
      </c>
    </row>
    <row r="402" spans="1:19" s="432" customFormat="1">
      <c r="A402" s="265" t="s">
        <v>675</v>
      </c>
      <c r="B402" s="688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95">
        <f>C402*23000</f>
        <v>0</v>
      </c>
      <c r="L402" s="575"/>
      <c r="M402" s="508"/>
      <c r="N402" s="598">
        <f>F402*21000</f>
        <v>0</v>
      </c>
      <c r="O402" s="497"/>
      <c r="P402" s="590"/>
      <c r="Q402" s="498"/>
      <c r="R402" s="495">
        <f t="shared" si="82"/>
        <v>0</v>
      </c>
      <c r="S402" s="495">
        <f>J402*3220</f>
        <v>0</v>
      </c>
    </row>
    <row r="403" spans="1:19" s="432" customFormat="1">
      <c r="A403" s="265" t="s">
        <v>676</v>
      </c>
      <c r="B403" s="688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2"/>
        <v>0</v>
      </c>
      <c r="S403" s="495">
        <f>J403*8130</f>
        <v>0</v>
      </c>
    </row>
    <row r="404" spans="1:19" s="432" customFormat="1">
      <c r="A404" s="265" t="s">
        <v>677</v>
      </c>
      <c r="B404" s="688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2"/>
        <v>0</v>
      </c>
      <c r="S404" s="495">
        <f>J404*2960</f>
        <v>0</v>
      </c>
    </row>
    <row r="405" spans="1:19" s="432" customFormat="1">
      <c r="A405" s="265" t="s">
        <v>678</v>
      </c>
      <c r="B405" s="688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2"/>
        <v>0</v>
      </c>
      <c r="S405" s="495">
        <f>J405*4270</f>
        <v>0</v>
      </c>
    </row>
    <row r="406" spans="1:19" s="432" customFormat="1">
      <c r="A406" s="265" t="s">
        <v>679</v>
      </c>
      <c r="B406" s="688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82"/>
        <v>0</v>
      </c>
      <c r="S406" s="495">
        <f>J406*5610</f>
        <v>0</v>
      </c>
    </row>
    <row r="407" spans="1:19" s="432" customFormat="1">
      <c r="A407" s="265" t="s">
        <v>680</v>
      </c>
      <c r="B407" s="688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0</v>
      </c>
      <c r="S407" s="495">
        <f>J407*7310</f>
        <v>0</v>
      </c>
    </row>
    <row r="408" spans="1:19" s="432" customFormat="1">
      <c r="A408" s="265" t="s">
        <v>681</v>
      </c>
      <c r="B408" s="688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J408*3980</f>
        <v>0</v>
      </c>
    </row>
    <row r="409" spans="1:19" s="432" customFormat="1">
      <c r="A409" s="265" t="s">
        <v>682</v>
      </c>
      <c r="B409" s="68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J409*3920</f>
        <v>0</v>
      </c>
    </row>
    <row r="410" spans="1:19" s="432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95"/>
      <c r="L410" s="575"/>
      <c r="M410" s="508"/>
      <c r="N410" s="598"/>
      <c r="O410" s="497"/>
      <c r="P410" s="590"/>
      <c r="Q410" s="498"/>
      <c r="R410" s="495"/>
      <c r="S410" s="495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9">
        <f t="shared" ref="K411:Q411" si="84">SUM(K337:K410)</f>
        <v>140000</v>
      </c>
      <c r="L411" s="619">
        <f t="shared" si="84"/>
        <v>0</v>
      </c>
      <c r="M411" s="619">
        <f t="shared" si="84"/>
        <v>0</v>
      </c>
      <c r="N411" s="620">
        <f t="shared" si="84"/>
        <v>0</v>
      </c>
      <c r="O411" s="619">
        <f t="shared" si="84"/>
        <v>0</v>
      </c>
      <c r="P411" s="619">
        <f t="shared" si="84"/>
        <v>0</v>
      </c>
      <c r="Q411" s="619">
        <f t="shared" si="84"/>
        <v>0</v>
      </c>
      <c r="R411" s="619">
        <f t="shared" ref="R411:R442" si="85">SUM(K411:Q411)</f>
        <v>140000</v>
      </c>
      <c r="S411" s="619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46">
        <f>C412*480000</f>
        <v>0</v>
      </c>
      <c r="L412" s="546"/>
      <c r="M412" s="546"/>
      <c r="N412" s="549">
        <f>F412*432000</f>
        <v>0</v>
      </c>
      <c r="O412" s="546"/>
      <c r="P412" s="546"/>
      <c r="Q412" s="546"/>
      <c r="R412" s="495">
        <f t="shared" si="85"/>
        <v>0</v>
      </c>
      <c r="S412" s="546">
        <f>J412*40100</f>
        <v>0</v>
      </c>
    </row>
    <row r="413" spans="1:19" s="432" customFormat="1" ht="16.5" customHeight="1">
      <c r="A413" s="265" t="s">
        <v>612</v>
      </c>
      <c r="B413" s="687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5"/>
        <v>0</v>
      </c>
      <c r="S413" s="495">
        <f>J413*18000</f>
        <v>0</v>
      </c>
    </row>
    <row r="414" spans="1:19" s="432" customFormat="1" ht="16.5" customHeight="1">
      <c r="A414" s="265" t="s">
        <v>614</v>
      </c>
      <c r="B414" s="688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95">
        <f>C414*136000</f>
        <v>0</v>
      </c>
      <c r="L414" s="575"/>
      <c r="M414" s="508"/>
      <c r="N414" s="598">
        <f>F414*122000</f>
        <v>0</v>
      </c>
      <c r="O414" s="497"/>
      <c r="P414" s="590"/>
      <c r="Q414" s="498"/>
      <c r="R414" s="495">
        <f t="shared" si="85"/>
        <v>0</v>
      </c>
      <c r="S414" s="495">
        <f>J414*16200</f>
        <v>0</v>
      </c>
    </row>
    <row r="415" spans="1:19" s="432" customFormat="1">
      <c r="A415" s="265" t="s">
        <v>615</v>
      </c>
      <c r="B415" s="688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5"/>
        <v>0</v>
      </c>
      <c r="S415" s="495">
        <f>J415*18200</f>
        <v>0</v>
      </c>
    </row>
    <row r="416" spans="1:19" s="432" customFormat="1">
      <c r="A416" s="265" t="s">
        <v>616</v>
      </c>
      <c r="B416" s="688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95">
        <f>C416*128000</f>
        <v>0</v>
      </c>
      <c r="L416" s="575"/>
      <c r="M416" s="508"/>
      <c r="N416" s="598">
        <f>F416*115000</f>
        <v>0</v>
      </c>
      <c r="O416" s="497"/>
      <c r="P416" s="590"/>
      <c r="Q416" s="498"/>
      <c r="R416" s="495">
        <f t="shared" si="85"/>
        <v>0</v>
      </c>
      <c r="S416" s="495">
        <f>J416*13300</f>
        <v>0</v>
      </c>
    </row>
    <row r="417" spans="1:19" s="432" customFormat="1">
      <c r="A417" s="263" t="s">
        <v>617</v>
      </c>
      <c r="B417" s="688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J417*13900</f>
        <v>0</v>
      </c>
    </row>
    <row r="418" spans="1:19" s="432" customFormat="1">
      <c r="A418" s="263" t="s">
        <v>618</v>
      </c>
      <c r="B418" s="688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85"/>
        <v>0</v>
      </c>
      <c r="S418" s="495">
        <f>J418*16900</f>
        <v>0</v>
      </c>
    </row>
    <row r="419" spans="1:19" s="432" customFormat="1">
      <c r="A419" s="264" t="s">
        <v>619</v>
      </c>
      <c r="B419" s="688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95">
        <f>C419*146000</f>
        <v>0</v>
      </c>
      <c r="L419" s="575"/>
      <c r="M419" s="508"/>
      <c r="N419" s="598">
        <f>F419*131000</f>
        <v>0</v>
      </c>
      <c r="O419" s="497"/>
      <c r="P419" s="590"/>
      <c r="Q419" s="498"/>
      <c r="R419" s="495">
        <f t="shared" si="85"/>
        <v>0</v>
      </c>
      <c r="S419" s="495">
        <f>J419*38900</f>
        <v>0</v>
      </c>
    </row>
    <row r="420" spans="1:19" s="432" customFormat="1">
      <c r="A420" s="263" t="s">
        <v>620</v>
      </c>
      <c r="B420" s="688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95">
        <v>0</v>
      </c>
      <c r="L420" s="575"/>
      <c r="M420" s="508"/>
      <c r="N420" s="598">
        <v>0</v>
      </c>
      <c r="O420" s="497"/>
      <c r="P420" s="590"/>
      <c r="Q420" s="498"/>
      <c r="R420" s="495">
        <f t="shared" si="85"/>
        <v>0</v>
      </c>
      <c r="S420" s="495">
        <f>J420*14200</f>
        <v>0</v>
      </c>
    </row>
    <row r="421" spans="1:19" s="432" customFormat="1">
      <c r="A421" s="263" t="s">
        <v>621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J421*276500</f>
        <v>0</v>
      </c>
    </row>
    <row r="422" spans="1:19" s="432" customFormat="1">
      <c r="A422" s="263" t="s">
        <v>622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C422*184000</f>
        <v>0</v>
      </c>
      <c r="L422" s="575"/>
      <c r="M422" s="508"/>
      <c r="N422" s="598">
        <f>F422*166000</f>
        <v>0</v>
      </c>
      <c r="O422" s="497"/>
      <c r="P422" s="590"/>
      <c r="Q422" s="498"/>
      <c r="R422" s="495">
        <f t="shared" si="85"/>
        <v>0</v>
      </c>
      <c r="S422" s="495">
        <f>J422*21200</f>
        <v>0</v>
      </c>
    </row>
    <row r="423" spans="1:19" s="432" customFormat="1">
      <c r="A423" s="263" t="s">
        <v>623</v>
      </c>
      <c r="B423" s="688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85"/>
        <v>0</v>
      </c>
      <c r="S423" s="495">
        <f>J423*12500</f>
        <v>0</v>
      </c>
    </row>
    <row r="424" spans="1:19" s="432" customFormat="1">
      <c r="A424" s="263" t="s">
        <v>624</v>
      </c>
      <c r="B424" s="688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J424*8700</f>
        <v>0</v>
      </c>
    </row>
    <row r="425" spans="1:19" s="432" customFormat="1">
      <c r="A425" s="265" t="s">
        <v>625</v>
      </c>
      <c r="B425" s="688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J425*46600</f>
        <v>0</v>
      </c>
    </row>
    <row r="426" spans="1:19" s="432" customFormat="1">
      <c r="A426" s="265" t="s">
        <v>626</v>
      </c>
      <c r="B426" s="688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85"/>
        <v>0</v>
      </c>
      <c r="S426" s="495">
        <f>J426*31200</f>
        <v>0</v>
      </c>
    </row>
    <row r="427" spans="1:19" s="432" customFormat="1">
      <c r="A427" s="265" t="s">
        <v>627</v>
      </c>
      <c r="B427" s="688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J427*75200</f>
        <v>0</v>
      </c>
    </row>
    <row r="428" spans="1:19" s="432" customFormat="1">
      <c r="A428" s="265" t="s">
        <v>628</v>
      </c>
      <c r="B428" s="688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J428*12100</f>
        <v>0</v>
      </c>
    </row>
    <row r="429" spans="1:19" s="432" customFormat="1">
      <c r="A429" s="263" t="s">
        <v>629</v>
      </c>
      <c r="B429" s="688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J429*158660</f>
        <v>0</v>
      </c>
    </row>
    <row r="430" spans="1:19" s="432" customFormat="1">
      <c r="A430" s="265" t="s">
        <v>630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J430*14200</f>
        <v>0</v>
      </c>
    </row>
    <row r="431" spans="1:19" s="432" customFormat="1">
      <c r="A431" s="265" t="s">
        <v>631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J431*11100</f>
        <v>0</v>
      </c>
    </row>
    <row r="432" spans="1:19" s="432" customFormat="1">
      <c r="A432" s="265" t="s">
        <v>632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f>C432*184000</f>
        <v>0</v>
      </c>
      <c r="L432" s="575"/>
      <c r="M432" s="508"/>
      <c r="N432" s="598">
        <f>F432*166000</f>
        <v>0</v>
      </c>
      <c r="O432" s="497"/>
      <c r="P432" s="590"/>
      <c r="Q432" s="498"/>
      <c r="R432" s="495">
        <f t="shared" si="85"/>
        <v>0</v>
      </c>
      <c r="S432" s="495">
        <f>J432*14900</f>
        <v>0</v>
      </c>
    </row>
    <row r="433" spans="1:19" s="432" customFormat="1">
      <c r="A433" s="263" t="s">
        <v>633</v>
      </c>
      <c r="B433" s="688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J433*6400</f>
        <v>0</v>
      </c>
    </row>
    <row r="434" spans="1:19" s="432" customFormat="1">
      <c r="A434" s="265" t="s">
        <v>634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J434*99400</f>
        <v>0</v>
      </c>
    </row>
    <row r="435" spans="1:19" s="432" customFormat="1">
      <c r="A435" s="265" t="s">
        <v>635</v>
      </c>
      <c r="B435" s="688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J435*11300</f>
        <v>0</v>
      </c>
    </row>
    <row r="436" spans="1:19" s="432" customFormat="1">
      <c r="A436" s="265" t="s">
        <v>636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J436*67500</f>
        <v>0</v>
      </c>
    </row>
    <row r="437" spans="1:19" s="432" customFormat="1">
      <c r="A437" s="263" t="s">
        <v>637</v>
      </c>
      <c r="B437" s="688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J437*31750</f>
        <v>0</v>
      </c>
    </row>
    <row r="438" spans="1:19" s="432" customFormat="1">
      <c r="A438" s="265" t="s">
        <v>638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J438*16020</f>
        <v>0</v>
      </c>
    </row>
    <row r="439" spans="1:19" s="432" customFormat="1">
      <c r="A439" s="265" t="s">
        <v>639</v>
      </c>
      <c r="B439" s="688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J439*13600</f>
        <v>0</v>
      </c>
    </row>
    <row r="440" spans="1:19" s="432" customFormat="1">
      <c r="A440" s="265" t="s">
        <v>640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J440*13600</f>
        <v>0</v>
      </c>
    </row>
    <row r="441" spans="1:19" s="432" customFormat="1">
      <c r="A441" s="263" t="s">
        <v>641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J441*31200</f>
        <v>0</v>
      </c>
    </row>
    <row r="442" spans="1:19" s="432" customFormat="1">
      <c r="A442" s="263" t="s">
        <v>643</v>
      </c>
      <c r="B442" s="688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95">
        <f>C442*880000</f>
        <v>0</v>
      </c>
      <c r="L442" s="575"/>
      <c r="M442" s="508"/>
      <c r="N442" s="598">
        <f>F442*792000</f>
        <v>0</v>
      </c>
      <c r="O442" s="497"/>
      <c r="P442" s="590"/>
      <c r="Q442" s="498"/>
      <c r="R442" s="495">
        <f t="shared" si="85"/>
        <v>0</v>
      </c>
      <c r="S442" s="495">
        <f>J442*48800</f>
        <v>0</v>
      </c>
    </row>
    <row r="443" spans="1:19" s="432" customFormat="1">
      <c r="A443" s="263" t="s">
        <v>642</v>
      </c>
      <c r="B443" s="688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f>C443*1000000</f>
        <v>0</v>
      </c>
      <c r="L443" s="575"/>
      <c r="M443" s="508"/>
      <c r="N443" s="598">
        <f>F443*900000</f>
        <v>0</v>
      </c>
      <c r="O443" s="497"/>
      <c r="P443" s="590"/>
      <c r="Q443" s="498"/>
      <c r="R443" s="495">
        <f t="shared" ref="R443:R474" si="87">SUM(K443:Q443)</f>
        <v>0</v>
      </c>
      <c r="S443" s="495">
        <f>J443*79700</f>
        <v>0</v>
      </c>
    </row>
    <row r="444" spans="1:19" s="432" customFormat="1">
      <c r="A444" s="265" t="s">
        <v>644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7"/>
        <v>0</v>
      </c>
      <c r="S444" s="495">
        <f>J444*168900</f>
        <v>0</v>
      </c>
    </row>
    <row r="445" spans="1:19" s="432" customFormat="1">
      <c r="A445" s="265" t="s">
        <v>645</v>
      </c>
      <c r="B445" s="688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7"/>
        <v>0</v>
      </c>
      <c r="S445" s="495">
        <f>J445*10600</f>
        <v>0</v>
      </c>
    </row>
    <row r="446" spans="1:19" s="432" customFormat="1">
      <c r="A446" s="263" t="s">
        <v>646</v>
      </c>
      <c r="B446" s="688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7"/>
        <v>0</v>
      </c>
      <c r="S446" s="495">
        <f>J446*6780</f>
        <v>0</v>
      </c>
    </row>
    <row r="447" spans="1:19" s="432" customFormat="1">
      <c r="A447" s="263" t="s">
        <v>647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95">
        <f>C447*136000</f>
        <v>0</v>
      </c>
      <c r="L447" s="575"/>
      <c r="M447" s="508"/>
      <c r="N447" s="598">
        <f>F447*122000</f>
        <v>0</v>
      </c>
      <c r="O447" s="497"/>
      <c r="P447" s="590"/>
      <c r="Q447" s="498"/>
      <c r="R447" s="495">
        <f t="shared" si="87"/>
        <v>0</v>
      </c>
      <c r="S447" s="495">
        <f>J447*15700</f>
        <v>0</v>
      </c>
    </row>
    <row r="448" spans="1:19" s="432" customFormat="1">
      <c r="A448" s="263" t="s">
        <v>648</v>
      </c>
      <c r="B448" s="688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J448*9459</f>
        <v>0</v>
      </c>
    </row>
    <row r="449" spans="1:19" s="432" customFormat="1">
      <c r="A449" s="263" t="s">
        <v>649</v>
      </c>
      <c r="B449" s="688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J449*13600</f>
        <v>0</v>
      </c>
    </row>
    <row r="450" spans="1:19" s="432" customFormat="1">
      <c r="A450" s="265" t="s">
        <v>650</v>
      </c>
      <c r="B450" s="688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J450*45060</f>
        <v>0</v>
      </c>
    </row>
    <row r="451" spans="1:19" s="432" customFormat="1">
      <c r="A451" s="265" t="s">
        <v>651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J451*44300</f>
        <v>0</v>
      </c>
    </row>
    <row r="452" spans="1:19" s="432" customFormat="1">
      <c r="A452" s="263" t="s">
        <v>652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J452*56500</f>
        <v>0</v>
      </c>
    </row>
    <row r="453" spans="1:19" s="432" customFormat="1">
      <c r="A453" s="265" t="s">
        <v>653</v>
      </c>
      <c r="B453" s="688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J453*31750</f>
        <v>0</v>
      </c>
    </row>
    <row r="454" spans="1:19" s="432" customFormat="1">
      <c r="A454" s="265" t="s">
        <v>654</v>
      </c>
      <c r="B454" s="688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J454*43300</f>
        <v>0</v>
      </c>
    </row>
    <row r="455" spans="1:19" s="432" customFormat="1">
      <c r="A455" s="265" t="s">
        <v>655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87"/>
        <v>0</v>
      </c>
      <c r="S455" s="495">
        <f>J455*21700</f>
        <v>0</v>
      </c>
    </row>
    <row r="456" spans="1:19" s="432" customFormat="1">
      <c r="A456" s="265" t="s">
        <v>656</v>
      </c>
      <c r="B456" s="688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95">
        <f>C456*228000</f>
        <v>0</v>
      </c>
      <c r="L456" s="575"/>
      <c r="M456" s="508"/>
      <c r="N456" s="598">
        <f>F456*205000</f>
        <v>0</v>
      </c>
      <c r="O456" s="497"/>
      <c r="P456" s="590"/>
      <c r="Q456" s="498"/>
      <c r="R456" s="495">
        <f t="shared" si="87"/>
        <v>0</v>
      </c>
      <c r="S456" s="495">
        <f>J456*42900</f>
        <v>0</v>
      </c>
    </row>
    <row r="457" spans="1:19" s="432" customFormat="1">
      <c r="A457" s="265" t="s">
        <v>685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f>C457*184000</f>
        <v>0</v>
      </c>
      <c r="L457" s="575"/>
      <c r="M457" s="508"/>
      <c r="N457" s="598">
        <f>F457*166000</f>
        <v>0</v>
      </c>
      <c r="O457" s="497"/>
      <c r="P457" s="590"/>
      <c r="Q457" s="498"/>
      <c r="R457" s="495">
        <f t="shared" si="87"/>
        <v>0</v>
      </c>
      <c r="S457" s="495">
        <f>J457*21200</f>
        <v>0</v>
      </c>
    </row>
    <row r="458" spans="1:19" s="432" customFormat="1">
      <c r="A458" s="265" t="s">
        <v>657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J458*45500</f>
        <v>0</v>
      </c>
    </row>
    <row r="459" spans="1:19" s="432" customFormat="1">
      <c r="A459" s="265" t="s">
        <v>658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J459*15200</f>
        <v>0</v>
      </c>
    </row>
    <row r="460" spans="1:19" s="432" customFormat="1">
      <c r="A460" s="265" t="s">
        <v>659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C460*184000</f>
        <v>0</v>
      </c>
      <c r="L460" s="575"/>
      <c r="M460" s="508"/>
      <c r="N460" s="598">
        <f>F460*166000</f>
        <v>0</v>
      </c>
      <c r="O460" s="497"/>
      <c r="P460" s="590"/>
      <c r="Q460" s="498"/>
      <c r="R460" s="495">
        <f t="shared" si="87"/>
        <v>0</v>
      </c>
      <c r="S460" s="495">
        <f>J460*22800</f>
        <v>0</v>
      </c>
    </row>
    <row r="461" spans="1:19" s="432" customFormat="1">
      <c r="A461" s="265" t="s">
        <v>660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C461*128000</f>
        <v>0</v>
      </c>
      <c r="L461" s="575"/>
      <c r="M461" s="508"/>
      <c r="N461" s="598">
        <f>F461*115000</f>
        <v>0</v>
      </c>
      <c r="O461" s="497"/>
      <c r="P461" s="590"/>
      <c r="Q461" s="498"/>
      <c r="R461" s="495">
        <f t="shared" si="87"/>
        <v>0</v>
      </c>
      <c r="S461" s="495">
        <f>J461*10400</f>
        <v>0</v>
      </c>
    </row>
    <row r="462" spans="1:19" s="432" customFormat="1">
      <c r="A462" s="265" t="s">
        <v>662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J462*36700</f>
        <v>0</v>
      </c>
    </row>
    <row r="463" spans="1:19" s="432" customFormat="1">
      <c r="A463" s="265" t="s">
        <v>663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J463*19980</f>
        <v>0</v>
      </c>
    </row>
    <row r="464" spans="1:19" s="432" customFormat="1">
      <c r="A464" s="265" t="s">
        <v>664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J464*16900</f>
        <v>0</v>
      </c>
    </row>
    <row r="465" spans="1:19" s="432" customFormat="1">
      <c r="A465" s="265" t="s">
        <v>665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J465*11100</f>
        <v>0</v>
      </c>
    </row>
    <row r="466" spans="1:19" s="432" customFormat="1">
      <c r="A466" s="263" t="s">
        <v>666</v>
      </c>
      <c r="B466" s="688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J466*10100</f>
        <v>0</v>
      </c>
    </row>
    <row r="467" spans="1:19" s="432" customFormat="1">
      <c r="A467" s="265" t="s">
        <v>667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J467*26800</f>
        <v>0</v>
      </c>
    </row>
    <row r="468" spans="1:19" s="432" customFormat="1">
      <c r="A468" s="265" t="s">
        <v>668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J468*13100</f>
        <v>0</v>
      </c>
    </row>
    <row r="469" spans="1:19" s="432" customFormat="1">
      <c r="A469" s="263" t="s">
        <v>669</v>
      </c>
      <c r="B469" s="688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J469*7400</f>
        <v>0</v>
      </c>
    </row>
    <row r="470" spans="1:19" s="432" customFormat="1">
      <c r="A470" s="265" t="s">
        <v>670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J470*30100</f>
        <v>0</v>
      </c>
    </row>
    <row r="471" spans="1:19" s="432" customFormat="1">
      <c r="A471" s="265" t="s">
        <v>671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J471*66400</f>
        <v>0</v>
      </c>
    </row>
    <row r="472" spans="1:19" s="432" customFormat="1">
      <c r="A472" s="265" t="s">
        <v>672</v>
      </c>
      <c r="B472" s="688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J472*26800</f>
        <v>0</v>
      </c>
    </row>
    <row r="473" spans="1:19" s="432" customFormat="1">
      <c r="A473" s="265" t="s">
        <v>673</v>
      </c>
      <c r="B473" s="688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J473*41100</f>
        <v>0</v>
      </c>
    </row>
    <row r="474" spans="1:19" s="432" customFormat="1">
      <c r="A474" s="265" t="s">
        <v>674</v>
      </c>
      <c r="B474" s="688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95">
        <f>C474*1000000</f>
        <v>0</v>
      </c>
      <c r="L474" s="575"/>
      <c r="M474" s="508"/>
      <c r="N474" s="598">
        <f>F474*900000</f>
        <v>0</v>
      </c>
      <c r="O474" s="497"/>
      <c r="P474" s="590"/>
      <c r="Q474" s="498"/>
      <c r="R474" s="495">
        <f t="shared" si="87"/>
        <v>0</v>
      </c>
      <c r="S474" s="495">
        <f>J474*25900</f>
        <v>0</v>
      </c>
    </row>
    <row r="475" spans="1:19" s="432" customFormat="1">
      <c r="A475" s="265" t="s">
        <v>676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ref="R475:R506" si="89">SUM(K475:Q475)</f>
        <v>0</v>
      </c>
      <c r="S475" s="495">
        <f>J475*70800</f>
        <v>0</v>
      </c>
    </row>
    <row r="476" spans="1:19" s="432" customFormat="1">
      <c r="A476" s="265" t="s">
        <v>675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ref="J476:J507" si="90">SUM(B476:I476)</f>
        <v>0</v>
      </c>
      <c r="K476" s="495">
        <f>C476*184000</f>
        <v>0</v>
      </c>
      <c r="L476" s="575"/>
      <c r="M476" s="508"/>
      <c r="N476" s="598">
        <f>F476*166000</f>
        <v>0</v>
      </c>
      <c r="O476" s="497"/>
      <c r="P476" s="590"/>
      <c r="Q476" s="498"/>
      <c r="R476" s="495">
        <f t="shared" si="89"/>
        <v>0</v>
      </c>
      <c r="S476" s="495">
        <f>J476*21700</f>
        <v>0</v>
      </c>
    </row>
    <row r="477" spans="1:19" s="432" customFormat="1">
      <c r="A477" s="265" t="s">
        <v>677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9"/>
        <v>0</v>
      </c>
      <c r="S477" s="495">
        <f>J477*19100</f>
        <v>0</v>
      </c>
    </row>
    <row r="478" spans="1:19" s="432" customFormat="1">
      <c r="A478" s="265" t="s">
        <v>678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9"/>
        <v>0</v>
      </c>
      <c r="S478" s="495">
        <f>J478*32200</f>
        <v>0</v>
      </c>
    </row>
    <row r="479" spans="1:19" s="432" customFormat="1">
      <c r="A479" s="265" t="s">
        <v>679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9"/>
        <v>0</v>
      </c>
      <c r="S479" s="495">
        <f>J479*45600</f>
        <v>0</v>
      </c>
    </row>
    <row r="480" spans="1:19" s="432" customFormat="1">
      <c r="A480" s="265" t="s">
        <v>680</v>
      </c>
      <c r="B480" s="688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89"/>
        <v>0</v>
      </c>
      <c r="S480" s="495">
        <f>J480*62600</f>
        <v>0</v>
      </c>
    </row>
    <row r="481" spans="1:19" s="432" customFormat="1">
      <c r="A481" s="265" t="s">
        <v>681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J481*29300</f>
        <v>0</v>
      </c>
    </row>
    <row r="482" spans="1:19" s="432" customFormat="1">
      <c r="A482" s="265" t="s">
        <v>682</v>
      </c>
      <c r="B482" s="683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J482*28700</f>
        <v>0</v>
      </c>
    </row>
    <row r="483" spans="1:19" s="432" customFormat="1">
      <c r="A483" s="265"/>
      <c r="B483" s="475"/>
      <c r="C483" s="26"/>
      <c r="D483" s="187"/>
      <c r="E483" s="187"/>
      <c r="F483" s="150"/>
      <c r="G483" s="154"/>
      <c r="H483" s="70"/>
      <c r="I483" s="103"/>
      <c r="J483" s="26"/>
      <c r="K483" s="495"/>
      <c r="L483" s="575"/>
      <c r="M483" s="508"/>
      <c r="N483" s="598"/>
      <c r="O483" s="497"/>
      <c r="P483" s="590"/>
      <c r="Q483" s="498"/>
      <c r="R483" s="495"/>
      <c r="S483" s="495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9">
        <f t="shared" si="91"/>
        <v>0</v>
      </c>
      <c r="L484" s="619">
        <f t="shared" si="91"/>
        <v>0</v>
      </c>
      <c r="M484" s="619">
        <f t="shared" si="91"/>
        <v>0</v>
      </c>
      <c r="N484" s="619">
        <f t="shared" si="91"/>
        <v>0</v>
      </c>
      <c r="O484" s="619">
        <f t="shared" si="91"/>
        <v>0</v>
      </c>
      <c r="P484" s="619">
        <f t="shared" si="91"/>
        <v>0</v>
      </c>
      <c r="Q484" s="619">
        <f t="shared" si="91"/>
        <v>0</v>
      </c>
      <c r="R484" s="619">
        <f>SUM(K484:Q484)</f>
        <v>0</v>
      </c>
      <c r="S484" s="619">
        <f>SUM(S413:S483)</f>
        <v>0</v>
      </c>
    </row>
    <row r="485" spans="1:19" s="432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72"/>
      <c r="L485" s="575"/>
      <c r="M485" s="508"/>
      <c r="N485" s="509"/>
      <c r="O485" s="497"/>
      <c r="P485" s="590"/>
      <c r="Q485" s="498"/>
      <c r="R485" s="495"/>
      <c r="S485" s="495"/>
    </row>
    <row r="486" spans="1:19" s="432" customFormat="1" ht="16.5" customHeight="1">
      <c r="A486" s="265" t="s">
        <v>687</v>
      </c>
      <c r="B486" s="687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72">
        <f>C486*156000</f>
        <v>156000</v>
      </c>
      <c r="L486" s="575"/>
      <c r="M486" s="508">
        <f>E486*156000</f>
        <v>0</v>
      </c>
      <c r="N486" s="509">
        <f>F486*124800</f>
        <v>0</v>
      </c>
      <c r="O486" s="497"/>
      <c r="P486" s="590"/>
      <c r="Q486" s="498"/>
      <c r="R486" s="495">
        <f t="shared" ref="R486:R491" si="92">SUM(K486:Q486)</f>
        <v>156000</v>
      </c>
      <c r="S486" s="495">
        <f>J486*22320</f>
        <v>22320</v>
      </c>
    </row>
    <row r="487" spans="1:19" s="217" customFormat="1">
      <c r="A487" s="265" t="s">
        <v>689</v>
      </c>
      <c r="B487" s="688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72">
        <f>C487*44000</f>
        <v>0</v>
      </c>
      <c r="L487" s="621"/>
      <c r="M487" s="508">
        <f>E487*44000</f>
        <v>0</v>
      </c>
      <c r="N487" s="509">
        <f>F487*35200</f>
        <v>0</v>
      </c>
      <c r="O487" s="621"/>
      <c r="P487" s="622"/>
      <c r="Q487" s="623"/>
      <c r="R487" s="495">
        <f t="shared" si="92"/>
        <v>0</v>
      </c>
      <c r="S487" s="495">
        <f>J487*10230</f>
        <v>0</v>
      </c>
    </row>
    <row r="488" spans="1:19" s="217" customFormat="1">
      <c r="A488" s="265" t="s">
        <v>690</v>
      </c>
      <c r="B488" s="688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72">
        <f>C488*44000</f>
        <v>0</v>
      </c>
      <c r="L488" s="621"/>
      <c r="M488" s="508">
        <f>E488*44000</f>
        <v>0</v>
      </c>
      <c r="N488" s="509">
        <f>F488*35200</f>
        <v>0</v>
      </c>
      <c r="O488" s="621"/>
      <c r="P488" s="622"/>
      <c r="Q488" s="623"/>
      <c r="R488" s="495">
        <f t="shared" si="92"/>
        <v>0</v>
      </c>
      <c r="S488" s="495">
        <f>J488*10780</f>
        <v>0</v>
      </c>
    </row>
    <row r="489" spans="1:19" s="217" customFormat="1">
      <c r="A489" s="265" t="s">
        <v>691</v>
      </c>
      <c r="B489" s="688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72">
        <f>C489*66000</f>
        <v>0</v>
      </c>
      <c r="L489" s="621"/>
      <c r="M489" s="508">
        <f>E489*66000</f>
        <v>0</v>
      </c>
      <c r="N489" s="509">
        <f>F489*52800</f>
        <v>0</v>
      </c>
      <c r="O489" s="621"/>
      <c r="P489" s="622"/>
      <c r="Q489" s="623"/>
      <c r="R489" s="495">
        <f t="shared" si="92"/>
        <v>0</v>
      </c>
      <c r="S489" s="495">
        <f>J489*14300</f>
        <v>0</v>
      </c>
    </row>
    <row r="490" spans="1:19" s="306" customFormat="1">
      <c r="A490" s="265" t="s">
        <v>692</v>
      </c>
      <c r="B490" s="683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72">
        <f>C490*36000</f>
        <v>0</v>
      </c>
      <c r="L490" s="621"/>
      <c r="M490" s="508">
        <f>E490*36000</f>
        <v>0</v>
      </c>
      <c r="N490" s="509">
        <f>F490*28800</f>
        <v>0</v>
      </c>
      <c r="O490" s="621"/>
      <c r="P490" s="622"/>
      <c r="Q490" s="623"/>
      <c r="R490" s="495">
        <f t="shared" si="92"/>
        <v>0</v>
      </c>
      <c r="S490" s="495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24">
        <f t="shared" ref="K491:Q491" si="94">SUM(K485:K490)</f>
        <v>156000</v>
      </c>
      <c r="L491" s="624">
        <f t="shared" si="94"/>
        <v>0</v>
      </c>
      <c r="M491" s="624">
        <f t="shared" si="94"/>
        <v>0</v>
      </c>
      <c r="N491" s="624">
        <f t="shared" si="94"/>
        <v>0</v>
      </c>
      <c r="O491" s="624">
        <f t="shared" si="94"/>
        <v>0</v>
      </c>
      <c r="P491" s="624">
        <f t="shared" si="94"/>
        <v>0</v>
      </c>
      <c r="Q491" s="624">
        <f t="shared" si="94"/>
        <v>0</v>
      </c>
      <c r="R491" s="625">
        <f t="shared" si="92"/>
        <v>156000</v>
      </c>
      <c r="S491" s="626">
        <f>SUM(S485:S490)</f>
        <v>22320</v>
      </c>
    </row>
    <row r="492" spans="1:19">
      <c r="A492" s="356"/>
      <c r="D492" s="127"/>
      <c r="E492" s="128"/>
      <c r="F492" s="471"/>
      <c r="G492" s="7"/>
      <c r="H492" s="471"/>
      <c r="I492" s="690" t="s">
        <v>694</v>
      </c>
      <c r="J492" s="691"/>
      <c r="K492" s="627">
        <f>K491+K484+K411</f>
        <v>296000</v>
      </c>
      <c r="L492" s="628"/>
      <c r="M492" s="629"/>
      <c r="N492" s="629"/>
      <c r="O492" s="629"/>
      <c r="P492" s="630"/>
      <c r="Q492" s="631"/>
      <c r="R492" s="627">
        <f>R491+R484+R411</f>
        <v>296000</v>
      </c>
      <c r="S492" s="632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601"/>
      <c r="L493" s="601"/>
      <c r="M493" s="602"/>
      <c r="N493" s="602"/>
      <c r="O493" s="603"/>
      <c r="P493" s="604"/>
      <c r="Q493" s="605"/>
      <c r="R493" s="601"/>
      <c r="S493" s="606"/>
    </row>
    <row r="494" spans="1:19" s="432" customFormat="1" ht="17.25" customHeight="1" thickBot="1">
      <c r="A494" t="s">
        <v>695</v>
      </c>
      <c r="C494" s="425"/>
      <c r="F494" s="144"/>
      <c r="J494" s="145"/>
      <c r="K494" s="633"/>
      <c r="L494" s="633"/>
      <c r="M494" s="633"/>
      <c r="N494" s="633"/>
      <c r="O494" s="556"/>
      <c r="P494" s="633"/>
      <c r="Q494" s="633"/>
      <c r="R494"/>
    </row>
    <row r="495" spans="1:19" s="432" customFormat="1">
      <c r="A495" t="s">
        <v>696</v>
      </c>
      <c r="C495" s="425"/>
      <c r="F495" s="144"/>
      <c r="J495" s="126"/>
      <c r="K495" s="634" t="s">
        <v>697</v>
      </c>
      <c r="L495" s="635" t="s">
        <v>698</v>
      </c>
      <c r="M495" s="636" t="s">
        <v>699</v>
      </c>
      <c r="N495" s="637" t="s">
        <v>700</v>
      </c>
      <c r="O495" s="638"/>
      <c r="P495" s="639" t="s">
        <v>118</v>
      </c>
      <c r="Q495" s="640"/>
      <c r="R495" s="533"/>
      <c r="S495"/>
    </row>
    <row r="496" spans="1:19" s="432" customFormat="1">
      <c r="A496"/>
      <c r="C496" s="425"/>
      <c r="F496" s="144"/>
      <c r="J496" s="126" t="s">
        <v>701</v>
      </c>
      <c r="K496" s="641">
        <f>R24+R44+R61+R85+R102+R120+R127+R133+R141+R159</f>
        <v>202925900</v>
      </c>
      <c r="L496" s="565">
        <f>R222+R232+R238+R246</f>
        <v>32090110</v>
      </c>
      <c r="M496" s="532">
        <f>R492</f>
        <v>296000</v>
      </c>
      <c r="N496" s="642">
        <f>R259+R330</f>
        <v>9414900</v>
      </c>
      <c r="O496" s="533"/>
      <c r="P496" s="643">
        <f>SUM(K496:O496)</f>
        <v>244726910</v>
      </c>
      <c r="Q496" s="640"/>
      <c r="R496" s="533"/>
      <c r="S496"/>
    </row>
    <row r="497" spans="1:19" s="432" customFormat="1" ht="17.25" customHeight="1" thickBot="1">
      <c r="A497" t="s">
        <v>702</v>
      </c>
      <c r="C497" s="425"/>
      <c r="F497" s="144"/>
      <c r="J497" s="357" t="s">
        <v>30</v>
      </c>
      <c r="K497" s="644">
        <f>S24+S44+S61+S85+S102+S120+S127+S133+S141+S159</f>
        <v>97837636</v>
      </c>
      <c r="L497" s="645">
        <f>S222+S232+S238+S246</f>
        <v>7291323</v>
      </c>
      <c r="M497" s="646">
        <f>S492</f>
        <v>52630</v>
      </c>
      <c r="N497" s="647">
        <f>S259+S330</f>
        <v>3623381</v>
      </c>
      <c r="O497" s="648"/>
      <c r="P497" s="649">
        <f>SUM(K497:O497)</f>
        <v>108804970</v>
      </c>
      <c r="Q497" s="640"/>
      <c r="R497" s="640"/>
      <c r="S497"/>
    </row>
    <row r="498" spans="1:19" s="432" customFormat="1">
      <c r="A498" t="s">
        <v>703</v>
      </c>
      <c r="C498" s="425"/>
      <c r="F498" s="144"/>
      <c r="K498" s="495"/>
      <c r="L498" s="495"/>
      <c r="M498" s="496"/>
      <c r="N498" s="650"/>
      <c r="O498" s="573" t="s">
        <v>704</v>
      </c>
      <c r="P498" s="651" t="s">
        <v>30</v>
      </c>
      <c r="Q498" s="498"/>
      <c r="R498" s="496"/>
      <c r="S498"/>
    </row>
    <row r="499" spans="1:19" s="432" customFormat="1">
      <c r="A499"/>
      <c r="C499" s="425"/>
      <c r="F499" s="144"/>
      <c r="K499" s="495"/>
      <c r="L499" s="495"/>
      <c r="M499" s="496"/>
      <c r="N499" s="650" t="s">
        <v>705</v>
      </c>
      <c r="O499" s="574">
        <f>K496</f>
        <v>202925900</v>
      </c>
      <c r="P499" s="652">
        <f>K497</f>
        <v>97837636</v>
      </c>
      <c r="Q499" s="557"/>
      <c r="R499" s="522"/>
      <c r="S499"/>
    </row>
    <row r="500" spans="1:19" s="432" customFormat="1">
      <c r="A500" t="s">
        <v>706</v>
      </c>
      <c r="B500" s="129"/>
      <c r="C500" s="425"/>
      <c r="F500" s="144"/>
      <c r="H500" s="174"/>
      <c r="I500" s="174"/>
      <c r="J500" s="175"/>
      <c r="K500" s="495"/>
      <c r="L500" s="495"/>
      <c r="M500" s="496"/>
      <c r="N500" s="653" t="s">
        <v>707</v>
      </c>
      <c r="O500" s="654">
        <f>L496</f>
        <v>32090110</v>
      </c>
      <c r="P500" s="655">
        <f>L497</f>
        <v>7291323</v>
      </c>
      <c r="Q500" s="656"/>
      <c r="R500" s="656"/>
      <c r="S500"/>
    </row>
    <row r="501" spans="1:19" s="432" customFormat="1">
      <c r="A501" t="s">
        <v>708</v>
      </c>
      <c r="C501" s="425"/>
      <c r="F501" s="144"/>
      <c r="K501" s="495"/>
      <c r="L501" s="495"/>
      <c r="M501" s="496"/>
      <c r="N501" s="657" t="s">
        <v>709</v>
      </c>
      <c r="O501" s="621">
        <f>N496</f>
        <v>9414900</v>
      </c>
      <c r="P501" s="658">
        <f>N497</f>
        <v>3623381</v>
      </c>
      <c r="Q501" s="659"/>
      <c r="R501" s="659"/>
      <c r="S501"/>
    </row>
    <row r="502" spans="1:19" s="432" customFormat="1">
      <c r="A502" t="s">
        <v>710</v>
      </c>
      <c r="C502" s="425"/>
      <c r="F502" s="144"/>
      <c r="K502" s="495"/>
      <c r="L502" s="660"/>
      <c r="M502" s="496"/>
      <c r="N502" s="661" t="s">
        <v>699</v>
      </c>
      <c r="O502" s="598">
        <f>M496</f>
        <v>296000</v>
      </c>
      <c r="P502" s="662">
        <f>M497</f>
        <v>52630</v>
      </c>
      <c r="Q502" s="598"/>
      <c r="R502" s="663"/>
      <c r="S502"/>
    </row>
    <row r="503" spans="1:19" s="432" customFormat="1">
      <c r="A503" t="s">
        <v>711</v>
      </c>
      <c r="C503" s="425"/>
      <c r="F503" s="171"/>
      <c r="G503" s="170"/>
      <c r="K503" s="495"/>
      <c r="L503" s="660"/>
      <c r="M503" s="496"/>
      <c r="N503" s="664"/>
      <c r="O503" s="665"/>
      <c r="P503" s="666"/>
      <c r="Q503" s="663"/>
      <c r="R503" s="667"/>
      <c r="S503"/>
    </row>
    <row r="504" spans="1:19" s="432" customFormat="1">
      <c r="A504" t="s">
        <v>712</v>
      </c>
      <c r="C504" s="425"/>
      <c r="F504" s="171"/>
      <c r="K504" s="495"/>
      <c r="L504" s="495"/>
      <c r="M504" s="496"/>
      <c r="N504" s="668" t="s">
        <v>118</v>
      </c>
      <c r="O504" s="669">
        <f>SUM(O499:O503)</f>
        <v>244726910</v>
      </c>
      <c r="P504" s="670">
        <f>SUM(P499:P503)</f>
        <v>108804970</v>
      </c>
      <c r="Q504" s="557"/>
      <c r="R504" s="496"/>
      <c r="S504"/>
    </row>
    <row r="505" spans="1:19" s="432" customFormat="1">
      <c r="A505" t="s">
        <v>713</v>
      </c>
      <c r="B505" s="393"/>
      <c r="C505" s="425"/>
      <c r="K505" s="496"/>
      <c r="L505" s="621" t="s">
        <v>709</v>
      </c>
      <c r="M505" s="496" t="s">
        <v>705</v>
      </c>
      <c r="N505" s="671" t="s">
        <v>707</v>
      </c>
      <c r="O505" s="598" t="s">
        <v>699</v>
      </c>
      <c r="P505" s="672" t="s">
        <v>10</v>
      </c>
      <c r="Q505" s="564" t="s">
        <v>714</v>
      </c>
      <c r="R505" s="432" t="s">
        <v>715</v>
      </c>
      <c r="S505" s="672"/>
    </row>
    <row r="506" spans="1:19">
      <c r="A506" t="s">
        <v>716</v>
      </c>
      <c r="E506" s="212"/>
      <c r="K506" s="496" t="s">
        <v>4</v>
      </c>
      <c r="L506" s="621">
        <v>8382100</v>
      </c>
      <c r="M506" s="496">
        <v>168967500</v>
      </c>
      <c r="N506" s="673">
        <v>25481590</v>
      </c>
      <c r="O506" s="598">
        <v>296000</v>
      </c>
      <c r="P506" s="674">
        <f t="shared" ref="P506:P511" si="95">SUM(L506:O506)</f>
        <v>203127190</v>
      </c>
      <c r="Q506" s="495">
        <v>203125194</v>
      </c>
      <c r="R506" s="210"/>
      <c r="S506" s="674"/>
    </row>
    <row r="507" spans="1:19">
      <c r="A507" t="s">
        <v>717</v>
      </c>
      <c r="K507" s="496"/>
      <c r="L507" s="621">
        <v>3187718</v>
      </c>
      <c r="M507" s="496">
        <v>79425349</v>
      </c>
      <c r="N507" s="673">
        <v>5569558</v>
      </c>
      <c r="O507" s="598">
        <v>52630</v>
      </c>
      <c r="P507" s="674">
        <f t="shared" si="95"/>
        <v>88235255</v>
      </c>
      <c r="Q507" s="495">
        <v>88101170</v>
      </c>
      <c r="R507" s="210"/>
      <c r="S507" s="674"/>
    </row>
    <row r="508" spans="1:19">
      <c r="K508" s="496" t="s">
        <v>718</v>
      </c>
      <c r="L508" s="621"/>
      <c r="N508" s="673"/>
      <c r="O508" s="598"/>
      <c r="P508" s="674">
        <f t="shared" si="95"/>
        <v>0</v>
      </c>
      <c r="Q508" s="495"/>
      <c r="R508" s="210"/>
      <c r="S508" s="674"/>
    </row>
    <row r="509" spans="1:19">
      <c r="K509" s="496"/>
      <c r="L509" s="621"/>
      <c r="N509" s="673"/>
      <c r="O509" s="598"/>
      <c r="P509" s="674">
        <f t="shared" si="95"/>
        <v>0</v>
      </c>
      <c r="Q509" s="495"/>
      <c r="R509" s="210"/>
      <c r="S509" s="674"/>
    </row>
    <row r="510" spans="1:19">
      <c r="K510" s="496" t="s">
        <v>6</v>
      </c>
      <c r="L510" s="621">
        <f>N496-L506-L508</f>
        <v>1032800</v>
      </c>
      <c r="M510" s="496">
        <f t="shared" ref="M510:O511" si="96">K496-M506-M508</f>
        <v>33958400</v>
      </c>
      <c r="N510" s="673">
        <f t="shared" si="96"/>
        <v>6608520</v>
      </c>
      <c r="O510" s="598">
        <f t="shared" si="96"/>
        <v>0</v>
      </c>
      <c r="P510" s="674">
        <f t="shared" si="95"/>
        <v>41599720</v>
      </c>
      <c r="Q510" s="495">
        <v>41599720</v>
      </c>
      <c r="R510" s="210"/>
      <c r="S510" s="674"/>
    </row>
    <row r="511" spans="1:19">
      <c r="K511" s="496"/>
      <c r="L511" s="621">
        <f>N497-L507-L509</f>
        <v>435663</v>
      </c>
      <c r="M511" s="496">
        <f t="shared" si="96"/>
        <v>18412287</v>
      </c>
      <c r="N511" s="673">
        <f t="shared" si="96"/>
        <v>1721765</v>
      </c>
      <c r="O511" s="598">
        <f t="shared" si="96"/>
        <v>0</v>
      </c>
      <c r="P511" s="674">
        <f t="shared" si="95"/>
        <v>20569715</v>
      </c>
      <c r="Q511" s="495">
        <v>20595259</v>
      </c>
      <c r="R511" s="210"/>
      <c r="S511" s="674"/>
    </row>
    <row r="512" spans="1:19">
      <c r="K512" s="496"/>
      <c r="L512" s="621"/>
      <c r="N512" s="673"/>
      <c r="O512" s="598"/>
      <c r="P512" s="674"/>
      <c r="Q512" s="495"/>
      <c r="R512"/>
      <c r="S512" s="674"/>
    </row>
    <row r="513" spans="1:19">
      <c r="K513" s="496" t="s">
        <v>719</v>
      </c>
      <c r="L513" s="621">
        <f t="shared" ref="L513:O514" si="97">L506+L508+L510</f>
        <v>9414900</v>
      </c>
      <c r="M513" s="496">
        <f t="shared" si="97"/>
        <v>202925900</v>
      </c>
      <c r="N513" s="654">
        <f t="shared" si="97"/>
        <v>32090110</v>
      </c>
      <c r="O513" s="598">
        <f t="shared" si="97"/>
        <v>296000</v>
      </c>
      <c r="P513" s="674">
        <f>SUM(L513:O513)</f>
        <v>244726910</v>
      </c>
      <c r="Q513" s="553">
        <f>Q506+Q508+Q510</f>
        <v>244724914</v>
      </c>
      <c r="R513" s="553">
        <v>258251520</v>
      </c>
      <c r="S513" s="674"/>
    </row>
    <row r="514" spans="1:19" s="432" customFormat="1">
      <c r="A514"/>
      <c r="C514" s="425"/>
      <c r="K514" s="496" t="s">
        <v>720</v>
      </c>
      <c r="L514" s="621">
        <f t="shared" si="97"/>
        <v>3623381</v>
      </c>
      <c r="M514" s="496">
        <f t="shared" si="97"/>
        <v>97837636</v>
      </c>
      <c r="N514" s="654">
        <f t="shared" si="97"/>
        <v>7291323</v>
      </c>
      <c r="O514" s="598">
        <f t="shared" si="97"/>
        <v>52630</v>
      </c>
      <c r="P514" s="674">
        <f>SUM(L514:O514)</f>
        <v>108804970</v>
      </c>
      <c r="Q514" s="553">
        <f>Q507+Q509+Q511</f>
        <v>108696429</v>
      </c>
      <c r="R514" s="211">
        <f>R507+R509+R511</f>
        <v>0</v>
      </c>
      <c r="S514" s="674"/>
    </row>
    <row r="516" spans="1:19">
      <c r="R516" s="16" t="s">
        <v>721</v>
      </c>
    </row>
    <row r="517" spans="1:19">
      <c r="R517" s="258" t="s">
        <v>722</v>
      </c>
      <c r="S517" s="496">
        <v>13473000</v>
      </c>
    </row>
    <row r="518" spans="1:19" ht="25.5" customHeight="1">
      <c r="R518" s="258" t="s">
        <v>723</v>
      </c>
    </row>
    <row r="519" spans="1:19">
      <c r="L519" s="659" t="s">
        <v>709</v>
      </c>
      <c r="M519" s="496" t="s">
        <v>705</v>
      </c>
      <c r="N519" s="656" t="s">
        <v>707</v>
      </c>
      <c r="O519" s="598" t="s">
        <v>724</v>
      </c>
      <c r="P519" s="498" t="s">
        <v>10</v>
      </c>
      <c r="R519" s="258" t="s">
        <v>725</v>
      </c>
    </row>
    <row r="520" spans="1:19">
      <c r="K520" s="495" t="s">
        <v>726</v>
      </c>
      <c r="L520" s="621">
        <v>7578900</v>
      </c>
      <c r="M520" s="496">
        <v>45341700</v>
      </c>
      <c r="N520" s="673">
        <v>20886280</v>
      </c>
      <c r="O520" s="598">
        <v>296000</v>
      </c>
      <c r="P520" s="495">
        <f>SUM(K520:O520)</f>
        <v>74102880</v>
      </c>
      <c r="Q520" s="495"/>
      <c r="R520" s="58" t="s">
        <v>727</v>
      </c>
    </row>
    <row r="521" spans="1:19">
      <c r="L521" s="621">
        <v>2777218</v>
      </c>
      <c r="M521" s="496">
        <v>17796197</v>
      </c>
      <c r="N521" s="673">
        <v>4507930</v>
      </c>
      <c r="O521" s="598">
        <v>52630</v>
      </c>
      <c r="P521" s="495">
        <f>SUM(K521:O521)</f>
        <v>25133975</v>
      </c>
      <c r="Q521" s="495"/>
      <c r="R521" s="58" t="s">
        <v>728</v>
      </c>
      <c r="S521" s="496">
        <f>P513+S517</f>
        <v>258199910</v>
      </c>
    </row>
    <row r="522" spans="1:19">
      <c r="K522" s="495" t="s">
        <v>729</v>
      </c>
      <c r="L522" s="621">
        <v>803200</v>
      </c>
      <c r="M522" s="496">
        <v>123625800</v>
      </c>
      <c r="N522" s="654">
        <v>4595310</v>
      </c>
      <c r="O522" s="598"/>
      <c r="P522" s="496">
        <f>SUM(K522:O522)</f>
        <v>129024310</v>
      </c>
      <c r="Q522" s="496"/>
      <c r="R522" t="s">
        <v>730</v>
      </c>
      <c r="S522" s="496">
        <f>R513-S521</f>
        <v>51610</v>
      </c>
    </row>
    <row r="523" spans="1:19">
      <c r="L523" s="621">
        <v>410500</v>
      </c>
      <c r="M523" s="496">
        <v>61629152</v>
      </c>
      <c r="N523" s="654">
        <v>1061628</v>
      </c>
      <c r="O523" s="598"/>
      <c r="P523" s="496">
        <f>SUM(K523:O523)</f>
        <v>63101280</v>
      </c>
      <c r="Q523" s="496"/>
      <c r="R523" s="675"/>
      <c r="S523" s="675"/>
    </row>
    <row r="524" spans="1:19">
      <c r="L524" s="496"/>
      <c r="N524" s="497"/>
      <c r="O524" s="496"/>
      <c r="Q524" s="496"/>
    </row>
    <row r="525" spans="1:19">
      <c r="L525" s="659">
        <f t="shared" ref="L525:O526" si="98">L520+L522</f>
        <v>8382100</v>
      </c>
      <c r="M525" s="496">
        <f t="shared" si="98"/>
        <v>168967500</v>
      </c>
      <c r="N525" s="656">
        <f t="shared" si="98"/>
        <v>25481590</v>
      </c>
      <c r="O525" s="497">
        <f t="shared" si="98"/>
        <v>296000</v>
      </c>
      <c r="P525" s="496">
        <f>SUM(K525:O525)</f>
        <v>203127190</v>
      </c>
      <c r="Q525" s="496"/>
    </row>
    <row r="526" spans="1:19" s="496" customFormat="1">
      <c r="A526"/>
      <c r="B526" s="432"/>
      <c r="C526" s="425"/>
      <c r="D526" s="432"/>
      <c r="E526" s="432"/>
      <c r="F526" s="432"/>
      <c r="G526" s="432"/>
      <c r="H526" s="432"/>
      <c r="I526" s="432"/>
      <c r="J526" s="432"/>
      <c r="K526" s="495"/>
      <c r="L526" s="659">
        <f t="shared" si="98"/>
        <v>3187718</v>
      </c>
      <c r="M526" s="496">
        <f t="shared" si="98"/>
        <v>79425349</v>
      </c>
      <c r="N526" s="656">
        <f t="shared" si="98"/>
        <v>5569558</v>
      </c>
      <c r="O526" s="497">
        <f t="shared" si="98"/>
        <v>52630</v>
      </c>
      <c r="P526" s="496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B413:B482"/>
    <mergeCell ref="B325:B326"/>
    <mergeCell ref="L122:M122"/>
    <mergeCell ref="L128:M128"/>
    <mergeCell ref="B282:B284"/>
    <mergeCell ref="L149:M149"/>
    <mergeCell ref="B265:B266"/>
    <mergeCell ref="B219:B221"/>
    <mergeCell ref="B296:B299"/>
    <mergeCell ref="B318:B319"/>
    <mergeCell ref="B309:B311"/>
    <mergeCell ref="L227:N227"/>
    <mergeCell ref="L87:M87"/>
    <mergeCell ref="L106:M106"/>
    <mergeCell ref="L264:M264"/>
    <mergeCell ref="B315:B316"/>
    <mergeCell ref="D224:D226"/>
    <mergeCell ref="B199:B200"/>
    <mergeCell ref="L67:M67"/>
    <mergeCell ref="B13:B21"/>
    <mergeCell ref="L47:M4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506">
        <f t="shared" ref="K7:K12" si="1">C7*26300</f>
        <v>3024500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84160</v>
      </c>
      <c r="P7" s="509"/>
      <c r="Q7" s="510"/>
      <c r="R7" s="496">
        <f t="shared" ref="R7:R23" si="3">SUM(K7:Q7)</f>
        <v>3108660</v>
      </c>
      <c r="S7" s="496">
        <f>(C7+D7+E7+F7+I7+H7+G7)*8655</f>
        <v>1029945</v>
      </c>
    </row>
    <row r="8" spans="1:19">
      <c r="A8" s="20" t="s">
        <v>33</v>
      </c>
      <c r="B8" s="478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506">
        <f t="shared" si="1"/>
        <v>210400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210400</v>
      </c>
      <c r="S8" s="496">
        <f>(C8+D8+E8+F8+I8+H8+G8)*8926</f>
        <v>71408</v>
      </c>
    </row>
    <row r="9" spans="1:19">
      <c r="A9" s="20" t="s">
        <v>35</v>
      </c>
      <c r="B9" s="478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506">
        <f t="shared" si="1"/>
        <v>184100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184100</v>
      </c>
      <c r="S9" s="496">
        <f>(C9+D9+E9+F9+I9+H9+G9)*8926</f>
        <v>62482</v>
      </c>
    </row>
    <row r="10" spans="1:19">
      <c r="A10" s="20" t="s">
        <v>37</v>
      </c>
      <c r="B10" s="478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506">
        <f t="shared" si="1"/>
        <v>210400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210400</v>
      </c>
      <c r="S10" s="496">
        <f>(C10+D10+E10+F10+I10+H10+G10)*8926</f>
        <v>71408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506">
        <f t="shared" si="1"/>
        <v>210400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210400</v>
      </c>
      <c r="S12" s="496">
        <f>(C12+D12+E12+F12+I12+H12+G12)*8926</f>
        <v>71408</v>
      </c>
    </row>
    <row r="13" spans="1:19" ht="16.5" customHeight="1">
      <c r="A13" s="20" t="s">
        <v>42</v>
      </c>
      <c r="B13" s="687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53400</v>
      </c>
      <c r="Q13" s="510"/>
      <c r="R13" s="496">
        <f t="shared" si="3"/>
        <v>53400</v>
      </c>
      <c r="S13" s="496">
        <f>(C13+D13+E13+F13+I13+H13+G13)*14876</f>
        <v>29752</v>
      </c>
    </row>
    <row r="14" spans="1:19">
      <c r="A14" s="20" t="s">
        <v>44</v>
      </c>
      <c r="B14" s="688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11">
        <f>C14*35500</f>
        <v>106500</v>
      </c>
      <c r="L14" s="507"/>
      <c r="M14" s="508">
        <f>E14*33600</f>
        <v>0</v>
      </c>
      <c r="N14" s="509"/>
      <c r="O14" s="509"/>
      <c r="P14" s="509">
        <f>H14*26700</f>
        <v>293700</v>
      </c>
      <c r="Q14" s="510"/>
      <c r="R14" s="496">
        <f t="shared" si="3"/>
        <v>400200</v>
      </c>
      <c r="S14" s="496">
        <f>(C14+D14+E14+F14+I14+H14+G14)*14065</f>
        <v>196910</v>
      </c>
    </row>
    <row r="15" spans="1:19">
      <c r="A15" s="20" t="s">
        <v>45</v>
      </c>
      <c r="B15" s="688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11">
        <f>C15*35500</f>
        <v>177500</v>
      </c>
      <c r="L15" s="507"/>
      <c r="M15" s="508">
        <f>E15*33600</f>
        <v>0</v>
      </c>
      <c r="N15" s="509"/>
      <c r="O15" s="509"/>
      <c r="P15" s="509">
        <f>H15*26700</f>
        <v>480600</v>
      </c>
      <c r="Q15" s="510"/>
      <c r="R15" s="496">
        <f t="shared" si="3"/>
        <v>658100</v>
      </c>
      <c r="S15" s="496">
        <f>(C15+D15+E15+F15+I15+H15+G15)*14876</f>
        <v>342148</v>
      </c>
    </row>
    <row r="16" spans="1:19">
      <c r="A16" s="20" t="s">
        <v>46</v>
      </c>
      <c r="B16" s="688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11">
        <f>C16*40000</f>
        <v>600000</v>
      </c>
      <c r="L16" s="507"/>
      <c r="M16" s="508">
        <f>E16*35500</f>
        <v>0</v>
      </c>
      <c r="N16" s="509"/>
      <c r="O16" s="509"/>
      <c r="P16" s="509">
        <f>H16*30000</f>
        <v>1410000</v>
      </c>
      <c r="Q16" s="510"/>
      <c r="R16" s="496">
        <f t="shared" si="3"/>
        <v>2010000</v>
      </c>
      <c r="S16" s="496">
        <f>(C16+D16+E16+F16+I16+H16+G16)*15958</f>
        <v>989396</v>
      </c>
    </row>
    <row r="17" spans="1:19">
      <c r="A17" s="20" t="s">
        <v>47</v>
      </c>
      <c r="B17" s="688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11">
        <f>C17*30000</f>
        <v>870000</v>
      </c>
      <c r="L17" s="507"/>
      <c r="M17" s="508">
        <f>E17*20000</f>
        <v>0</v>
      </c>
      <c r="N17" s="509"/>
      <c r="O17" s="509"/>
      <c r="P17" s="509">
        <f>H17*19800</f>
        <v>6672600</v>
      </c>
      <c r="Q17" s="510"/>
      <c r="R17" s="496">
        <f t="shared" si="3"/>
        <v>7542600</v>
      </c>
      <c r="S17" s="496">
        <f>(C17+D17+E17+F17+I17+H17+G17)*13262</f>
        <v>4853892</v>
      </c>
    </row>
    <row r="18" spans="1:19">
      <c r="A18" s="20" t="s">
        <v>48</v>
      </c>
      <c r="B18" s="688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11">
        <f>C18*190000</f>
        <v>570000</v>
      </c>
      <c r="L18" s="507"/>
      <c r="M18" s="508">
        <f>E18*154000</f>
        <v>770000</v>
      </c>
      <c r="N18" s="509"/>
      <c r="O18" s="509"/>
      <c r="P18" s="509">
        <f>H18*142500</f>
        <v>2280000</v>
      </c>
      <c r="Q18" s="510"/>
      <c r="R18" s="496">
        <f t="shared" si="3"/>
        <v>3620000</v>
      </c>
      <c r="S18" s="496">
        <f>(C18+D18+E18+F18+I18+H18+G18)*89709</f>
        <v>2153016</v>
      </c>
    </row>
    <row r="19" spans="1:19">
      <c r="A19" s="20" t="s">
        <v>49</v>
      </c>
      <c r="B19" s="688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>
        <f>H19*142500</f>
        <v>4417500</v>
      </c>
      <c r="Q19" s="510"/>
      <c r="R19" s="496">
        <f t="shared" si="3"/>
        <v>4761500</v>
      </c>
      <c r="S19" s="496">
        <f>(C19+D19+E19+F19+I19+H19+G19)*85201</f>
        <v>2811633</v>
      </c>
    </row>
    <row r="20" spans="1:19">
      <c r="A20" s="20" t="s">
        <v>50</v>
      </c>
      <c r="B20" s="688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11">
        <f>C20*190000</f>
        <v>190000</v>
      </c>
      <c r="L20" s="507"/>
      <c r="M20" s="508">
        <f>E20*154000</f>
        <v>0</v>
      </c>
      <c r="N20" s="509"/>
      <c r="O20" s="509"/>
      <c r="P20" s="509">
        <f>H20*142500</f>
        <v>2137500</v>
      </c>
      <c r="Q20" s="510"/>
      <c r="R20" s="496">
        <f t="shared" si="3"/>
        <v>2327500</v>
      </c>
      <c r="S20" s="496">
        <f>(C20+D20+E20+F20+I20+H20+G20)*89709</f>
        <v>1435344</v>
      </c>
    </row>
    <row r="21" spans="1:19">
      <c r="A21" s="20" t="s">
        <v>51</v>
      </c>
      <c r="B21" s="683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11">
        <f>C21*206000</f>
        <v>1648000</v>
      </c>
      <c r="L21" s="507"/>
      <c r="M21" s="508">
        <f>E21*171000</f>
        <v>0</v>
      </c>
      <c r="N21" s="509"/>
      <c r="O21" s="509"/>
      <c r="P21" s="509">
        <f>H21*154500</f>
        <v>15141000</v>
      </c>
      <c r="Q21" s="510"/>
      <c r="R21" s="496">
        <f t="shared" si="3"/>
        <v>16789000</v>
      </c>
      <c r="S21" s="496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13">
        <f t="shared" si="4"/>
        <v>8191800</v>
      </c>
      <c r="L24" s="514">
        <f t="shared" si="4"/>
        <v>0</v>
      </c>
      <c r="M24" s="515">
        <f t="shared" si="4"/>
        <v>924000</v>
      </c>
      <c r="N24" s="516">
        <f t="shared" si="4"/>
        <v>0</v>
      </c>
      <c r="O24" s="516">
        <f t="shared" si="4"/>
        <v>84160</v>
      </c>
      <c r="P24" s="516">
        <f t="shared" si="4"/>
        <v>32886300</v>
      </c>
      <c r="Q24" s="516">
        <f t="shared" si="4"/>
        <v>0</v>
      </c>
      <c r="R24" s="517">
        <f t="shared" si="4"/>
        <v>42086260</v>
      </c>
      <c r="S24" s="518">
        <f t="shared" si="4"/>
        <v>24344668</v>
      </c>
    </row>
    <row r="25" spans="1:19" s="16" customFormat="1">
      <c r="A25" s="75" t="s">
        <v>55</v>
      </c>
      <c r="B25" s="682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6">SUM(K25:Q25)</f>
        <v>17980</v>
      </c>
      <c r="S25" s="522">
        <f>(C25+D25+E25+F25+I25+G25+H25)*3923</f>
        <v>11769</v>
      </c>
    </row>
    <row r="26" spans="1:19" s="16" customFormat="1">
      <c r="A26" s="75" t="s">
        <v>57</v>
      </c>
      <c r="B26" s="688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506">
        <f>C26*6200</f>
        <v>24800</v>
      </c>
      <c r="L26" s="519"/>
      <c r="M26" s="520"/>
      <c r="N26" s="509">
        <f>F26*5580</f>
        <v>44640</v>
      </c>
      <c r="O26" s="509">
        <f>G26*4340</f>
        <v>4340</v>
      </c>
      <c r="P26" s="521"/>
      <c r="Q26" s="498"/>
      <c r="R26" s="496">
        <f t="shared" si="6"/>
        <v>73780</v>
      </c>
      <c r="S26" s="522">
        <f>(C26+D26+E26+F26+I26+G26+H26)*3923</f>
        <v>50999</v>
      </c>
    </row>
    <row r="27" spans="1:19" s="16" customFormat="1">
      <c r="A27" s="75" t="s">
        <v>58</v>
      </c>
      <c r="B27" s="688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506">
        <f>C27*6200</f>
        <v>12400</v>
      </c>
      <c r="L27" s="519"/>
      <c r="M27" s="520"/>
      <c r="N27" s="509">
        <f>F27*5580</f>
        <v>16740</v>
      </c>
      <c r="O27" s="509">
        <f>G27*4340</f>
        <v>0</v>
      </c>
      <c r="P27" s="521"/>
      <c r="Q27" s="498"/>
      <c r="R27" s="496">
        <f t="shared" si="6"/>
        <v>29140</v>
      </c>
      <c r="S27" s="522">
        <f>(C27+D27+E27+F27+I27+G27+H27)*3923</f>
        <v>19615</v>
      </c>
    </row>
    <row r="28" spans="1:19" s="16" customFormat="1">
      <c r="A28" s="75" t="s">
        <v>59</v>
      </c>
      <c r="B28" s="683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506">
        <f>C28*6200</f>
        <v>43400</v>
      </c>
      <c r="L28" s="519"/>
      <c r="M28" s="520"/>
      <c r="N28" s="509">
        <f>F28*5580</f>
        <v>16740</v>
      </c>
      <c r="O28" s="509">
        <f>G28*4340</f>
        <v>4340</v>
      </c>
      <c r="P28" s="521"/>
      <c r="Q28" s="498"/>
      <c r="R28" s="496">
        <f t="shared" si="6"/>
        <v>64480</v>
      </c>
      <c r="S28" s="522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506">
        <f>C29*40000</f>
        <v>1600000</v>
      </c>
      <c r="L29" s="507">
        <f>D29*30800</f>
        <v>0</v>
      </c>
      <c r="M29" s="508">
        <f>E29*30800</f>
        <v>4589200</v>
      </c>
      <c r="N29" s="497">
        <f>F29*34000</f>
        <v>10778000</v>
      </c>
      <c r="O29" s="509"/>
      <c r="P29" s="523">
        <f>H29*34000</f>
        <v>5032000</v>
      </c>
      <c r="Q29" s="523"/>
      <c r="R29" s="496">
        <f t="shared" si="6"/>
        <v>21999200</v>
      </c>
      <c r="S29" s="522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506">
        <f t="shared" ref="K30:K41" si="7">C30*37800</f>
        <v>529200</v>
      </c>
      <c r="L30" s="507">
        <f t="shared" ref="L30:L41" si="8">D30*27800</f>
        <v>0</v>
      </c>
      <c r="M30" s="508">
        <f t="shared" ref="M30:M41" si="9">E30*27800</f>
        <v>1556800</v>
      </c>
      <c r="N30" s="497">
        <f t="shared" ref="N30:N41" si="10">F30*32130</f>
        <v>10795680</v>
      </c>
      <c r="O30" s="509"/>
      <c r="P30" s="523">
        <f t="shared" ref="P30:P41" si="11">H30*32130</f>
        <v>481950</v>
      </c>
      <c r="Q30" s="523"/>
      <c r="R30" s="496">
        <f t="shared" si="6"/>
        <v>13363630</v>
      </c>
      <c r="S30" s="522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506">
        <f t="shared" si="7"/>
        <v>2116800</v>
      </c>
      <c r="L31" s="507">
        <f t="shared" si="8"/>
        <v>0</v>
      </c>
      <c r="M31" s="508">
        <f t="shared" si="9"/>
        <v>5949200</v>
      </c>
      <c r="N31" s="497">
        <f t="shared" si="10"/>
        <v>14747670</v>
      </c>
      <c r="O31" s="509"/>
      <c r="P31" s="523">
        <f t="shared" si="11"/>
        <v>12723480</v>
      </c>
      <c r="Q31" s="523"/>
      <c r="R31" s="496">
        <f t="shared" si="6"/>
        <v>35537150</v>
      </c>
      <c r="S31" s="522">
        <f>(C31+D31+E31+F31+I31+G31+H31)*15958</f>
        <v>17952750</v>
      </c>
    </row>
    <row r="32" spans="1:19">
      <c r="A32" s="20" t="s">
        <v>66</v>
      </c>
      <c r="B32" s="478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506">
        <f t="shared" si="7"/>
        <v>1285200</v>
      </c>
      <c r="L32" s="507">
        <f t="shared" si="8"/>
        <v>0</v>
      </c>
      <c r="M32" s="508">
        <f t="shared" si="9"/>
        <v>2335200</v>
      </c>
      <c r="N32" s="497">
        <f t="shared" si="10"/>
        <v>4883760</v>
      </c>
      <c r="O32" s="509"/>
      <c r="P32" s="523">
        <f t="shared" si="11"/>
        <v>2891700</v>
      </c>
      <c r="Q32" s="523"/>
      <c r="R32" s="496">
        <f t="shared" si="6"/>
        <v>11395860</v>
      </c>
      <c r="S32" s="522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506">
        <f t="shared" si="7"/>
        <v>1360800</v>
      </c>
      <c r="L33" s="507">
        <f t="shared" si="8"/>
        <v>0</v>
      </c>
      <c r="M33" s="508">
        <f t="shared" si="9"/>
        <v>4364600</v>
      </c>
      <c r="N33" s="497">
        <f t="shared" si="10"/>
        <v>10024560</v>
      </c>
      <c r="O33" s="509">
        <f>G33*30240</f>
        <v>30240</v>
      </c>
      <c r="P33" s="523">
        <f t="shared" si="11"/>
        <v>5140800</v>
      </c>
      <c r="Q33" s="523"/>
      <c r="R33" s="496">
        <f t="shared" si="6"/>
        <v>20921000</v>
      </c>
      <c r="S33" s="522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506">
        <f t="shared" si="7"/>
        <v>1323000</v>
      </c>
      <c r="L34" s="507">
        <f t="shared" si="8"/>
        <v>0</v>
      </c>
      <c r="M34" s="508">
        <f t="shared" si="9"/>
        <v>2474200</v>
      </c>
      <c r="N34" s="497">
        <f t="shared" si="10"/>
        <v>10345860</v>
      </c>
      <c r="O34" s="509"/>
      <c r="P34" s="523">
        <f t="shared" si="11"/>
        <v>7807590</v>
      </c>
      <c r="Q34" s="523"/>
      <c r="R34" s="496">
        <f t="shared" si="6"/>
        <v>21950650</v>
      </c>
      <c r="S34" s="522">
        <f t="shared" si="12"/>
        <v>11492520</v>
      </c>
    </row>
    <row r="35" spans="1:19">
      <c r="A35" s="20" t="s">
        <v>72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74</v>
      </c>
      <c r="B36" s="478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506">
        <f t="shared" si="7"/>
        <v>567000</v>
      </c>
      <c r="L36" s="507">
        <f t="shared" si="8"/>
        <v>0</v>
      </c>
      <c r="M36" s="508">
        <f t="shared" si="9"/>
        <v>333600</v>
      </c>
      <c r="N36" s="497">
        <f t="shared" si="10"/>
        <v>1156680</v>
      </c>
      <c r="O36" s="509"/>
      <c r="P36" s="523">
        <f t="shared" si="11"/>
        <v>1285200</v>
      </c>
      <c r="Q36" s="523"/>
      <c r="R36" s="496">
        <f t="shared" si="6"/>
        <v>3342480</v>
      </c>
      <c r="S36" s="522">
        <f t="shared" si="12"/>
        <v>1718040</v>
      </c>
    </row>
    <row r="37" spans="1:19">
      <c r="A37" s="20" t="s">
        <v>76</v>
      </c>
      <c r="B37" s="478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506">
        <f t="shared" si="7"/>
        <v>151200</v>
      </c>
      <c r="L37" s="507">
        <f t="shared" si="8"/>
        <v>0</v>
      </c>
      <c r="M37" s="508">
        <f t="shared" si="9"/>
        <v>0</v>
      </c>
      <c r="N37" s="497">
        <f t="shared" si="10"/>
        <v>32130</v>
      </c>
      <c r="O37" s="509"/>
      <c r="P37" s="523">
        <f t="shared" si="11"/>
        <v>0</v>
      </c>
      <c r="Q37" s="523"/>
      <c r="R37" s="496">
        <f t="shared" si="6"/>
        <v>183330</v>
      </c>
      <c r="S37" s="522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506">
        <f t="shared" si="7"/>
        <v>151200</v>
      </c>
      <c r="L38" s="507">
        <f t="shared" si="8"/>
        <v>0</v>
      </c>
      <c r="M38" s="508">
        <f t="shared" si="9"/>
        <v>556000</v>
      </c>
      <c r="N38" s="497">
        <f t="shared" si="10"/>
        <v>1477980</v>
      </c>
      <c r="O38" s="509"/>
      <c r="P38" s="523">
        <f t="shared" si="11"/>
        <v>1060290</v>
      </c>
      <c r="Q38" s="523"/>
      <c r="R38" s="496">
        <f t="shared" si="6"/>
        <v>3245470</v>
      </c>
      <c r="S38" s="522">
        <f t="shared" si="12"/>
        <v>1718040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506">
        <f t="shared" si="7"/>
        <v>264600</v>
      </c>
      <c r="L40" s="507">
        <f t="shared" si="8"/>
        <v>0</v>
      </c>
      <c r="M40" s="508">
        <f t="shared" si="9"/>
        <v>389200</v>
      </c>
      <c r="N40" s="497">
        <f t="shared" si="10"/>
        <v>3277260</v>
      </c>
      <c r="O40" s="509"/>
      <c r="P40" s="523">
        <f t="shared" si="11"/>
        <v>2731050</v>
      </c>
      <c r="Q40" s="523"/>
      <c r="R40" s="496">
        <f t="shared" si="6"/>
        <v>6662110</v>
      </c>
      <c r="S40" s="522">
        <f>(C40+D40+E40+F40+I40+G40+H40)*15688</f>
        <v>3263104</v>
      </c>
    </row>
    <row r="41" spans="1:19">
      <c r="A41" s="20" t="s">
        <v>84</v>
      </c>
      <c r="B41" s="478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506">
        <f t="shared" si="7"/>
        <v>226800</v>
      </c>
      <c r="L41" s="507">
        <f t="shared" si="8"/>
        <v>0</v>
      </c>
      <c r="M41" s="508">
        <f t="shared" si="9"/>
        <v>0</v>
      </c>
      <c r="N41" s="497">
        <f t="shared" si="10"/>
        <v>32130</v>
      </c>
      <c r="O41" s="509"/>
      <c r="P41" s="523">
        <f t="shared" si="11"/>
        <v>0</v>
      </c>
      <c r="Q41" s="523"/>
      <c r="R41" s="496">
        <f t="shared" si="6"/>
        <v>258930</v>
      </c>
      <c r="S41" s="522">
        <f>(C41+D41+E41+F41+I41+G41+H41)*15688</f>
        <v>109816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13">
        <f t="shared" ref="K44:S44" si="14">SUM(K25:K43)</f>
        <v>9668800</v>
      </c>
      <c r="L44" s="514">
        <f t="shared" si="14"/>
        <v>0</v>
      </c>
      <c r="M44" s="515">
        <f t="shared" si="14"/>
        <v>22548000</v>
      </c>
      <c r="N44" s="513">
        <f t="shared" si="14"/>
        <v>67635410</v>
      </c>
      <c r="O44" s="516">
        <f t="shared" si="14"/>
        <v>38920</v>
      </c>
      <c r="P44" s="516">
        <f t="shared" si="14"/>
        <v>39154060</v>
      </c>
      <c r="Q44" s="516">
        <f t="shared" si="14"/>
        <v>0</v>
      </c>
      <c r="R44" s="524">
        <f t="shared" si="14"/>
        <v>139045190</v>
      </c>
      <c r="S44" s="518">
        <f t="shared" si="14"/>
        <v>71710492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506">
        <f>C48*35700</f>
        <v>928200</v>
      </c>
      <c r="L48" s="526">
        <f t="shared" ref="L48:L59" si="16">D48*25400</f>
        <v>0</v>
      </c>
      <c r="M48" s="508">
        <f t="shared" ref="M48:M59" si="17">E48*25400</f>
        <v>2133600</v>
      </c>
      <c r="N48" s="497">
        <f t="shared" ref="N48:N59" si="18">F48*29500</f>
        <v>6490000</v>
      </c>
      <c r="P48" s="509">
        <f t="shared" ref="P48:P59" si="19">H48*29500</f>
        <v>0</v>
      </c>
      <c r="R48" s="496">
        <f t="shared" ref="R48:R59" si="20">SUM(K48:Q48)</f>
        <v>9551800</v>
      </c>
      <c r="S48" s="496">
        <f>(C48+D48+E48+F48+I48+H48+G48)*14155</f>
        <v>4671150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506">
        <f>C49*35700</f>
        <v>142800</v>
      </c>
      <c r="L49" s="526">
        <f t="shared" si="16"/>
        <v>0</v>
      </c>
      <c r="M49" s="508">
        <f t="shared" si="17"/>
        <v>0</v>
      </c>
      <c r="N49" s="497">
        <f t="shared" si="18"/>
        <v>1121000</v>
      </c>
      <c r="P49" s="509">
        <f t="shared" si="19"/>
        <v>0</v>
      </c>
      <c r="R49" s="496">
        <f t="shared" si="20"/>
        <v>1263800</v>
      </c>
      <c r="S49" s="496">
        <f>(C49+D49+E49+F49+I49+H49+G49)*14155</f>
        <v>594510</v>
      </c>
    </row>
    <row r="50" spans="1:19">
      <c r="A50" s="41" t="s">
        <v>98</v>
      </c>
      <c r="B50" s="477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506">
        <f t="shared" ref="K50:K59" si="21">C50*34700</f>
        <v>138800</v>
      </c>
      <c r="L50" s="526">
        <f t="shared" si="16"/>
        <v>0</v>
      </c>
      <c r="M50" s="508">
        <f t="shared" si="17"/>
        <v>0</v>
      </c>
      <c r="N50" s="497">
        <f t="shared" si="18"/>
        <v>354000</v>
      </c>
      <c r="P50" s="509">
        <f t="shared" si="19"/>
        <v>0</v>
      </c>
      <c r="R50" s="496">
        <f t="shared" si="20"/>
        <v>492800</v>
      </c>
      <c r="S50" s="496">
        <f t="shared" ref="S50:S55" si="22">(C50+D50+E50+F50+I50+H50+G50)*13975</f>
        <v>223600</v>
      </c>
    </row>
    <row r="51" spans="1:19">
      <c r="A51" s="41" t="s">
        <v>100</v>
      </c>
      <c r="B51" s="476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506">
        <f t="shared" si="21"/>
        <v>347000</v>
      </c>
      <c r="L51" s="526">
        <f t="shared" si="16"/>
        <v>0</v>
      </c>
      <c r="M51" s="508">
        <f t="shared" si="17"/>
        <v>0</v>
      </c>
      <c r="N51" s="497">
        <f t="shared" si="18"/>
        <v>2094500</v>
      </c>
      <c r="P51" s="509">
        <f t="shared" si="19"/>
        <v>0</v>
      </c>
      <c r="R51" s="496">
        <f t="shared" si="20"/>
        <v>2441500</v>
      </c>
      <c r="S51" s="496">
        <f t="shared" si="22"/>
        <v>1131975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104</v>
      </c>
      <c r="B53" s="477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506">
        <f t="shared" si="21"/>
        <v>69400</v>
      </c>
      <c r="L53" s="526">
        <f t="shared" si="16"/>
        <v>0</v>
      </c>
      <c r="M53" s="508">
        <f t="shared" si="17"/>
        <v>0</v>
      </c>
      <c r="N53" s="497">
        <f t="shared" si="18"/>
        <v>472000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569160</v>
      </c>
      <c r="S53" s="496">
        <f t="shared" si="22"/>
        <v>265525</v>
      </c>
    </row>
    <row r="54" spans="1:19">
      <c r="A54" s="41" t="s">
        <v>106</v>
      </c>
      <c r="B54" s="476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506">
        <f t="shared" si="21"/>
        <v>208200</v>
      </c>
      <c r="L54" s="526">
        <f t="shared" si="16"/>
        <v>0</v>
      </c>
      <c r="M54" s="508">
        <f t="shared" si="17"/>
        <v>0</v>
      </c>
      <c r="N54" s="497">
        <f t="shared" si="18"/>
        <v>1327500</v>
      </c>
      <c r="P54" s="509">
        <f t="shared" si="19"/>
        <v>0</v>
      </c>
      <c r="R54" s="496">
        <f t="shared" si="20"/>
        <v>1535700</v>
      </c>
      <c r="S54" s="496">
        <f t="shared" si="22"/>
        <v>712725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506">
        <f t="shared" si="21"/>
        <v>0</v>
      </c>
      <c r="L56" s="526">
        <f t="shared" si="16"/>
        <v>0</v>
      </c>
      <c r="M56" s="508">
        <f t="shared" si="17"/>
        <v>0</v>
      </c>
      <c r="N56" s="497">
        <f t="shared" si="18"/>
        <v>1298000</v>
      </c>
      <c r="P56" s="509">
        <f t="shared" si="19"/>
        <v>0</v>
      </c>
      <c r="R56" s="496">
        <f t="shared" si="20"/>
        <v>1298000</v>
      </c>
      <c r="S56" s="496">
        <f>(C56+D56+E56+F56+I56+H56+G56)*13434</f>
        <v>591096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506">
        <f t="shared" si="21"/>
        <v>659300</v>
      </c>
      <c r="L57" s="526">
        <f t="shared" si="16"/>
        <v>0</v>
      </c>
      <c r="M57" s="508">
        <f t="shared" si="17"/>
        <v>0</v>
      </c>
      <c r="N57" s="497">
        <f t="shared" si="18"/>
        <v>4130000</v>
      </c>
      <c r="P57" s="509">
        <f t="shared" si="19"/>
        <v>0</v>
      </c>
      <c r="R57" s="496">
        <f t="shared" si="20"/>
        <v>4789300</v>
      </c>
      <c r="S57" s="496">
        <f>(C57+D57+E57+F57+I57+H57+G57)*13975</f>
        <v>2222025</v>
      </c>
    </row>
    <row r="58" spans="1:19">
      <c r="A58" s="41" t="s">
        <v>114</v>
      </c>
      <c r="B58" s="476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506">
        <f t="shared" si="21"/>
        <v>138800</v>
      </c>
      <c r="L58" s="526">
        <f t="shared" si="16"/>
        <v>0</v>
      </c>
      <c r="M58" s="508">
        <f t="shared" si="17"/>
        <v>0</v>
      </c>
      <c r="N58" s="497">
        <f t="shared" si="18"/>
        <v>472000</v>
      </c>
      <c r="P58" s="509">
        <f t="shared" si="19"/>
        <v>0</v>
      </c>
      <c r="R58" s="496">
        <f t="shared" si="20"/>
        <v>610800</v>
      </c>
      <c r="S58" s="496">
        <f>(C58+D58+E58+F58+I58+H58+G58)*13434</f>
        <v>268680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13">
        <f t="shared" si="23"/>
        <v>2632500</v>
      </c>
      <c r="L61" s="527">
        <f t="shared" si="23"/>
        <v>0</v>
      </c>
      <c r="M61" s="515">
        <f t="shared" si="23"/>
        <v>2133600</v>
      </c>
      <c r="N61" s="516">
        <f t="shared" si="23"/>
        <v>17759000</v>
      </c>
      <c r="O61" s="516">
        <f t="shared" si="23"/>
        <v>27760</v>
      </c>
      <c r="P61" s="516">
        <f t="shared" si="23"/>
        <v>0</v>
      </c>
      <c r="Q61" s="516">
        <f t="shared" si="23"/>
        <v>0</v>
      </c>
      <c r="R61" s="517">
        <f t="shared" si="23"/>
        <v>22552860</v>
      </c>
      <c r="S61" s="518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8">
        <f>C68*25200</f>
        <v>3855600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4170600</v>
      </c>
      <c r="S68" s="496">
        <f>(C68+D68+E68+F68+I68+G68+H68)*7032</f>
        <v>1181376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8">
        <f>C69*47000</f>
        <v>0</v>
      </c>
      <c r="L69" s="526">
        <f>D69*39600</f>
        <v>0</v>
      </c>
      <c r="M69" s="508">
        <f>E69*39600</f>
        <v>237600</v>
      </c>
      <c r="N69" s="509"/>
      <c r="O69" s="509"/>
      <c r="P69" s="509"/>
      <c r="Q69" s="498"/>
      <c r="R69" s="496">
        <f t="shared" si="25"/>
        <v>237600</v>
      </c>
      <c r="S69" s="496">
        <f>(C69+D69+E69+F69+I69+G69+H69)*11631</f>
        <v>69786</v>
      </c>
    </row>
    <row r="70" spans="1:19" s="495" customFormat="1">
      <c r="A70" s="104" t="s">
        <v>134</v>
      </c>
      <c r="B70" s="476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8">
        <f>C70*29400</f>
        <v>3557400</v>
      </c>
      <c r="L70" s="526">
        <f>D70*25000</f>
        <v>0</v>
      </c>
      <c r="M70" s="508">
        <f>E70*25000</f>
        <v>375000</v>
      </c>
      <c r="N70" s="509"/>
      <c r="O70" s="509"/>
      <c r="P70" s="509"/>
      <c r="Q70" s="498"/>
      <c r="R70" s="496">
        <f t="shared" si="25"/>
        <v>3932400</v>
      </c>
      <c r="S70" s="496">
        <f>(C70+D70+E70+F70+I70+G70+H70)*8565</f>
        <v>1164840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8">
        <f>C71*47000</f>
        <v>0</v>
      </c>
      <c r="L71" s="526">
        <f>D71*39600</f>
        <v>0</v>
      </c>
      <c r="M71" s="508">
        <f>E71*39600</f>
        <v>118800</v>
      </c>
      <c r="N71" s="509"/>
      <c r="O71" s="509"/>
      <c r="P71" s="509"/>
      <c r="Q71" s="498"/>
      <c r="R71" s="496">
        <f t="shared" si="25"/>
        <v>118800</v>
      </c>
      <c r="S71" s="496">
        <f>(C71+D71+E71+F71+I71+G71+H71)*13073</f>
        <v>39219</v>
      </c>
    </row>
    <row r="72" spans="1:19" s="495" customFormat="1">
      <c r="A72" s="104" t="s">
        <v>137</v>
      </c>
      <c r="B72" s="476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8">
        <f>C72*25200</f>
        <v>831600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5"/>
        <v>894600</v>
      </c>
      <c r="S72" s="496">
        <f>(C72+D72+E72+F72+I72+G72+H72)*7032</f>
        <v>253152</v>
      </c>
    </row>
    <row r="73" spans="1:19" s="495" customFormat="1">
      <c r="A73" s="104" t="s">
        <v>139</v>
      </c>
      <c r="B73" s="476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8">
        <f>C73*29400</f>
        <v>940800</v>
      </c>
      <c r="L73" s="526">
        <f>D73*25000</f>
        <v>0</v>
      </c>
      <c r="M73" s="508">
        <f>E73*25000</f>
        <v>125000</v>
      </c>
      <c r="N73" s="509"/>
      <c r="O73" s="509"/>
      <c r="P73" s="509"/>
      <c r="Q73" s="498"/>
      <c r="R73" s="496">
        <f t="shared" si="25"/>
        <v>1065800</v>
      </c>
      <c r="S73" s="496">
        <f>(C73+D73+E73+F73+I73+G73+H73)*8565</f>
        <v>316905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8">
        <f>C74*47000</f>
        <v>0</v>
      </c>
      <c r="L74" s="526">
        <f>D74*39600</f>
        <v>0</v>
      </c>
      <c r="M74" s="508">
        <f>E74*39600</f>
        <v>79200</v>
      </c>
      <c r="N74" s="509"/>
      <c r="O74" s="509"/>
      <c r="P74" s="509"/>
      <c r="Q74" s="498"/>
      <c r="R74" s="496">
        <f t="shared" si="25"/>
        <v>79200</v>
      </c>
      <c r="S74" s="496">
        <f>(C74+D74+E74+F74+I74+G74+H74)*13073</f>
        <v>26146</v>
      </c>
    </row>
    <row r="75" spans="1:19" s="495" customFormat="1">
      <c r="A75" s="104" t="s">
        <v>142</v>
      </c>
      <c r="B75" s="476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8">
        <f>C75*29400</f>
        <v>117600</v>
      </c>
      <c r="L75" s="526">
        <f>D75*25000</f>
        <v>0</v>
      </c>
      <c r="M75" s="508">
        <f>E75*25000</f>
        <v>50000</v>
      </c>
      <c r="N75" s="509"/>
      <c r="O75" s="509"/>
      <c r="P75" s="509"/>
      <c r="Q75" s="498"/>
      <c r="R75" s="496">
        <f t="shared" si="25"/>
        <v>167600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8">
        <f>C76*25200</f>
        <v>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0</v>
      </c>
      <c r="S76" s="496">
        <f>(C76+D76+E76+F76+I76+G76+H76)*7032</f>
        <v>0</v>
      </c>
    </row>
    <row r="77" spans="1:19" s="495" customFormat="1">
      <c r="A77" s="104" t="s">
        <v>146</v>
      </c>
      <c r="B77" s="476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9">
        <f>C77*47000</f>
        <v>1692000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1731600</v>
      </c>
      <c r="S77" s="496">
        <f>(C77+D77+E77+F77+I77+G77+H77)*11631</f>
        <v>430347</v>
      </c>
    </row>
    <row r="78" spans="1:19" s="495" customFormat="1">
      <c r="A78" s="104" t="s">
        <v>147</v>
      </c>
      <c r="B78" s="476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8">
        <f>C78*29400</f>
        <v>382200</v>
      </c>
      <c r="L78" s="526">
        <f t="shared" ref="L78:M80" si="26">D78*25000</f>
        <v>0</v>
      </c>
      <c r="M78" s="508">
        <f t="shared" si="26"/>
        <v>100000</v>
      </c>
      <c r="N78" s="509"/>
      <c r="O78" s="509"/>
      <c r="P78" s="509"/>
      <c r="Q78" s="498"/>
      <c r="R78" s="496">
        <f t="shared" si="25"/>
        <v>482200</v>
      </c>
      <c r="S78" s="496">
        <f>(C78+D78+E78+F78+I78+G78+H78)*8926</f>
        <v>151742</v>
      </c>
    </row>
    <row r="79" spans="1:19" s="495" customFormat="1">
      <c r="A79" s="104" t="s">
        <v>149</v>
      </c>
      <c r="B79" s="476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8">
        <f>C79*29400</f>
        <v>558600</v>
      </c>
      <c r="L79" s="526">
        <f t="shared" si="26"/>
        <v>0</v>
      </c>
      <c r="M79" s="508">
        <f t="shared" si="26"/>
        <v>75000</v>
      </c>
      <c r="N79" s="509"/>
      <c r="O79" s="509"/>
      <c r="P79" s="509"/>
      <c r="Q79" s="498"/>
      <c r="R79" s="496">
        <f t="shared" si="25"/>
        <v>633600</v>
      </c>
      <c r="S79" s="496">
        <f>(C79+D79+E79+F79+I79+G79+H79)*8926</f>
        <v>196372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8">
        <f>C80*29400</f>
        <v>235200</v>
      </c>
      <c r="L80" s="526">
        <f t="shared" si="26"/>
        <v>0</v>
      </c>
      <c r="M80" s="508">
        <f t="shared" si="26"/>
        <v>25000</v>
      </c>
      <c r="N80" s="509"/>
      <c r="O80" s="509"/>
      <c r="P80" s="509"/>
      <c r="Q80" s="498"/>
      <c r="R80" s="496">
        <f t="shared" si="25"/>
        <v>260200</v>
      </c>
      <c r="S80" s="496">
        <f>(C80+D80+E80+F80+I80+G80+H80)*8926</f>
        <v>80334</v>
      </c>
    </row>
    <row r="81" spans="1:19" s="495" customFormat="1">
      <c r="A81" s="104" t="s">
        <v>151</v>
      </c>
      <c r="B81" s="476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8">
        <f>C81*47000</f>
        <v>611000</v>
      </c>
      <c r="L81" s="526">
        <f>D81*35200</f>
        <v>0</v>
      </c>
      <c r="M81" s="508">
        <f>E81*35200</f>
        <v>35200</v>
      </c>
      <c r="N81" s="509"/>
      <c r="O81" s="509">
        <f>F81*37600</f>
        <v>37600</v>
      </c>
      <c r="P81" s="509"/>
      <c r="Q81" s="498"/>
      <c r="R81" s="496">
        <f t="shared" si="25"/>
        <v>683800</v>
      </c>
      <c r="S81" s="496">
        <f>(C81+D81+E81+F81+I81+G81+H81)*18934</f>
        <v>284010</v>
      </c>
    </row>
    <row r="82" spans="1:19" s="495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9">
        <f>C82*16800</f>
        <v>235200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235200</v>
      </c>
      <c r="S82" s="496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9">
        <f>C84*16800</f>
        <v>235200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235200</v>
      </c>
      <c r="S84" s="496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8">SUM(K68:K84)</f>
        <v>13286000</v>
      </c>
      <c r="L85" s="527">
        <f t="shared" si="28"/>
        <v>0</v>
      </c>
      <c r="M85" s="515">
        <f t="shared" si="28"/>
        <v>1638400</v>
      </c>
      <c r="N85" s="516">
        <f t="shared" si="28"/>
        <v>0</v>
      </c>
      <c r="O85" s="516">
        <f t="shared" si="28"/>
        <v>37600</v>
      </c>
      <c r="P85" s="516">
        <f t="shared" si="28"/>
        <v>0</v>
      </c>
      <c r="Q85" s="513">
        <f t="shared" si="28"/>
        <v>0</v>
      </c>
      <c r="R85" s="517">
        <f t="shared" si="28"/>
        <v>14962000</v>
      </c>
      <c r="S85" s="518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8">
        <f t="shared" ref="K88:K93" si="30">C88*18900</f>
        <v>2211300</v>
      </c>
      <c r="L88" s="526">
        <f t="shared" ref="L88:M93" si="31">D88*15400</f>
        <v>0</v>
      </c>
      <c r="M88" s="508">
        <f t="shared" si="31"/>
        <v>92400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2303700</v>
      </c>
      <c r="S88" s="496">
        <f t="shared" ref="S88:S93" si="34">J88*7734</f>
        <v>951282</v>
      </c>
    </row>
    <row r="89" spans="1:19">
      <c r="A89" s="69" t="s">
        <v>170</v>
      </c>
      <c r="B89" s="476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8">
        <f t="shared" si="30"/>
        <v>2702700</v>
      </c>
      <c r="L89" s="526">
        <f t="shared" si="31"/>
        <v>0</v>
      </c>
      <c r="M89" s="508">
        <f t="shared" si="31"/>
        <v>292600</v>
      </c>
      <c r="N89" s="509"/>
      <c r="O89" s="509"/>
      <c r="P89" s="532">
        <f t="shared" si="32"/>
        <v>0</v>
      </c>
      <c r="Q89" s="533"/>
      <c r="R89" s="496">
        <f t="shared" si="33"/>
        <v>2995300</v>
      </c>
      <c r="S89" s="496">
        <f t="shared" si="34"/>
        <v>1252908</v>
      </c>
    </row>
    <row r="90" spans="1:19">
      <c r="A90" s="69" t="s">
        <v>171</v>
      </c>
      <c r="B90" s="476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8">
        <f t="shared" si="30"/>
        <v>2041200</v>
      </c>
      <c r="L90" s="526">
        <f t="shared" si="31"/>
        <v>0</v>
      </c>
      <c r="M90" s="508">
        <f t="shared" si="31"/>
        <v>154000</v>
      </c>
      <c r="N90" s="509"/>
      <c r="O90" s="509"/>
      <c r="P90" s="532">
        <f t="shared" si="32"/>
        <v>0</v>
      </c>
      <c r="Q90" s="533"/>
      <c r="R90" s="496">
        <f t="shared" si="33"/>
        <v>2195200</v>
      </c>
      <c r="S90" s="496">
        <f t="shared" si="34"/>
        <v>912612</v>
      </c>
    </row>
    <row r="91" spans="1:19">
      <c r="A91" s="69" t="s">
        <v>172</v>
      </c>
      <c r="B91" s="476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8">
        <f t="shared" si="30"/>
        <v>1474200</v>
      </c>
      <c r="L91" s="526">
        <f t="shared" si="31"/>
        <v>0</v>
      </c>
      <c r="M91" s="508">
        <f t="shared" si="31"/>
        <v>154000</v>
      </c>
      <c r="N91" s="509"/>
      <c r="O91" s="509"/>
      <c r="P91" s="532">
        <f t="shared" si="32"/>
        <v>0</v>
      </c>
      <c r="Q91" s="533"/>
      <c r="R91" s="496">
        <f t="shared" si="33"/>
        <v>1628200</v>
      </c>
      <c r="S91" s="496">
        <f t="shared" si="34"/>
        <v>680592</v>
      </c>
    </row>
    <row r="92" spans="1:19">
      <c r="A92" s="69" t="s">
        <v>173</v>
      </c>
      <c r="B92" s="476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8">
        <f t="shared" si="30"/>
        <v>1152900</v>
      </c>
      <c r="L92" s="526">
        <f t="shared" si="31"/>
        <v>0</v>
      </c>
      <c r="M92" s="508">
        <f t="shared" si="31"/>
        <v>261800</v>
      </c>
      <c r="N92" s="509"/>
      <c r="O92" s="509"/>
      <c r="P92" s="532">
        <f t="shared" si="32"/>
        <v>0</v>
      </c>
      <c r="Q92" s="533"/>
      <c r="R92" s="496">
        <f t="shared" si="33"/>
        <v>1414700</v>
      </c>
      <c r="S92" s="496">
        <f t="shared" si="34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8">
        <f t="shared" si="30"/>
        <v>1058400</v>
      </c>
      <c r="L93" s="526">
        <f t="shared" si="31"/>
        <v>0</v>
      </c>
      <c r="M93" s="508">
        <f t="shared" si="31"/>
        <v>154000</v>
      </c>
      <c r="N93" s="509"/>
      <c r="O93" s="509"/>
      <c r="P93" s="532">
        <f t="shared" si="32"/>
        <v>0</v>
      </c>
      <c r="Q93" s="533"/>
      <c r="R93" s="496">
        <f t="shared" si="33"/>
        <v>1212400</v>
      </c>
      <c r="S93" s="496">
        <f t="shared" si="34"/>
        <v>510444</v>
      </c>
    </row>
    <row r="94" spans="1:19">
      <c r="A94" s="69" t="s">
        <v>175</v>
      </c>
      <c r="B94" s="476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8">
        <f t="shared" ref="K94:K99" si="35">C94*8400</f>
        <v>588000</v>
      </c>
      <c r="L94" s="526">
        <f t="shared" ref="L94:M99" si="36">D94*6600</f>
        <v>0</v>
      </c>
      <c r="M94" s="508">
        <f t="shared" si="36"/>
        <v>112200</v>
      </c>
      <c r="N94" s="509">
        <f t="shared" ref="N94:N99" si="37">F94*6720</f>
        <v>4656960</v>
      </c>
      <c r="O94" s="509"/>
      <c r="P94" s="509"/>
      <c r="Q94" s="533"/>
      <c r="R94" s="496">
        <f t="shared" si="33"/>
        <v>5357160</v>
      </c>
      <c r="S94" s="496">
        <f t="shared" ref="S94:S99" si="38">J94*2880</f>
        <v>2246400</v>
      </c>
    </row>
    <row r="95" spans="1:19">
      <c r="A95" s="69" t="s">
        <v>177</v>
      </c>
      <c r="B95" s="476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8">
        <f t="shared" si="35"/>
        <v>789600</v>
      </c>
      <c r="L95" s="526">
        <f t="shared" si="36"/>
        <v>0</v>
      </c>
      <c r="M95" s="508">
        <f t="shared" si="36"/>
        <v>462000</v>
      </c>
      <c r="N95" s="509">
        <f t="shared" si="37"/>
        <v>2903040</v>
      </c>
      <c r="O95" s="509"/>
      <c r="P95" s="509"/>
      <c r="Q95" s="533"/>
      <c r="R95" s="496">
        <f t="shared" si="33"/>
        <v>4154640</v>
      </c>
      <c r="S95" s="496">
        <f t="shared" si="38"/>
        <v>1716480</v>
      </c>
    </row>
    <row r="96" spans="1:19">
      <c r="A96" s="69" t="s">
        <v>178</v>
      </c>
      <c r="B96" s="476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8">
        <f t="shared" si="35"/>
        <v>949200</v>
      </c>
      <c r="L96" s="526">
        <f t="shared" si="36"/>
        <v>0</v>
      </c>
      <c r="M96" s="508">
        <f t="shared" si="36"/>
        <v>171600</v>
      </c>
      <c r="N96" s="509">
        <f t="shared" si="37"/>
        <v>3507840</v>
      </c>
      <c r="O96" s="509"/>
      <c r="P96" s="509"/>
      <c r="Q96" s="533"/>
      <c r="R96" s="496">
        <f t="shared" si="33"/>
        <v>4628640</v>
      </c>
      <c r="S96" s="496">
        <f t="shared" si="38"/>
        <v>1903680</v>
      </c>
    </row>
    <row r="97" spans="1:19">
      <c r="A97" s="69" t="s">
        <v>179</v>
      </c>
      <c r="B97" s="476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8">
        <f t="shared" si="35"/>
        <v>327600</v>
      </c>
      <c r="L97" s="526">
        <f t="shared" si="36"/>
        <v>0</v>
      </c>
      <c r="M97" s="508">
        <f t="shared" si="36"/>
        <v>46200</v>
      </c>
      <c r="N97" s="509">
        <f t="shared" si="37"/>
        <v>3447360</v>
      </c>
      <c r="O97" s="509"/>
      <c r="P97" s="509"/>
      <c r="Q97" s="533"/>
      <c r="R97" s="496">
        <f t="shared" si="33"/>
        <v>3821160</v>
      </c>
      <c r="S97" s="496">
        <f t="shared" si="38"/>
        <v>1609920</v>
      </c>
    </row>
    <row r="98" spans="1:19">
      <c r="A98" s="69" t="s">
        <v>180</v>
      </c>
      <c r="B98" s="476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8">
        <f t="shared" si="35"/>
        <v>638400</v>
      </c>
      <c r="L98" s="526">
        <f t="shared" si="36"/>
        <v>0</v>
      </c>
      <c r="M98" s="508">
        <f t="shared" si="36"/>
        <v>105600</v>
      </c>
      <c r="N98" s="509">
        <f t="shared" si="37"/>
        <v>0</v>
      </c>
      <c r="O98" s="509"/>
      <c r="P98" s="509"/>
      <c r="Q98" s="533"/>
      <c r="R98" s="496">
        <f t="shared" si="33"/>
        <v>744000</v>
      </c>
      <c r="S98" s="496">
        <f t="shared" si="38"/>
        <v>264960</v>
      </c>
    </row>
    <row r="99" spans="1:19">
      <c r="A99" s="313" t="s">
        <v>181</v>
      </c>
      <c r="B99" s="472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8">
        <f t="shared" si="35"/>
        <v>445200</v>
      </c>
      <c r="L99" s="526">
        <f t="shared" si="36"/>
        <v>0</v>
      </c>
      <c r="M99" s="508">
        <f t="shared" si="36"/>
        <v>99000</v>
      </c>
      <c r="N99" s="509">
        <f t="shared" si="37"/>
        <v>0</v>
      </c>
      <c r="O99" s="509"/>
      <c r="P99" s="509"/>
      <c r="Q99" s="533"/>
      <c r="R99" s="496">
        <f t="shared" si="33"/>
        <v>544200</v>
      </c>
      <c r="S99" s="496">
        <f t="shared" si="38"/>
        <v>195840</v>
      </c>
    </row>
    <row r="100" spans="1:19" s="16" customFormat="1">
      <c r="A100" s="71" t="s">
        <v>182</v>
      </c>
      <c r="B100" s="476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34">
        <f t="shared" si="39"/>
        <v>10640700</v>
      </c>
      <c r="L100" s="535">
        <f t="shared" si="39"/>
        <v>0</v>
      </c>
      <c r="M100" s="536">
        <f t="shared" si="39"/>
        <v>1108800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40">
        <f t="shared" si="40"/>
        <v>3738000</v>
      </c>
      <c r="L101" s="541">
        <f t="shared" si="40"/>
        <v>0</v>
      </c>
      <c r="M101" s="542">
        <f t="shared" si="40"/>
        <v>996600</v>
      </c>
      <c r="N101" s="543">
        <f t="shared" si="40"/>
        <v>14515200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14378700</v>
      </c>
      <c r="L102" s="527">
        <f t="shared" si="41"/>
        <v>0</v>
      </c>
      <c r="M102" s="515">
        <f t="shared" si="41"/>
        <v>2105400</v>
      </c>
      <c r="N102" s="516">
        <f t="shared" si="41"/>
        <v>14515200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30999300</v>
      </c>
      <c r="S102" s="518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744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194</v>
      </c>
      <c r="B111" s="476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51">
        <f t="shared" si="43"/>
        <v>312000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312000</v>
      </c>
      <c r="S111" s="496">
        <f t="shared" si="45"/>
        <v>155142</v>
      </c>
    </row>
    <row r="112" spans="1:19">
      <c r="A112" s="69" t="s">
        <v>195</v>
      </c>
      <c r="B112" s="476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51">
        <f t="shared" si="43"/>
        <v>144000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144000</v>
      </c>
      <c r="S112" s="496">
        <f t="shared" si="45"/>
        <v>71604</v>
      </c>
    </row>
    <row r="113" spans="1:19">
      <c r="A113" s="69" t="s">
        <v>196</v>
      </c>
      <c r="B113" s="476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8">
        <f t="shared" ref="K113:K118" si="46">C113*47000</f>
        <v>141000</v>
      </c>
      <c r="L113" s="526">
        <f t="shared" ref="L113:M118" si="47">D113*35200</f>
        <v>0</v>
      </c>
      <c r="M113" s="508">
        <f t="shared" si="47"/>
        <v>0</v>
      </c>
      <c r="N113" s="509">
        <f t="shared" ref="N113:N118" si="48">F113*23500</f>
        <v>94000</v>
      </c>
      <c r="O113" s="509"/>
      <c r="P113" s="509"/>
      <c r="Q113" s="523"/>
      <c r="R113" s="496">
        <f t="shared" si="44"/>
        <v>235000</v>
      </c>
      <c r="S113" s="496">
        <f t="shared" ref="S113:S118" si="49">J113*15480</f>
        <v>108360</v>
      </c>
    </row>
    <row r="114" spans="1:19">
      <c r="A114" s="69" t="s">
        <v>198</v>
      </c>
      <c r="B114" s="476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352500</v>
      </c>
      <c r="O114" s="509">
        <f>G114*22500</f>
        <v>0</v>
      </c>
      <c r="P114" s="509"/>
      <c r="Q114" s="523"/>
      <c r="R114" s="496">
        <f t="shared" si="44"/>
        <v>352500</v>
      </c>
      <c r="S114" s="496">
        <f t="shared" si="49"/>
        <v>232200</v>
      </c>
    </row>
    <row r="115" spans="1:19">
      <c r="A115" s="69" t="s">
        <v>199</v>
      </c>
      <c r="B115" s="476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 t="shared" si="48"/>
        <v>470000</v>
      </c>
      <c r="O115" s="509">
        <f>G115*22500</f>
        <v>0</v>
      </c>
      <c r="P115" s="509"/>
      <c r="Q115" s="523"/>
      <c r="R115" s="496">
        <f t="shared" si="44"/>
        <v>470000</v>
      </c>
      <c r="S115" s="496">
        <f t="shared" si="49"/>
        <v>309600</v>
      </c>
    </row>
    <row r="116" spans="1:19">
      <c r="A116" s="69" t="s">
        <v>200</v>
      </c>
      <c r="B116" s="476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258500</v>
      </c>
      <c r="O116" s="509">
        <f>G116*23500</f>
        <v>70500</v>
      </c>
      <c r="P116" s="509"/>
      <c r="Q116" s="523"/>
      <c r="R116" s="496">
        <f t="shared" si="44"/>
        <v>329000</v>
      </c>
      <c r="S116" s="496">
        <f t="shared" si="49"/>
        <v>216720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188000</v>
      </c>
      <c r="O117" s="509">
        <f>G117*23500</f>
        <v>47000</v>
      </c>
      <c r="P117" s="509"/>
      <c r="Q117" s="523"/>
      <c r="R117" s="496">
        <f t="shared" si="44"/>
        <v>235000</v>
      </c>
      <c r="S117" s="496">
        <f t="shared" si="49"/>
        <v>154800</v>
      </c>
    </row>
    <row r="118" spans="1:19">
      <c r="A118" s="69" t="s">
        <v>202</v>
      </c>
      <c r="B118" s="476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8">
        <f t="shared" si="46"/>
        <v>47000</v>
      </c>
      <c r="L118" s="526">
        <f t="shared" si="47"/>
        <v>0</v>
      </c>
      <c r="M118" s="508">
        <f t="shared" si="47"/>
        <v>0</v>
      </c>
      <c r="N118" s="509">
        <f t="shared" si="48"/>
        <v>164500</v>
      </c>
      <c r="O118" s="509"/>
      <c r="P118" s="509"/>
      <c r="Q118" s="523"/>
      <c r="R118" s="496">
        <f t="shared" si="44"/>
        <v>211500</v>
      </c>
      <c r="S118" s="496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50">SUM(K107:K119)</f>
        <v>644000</v>
      </c>
      <c r="L120" s="527">
        <f t="shared" si="50"/>
        <v>0</v>
      </c>
      <c r="M120" s="515">
        <f t="shared" si="50"/>
        <v>0</v>
      </c>
      <c r="N120" s="516">
        <f t="shared" si="50"/>
        <v>1527500</v>
      </c>
      <c r="O120" s="516">
        <f t="shared" si="50"/>
        <v>117500</v>
      </c>
      <c r="P120" s="516">
        <f t="shared" si="50"/>
        <v>0</v>
      </c>
      <c r="Q120" s="552">
        <f t="shared" si="50"/>
        <v>0</v>
      </c>
      <c r="R120" s="517">
        <f t="shared" si="50"/>
        <v>2289000</v>
      </c>
      <c r="S120" s="518">
        <f t="shared" si="50"/>
        <v>1372266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9">
        <f>C123*100800</f>
        <v>201600</v>
      </c>
      <c r="L123" s="526">
        <f t="shared" ref="L123:M126" si="51">D123*86900</f>
        <v>0</v>
      </c>
      <c r="M123" s="508">
        <f t="shared" si="51"/>
        <v>0</v>
      </c>
      <c r="N123" s="509"/>
      <c r="O123" s="509"/>
      <c r="P123" s="509"/>
      <c r="R123" s="496">
        <f>SUM(K123:Q123)</f>
        <v>201600</v>
      </c>
      <c r="S123" s="496">
        <f>J123*36064</f>
        <v>72128</v>
      </c>
    </row>
    <row r="124" spans="1:19">
      <c r="A124" s="20" t="s">
        <v>208</v>
      </c>
      <c r="B124" s="476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9">
        <f>C124*100800</f>
        <v>302400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302400</v>
      </c>
      <c r="S124" s="496">
        <f>J124*36064</f>
        <v>108192</v>
      </c>
    </row>
    <row r="125" spans="1:19">
      <c r="A125" s="20" t="s">
        <v>209</v>
      </c>
      <c r="B125" s="476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9">
        <f>C125*100800</f>
        <v>302400</v>
      </c>
      <c r="L125" s="526">
        <f t="shared" si="51"/>
        <v>0</v>
      </c>
      <c r="M125" s="508">
        <f t="shared" si="51"/>
        <v>0</v>
      </c>
      <c r="N125" s="509"/>
      <c r="O125" s="509"/>
      <c r="P125" s="509"/>
      <c r="R125" s="496">
        <f>SUM(K125:Q125)</f>
        <v>302400</v>
      </c>
      <c r="S125" s="496">
        <f>J125*36064</f>
        <v>108192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1"/>
        <v>0</v>
      </c>
      <c r="M126" s="508">
        <f t="shared" si="51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2">SUM(K123:K126)</f>
        <v>806400</v>
      </c>
      <c r="L127" s="527">
        <f t="shared" si="52"/>
        <v>0</v>
      </c>
      <c r="M127" s="515">
        <f t="shared" si="52"/>
        <v>0</v>
      </c>
      <c r="N127" s="516">
        <f t="shared" si="52"/>
        <v>0</v>
      </c>
      <c r="O127" s="516">
        <f t="shared" si="52"/>
        <v>0</v>
      </c>
      <c r="P127" s="516">
        <f t="shared" si="52"/>
        <v>0</v>
      </c>
      <c r="Q127" s="513">
        <f t="shared" si="52"/>
        <v>0</v>
      </c>
      <c r="R127" s="517">
        <f t="shared" si="52"/>
        <v>806400</v>
      </c>
      <c r="S127" s="518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3">SUM(K129:K132)</f>
        <v>0</v>
      </c>
      <c r="L133" s="514">
        <f t="shared" si="53"/>
        <v>0</v>
      </c>
      <c r="M133" s="515">
        <f t="shared" si="53"/>
        <v>0</v>
      </c>
      <c r="N133" s="516">
        <f t="shared" si="53"/>
        <v>0</v>
      </c>
      <c r="O133" s="516">
        <f t="shared" si="53"/>
        <v>0</v>
      </c>
      <c r="P133" s="513">
        <f t="shared" si="53"/>
        <v>0</v>
      </c>
      <c r="Q133" s="513">
        <f t="shared" si="53"/>
        <v>0</v>
      </c>
      <c r="R133" s="517">
        <f t="shared" si="53"/>
        <v>0</v>
      </c>
      <c r="S133" s="518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51">
        <f>C138*134000</f>
        <v>938000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938000</v>
      </c>
      <c r="S138" s="496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4">SUM(K137:K140)</f>
        <v>938000</v>
      </c>
      <c r="L141" s="514">
        <f t="shared" si="54"/>
        <v>0</v>
      </c>
      <c r="M141" s="515">
        <f t="shared" si="54"/>
        <v>0</v>
      </c>
      <c r="N141" s="516">
        <f t="shared" si="54"/>
        <v>0</v>
      </c>
      <c r="O141" s="516">
        <f t="shared" si="54"/>
        <v>0</v>
      </c>
      <c r="P141" s="516">
        <f t="shared" si="54"/>
        <v>0</v>
      </c>
      <c r="Q141" s="516">
        <f t="shared" si="54"/>
        <v>0</v>
      </c>
      <c r="R141" s="517">
        <f t="shared" si="54"/>
        <v>938000</v>
      </c>
      <c r="S141" s="518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51">
        <f>C150*10400</f>
        <v>5116800</v>
      </c>
      <c r="L150" s="507">
        <f>D150*9000</f>
        <v>0</v>
      </c>
      <c r="M150" s="508">
        <f>E150*9000</f>
        <v>972000</v>
      </c>
      <c r="N150" s="509"/>
      <c r="O150" s="509"/>
      <c r="P150" s="509"/>
      <c r="Q150" s="532"/>
      <c r="R150" s="496">
        <f t="shared" ref="R150:R158" si="56">SUM(K150:Q150)</f>
        <v>6088800</v>
      </c>
      <c r="S150" s="496">
        <f>J150*5400</f>
        <v>3240000</v>
      </c>
    </row>
    <row r="151" spans="1:19">
      <c r="A151" s="69" t="s">
        <v>252</v>
      </c>
      <c r="B151" s="476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51">
        <f>C151*14700</f>
        <v>4204200</v>
      </c>
      <c r="L151" s="507">
        <f>D151*12900</f>
        <v>0</v>
      </c>
      <c r="M151" s="508">
        <f>E151*12900</f>
        <v>928800</v>
      </c>
      <c r="N151" s="509"/>
      <c r="O151" s="509">
        <f>F151*11760</f>
        <v>11760</v>
      </c>
      <c r="P151" s="509"/>
      <c r="Q151" s="532"/>
      <c r="R151" s="496">
        <f t="shared" si="56"/>
        <v>5144760</v>
      </c>
      <c r="S151" s="496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6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51">
        <f>C153*14700</f>
        <v>88200</v>
      </c>
      <c r="L153" s="507">
        <f>D153*11000</f>
        <v>0</v>
      </c>
      <c r="M153" s="508">
        <f>E153*11000</f>
        <v>0</v>
      </c>
      <c r="N153" s="509"/>
      <c r="O153" s="509"/>
      <c r="P153" s="509"/>
      <c r="Q153" s="532"/>
      <c r="R153" s="496">
        <f t="shared" si="56"/>
        <v>88200</v>
      </c>
      <c r="S153" s="496">
        <f>J153*4658</f>
        <v>27948</v>
      </c>
    </row>
    <row r="154" spans="1:19">
      <c r="A154" s="69" t="s">
        <v>257</v>
      </c>
      <c r="B154" s="476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51">
        <f>C154*26400</f>
        <v>2138400</v>
      </c>
      <c r="L154" s="507">
        <f>D154*18500</f>
        <v>0</v>
      </c>
      <c r="M154" s="508">
        <f>E154*18500</f>
        <v>0</v>
      </c>
      <c r="N154" s="509"/>
      <c r="O154" s="509"/>
      <c r="P154" s="509"/>
      <c r="Q154" s="532"/>
      <c r="R154" s="496">
        <f t="shared" si="56"/>
        <v>2138400</v>
      </c>
      <c r="S154" s="496">
        <f>J154*6653</f>
        <v>538893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6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56">
        <f>C156*21000</f>
        <v>0</v>
      </c>
      <c r="L156" s="507">
        <f>D156*15200</f>
        <v>0</v>
      </c>
      <c r="M156" s="508">
        <f>E156*15200</f>
        <v>547200</v>
      </c>
      <c r="N156" s="509">
        <f>F156*19640</f>
        <v>1590840</v>
      </c>
      <c r="O156" s="509"/>
      <c r="P156" s="509"/>
      <c r="Q156" s="532"/>
      <c r="R156" s="496">
        <f t="shared" si="56"/>
        <v>2138040</v>
      </c>
      <c r="S156" s="496">
        <f>J156*8415</f>
        <v>984555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6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51">
        <f>C158*17500</f>
        <v>87500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6"/>
        <v>87500</v>
      </c>
      <c r="S158" s="496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7">SUM(K150:K158)</f>
        <v>12143300</v>
      </c>
      <c r="L159" s="514">
        <f t="shared" si="57"/>
        <v>0</v>
      </c>
      <c r="M159" s="515">
        <f t="shared" si="57"/>
        <v>2448000</v>
      </c>
      <c r="N159" s="513">
        <f t="shared" si="57"/>
        <v>1590840</v>
      </c>
      <c r="O159" s="516">
        <f t="shared" si="57"/>
        <v>11760</v>
      </c>
      <c r="P159" s="516">
        <f t="shared" si="57"/>
        <v>0</v>
      </c>
      <c r="Q159" s="516">
        <f t="shared" si="57"/>
        <v>0</v>
      </c>
      <c r="R159" s="517">
        <f t="shared" si="57"/>
        <v>16193900</v>
      </c>
      <c r="S159" s="518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71">
        <f>C172*12800</f>
        <v>38400</v>
      </c>
      <c r="L172" s="570">
        <f>D172*9600</f>
        <v>19200</v>
      </c>
      <c r="M172" s="508">
        <f>E172*9600</f>
        <v>0</v>
      </c>
      <c r="N172" s="532"/>
      <c r="O172" s="532"/>
      <c r="P172" s="532"/>
      <c r="Q172" s="510"/>
      <c r="R172" s="498">
        <f t="shared" ref="R172:R203" si="59">SUM(K172:Q172)</f>
        <v>57600</v>
      </c>
      <c r="S172" s="496">
        <f>J172*3857</f>
        <v>19285</v>
      </c>
    </row>
    <row r="173" spans="1:19">
      <c r="A173" s="69" t="s">
        <v>339</v>
      </c>
      <c r="B173" s="476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71">
        <f>C173*36000</f>
        <v>36000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9"/>
        <v>69000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51">
        <f>C174*28800</f>
        <v>4320000</v>
      </c>
      <c r="L174" s="526">
        <f>D174*26400</f>
        <v>1240800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9"/>
        <v>5560800</v>
      </c>
      <c r="S174" s="496">
        <f>J174*6704</f>
        <v>1320688</v>
      </c>
    </row>
    <row r="175" spans="1:19">
      <c r="A175" s="104" t="s">
        <v>278</v>
      </c>
      <c r="B175" s="476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51">
        <f>C175*16000</f>
        <v>1568000</v>
      </c>
      <c r="L175" s="526">
        <f>D175*11200</f>
        <v>604800</v>
      </c>
      <c r="M175" s="508">
        <f>E175*11200</f>
        <v>0</v>
      </c>
      <c r="N175" s="509"/>
      <c r="O175" s="532"/>
      <c r="P175" s="509"/>
      <c r="Q175" s="510"/>
      <c r="R175" s="498">
        <f t="shared" si="59"/>
        <v>2172800</v>
      </c>
      <c r="S175" s="496">
        <f>J175*3489</f>
        <v>530328</v>
      </c>
    </row>
    <row r="176" spans="1:19">
      <c r="A176" s="180" t="s">
        <v>343</v>
      </c>
      <c r="B176" s="477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51">
        <f>C176*16800</f>
        <v>218400</v>
      </c>
      <c r="L176" s="526">
        <f>D176*12800</f>
        <v>563200</v>
      </c>
      <c r="M176" s="508">
        <f>E176*12800</f>
        <v>0</v>
      </c>
      <c r="N176" s="509"/>
      <c r="O176" s="509"/>
      <c r="P176" s="509"/>
      <c r="Q176" s="510"/>
      <c r="R176" s="498">
        <f t="shared" si="59"/>
        <v>781600</v>
      </c>
      <c r="S176" s="496">
        <f>J176*3075</f>
        <v>175275</v>
      </c>
    </row>
    <row r="177" spans="1:19">
      <c r="A177" s="180" t="s">
        <v>345</v>
      </c>
      <c r="B177" s="694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51">
        <f>C177*36800</f>
        <v>956800</v>
      </c>
      <c r="L177" s="526">
        <f>D177*27200</f>
        <v>299200</v>
      </c>
      <c r="M177" s="508">
        <f>E177*27200</f>
        <v>0</v>
      </c>
      <c r="N177" s="509"/>
      <c r="O177" s="509"/>
      <c r="P177" s="509"/>
      <c r="Q177" s="510"/>
      <c r="R177" s="498">
        <f t="shared" si="59"/>
        <v>1256000</v>
      </c>
      <c r="S177" s="496">
        <f>J177*6040</f>
        <v>223480</v>
      </c>
    </row>
    <row r="178" spans="1:19">
      <c r="A178" s="180" t="s">
        <v>347</v>
      </c>
      <c r="B178" s="683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9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51">
        <f>C179*28000</f>
        <v>56000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9"/>
        <v>56000</v>
      </c>
      <c r="S179" s="496">
        <f>J179*6097</f>
        <v>12194</v>
      </c>
    </row>
    <row r="180" spans="1:19">
      <c r="A180" s="180" t="s">
        <v>349</v>
      </c>
      <c r="B180" s="477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51">
        <f>C180*31000</f>
        <v>217000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9"/>
        <v>355600</v>
      </c>
      <c r="S180" s="496">
        <f>J180*6612</f>
        <v>92568</v>
      </c>
    </row>
    <row r="181" spans="1:19" s="388" customFormat="1">
      <c r="A181" s="256" t="s">
        <v>351</v>
      </c>
      <c r="B181" s="477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72">
        <f>C181*27200</f>
        <v>163200</v>
      </c>
      <c r="L181" s="526">
        <f>D181*20000</f>
        <v>60000</v>
      </c>
      <c r="M181" s="508">
        <f>E181*20000</f>
        <v>0</v>
      </c>
      <c r="N181" s="509"/>
      <c r="O181" s="509"/>
      <c r="P181" s="509"/>
      <c r="Q181" s="510"/>
      <c r="R181" s="573">
        <f t="shared" si="59"/>
        <v>223200</v>
      </c>
      <c r="S181" s="574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51">
        <f>C182*16000</f>
        <v>272000</v>
      </c>
      <c r="L182" s="526">
        <f>D182*12000</f>
        <v>108000</v>
      </c>
      <c r="M182" s="508">
        <f>E182*19200</f>
        <v>0</v>
      </c>
      <c r="N182" s="509"/>
      <c r="O182" s="509"/>
      <c r="P182" s="509"/>
      <c r="Q182" s="510"/>
      <c r="R182" s="498">
        <f t="shared" si="59"/>
        <v>380000</v>
      </c>
      <c r="S182" s="496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51">
        <f>C183*19000</f>
        <v>209000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9"/>
        <v>209000</v>
      </c>
      <c r="S183" s="496">
        <f>J183*3677</f>
        <v>40447</v>
      </c>
    </row>
    <row r="184" spans="1:19">
      <c r="A184" s="256" t="s">
        <v>332</v>
      </c>
      <c r="B184" s="477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51">
        <f>C184*16000</f>
        <v>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9"/>
        <v>0</v>
      </c>
      <c r="S184" s="496">
        <f>J184*4716</f>
        <v>0</v>
      </c>
    </row>
    <row r="185" spans="1:19" s="221" customFormat="1">
      <c r="A185" s="220" t="s">
        <v>358</v>
      </c>
      <c r="B185" s="476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51">
        <f>C185*26880</f>
        <v>26880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9"/>
        <v>26880</v>
      </c>
      <c r="S185" s="496">
        <f>J185*8712</f>
        <v>8712</v>
      </c>
    </row>
    <row r="186" spans="1:19">
      <c r="A186" s="104" t="s">
        <v>360</v>
      </c>
      <c r="B186" s="476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51">
        <f>C186*30400</f>
        <v>273600</v>
      </c>
      <c r="L186" s="526">
        <f>D186*25600</f>
        <v>179200</v>
      </c>
      <c r="M186" s="508">
        <f>E186*25600</f>
        <v>0</v>
      </c>
      <c r="N186" s="509"/>
      <c r="O186" s="509"/>
      <c r="P186" s="509"/>
      <c r="Q186" s="510"/>
      <c r="R186" s="498">
        <f t="shared" si="59"/>
        <v>452800</v>
      </c>
      <c r="S186" s="496">
        <f>J186*5760</f>
        <v>92160</v>
      </c>
    </row>
    <row r="187" spans="1:19">
      <c r="A187" s="104" t="s">
        <v>362</v>
      </c>
      <c r="B187" s="476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51">
        <f>C187*17600</f>
        <v>598400</v>
      </c>
      <c r="L187" s="526">
        <f>D187*14400</f>
        <v>43200</v>
      </c>
      <c r="M187" s="575">
        <f>E187*14400</f>
        <v>0</v>
      </c>
      <c r="N187" s="556"/>
      <c r="O187" s="509"/>
      <c r="P187" s="509"/>
      <c r="Q187" s="510"/>
      <c r="R187" s="498">
        <f t="shared" si="59"/>
        <v>641600</v>
      </c>
      <c r="S187" s="496">
        <f>J187*3867</f>
        <v>143079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9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51">
        <f>C189*11000</f>
        <v>3102000</v>
      </c>
      <c r="L189" s="526">
        <f>D189*9900</f>
        <v>198000</v>
      </c>
      <c r="M189" s="508">
        <f>E189*8800</f>
        <v>633600</v>
      </c>
      <c r="N189" s="509"/>
      <c r="O189" s="509">
        <f>F189*11000</f>
        <v>0</v>
      </c>
      <c r="P189" s="509">
        <f>H189*11000</f>
        <v>4917000</v>
      </c>
      <c r="Q189" s="510"/>
      <c r="R189" s="498">
        <f t="shared" si="59"/>
        <v>8850600</v>
      </c>
      <c r="S189" s="496">
        <f>J189*2006</f>
        <v>1646926</v>
      </c>
    </row>
    <row r="190" spans="1:19">
      <c r="A190" s="104" t="s">
        <v>295</v>
      </c>
      <c r="B190" s="476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51">
        <f>C190*16000</f>
        <v>192000</v>
      </c>
      <c r="L190" s="526">
        <f>D190*12000</f>
        <v>24000</v>
      </c>
      <c r="M190" s="508">
        <f>E190*12000</f>
        <v>0</v>
      </c>
      <c r="N190" s="509"/>
      <c r="O190" s="509">
        <f>F190*12800</f>
        <v>51200</v>
      </c>
      <c r="P190" s="509"/>
      <c r="Q190" s="510"/>
      <c r="R190" s="498">
        <f t="shared" si="59"/>
        <v>267200</v>
      </c>
      <c r="S190" s="496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56">
        <f>C191*1800</f>
        <v>360000</v>
      </c>
      <c r="L191" s="526">
        <f>D191*1600</f>
        <v>160000</v>
      </c>
      <c r="M191" s="508">
        <f>E191*1600</f>
        <v>0</v>
      </c>
      <c r="N191" s="509"/>
      <c r="O191" s="509">
        <f>F191*1600</f>
        <v>32000</v>
      </c>
      <c r="P191" s="509"/>
      <c r="Q191" s="510"/>
      <c r="R191" s="498">
        <f t="shared" si="59"/>
        <v>552000</v>
      </c>
      <c r="S191" s="496">
        <f>J191*818</f>
        <v>261760</v>
      </c>
    </row>
    <row r="192" spans="1:19">
      <c r="A192" s="104" t="s">
        <v>371</v>
      </c>
      <c r="B192" s="476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51">
        <f>C192*2000</f>
        <v>200000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9"/>
        <v>200000</v>
      </c>
      <c r="S192" s="496">
        <f>J192*863</f>
        <v>86300</v>
      </c>
    </row>
    <row r="193" spans="1:19">
      <c r="A193" s="104" t="s">
        <v>754</v>
      </c>
      <c r="B193" s="476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51">
        <f>C193*24000</f>
        <v>120000</v>
      </c>
      <c r="L193" s="526"/>
      <c r="M193" s="508">
        <f>E193*18000</f>
        <v>0</v>
      </c>
      <c r="N193" s="509"/>
      <c r="O193" s="509"/>
      <c r="P193" s="509"/>
      <c r="Q193" s="510"/>
      <c r="R193" s="498">
        <f t="shared" si="59"/>
        <v>120000</v>
      </c>
      <c r="S193" s="496">
        <f>J193*3816</f>
        <v>652536</v>
      </c>
    </row>
    <row r="194" spans="1:19">
      <c r="A194" s="104" t="s">
        <v>306</v>
      </c>
      <c r="B194" s="476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51">
        <f>C194*19200</f>
        <v>864000</v>
      </c>
      <c r="L194" s="526">
        <f>D194*21000</f>
        <v>0</v>
      </c>
      <c r="M194" s="508">
        <f>E194*11000</f>
        <v>0</v>
      </c>
      <c r="N194" s="509"/>
      <c r="O194" s="509">
        <f>G194*19200</f>
        <v>0</v>
      </c>
      <c r="P194" s="509"/>
      <c r="Q194" s="510"/>
      <c r="R194" s="498">
        <f t="shared" si="59"/>
        <v>864000</v>
      </c>
      <c r="S194" s="496">
        <f>J194*4062</f>
        <v>991128</v>
      </c>
    </row>
    <row r="195" spans="1:19">
      <c r="A195" s="104" t="s">
        <v>313</v>
      </c>
      <c r="B195" s="476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C195*24000</f>
        <v>0</v>
      </c>
      <c r="L195" s="526">
        <f>D195*21000</f>
        <v>0</v>
      </c>
      <c r="M195" s="508">
        <f>E195*21000</f>
        <v>0</v>
      </c>
      <c r="N195" s="509"/>
      <c r="O195" s="509">
        <f>G195*19200</f>
        <v>0</v>
      </c>
      <c r="P195" s="509"/>
      <c r="Q195" s="510"/>
      <c r="R195" s="498">
        <f t="shared" si="59"/>
        <v>0</v>
      </c>
      <c r="S195" s="496">
        <f>J195*7146</f>
        <v>0</v>
      </c>
    </row>
    <row r="196" spans="1:19">
      <c r="A196" s="104" t="s">
        <v>374</v>
      </c>
      <c r="B196" s="476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C196*19200</f>
        <v>0</v>
      </c>
      <c r="L196" s="526"/>
      <c r="M196" s="508">
        <f>E196*11000</f>
        <v>0</v>
      </c>
      <c r="N196" s="509"/>
      <c r="O196" s="509"/>
      <c r="P196" s="509"/>
      <c r="Q196" s="510"/>
      <c r="R196" s="498">
        <f t="shared" si="59"/>
        <v>0</v>
      </c>
      <c r="S196" s="496">
        <f>J196*4314</f>
        <v>0</v>
      </c>
    </row>
    <row r="197" spans="1:19">
      <c r="A197" s="104" t="s">
        <v>376</v>
      </c>
      <c r="B197" s="476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51">
        <f>C197*9000</f>
        <v>9000</v>
      </c>
      <c r="L197" s="526"/>
      <c r="M197" s="508">
        <f>E197*6600</f>
        <v>0</v>
      </c>
      <c r="N197" s="509"/>
      <c r="O197" s="509"/>
      <c r="P197" s="509"/>
      <c r="Q197" s="510"/>
      <c r="R197" s="498">
        <f t="shared" si="59"/>
        <v>9000</v>
      </c>
      <c r="S197" s="496">
        <f>J197*3131</f>
        <v>3131</v>
      </c>
    </row>
    <row r="198" spans="1:19">
      <c r="A198" s="104" t="s">
        <v>378</v>
      </c>
      <c r="B198" s="476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51">
        <f>C198*5500</f>
        <v>0</v>
      </c>
      <c r="L198" s="551">
        <f>D198*5500</f>
        <v>0</v>
      </c>
      <c r="M198" s="508">
        <f>E198*5500</f>
        <v>0</v>
      </c>
      <c r="N198" s="509"/>
      <c r="O198" s="509"/>
      <c r="P198" s="509"/>
      <c r="Q198" s="510"/>
      <c r="R198" s="498">
        <f t="shared" si="59"/>
        <v>0</v>
      </c>
      <c r="S198" s="496">
        <f>J198*2426</f>
        <v>0</v>
      </c>
    </row>
    <row r="199" spans="1:19">
      <c r="A199" s="104" t="s">
        <v>380</v>
      </c>
      <c r="B199" s="476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51">
        <f>C199*14500</f>
        <v>0</v>
      </c>
      <c r="L199" s="551">
        <f>D199*14500</f>
        <v>0</v>
      </c>
      <c r="M199" s="508">
        <f>E199*12100</f>
        <v>0</v>
      </c>
      <c r="N199" s="509"/>
      <c r="O199" s="509"/>
      <c r="P199" s="509"/>
      <c r="Q199" s="510"/>
      <c r="R199" s="498">
        <f t="shared" si="59"/>
        <v>0</v>
      </c>
      <c r="S199" s="496">
        <f>J199*5557</f>
        <v>0</v>
      </c>
    </row>
    <row r="200" spans="1:19" s="495" customFormat="1">
      <c r="A200" s="104" t="s">
        <v>382</v>
      </c>
      <c r="B200" s="682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51">
        <f>C200*12000</f>
        <v>48000</v>
      </c>
      <c r="L200" s="526">
        <f>D200*9900</f>
        <v>0</v>
      </c>
      <c r="M200" s="508">
        <f>E200*9900</f>
        <v>0</v>
      </c>
      <c r="N200" s="509"/>
      <c r="O200" s="509">
        <f>F200*7200</f>
        <v>432000</v>
      </c>
      <c r="P200" s="509"/>
      <c r="Q200" s="510"/>
      <c r="R200" s="498">
        <f t="shared" si="59"/>
        <v>480000</v>
      </c>
      <c r="S200" s="496">
        <f>J200*2633</f>
        <v>168512</v>
      </c>
    </row>
    <row r="201" spans="1:19" s="495" customFormat="1">
      <c r="A201" s="180" t="s">
        <v>384</v>
      </c>
      <c r="B201" s="683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95">
        <f>C201*14000</f>
        <v>56000</v>
      </c>
      <c r="L201" s="526">
        <f>D201*11600</f>
        <v>116000</v>
      </c>
      <c r="M201" s="508">
        <f>E201*11600</f>
        <v>0</v>
      </c>
      <c r="N201" s="509"/>
      <c r="O201" s="509">
        <f>F201*8400</f>
        <v>252000</v>
      </c>
      <c r="P201" s="509"/>
      <c r="Q201" s="510"/>
      <c r="R201" s="498">
        <f t="shared" si="59"/>
        <v>424000</v>
      </c>
      <c r="S201" s="496">
        <f>J201*3569</f>
        <v>157036</v>
      </c>
    </row>
    <row r="202" spans="1:19" s="495" customFormat="1">
      <c r="A202" s="180" t="s">
        <v>734</v>
      </c>
      <c r="B202" s="476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95">
        <f>C202*28000</f>
        <v>0</v>
      </c>
      <c r="L202" s="526"/>
      <c r="M202" s="508">
        <f>E202*22400</f>
        <v>44800</v>
      </c>
      <c r="N202" s="509"/>
      <c r="O202" s="509"/>
      <c r="P202" s="509"/>
      <c r="Q202" s="510"/>
      <c r="R202" s="498">
        <f t="shared" si="59"/>
        <v>44800</v>
      </c>
      <c r="S202" s="496">
        <f>J202*4618</f>
        <v>9236</v>
      </c>
    </row>
    <row r="203" spans="1:19" s="495" customFormat="1">
      <c r="A203" s="180" t="s">
        <v>736</v>
      </c>
      <c r="B203" s="476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95">
        <f>C203*27000</f>
        <v>81000</v>
      </c>
      <c r="L203" s="526"/>
      <c r="M203" s="508">
        <f>E203*21600</f>
        <v>43200</v>
      </c>
      <c r="N203" s="509"/>
      <c r="O203" s="509"/>
      <c r="P203" s="509"/>
      <c r="Q203" s="510"/>
      <c r="R203" s="498">
        <f t="shared" si="59"/>
        <v>124200</v>
      </c>
      <c r="S203" s="496">
        <f>J203*4063</f>
        <v>20315</v>
      </c>
    </row>
    <row r="204" spans="1:19" s="495" customFormat="1">
      <c r="A204" s="104" t="s">
        <v>385</v>
      </c>
      <c r="B204" s="682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35" si="60">SUM(C204:I204)</f>
        <v>51</v>
      </c>
      <c r="K204" s="551">
        <f>C204*6600</f>
        <v>297000</v>
      </c>
      <c r="L204" s="526"/>
      <c r="M204" s="508">
        <f>E204*5500</f>
        <v>0</v>
      </c>
      <c r="N204" s="509"/>
      <c r="O204" s="509">
        <f>F204*5300</f>
        <v>21200</v>
      </c>
      <c r="P204" s="509"/>
      <c r="Q204" s="532">
        <f>I204*4620</f>
        <v>9240</v>
      </c>
      <c r="R204" s="498">
        <f t="shared" ref="R204:R235" si="61">SUM(K204:Q204)</f>
        <v>327440</v>
      </c>
      <c r="S204" s="496">
        <f>J204*2573</f>
        <v>131223</v>
      </c>
    </row>
    <row r="205" spans="1:19" s="495" customFormat="1">
      <c r="A205" s="104" t="s">
        <v>387</v>
      </c>
      <c r="B205" s="683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51">
        <f>C205*6600</f>
        <v>244200</v>
      </c>
      <c r="L205" s="526"/>
      <c r="M205" s="508">
        <f>E205*5500</f>
        <v>0</v>
      </c>
      <c r="N205" s="509"/>
      <c r="O205" s="509">
        <f>F205*5300</f>
        <v>21200</v>
      </c>
      <c r="P205" s="509"/>
      <c r="Q205" s="532">
        <f>I205*4620</f>
        <v>9240</v>
      </c>
      <c r="R205" s="498">
        <f t="shared" si="61"/>
        <v>274640</v>
      </c>
      <c r="S205" s="496">
        <f>J205*3222</f>
        <v>138546</v>
      </c>
    </row>
    <row r="206" spans="1:19" s="495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1"/>
        <v>0</v>
      </c>
      <c r="S206" s="496">
        <f>J206*63000</f>
        <v>0</v>
      </c>
    </row>
    <row r="207" spans="1:19" s="495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26"/>
      <c r="M207" s="508">
        <f>E207*180000</f>
        <v>0</v>
      </c>
      <c r="N207" s="509"/>
      <c r="O207" s="509"/>
      <c r="P207" s="509"/>
      <c r="Q207" s="510"/>
      <c r="R207" s="498">
        <f t="shared" si="61"/>
        <v>0</v>
      </c>
      <c r="S207" s="496">
        <f>J207*90000</f>
        <v>0</v>
      </c>
    </row>
    <row r="208" spans="1:19" s="495" customFormat="1">
      <c r="A208" s="104" t="s">
        <v>390</v>
      </c>
      <c r="B208" s="476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95">
        <f>C208*16500</f>
        <v>1584000</v>
      </c>
      <c r="L208" s="526"/>
      <c r="M208" s="508">
        <f>E208*12500</f>
        <v>212500</v>
      </c>
      <c r="N208" s="509"/>
      <c r="O208" s="509"/>
      <c r="P208" s="509"/>
      <c r="Q208" s="532"/>
      <c r="R208" s="498">
        <f t="shared" si="61"/>
        <v>1796500</v>
      </c>
      <c r="S208" s="496">
        <f>J208*3069</f>
        <v>346797</v>
      </c>
    </row>
    <row r="209" spans="1:19" s="495" customFormat="1">
      <c r="A209" s="104" t="s">
        <v>392</v>
      </c>
      <c r="B209" s="476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95">
        <f>C209*18000</f>
        <v>630000</v>
      </c>
      <c r="L209" s="526"/>
      <c r="M209" s="508">
        <f>E209*13200</f>
        <v>158400</v>
      </c>
      <c r="N209" s="509">
        <f>F209*18000</f>
        <v>0</v>
      </c>
      <c r="O209" s="509"/>
      <c r="P209" s="509"/>
      <c r="Q209" s="510"/>
      <c r="R209" s="498">
        <f t="shared" si="61"/>
        <v>788400</v>
      </c>
      <c r="S209" s="496">
        <f>J209*3147</f>
        <v>147909</v>
      </c>
    </row>
    <row r="210" spans="1:19" s="495" customFormat="1">
      <c r="A210" s="104" t="s">
        <v>394</v>
      </c>
      <c r="B210" s="476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95">
        <f>C210*12000</f>
        <v>36000</v>
      </c>
      <c r="L210" s="526"/>
      <c r="M210" s="508">
        <f>E210*9600</f>
        <v>76800</v>
      </c>
      <c r="N210" s="509">
        <f>F210*12000</f>
        <v>0</v>
      </c>
      <c r="O210" s="509">
        <f>G210*9600</f>
        <v>96000</v>
      </c>
      <c r="P210" s="509"/>
      <c r="Q210" s="510"/>
      <c r="R210" s="498">
        <f t="shared" si="61"/>
        <v>208800</v>
      </c>
      <c r="S210" s="496">
        <f>J210*2740</f>
        <v>57540</v>
      </c>
    </row>
    <row r="211" spans="1:19" s="495" customFormat="1">
      <c r="A211" s="104" t="s">
        <v>396</v>
      </c>
      <c r="B211" s="476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95">
        <f>C211*28000</f>
        <v>56000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1"/>
        <v>56000</v>
      </c>
      <c r="S211" s="496">
        <f>J211*6493</f>
        <v>12986</v>
      </c>
    </row>
    <row r="212" spans="1:19" s="495" customFormat="1">
      <c r="A212" s="104" t="s">
        <v>398</v>
      </c>
      <c r="B212" s="476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95">
        <f>C212*28000</f>
        <v>112000</v>
      </c>
      <c r="L212" s="526"/>
      <c r="M212" s="508"/>
      <c r="N212" s="509">
        <f>F212*19600</f>
        <v>0</v>
      </c>
      <c r="O212" s="509"/>
      <c r="P212" s="509">
        <f>H212*22400</f>
        <v>0</v>
      </c>
      <c r="Q212" s="510"/>
      <c r="R212" s="498">
        <f t="shared" si="61"/>
        <v>112000</v>
      </c>
      <c r="S212" s="496">
        <f>J212*6900</f>
        <v>27600</v>
      </c>
    </row>
    <row r="213" spans="1:19" s="495" customFormat="1">
      <c r="A213" s="104" t="s">
        <v>400</v>
      </c>
      <c r="B213" s="476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95">
        <f>C213*22000</f>
        <v>0</v>
      </c>
      <c r="L213" s="526"/>
      <c r="M213" s="508"/>
      <c r="N213" s="509">
        <f>F213*17100</f>
        <v>0</v>
      </c>
      <c r="O213" s="509"/>
      <c r="P213" s="509"/>
      <c r="Q213" s="510"/>
      <c r="R213" s="498">
        <f t="shared" si="61"/>
        <v>0</v>
      </c>
      <c r="S213" s="496">
        <f>J213*2573</f>
        <v>0</v>
      </c>
    </row>
    <row r="214" spans="1:19" s="495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95">
        <f>C214*22000</f>
        <v>0</v>
      </c>
      <c r="L214" s="526"/>
      <c r="M214" s="508"/>
      <c r="N214" s="509">
        <f>F214*17600</f>
        <v>17600</v>
      </c>
      <c r="O214" s="509"/>
      <c r="P214" s="509"/>
      <c r="Q214" s="510"/>
      <c r="R214" s="498">
        <f t="shared" si="61"/>
        <v>17600</v>
      </c>
      <c r="S214" s="496">
        <f>J214*4950</f>
        <v>4950</v>
      </c>
    </row>
    <row r="215" spans="1:19" s="495" customFormat="1" ht="16.5" customHeight="1">
      <c r="A215" s="104" t="s">
        <v>404</v>
      </c>
      <c r="B215" s="689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95">
        <f>C215*12000</f>
        <v>84000</v>
      </c>
      <c r="L215" s="526"/>
      <c r="M215" s="508">
        <f>E215*12000</f>
        <v>0</v>
      </c>
      <c r="N215" s="509">
        <f>F215*9600</f>
        <v>0</v>
      </c>
      <c r="O215" s="509"/>
      <c r="P215" s="509">
        <f>H215*12000</f>
        <v>24000</v>
      </c>
      <c r="Q215" s="510"/>
      <c r="R215" s="498">
        <f t="shared" si="61"/>
        <v>108000</v>
      </c>
      <c r="S215" s="496">
        <f>J215*2645</f>
        <v>23805</v>
      </c>
    </row>
    <row r="216" spans="1:19" s="495" customFormat="1">
      <c r="A216" s="104" t="s">
        <v>406</v>
      </c>
      <c r="B216" s="683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95">
        <f>C216*48000</f>
        <v>0</v>
      </c>
      <c r="L216" s="526"/>
      <c r="M216" s="508">
        <f>E216*48000</f>
        <v>0</v>
      </c>
      <c r="N216" s="509">
        <f>F216*38400</f>
        <v>0</v>
      </c>
      <c r="O216" s="509"/>
      <c r="P216" s="509"/>
      <c r="Q216" s="510"/>
      <c r="R216" s="498">
        <f t="shared" si="61"/>
        <v>0</v>
      </c>
      <c r="S216" s="496">
        <f>J216*5981</f>
        <v>0</v>
      </c>
    </row>
    <row r="217" spans="1:19" ht="16.5" customHeight="1">
      <c r="A217" s="104" t="s">
        <v>407</v>
      </c>
      <c r="B217" s="689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95">
        <f>C217*12000</f>
        <v>132000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24000</v>
      </c>
      <c r="Q217" s="510"/>
      <c r="R217" s="498">
        <f t="shared" si="61"/>
        <v>156000</v>
      </c>
      <c r="S217" s="496">
        <f>J217*2718</f>
        <v>35334</v>
      </c>
    </row>
    <row r="218" spans="1:19">
      <c r="A218" s="104" t="s">
        <v>409</v>
      </c>
      <c r="B218" s="683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1"/>
        <v>0</v>
      </c>
      <c r="S218" s="496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95">
        <f>C219*18000</f>
        <v>36000</v>
      </c>
      <c r="L219" s="526"/>
      <c r="M219" s="508"/>
      <c r="N219" s="509">
        <f>F219*14400</f>
        <v>28800</v>
      </c>
      <c r="O219" s="509"/>
      <c r="P219" s="509"/>
      <c r="Q219" s="510"/>
      <c r="R219" s="498">
        <f t="shared" si="61"/>
        <v>64800</v>
      </c>
      <c r="S219" s="496">
        <f>J219*3129</f>
        <v>18774</v>
      </c>
    </row>
    <row r="220" spans="1:19" ht="16.5" customHeight="1">
      <c r="A220" s="104" t="s">
        <v>412</v>
      </c>
      <c r="B220" s="689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95">
        <f>C220*18000</f>
        <v>234000</v>
      </c>
      <c r="L220" s="526"/>
      <c r="M220" s="508">
        <f>E220*18000</f>
        <v>0</v>
      </c>
      <c r="N220" s="509">
        <f>F220*14400</f>
        <v>0</v>
      </c>
      <c r="O220" s="509"/>
      <c r="P220" s="509">
        <f>H220*18000</f>
        <v>0</v>
      </c>
      <c r="Q220" s="510"/>
      <c r="R220" s="498">
        <f t="shared" si="61"/>
        <v>234000</v>
      </c>
      <c r="S220" s="496">
        <f>J220*2748</f>
        <v>35724</v>
      </c>
    </row>
    <row r="221" spans="1:19">
      <c r="A221" s="104" t="s">
        <v>414</v>
      </c>
      <c r="B221" s="688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95">
        <f>C221*36000</f>
        <v>324000</v>
      </c>
      <c r="L221" s="526"/>
      <c r="M221" s="508">
        <f>E221*36000</f>
        <v>0</v>
      </c>
      <c r="N221" s="509">
        <f>F221*28800</f>
        <v>0</v>
      </c>
      <c r="O221" s="509"/>
      <c r="P221" s="509">
        <f>H221*36000</f>
        <v>0</v>
      </c>
      <c r="Q221" s="510"/>
      <c r="R221" s="498">
        <f t="shared" si="61"/>
        <v>324000</v>
      </c>
      <c r="S221" s="496">
        <f>J221*4960</f>
        <v>44640</v>
      </c>
    </row>
    <row r="222" spans="1:19">
      <c r="A222" s="104" t="s">
        <v>415</v>
      </c>
      <c r="B222" s="683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95">
        <f>C222*90000</f>
        <v>0</v>
      </c>
      <c r="L222" s="526"/>
      <c r="M222" s="508">
        <f>E222*90000</f>
        <v>0</v>
      </c>
      <c r="N222" s="509">
        <f>F222*72000</f>
        <v>0</v>
      </c>
      <c r="O222" s="509"/>
      <c r="P222" s="509"/>
      <c r="Q222" s="510"/>
      <c r="R222" s="498">
        <f t="shared" si="61"/>
        <v>0</v>
      </c>
      <c r="S222" s="496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76">
        <f t="shared" ref="K223:S223" si="62">SUM(K171:K222)</f>
        <v>17802880</v>
      </c>
      <c r="L223" s="577">
        <f t="shared" si="62"/>
        <v>3787200</v>
      </c>
      <c r="M223" s="578">
        <f t="shared" si="62"/>
        <v>1169300</v>
      </c>
      <c r="N223" s="579">
        <f t="shared" si="62"/>
        <v>46400</v>
      </c>
      <c r="O223" s="579">
        <f t="shared" si="62"/>
        <v>905600</v>
      </c>
      <c r="P223" s="579">
        <f t="shared" si="62"/>
        <v>4965000</v>
      </c>
      <c r="Q223" s="576">
        <f t="shared" si="62"/>
        <v>18480</v>
      </c>
      <c r="R223" s="580">
        <f t="shared" si="62"/>
        <v>28694860</v>
      </c>
      <c r="S223" s="580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81"/>
      <c r="L224" s="582"/>
      <c r="M224" s="583"/>
      <c r="N224" s="584"/>
      <c r="O224" s="584"/>
      <c r="P224" s="584"/>
      <c r="Q224" s="581"/>
      <c r="R224" s="585"/>
      <c r="S224" s="585"/>
    </row>
    <row r="225" spans="1:19" ht="24" customHeight="1">
      <c r="A225" s="107" t="s">
        <v>417</v>
      </c>
      <c r="C225" s="108" t="s">
        <v>418</v>
      </c>
      <c r="D225" s="692"/>
      <c r="E225" s="227"/>
      <c r="F225" s="5" t="s">
        <v>420</v>
      </c>
      <c r="G225" s="9" t="s">
        <v>421</v>
      </c>
      <c r="H225" s="10"/>
      <c r="I225" s="112"/>
      <c r="J225" s="96"/>
      <c r="K225" s="525"/>
      <c r="P225" s="521"/>
    </row>
    <row r="226" spans="1:19" ht="17.25" customHeight="1">
      <c r="A226" s="107"/>
      <c r="C226" s="406" t="s">
        <v>422</v>
      </c>
      <c r="D226" s="688"/>
      <c r="E226" s="294"/>
      <c r="F226" s="293"/>
      <c r="G226" s="14"/>
      <c r="H226" s="369"/>
      <c r="I226" s="361"/>
      <c r="J226" s="14"/>
      <c r="K226" s="308"/>
      <c r="P226" s="521"/>
    </row>
    <row r="227" spans="1:19" ht="21.75" customHeight="1">
      <c r="A227" s="107"/>
      <c r="C227" s="406" t="s">
        <v>423</v>
      </c>
      <c r="D227" s="688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21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503" t="s">
        <v>4</v>
      </c>
      <c r="L228" s="684" t="s">
        <v>431</v>
      </c>
      <c r="M228" s="685"/>
      <c r="N228" s="685"/>
      <c r="O228" s="586"/>
      <c r="P228" s="587"/>
      <c r="Q228" s="588" t="s">
        <v>432</v>
      </c>
      <c r="R228" s="505" t="s">
        <v>29</v>
      </c>
      <c r="S228" s="531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51">
        <f>C229*12000</f>
        <v>1020000</v>
      </c>
      <c r="L229" s="526">
        <f>D229*9900</f>
        <v>0</v>
      </c>
      <c r="M229" s="575">
        <f>F229*9900</f>
        <v>49500</v>
      </c>
      <c r="N229" s="508"/>
      <c r="O229" s="589"/>
      <c r="P229" s="590"/>
      <c r="Q229" s="510">
        <f>H229*12000</f>
        <v>2856000</v>
      </c>
      <c r="R229" s="496">
        <f>SUM(K229:Q229)</f>
        <v>3925500</v>
      </c>
      <c r="S229" s="496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51">
        <f>C230*22000</f>
        <v>2794000</v>
      </c>
      <c r="L230" s="526">
        <f>D230*18000</f>
        <v>0</v>
      </c>
      <c r="M230" s="575">
        <f>F230*18000</f>
        <v>1080000</v>
      </c>
      <c r="N230" s="508"/>
      <c r="O230" s="589"/>
      <c r="P230" s="590"/>
      <c r="Q230" s="510">
        <f>H230*22000</f>
        <v>0</v>
      </c>
      <c r="R230" s="496">
        <f>SUM(K230:Q230)</f>
        <v>3874000</v>
      </c>
      <c r="S230" s="496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51">
        <f>C231*16500</f>
        <v>478500</v>
      </c>
      <c r="L231" s="526">
        <f>D231*13200</f>
        <v>0</v>
      </c>
      <c r="M231" s="575">
        <f>F231*13200</f>
        <v>171600</v>
      </c>
      <c r="N231" s="508"/>
      <c r="O231" s="589"/>
      <c r="P231" s="590"/>
      <c r="Q231" s="510">
        <f>H231*13200</f>
        <v>0</v>
      </c>
      <c r="R231" s="496">
        <f>SUM(K231:Q231)</f>
        <v>650100</v>
      </c>
      <c r="S231" s="496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51">
        <f>C232*16000</f>
        <v>432000</v>
      </c>
      <c r="L232" s="526">
        <f>D232*13100</f>
        <v>0</v>
      </c>
      <c r="M232" s="575">
        <f>E232*13100</f>
        <v>393000</v>
      </c>
      <c r="N232" s="508"/>
      <c r="O232" s="589"/>
      <c r="P232" s="590"/>
      <c r="Q232" s="510">
        <f>G232*16000</f>
        <v>0</v>
      </c>
      <c r="R232" s="496">
        <f>SUM(K232:Q232)</f>
        <v>825000</v>
      </c>
      <c r="S232" s="496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76">
        <f t="shared" ref="K233:S233" si="63">SUM(K229:K232)</f>
        <v>4724500</v>
      </c>
      <c r="L233" s="577">
        <f t="shared" si="63"/>
        <v>0</v>
      </c>
      <c r="M233" s="576">
        <f t="shared" si="63"/>
        <v>1694100</v>
      </c>
      <c r="N233" s="578">
        <f t="shared" si="63"/>
        <v>0</v>
      </c>
      <c r="O233" s="579">
        <f t="shared" si="63"/>
        <v>0</v>
      </c>
      <c r="P233" s="579">
        <f t="shared" si="63"/>
        <v>0</v>
      </c>
      <c r="Q233" s="576">
        <f t="shared" si="63"/>
        <v>2856000</v>
      </c>
      <c r="R233" s="580">
        <f t="shared" si="63"/>
        <v>9274600</v>
      </c>
      <c r="S233" s="580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81"/>
      <c r="L234" s="582"/>
      <c r="M234" s="581"/>
      <c r="N234" s="581"/>
      <c r="O234" s="584"/>
      <c r="P234" s="581"/>
      <c r="Q234" s="581"/>
      <c r="R234" s="585"/>
      <c r="S234" s="585"/>
    </row>
    <row r="235" spans="1:19">
      <c r="A235" s="64" t="s">
        <v>444</v>
      </c>
      <c r="B235" s="113"/>
      <c r="C235" s="89"/>
      <c r="D235" s="469" t="s">
        <v>445</v>
      </c>
      <c r="E235" s="102"/>
      <c r="F235" s="114"/>
      <c r="G235" s="168"/>
      <c r="H235" s="14" t="s">
        <v>27</v>
      </c>
      <c r="I235" s="14"/>
      <c r="J235" s="97"/>
      <c r="K235" s="564" t="s">
        <v>4</v>
      </c>
      <c r="L235" s="696" t="s">
        <v>446</v>
      </c>
      <c r="M235" s="697"/>
      <c r="N235" s="532" t="s">
        <v>93</v>
      </c>
      <c r="O235" s="532" t="s">
        <v>27</v>
      </c>
      <c r="P235" s="591" t="s">
        <v>9</v>
      </c>
      <c r="Q235" s="532"/>
      <c r="R235" s="498" t="s">
        <v>29</v>
      </c>
      <c r="S235" s="496" t="s">
        <v>167</v>
      </c>
    </row>
    <row r="236" spans="1:19">
      <c r="A236" s="115" t="s">
        <v>447</v>
      </c>
      <c r="B236" s="478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95">
        <f>C236*7000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56">
        <f>C237*7800</f>
        <v>0</v>
      </c>
      <c r="L237" s="526"/>
      <c r="M237" s="508">
        <f>E237*0</f>
        <v>0</v>
      </c>
      <c r="N237" s="509"/>
      <c r="O237" s="509">
        <f>H237*1680</f>
        <v>0</v>
      </c>
      <c r="P237" s="592"/>
      <c r="Q237" s="532"/>
      <c r="R237" s="496">
        <f>SUM(K237:Q237)</f>
        <v>0</v>
      </c>
      <c r="S237" s="496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51">
        <f>C238*600</f>
        <v>36000</v>
      </c>
      <c r="L238" s="526">
        <f>D238*600</f>
        <v>0</v>
      </c>
      <c r="M238" s="508">
        <f>E238*600</f>
        <v>0</v>
      </c>
      <c r="N238" s="509"/>
      <c r="O238" s="509">
        <f>H238*1680</f>
        <v>0</v>
      </c>
      <c r="P238" s="592"/>
      <c r="Q238" s="532"/>
      <c r="R238" s="496">
        <f>SUM(K238:Q238)</f>
        <v>36000</v>
      </c>
      <c r="S238" s="496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76">
        <f t="shared" ref="K239:S239" si="64">SUM(K236:K238)</f>
        <v>36000</v>
      </c>
      <c r="L239" s="577">
        <f t="shared" si="64"/>
        <v>0</v>
      </c>
      <c r="M239" s="593">
        <f t="shared" si="64"/>
        <v>0</v>
      </c>
      <c r="N239" s="579">
        <f t="shared" si="64"/>
        <v>0</v>
      </c>
      <c r="O239" s="579">
        <f t="shared" si="64"/>
        <v>0</v>
      </c>
      <c r="P239" s="579">
        <f t="shared" si="64"/>
        <v>0</v>
      </c>
      <c r="Q239" s="579">
        <f t="shared" si="64"/>
        <v>0</v>
      </c>
      <c r="R239" s="580">
        <f t="shared" si="64"/>
        <v>36000</v>
      </c>
      <c r="S239" s="580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21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21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21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21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64" t="s">
        <v>4</v>
      </c>
      <c r="L244" s="594" t="s">
        <v>460</v>
      </c>
      <c r="M244" s="523" t="s">
        <v>461</v>
      </c>
      <c r="N244" s="595" t="s">
        <v>462</v>
      </c>
      <c r="O244" s="596"/>
      <c r="P244" s="597" t="s">
        <v>454</v>
      </c>
      <c r="Q244" s="597"/>
      <c r="R244" s="564" t="s">
        <v>29</v>
      </c>
      <c r="S244" s="496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51">
        <f>C245*1750</f>
        <v>350000</v>
      </c>
      <c r="L245" s="526">
        <f>D245*1750</f>
        <v>0</v>
      </c>
      <c r="M245" s="598">
        <f>E245*1400</f>
        <v>2800000</v>
      </c>
      <c r="N245" s="508">
        <f>F245*1400</f>
        <v>560000</v>
      </c>
      <c r="O245" s="596">
        <f>G245*1750</f>
        <v>0</v>
      </c>
      <c r="P245" s="508">
        <f>H245*1200</f>
        <v>0</v>
      </c>
      <c r="Q245" s="508"/>
      <c r="R245" s="495">
        <f>SUM(K245:Q245)</f>
        <v>3710000</v>
      </c>
      <c r="S245" s="495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51">
        <f>C246*1750</f>
        <v>157500</v>
      </c>
      <c r="L246" s="526">
        <f>D246*1750</f>
        <v>0</v>
      </c>
      <c r="M246" s="598">
        <f>E246*1400</f>
        <v>3220000</v>
      </c>
      <c r="N246" s="508">
        <f>F246*1400</f>
        <v>420000</v>
      </c>
      <c r="O246" s="596">
        <f>G246*1750</f>
        <v>0</v>
      </c>
      <c r="P246" s="508">
        <f>H246*1200</f>
        <v>0</v>
      </c>
      <c r="Q246" s="508"/>
      <c r="R246" s="495">
        <f>SUM(I246:Q246)</f>
        <v>3800190</v>
      </c>
      <c r="S246" s="495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76">
        <f t="shared" ref="K247:S247" si="65">SUM(K245:K246)</f>
        <v>507500</v>
      </c>
      <c r="L247" s="577">
        <f t="shared" si="65"/>
        <v>0</v>
      </c>
      <c r="M247" s="576">
        <f t="shared" si="65"/>
        <v>6020000</v>
      </c>
      <c r="N247" s="576">
        <f t="shared" si="65"/>
        <v>980000</v>
      </c>
      <c r="O247" s="578">
        <f t="shared" si="65"/>
        <v>0</v>
      </c>
      <c r="P247" s="576">
        <f t="shared" si="65"/>
        <v>0</v>
      </c>
      <c r="Q247" s="576">
        <f t="shared" si="65"/>
        <v>0</v>
      </c>
      <c r="R247" s="599">
        <f t="shared" si="65"/>
        <v>7510190</v>
      </c>
      <c r="S247" s="600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6" customFormat="1">
      <c r="B249" s="64"/>
      <c r="C249" s="64"/>
      <c r="D249" s="479" t="s">
        <v>467</v>
      </c>
      <c r="E249" s="128" t="s">
        <v>6</v>
      </c>
      <c r="F249" s="471" t="s">
        <v>468</v>
      </c>
      <c r="G249" s="7" t="s">
        <v>469</v>
      </c>
      <c r="H249" s="129"/>
      <c r="I249" s="471"/>
      <c r="J249" s="345" t="s">
        <v>93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503" t="s">
        <v>4</v>
      </c>
      <c r="L251" s="684" t="s">
        <v>474</v>
      </c>
      <c r="M251" s="685"/>
      <c r="N251" s="563"/>
      <c r="O251" s="563" t="s">
        <v>19</v>
      </c>
      <c r="P251" s="607"/>
      <c r="Q251" s="588" t="s">
        <v>27</v>
      </c>
      <c r="R251" s="505" t="s">
        <v>29</v>
      </c>
      <c r="S251" s="608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51">
        <f>C252*204000</f>
        <v>6324000</v>
      </c>
      <c r="L252" s="526">
        <f>D252*176000</f>
        <v>0</v>
      </c>
      <c r="M252" s="508">
        <f>E252*176000</f>
        <v>528000</v>
      </c>
      <c r="N252" s="497"/>
      <c r="O252" s="497">
        <f>F252*163200</f>
        <v>163200</v>
      </c>
      <c r="P252" s="521"/>
      <c r="Q252" s="510"/>
      <c r="R252" s="496">
        <f t="shared" ref="R252:R258" si="67">SUM(K252:Q252)</f>
        <v>7015200</v>
      </c>
      <c r="S252" s="496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51">
        <f>C253*46200</f>
        <v>924000</v>
      </c>
      <c r="L253" s="526">
        <f>D253*44000</f>
        <v>0</v>
      </c>
      <c r="M253" s="508">
        <f>E253*44000</f>
        <v>0</v>
      </c>
      <c r="N253" s="497"/>
      <c r="O253" s="497">
        <f>F253*36920</f>
        <v>147680</v>
      </c>
      <c r="P253" s="521"/>
      <c r="Q253" s="510">
        <f>I253*30800</f>
        <v>61600</v>
      </c>
      <c r="R253" s="496">
        <f t="shared" si="67"/>
        <v>1133280</v>
      </c>
      <c r="S253" s="496">
        <f>J253*13500</f>
        <v>364500</v>
      </c>
    </row>
    <row r="254" spans="1:19">
      <c r="A254" s="69" t="s">
        <v>479</v>
      </c>
      <c r="B254" s="478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51">
        <f>C254*21000</f>
        <v>462000</v>
      </c>
      <c r="L254" s="526">
        <f>D254*15400</f>
        <v>0</v>
      </c>
      <c r="M254" s="508">
        <f>E254*15400</f>
        <v>107800</v>
      </c>
      <c r="N254" s="497"/>
      <c r="P254" s="521"/>
      <c r="Q254" s="510"/>
      <c r="R254" s="496">
        <f t="shared" si="67"/>
        <v>569800</v>
      </c>
      <c r="S254" s="496">
        <f>J254*4500</f>
        <v>130500</v>
      </c>
    </row>
    <row r="255" spans="1:19">
      <c r="A255" s="115" t="s">
        <v>481</v>
      </c>
      <c r="B255" s="478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51">
        <f>C255*21000</f>
        <v>609000</v>
      </c>
      <c r="L255" s="526">
        <f>D255*15400</f>
        <v>0</v>
      </c>
      <c r="M255" s="508">
        <f>E255*15400</f>
        <v>46200</v>
      </c>
      <c r="N255" s="497"/>
      <c r="P255" s="521"/>
      <c r="Q255" s="510"/>
      <c r="R255" s="496">
        <f t="shared" si="67"/>
        <v>655200</v>
      </c>
      <c r="S255" s="496">
        <f>J255*4700</f>
        <v>150400</v>
      </c>
    </row>
    <row r="256" spans="1:19">
      <c r="A256" s="115" t="s">
        <v>482</v>
      </c>
      <c r="B256" s="478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51">
        <f>C256*10400</f>
        <v>31200</v>
      </c>
      <c r="L256" s="526">
        <f>D256*10400</f>
        <v>0</v>
      </c>
      <c r="M256" s="508">
        <f>E256*10400</f>
        <v>0</v>
      </c>
      <c r="N256" s="497"/>
      <c r="P256" s="521"/>
      <c r="Q256" s="510"/>
      <c r="R256" s="496">
        <f t="shared" si="67"/>
        <v>31200</v>
      </c>
      <c r="S256" s="496">
        <f>J256*2700</f>
        <v>8100</v>
      </c>
    </row>
    <row r="257" spans="1:19">
      <c r="A257" s="69" t="s">
        <v>483</v>
      </c>
      <c r="B257" s="478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95">
        <f>C257*150000</f>
        <v>0</v>
      </c>
      <c r="L257" s="526">
        <f>D257*120000</f>
        <v>0</v>
      </c>
      <c r="M257" s="508">
        <f>E257*120000</f>
        <v>0</v>
      </c>
      <c r="N257" s="497"/>
      <c r="P257" s="521"/>
      <c r="Q257" s="510"/>
      <c r="R257" s="496">
        <f t="shared" si="67"/>
        <v>0</v>
      </c>
      <c r="S257" s="496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7">
        <f>C258*12000</f>
        <v>0</v>
      </c>
      <c r="L258" s="526"/>
      <c r="M258" s="508"/>
      <c r="N258" s="497"/>
      <c r="P258" s="521"/>
      <c r="Q258" s="510">
        <f>F258*12000</f>
        <v>0</v>
      </c>
      <c r="R258" s="496">
        <f t="shared" si="67"/>
        <v>0</v>
      </c>
      <c r="S258" s="496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81"/>
      <c r="L259" s="582"/>
      <c r="M259" s="581"/>
      <c r="N259" s="581"/>
      <c r="O259" s="583"/>
      <c r="P259" s="581"/>
      <c r="Q259" s="581"/>
      <c r="R259" s="581"/>
      <c r="S259" s="609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10">
        <f t="shared" ref="K260:S260" si="68">SUM(K252:K259)</f>
        <v>8350200</v>
      </c>
      <c r="L260" s="610">
        <f t="shared" si="68"/>
        <v>0</v>
      </c>
      <c r="M260" s="610">
        <f t="shared" si="68"/>
        <v>682000</v>
      </c>
      <c r="N260" s="610">
        <f t="shared" si="68"/>
        <v>0</v>
      </c>
      <c r="O260" s="610">
        <f t="shared" si="68"/>
        <v>310880</v>
      </c>
      <c r="P260" s="610">
        <f t="shared" si="68"/>
        <v>0</v>
      </c>
      <c r="Q260" s="610">
        <f t="shared" si="68"/>
        <v>61600</v>
      </c>
      <c r="R260" s="610">
        <f t="shared" si="68"/>
        <v>9404680</v>
      </c>
      <c r="S260" s="610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21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21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21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21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503" t="s">
        <v>4</v>
      </c>
      <c r="L265" s="684" t="s">
        <v>474</v>
      </c>
      <c r="M265" s="685"/>
      <c r="N265" s="504" t="s">
        <v>26</v>
      </c>
      <c r="O265" s="504" t="s">
        <v>27</v>
      </c>
      <c r="P265" s="504" t="s">
        <v>9</v>
      </c>
      <c r="Q265" s="505"/>
      <c r="R265" s="505" t="s">
        <v>29</v>
      </c>
      <c r="S265" s="608" t="s">
        <v>167</v>
      </c>
    </row>
    <row r="266" spans="1:19" s="495" customFormat="1">
      <c r="A266" s="104" t="s">
        <v>499</v>
      </c>
      <c r="B266" s="689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51">
        <f>C266*25000</f>
        <v>350000</v>
      </c>
      <c r="L266" s="526">
        <f>D266*22000</f>
        <v>0</v>
      </c>
      <c r="M266" s="508">
        <f>E266*22000</f>
        <v>264000</v>
      </c>
      <c r="N266" s="509">
        <f>F266*10000</f>
        <v>0</v>
      </c>
      <c r="O266" s="509"/>
      <c r="P266" s="509"/>
      <c r="Q266" s="498"/>
      <c r="R266" s="496">
        <f t="shared" ref="R266:R297" si="70">SUM(K266:Q266)</f>
        <v>614000</v>
      </c>
      <c r="S266" s="496">
        <f>J266*15400</f>
        <v>400400</v>
      </c>
    </row>
    <row r="267" spans="1:19" s="495" customFormat="1">
      <c r="A267" s="104" t="s">
        <v>501</v>
      </c>
      <c r="B267" s="683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51">
        <f>C267*12000</f>
        <v>624000</v>
      </c>
      <c r="L267" s="526">
        <f>D267*12000</f>
        <v>0</v>
      </c>
      <c r="M267" s="508">
        <f>E267*12000</f>
        <v>0</v>
      </c>
      <c r="N267" s="509"/>
      <c r="O267" s="509"/>
      <c r="P267" s="509"/>
      <c r="Q267" s="498"/>
      <c r="R267" s="496">
        <f t="shared" si="70"/>
        <v>624000</v>
      </c>
      <c r="S267" s="496">
        <f>J267*7150</f>
        <v>371800</v>
      </c>
    </row>
    <row r="268" spans="1:19" s="495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51">
        <f>C268*22000</f>
        <v>748000</v>
      </c>
      <c r="L268" s="526">
        <f>D268*22000</f>
        <v>0</v>
      </c>
      <c r="M268" s="508">
        <f>E268*15000</f>
        <v>75000</v>
      </c>
      <c r="N268" s="509"/>
      <c r="O268" s="509"/>
      <c r="P268" s="509"/>
      <c r="Q268" s="498"/>
      <c r="R268" s="496">
        <f t="shared" si="70"/>
        <v>823000</v>
      </c>
      <c r="S268" s="496">
        <f>J268*10835</f>
        <v>422565</v>
      </c>
    </row>
    <row r="269" spans="1:19" s="495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51">
        <f>C269*22000</f>
        <v>374000</v>
      </c>
      <c r="L269" s="526">
        <f>D269*22000</f>
        <v>0</v>
      </c>
      <c r="M269" s="508">
        <f>E269*22000</f>
        <v>220000</v>
      </c>
      <c r="N269" s="509"/>
      <c r="O269" s="509"/>
      <c r="P269" s="509"/>
      <c r="Q269" s="498"/>
      <c r="R269" s="496">
        <f t="shared" si="70"/>
        <v>594000</v>
      </c>
      <c r="S269" s="496">
        <f>J269*9361</f>
        <v>252747</v>
      </c>
    </row>
    <row r="270" spans="1:19" s="495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51">
        <f>C270*18000</f>
        <v>396000</v>
      </c>
      <c r="L270" s="526">
        <f>D270*15000</f>
        <v>0</v>
      </c>
      <c r="M270" s="508">
        <f>E270*15000</f>
        <v>285000</v>
      </c>
      <c r="N270" s="509"/>
      <c r="O270" s="509">
        <f>I270*14400</f>
        <v>14400</v>
      </c>
      <c r="P270" s="509"/>
      <c r="Q270" s="532"/>
      <c r="R270" s="496">
        <f t="shared" si="70"/>
        <v>695400</v>
      </c>
      <c r="S270" s="496">
        <f>J270*4238</f>
        <v>177996</v>
      </c>
    </row>
    <row r="271" spans="1:19" s="495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51">
        <f>C271*15000</f>
        <v>210000</v>
      </c>
      <c r="L271" s="526">
        <f>D271*11600</f>
        <v>0</v>
      </c>
      <c r="M271" s="508">
        <f>E271*11600</f>
        <v>11600</v>
      </c>
      <c r="N271" s="509"/>
      <c r="O271" s="509"/>
      <c r="P271" s="509"/>
      <c r="Q271" s="498"/>
      <c r="R271" s="496">
        <f t="shared" si="70"/>
        <v>221600</v>
      </c>
      <c r="S271" s="496">
        <f>J271*3719</f>
        <v>55785</v>
      </c>
    </row>
    <row r="272" spans="1:19" s="495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51">
        <f>C272*33000</f>
        <v>132000</v>
      </c>
      <c r="L272" s="526">
        <f>D272*33000</f>
        <v>0</v>
      </c>
      <c r="M272" s="575">
        <f>E272*33000</f>
        <v>0</v>
      </c>
      <c r="N272" s="556"/>
      <c r="O272" s="556"/>
      <c r="P272" s="556"/>
      <c r="Q272" s="498"/>
      <c r="R272" s="496">
        <f t="shared" si="70"/>
        <v>132000</v>
      </c>
      <c r="S272" s="496">
        <f>J272*16500</f>
        <v>66000</v>
      </c>
    </row>
    <row r="273" spans="1:19" s="495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95">
        <f>C273*77000</f>
        <v>0</v>
      </c>
      <c r="L273" s="526">
        <f>D273*77000</f>
        <v>0</v>
      </c>
      <c r="M273" s="575">
        <f>E273*77000</f>
        <v>0</v>
      </c>
      <c r="N273" s="556"/>
      <c r="O273" s="556"/>
      <c r="P273" s="556"/>
      <c r="Q273" s="532"/>
      <c r="R273" s="496">
        <f t="shared" si="70"/>
        <v>0</v>
      </c>
      <c r="S273" s="496">
        <f>J273*38500</f>
        <v>0</v>
      </c>
    </row>
    <row r="274" spans="1:19" s="495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72">
        <f>C274*2500</f>
        <v>397500</v>
      </c>
      <c r="L274" s="526"/>
      <c r="M274" s="508"/>
      <c r="N274" s="509"/>
      <c r="O274" s="509"/>
      <c r="P274" s="509"/>
      <c r="Q274" s="532"/>
      <c r="R274" s="496">
        <f t="shared" si="70"/>
        <v>397500</v>
      </c>
      <c r="S274" s="496">
        <f>J274*1070</f>
        <v>170130</v>
      </c>
    </row>
    <row r="275" spans="1:19" s="495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56">
        <f>C275*1700</f>
        <v>1190000</v>
      </c>
      <c r="L275" s="526">
        <f>D275*1700</f>
        <v>0</v>
      </c>
      <c r="M275" s="508">
        <f>E275*1700</f>
        <v>170000</v>
      </c>
      <c r="N275" s="509"/>
      <c r="O275" s="509">
        <f>I275*2000</f>
        <v>2000</v>
      </c>
      <c r="P275" s="509"/>
      <c r="Q275" s="532"/>
      <c r="R275" s="496">
        <f t="shared" si="70"/>
        <v>1362000</v>
      </c>
      <c r="S275" s="496">
        <f>J275*1070</f>
        <v>857070</v>
      </c>
    </row>
    <row r="276" spans="1:19" s="495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72">
        <f>C276*2500</f>
        <v>165000</v>
      </c>
      <c r="L276" s="526"/>
      <c r="M276" s="508">
        <f>E276*1500</f>
        <v>0</v>
      </c>
      <c r="N276" s="509"/>
      <c r="O276" s="509"/>
      <c r="P276" s="509"/>
      <c r="Q276" s="498"/>
      <c r="R276" s="496">
        <f t="shared" si="70"/>
        <v>165000</v>
      </c>
      <c r="S276" s="496">
        <f>J276*495</f>
        <v>32670</v>
      </c>
    </row>
    <row r="277" spans="1:19" s="495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56">
        <f>C277*1700</f>
        <v>170000</v>
      </c>
      <c r="L277" s="526">
        <f>D277*1700</f>
        <v>0</v>
      </c>
      <c r="M277" s="508">
        <f>E277*1700</f>
        <v>0</v>
      </c>
      <c r="N277" s="509"/>
      <c r="O277" s="509">
        <f>I277*2000</f>
        <v>0</v>
      </c>
      <c r="P277" s="509"/>
      <c r="Q277" s="498"/>
      <c r="R277" s="496">
        <f t="shared" si="70"/>
        <v>170000</v>
      </c>
      <c r="S277" s="496">
        <f>J277*495</f>
        <v>49500</v>
      </c>
    </row>
    <row r="278" spans="1:19" s="495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72">
        <f>C278*2500</f>
        <v>462500</v>
      </c>
      <c r="L278" s="526"/>
      <c r="M278" s="508"/>
      <c r="N278" s="509"/>
      <c r="O278" s="509"/>
      <c r="P278" s="509"/>
      <c r="Q278" s="532"/>
      <c r="R278" s="496">
        <f t="shared" si="70"/>
        <v>462500</v>
      </c>
      <c r="S278" s="496">
        <f>J278*310</f>
        <v>57350</v>
      </c>
    </row>
    <row r="279" spans="1:19" s="495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56">
        <f>C279*1700</f>
        <v>170000</v>
      </c>
      <c r="L279" s="526">
        <f>D279*1700</f>
        <v>0</v>
      </c>
      <c r="M279" s="508">
        <f>E279*1700</f>
        <v>0</v>
      </c>
      <c r="N279" s="509"/>
      <c r="O279" s="509">
        <f>I279*2000</f>
        <v>10000</v>
      </c>
      <c r="P279" s="509"/>
      <c r="Q279" s="532"/>
      <c r="R279" s="496">
        <f t="shared" si="70"/>
        <v>180000</v>
      </c>
      <c r="S279" s="496">
        <f>J279*310</f>
        <v>32550</v>
      </c>
    </row>
    <row r="280" spans="1:19" s="495" customFormat="1">
      <c r="A280" s="206" t="s">
        <v>524</v>
      </c>
      <c r="B280" s="686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51">
        <f>C280*18900</f>
        <v>113400</v>
      </c>
      <c r="L280" s="526">
        <f>D280*15400</f>
        <v>0</v>
      </c>
      <c r="M280" s="575">
        <f>E280*15400</f>
        <v>15400</v>
      </c>
      <c r="N280" s="556"/>
      <c r="O280" s="611">
        <f>I280*15120</f>
        <v>15120</v>
      </c>
      <c r="P280" s="556"/>
      <c r="Q280" s="556"/>
      <c r="R280" s="496">
        <f t="shared" si="70"/>
        <v>143920</v>
      </c>
      <c r="S280" s="496">
        <f>J280*4794</f>
        <v>38352</v>
      </c>
    </row>
    <row r="281" spans="1:19" s="495" customFormat="1">
      <c r="A281" s="139" t="s">
        <v>526</v>
      </c>
      <c r="B281" s="683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95">
        <f>C281*11000</f>
        <v>0</v>
      </c>
      <c r="L281" s="526">
        <f>D281*7000</f>
        <v>0</v>
      </c>
      <c r="M281" s="508">
        <f>E281*7000</f>
        <v>0</v>
      </c>
      <c r="N281" s="509"/>
      <c r="O281" s="509"/>
      <c r="P281" s="509"/>
      <c r="Q281" s="498"/>
      <c r="R281" s="496">
        <f t="shared" si="70"/>
        <v>0</v>
      </c>
      <c r="S281" s="496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51">
        <f>C282*25000</f>
        <v>75000</v>
      </c>
      <c r="L282" s="526">
        <f>D282*20000</f>
        <v>0</v>
      </c>
      <c r="M282" s="508">
        <f>E282*20000</f>
        <v>20000</v>
      </c>
      <c r="N282" s="509"/>
      <c r="O282" s="509"/>
      <c r="P282" s="509"/>
      <c r="R282" s="496">
        <f t="shared" si="70"/>
        <v>95000</v>
      </c>
      <c r="S282" s="496">
        <f>J282*12400</f>
        <v>49600</v>
      </c>
    </row>
    <row r="283" spans="1:19">
      <c r="A283" s="139" t="s">
        <v>529</v>
      </c>
      <c r="B283" s="686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51">
        <f>C283*40000</f>
        <v>40000</v>
      </c>
      <c r="L283" s="526">
        <f>D283*40000</f>
        <v>0</v>
      </c>
      <c r="M283" s="508">
        <f>E283*38000</f>
        <v>76000</v>
      </c>
      <c r="N283" s="509"/>
      <c r="O283" s="611"/>
      <c r="P283" s="509"/>
      <c r="R283" s="496">
        <f t="shared" si="70"/>
        <v>116000</v>
      </c>
      <c r="S283" s="496">
        <f>J283*26400</f>
        <v>79200</v>
      </c>
    </row>
    <row r="284" spans="1:19">
      <c r="A284" s="139" t="s">
        <v>531</v>
      </c>
      <c r="B284" s="688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51">
        <f>C284*22000</f>
        <v>0</v>
      </c>
      <c r="L284" s="526">
        <f>D284*22000</f>
        <v>0</v>
      </c>
      <c r="M284" s="508">
        <f>E284*18000</f>
        <v>0</v>
      </c>
      <c r="N284" s="509"/>
      <c r="O284" s="509"/>
      <c r="P284" s="509"/>
      <c r="R284" s="496">
        <f t="shared" si="70"/>
        <v>0</v>
      </c>
      <c r="S284" s="496">
        <f>J284*11000</f>
        <v>0</v>
      </c>
    </row>
    <row r="285" spans="1:19">
      <c r="A285" s="139" t="s">
        <v>532</v>
      </c>
      <c r="B285" s="683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95">
        <f>C285*4000</f>
        <v>0</v>
      </c>
      <c r="L285" s="526">
        <f>D285*4000</f>
        <v>0</v>
      </c>
      <c r="M285" s="508">
        <f>E285*3000</f>
        <v>30000</v>
      </c>
      <c r="N285" s="509"/>
      <c r="O285" s="509"/>
      <c r="P285" s="509"/>
      <c r="R285" s="496">
        <f t="shared" si="70"/>
        <v>30000</v>
      </c>
      <c r="S285" s="496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51">
        <f>C286*25000</f>
        <v>50000</v>
      </c>
      <c r="L286" s="526">
        <f>D286*25000</f>
        <v>0</v>
      </c>
      <c r="M286" s="508">
        <f>E286*25000</f>
        <v>0</v>
      </c>
      <c r="N286" s="509"/>
      <c r="O286" s="509"/>
      <c r="P286" s="509"/>
      <c r="R286" s="496">
        <f t="shared" si="70"/>
        <v>50000</v>
      </c>
      <c r="S286" s="496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51">
        <f>C287*5000</f>
        <v>5000</v>
      </c>
      <c r="L287" s="526">
        <f>D287*5000</f>
        <v>0</v>
      </c>
      <c r="M287" s="508">
        <f>E287*4500</f>
        <v>0</v>
      </c>
      <c r="N287" s="509"/>
      <c r="O287" s="509"/>
      <c r="P287" s="509"/>
      <c r="R287" s="496">
        <f t="shared" si="70"/>
        <v>5000</v>
      </c>
      <c r="S287" s="496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51">
        <f>C288*27000</f>
        <v>0</v>
      </c>
      <c r="L288" s="526">
        <f>D288*20000</f>
        <v>0</v>
      </c>
      <c r="M288" s="508">
        <f>E288*20000</f>
        <v>0</v>
      </c>
      <c r="N288" s="509"/>
      <c r="O288" s="509"/>
      <c r="P288" s="509"/>
      <c r="R288" s="496">
        <f t="shared" si="70"/>
        <v>0</v>
      </c>
      <c r="S288" s="496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95">
        <f>C289*4000</f>
        <v>0</v>
      </c>
      <c r="L289" s="526">
        <f>D289*4000</f>
        <v>0</v>
      </c>
      <c r="M289" s="508">
        <f>E289*4000</f>
        <v>0</v>
      </c>
      <c r="N289" s="509"/>
      <c r="O289" s="509"/>
      <c r="P289" s="509"/>
      <c r="R289" s="496">
        <f t="shared" si="70"/>
        <v>0</v>
      </c>
      <c r="S289" s="496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95">
        <f>C290*3900</f>
        <v>358800</v>
      </c>
      <c r="L290" s="526">
        <f>D290*3900</f>
        <v>0</v>
      </c>
      <c r="M290" s="508">
        <f>E290*3900</f>
        <v>0</v>
      </c>
      <c r="N290" s="509"/>
      <c r="O290" s="509"/>
      <c r="P290" s="509"/>
      <c r="R290" s="496">
        <f t="shared" si="70"/>
        <v>358800</v>
      </c>
      <c r="S290" s="496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95">
        <f>C291*6600</f>
        <v>26400</v>
      </c>
      <c r="L291" s="526">
        <f>D291*6600</f>
        <v>0</v>
      </c>
      <c r="M291" s="508">
        <f>E291*6600</f>
        <v>0</v>
      </c>
      <c r="N291" s="509"/>
      <c r="O291" s="509"/>
      <c r="P291" s="509"/>
      <c r="R291" s="496">
        <f t="shared" si="70"/>
        <v>26400</v>
      </c>
      <c r="S291" s="496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95">
        <f>C292*25000</f>
        <v>0</v>
      </c>
      <c r="L292" s="526">
        <f>D292*20000</f>
        <v>0</v>
      </c>
      <c r="M292" s="508">
        <f>E292*20000</f>
        <v>0</v>
      </c>
      <c r="N292" s="509"/>
      <c r="O292" s="509"/>
      <c r="P292" s="509"/>
      <c r="R292" s="496">
        <f t="shared" si="70"/>
        <v>0</v>
      </c>
      <c r="S292" s="496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51">
        <f>C293*15000</f>
        <v>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70"/>
        <v>0</v>
      </c>
      <c r="S293" s="496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51">
        <f>C294*15000</f>
        <v>15000</v>
      </c>
      <c r="L294" s="526">
        <f>D294*10000</f>
        <v>0</v>
      </c>
      <c r="M294" s="508">
        <f>E294*10000</f>
        <v>0</v>
      </c>
      <c r="N294" s="509"/>
      <c r="O294" s="509"/>
      <c r="P294" s="509"/>
      <c r="R294" s="496">
        <f t="shared" si="70"/>
        <v>15000</v>
      </c>
      <c r="S294" s="496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72">
        <f>C295*30000</f>
        <v>30000</v>
      </c>
      <c r="L295" s="526">
        <f>D295*25000</f>
        <v>0</v>
      </c>
      <c r="M295" s="508">
        <f>E295*25000</f>
        <v>0</v>
      </c>
      <c r="N295" s="509"/>
      <c r="O295" s="509"/>
      <c r="P295" s="509"/>
      <c r="Q295" s="612"/>
      <c r="R295" s="496">
        <f t="shared" si="70"/>
        <v>30000</v>
      </c>
      <c r="S295" s="496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95">
        <f>C296*24000</f>
        <v>0</v>
      </c>
      <c r="L296" s="526">
        <f>D296*20000</f>
        <v>0</v>
      </c>
      <c r="M296" s="508">
        <f>E296*18000</f>
        <v>0</v>
      </c>
      <c r="N296" s="509"/>
      <c r="O296" s="509"/>
      <c r="P296" s="509"/>
      <c r="R296" s="496">
        <f t="shared" si="70"/>
        <v>0</v>
      </c>
      <c r="S296" s="496">
        <f>J296*9945</f>
        <v>0</v>
      </c>
    </row>
    <row r="297" spans="1:19">
      <c r="A297" t="s">
        <v>444</v>
      </c>
      <c r="B297" s="686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95">
        <f>C297*25000</f>
        <v>0</v>
      </c>
      <c r="L297" s="526">
        <f>D297*25000</f>
        <v>0</v>
      </c>
      <c r="M297" s="508">
        <f>E297*25000</f>
        <v>0</v>
      </c>
      <c r="N297" s="509"/>
      <c r="O297" s="509"/>
      <c r="P297" s="509"/>
      <c r="R297" s="496">
        <f t="shared" si="70"/>
        <v>0</v>
      </c>
      <c r="S297" s="496">
        <f>J297*18000</f>
        <v>0</v>
      </c>
    </row>
    <row r="298" spans="1:19">
      <c r="A298" s="115" t="s">
        <v>552</v>
      </c>
      <c r="B298" s="688"/>
      <c r="C298" s="190"/>
      <c r="D298" s="190"/>
      <c r="E298" s="187"/>
      <c r="F298" s="190"/>
      <c r="G298" s="189"/>
      <c r="H298" s="194"/>
      <c r="I298" s="194"/>
      <c r="J298" s="26">
        <f t="shared" ref="J298:J329" si="71">SUM(C298:I298)</f>
        <v>0</v>
      </c>
      <c r="K298" s="551">
        <f>C298*10000</f>
        <v>0</v>
      </c>
      <c r="L298" s="526"/>
      <c r="M298" s="508"/>
      <c r="N298" s="509"/>
      <c r="O298" s="509"/>
      <c r="P298" s="509"/>
      <c r="R298" s="496">
        <f t="shared" ref="R298:R329" si="72">SUM(K298:Q298)</f>
        <v>0</v>
      </c>
      <c r="S298" s="496">
        <f>J298*9000</f>
        <v>0</v>
      </c>
    </row>
    <row r="299" spans="1:19">
      <c r="A299" s="115" t="s">
        <v>553</v>
      </c>
      <c r="B299" s="688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95">
        <f>C299*24000</f>
        <v>0</v>
      </c>
      <c r="L299" s="526"/>
      <c r="M299" s="508"/>
      <c r="N299" s="509"/>
      <c r="O299" s="509"/>
      <c r="P299" s="509"/>
      <c r="R299" s="496">
        <f t="shared" si="72"/>
        <v>0</v>
      </c>
      <c r="S299" s="496">
        <f>J299*18000</f>
        <v>0</v>
      </c>
    </row>
    <row r="300" spans="1:19">
      <c r="A300" s="115" t="s">
        <v>554</v>
      </c>
      <c r="B300" s="683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95">
        <f>C300*7000</f>
        <v>7000</v>
      </c>
      <c r="L300" s="526">
        <f>D300*7000</f>
        <v>0</v>
      </c>
      <c r="M300" s="508">
        <f>E300*7000</f>
        <v>0</v>
      </c>
      <c r="N300" s="509"/>
      <c r="O300" s="509"/>
      <c r="P300" s="509"/>
      <c r="R300" s="496">
        <f t="shared" si="72"/>
        <v>7000</v>
      </c>
      <c r="S300" s="496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C301*10000</f>
        <v>0</v>
      </c>
      <c r="L301" s="526">
        <f>D301*10000</f>
        <v>0</v>
      </c>
      <c r="M301" s="508">
        <f>E301*10000</f>
        <v>0</v>
      </c>
      <c r="N301" s="509"/>
      <c r="O301" s="509"/>
      <c r="P301" s="509"/>
      <c r="R301" s="496">
        <f t="shared" si="72"/>
        <v>0</v>
      </c>
      <c r="S301" s="496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51">
        <f t="shared" ref="K302:M303" si="73">C302*200</f>
        <v>40000</v>
      </c>
      <c r="L302" s="526">
        <f t="shared" si="73"/>
        <v>0</v>
      </c>
      <c r="M302" s="508">
        <f t="shared" si="73"/>
        <v>0</v>
      </c>
      <c r="N302" s="509"/>
      <c r="O302" s="509"/>
      <c r="P302" s="509"/>
      <c r="R302" s="496">
        <f t="shared" si="72"/>
        <v>40000</v>
      </c>
      <c r="S302" s="496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51">
        <f t="shared" si="73"/>
        <v>2000</v>
      </c>
      <c r="L303" s="526">
        <f t="shared" si="73"/>
        <v>0</v>
      </c>
      <c r="M303" s="508">
        <f t="shared" si="73"/>
        <v>0</v>
      </c>
      <c r="N303" s="509"/>
      <c r="O303" s="509"/>
      <c r="P303" s="509"/>
      <c r="R303" s="496">
        <f t="shared" si="72"/>
        <v>2000</v>
      </c>
      <c r="S303" s="496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51"/>
      <c r="L304" s="526"/>
      <c r="M304" s="508">
        <f>E304*150</f>
        <v>0</v>
      </c>
      <c r="N304" s="509"/>
      <c r="O304" s="509"/>
      <c r="P304" s="509"/>
      <c r="R304" s="496">
        <f t="shared" si="72"/>
        <v>0</v>
      </c>
      <c r="S304" s="496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51"/>
      <c r="L305" s="526"/>
      <c r="M305" s="508">
        <f>E305*15000</f>
        <v>0</v>
      </c>
      <c r="N305" s="509"/>
      <c r="O305" s="509"/>
      <c r="P305" s="509"/>
      <c r="R305" s="496">
        <f t="shared" si="72"/>
        <v>0</v>
      </c>
      <c r="S305" s="496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95">
        <f>C306*3000</f>
        <v>0</v>
      </c>
      <c r="L306" s="526">
        <f>D306*3000</f>
        <v>0</v>
      </c>
      <c r="M306" s="508">
        <f>E306*3000</f>
        <v>0</v>
      </c>
      <c r="N306" s="509"/>
      <c r="O306" s="509"/>
      <c r="P306" s="509"/>
      <c r="R306" s="496">
        <f t="shared" si="72"/>
        <v>0</v>
      </c>
      <c r="S306" s="496">
        <f>J306*1320</f>
        <v>0</v>
      </c>
    </row>
    <row r="307" spans="1:19" s="495" customFormat="1">
      <c r="A307" s="139" t="s">
        <v>564</v>
      </c>
      <c r="B307" s="686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51">
        <f>C307*1100</f>
        <v>77000</v>
      </c>
      <c r="L307" s="526">
        <f>D307*850</f>
        <v>0</v>
      </c>
      <c r="M307" s="508">
        <f>E307*850</f>
        <v>0</v>
      </c>
      <c r="N307" s="509"/>
      <c r="O307" s="509"/>
      <c r="P307" s="509"/>
      <c r="Q307" s="498"/>
      <c r="R307" s="496">
        <f t="shared" si="72"/>
        <v>77000</v>
      </c>
      <c r="S307" s="496">
        <f>J307*780</f>
        <v>54600</v>
      </c>
    </row>
    <row r="308" spans="1:19" s="495" customFormat="1">
      <c r="A308" s="139" t="s">
        <v>566</v>
      </c>
      <c r="B308" s="683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51">
        <f>C308*1200</f>
        <v>0</v>
      </c>
      <c r="L308" s="526">
        <f>D308*980</f>
        <v>0</v>
      </c>
      <c r="M308" s="508">
        <f>E308*980</f>
        <v>0</v>
      </c>
      <c r="N308" s="509"/>
      <c r="O308" s="509"/>
      <c r="P308" s="509"/>
      <c r="Q308" s="498"/>
      <c r="R308" s="496">
        <f t="shared" si="72"/>
        <v>0</v>
      </c>
      <c r="S308" s="496">
        <f>J308*836</f>
        <v>0</v>
      </c>
    </row>
    <row r="309" spans="1:19" s="495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51">
        <f>C309*2500</f>
        <v>100000</v>
      </c>
      <c r="L309" s="526">
        <f>D309*1100</f>
        <v>0</v>
      </c>
      <c r="M309" s="508">
        <f>E309*1100</f>
        <v>0</v>
      </c>
      <c r="N309" s="509"/>
      <c r="O309" s="509"/>
      <c r="P309" s="509"/>
      <c r="Q309" s="498"/>
      <c r="R309" s="496">
        <f t="shared" si="72"/>
        <v>100000</v>
      </c>
      <c r="S309" s="496">
        <f>J309*1628</f>
        <v>65120</v>
      </c>
    </row>
    <row r="310" spans="1:19" s="495" customFormat="1">
      <c r="A310" s="139" t="s">
        <v>569</v>
      </c>
      <c r="B310" s="695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95">
        <f t="shared" ref="K310:M312" si="74">C310*550</f>
        <v>0</v>
      </c>
      <c r="L310" s="526">
        <f t="shared" si="74"/>
        <v>0</v>
      </c>
      <c r="M310" s="508">
        <f t="shared" si="74"/>
        <v>0</v>
      </c>
      <c r="N310" s="509"/>
      <c r="O310" s="509"/>
      <c r="P310" s="509"/>
      <c r="Q310" s="498"/>
      <c r="R310" s="496">
        <f t="shared" si="72"/>
        <v>0</v>
      </c>
      <c r="S310" s="496">
        <f>J310*389</f>
        <v>0</v>
      </c>
    </row>
    <row r="311" spans="1:19" s="495" customFormat="1">
      <c r="A311" s="139" t="s">
        <v>571</v>
      </c>
      <c r="B311" s="688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95">
        <f t="shared" si="74"/>
        <v>5500</v>
      </c>
      <c r="L311" s="526">
        <f t="shared" si="74"/>
        <v>0</v>
      </c>
      <c r="M311" s="508">
        <f t="shared" si="74"/>
        <v>0</v>
      </c>
      <c r="N311" s="509"/>
      <c r="O311" s="509"/>
      <c r="P311" s="509"/>
      <c r="Q311" s="498"/>
      <c r="R311" s="496">
        <f t="shared" si="72"/>
        <v>5500</v>
      </c>
      <c r="S311" s="496">
        <f>J311*389</f>
        <v>3890</v>
      </c>
    </row>
    <row r="312" spans="1:19" s="495" customFormat="1">
      <c r="A312" s="139" t="s">
        <v>572</v>
      </c>
      <c r="B312" s="683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95">
        <f t="shared" si="74"/>
        <v>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0</v>
      </c>
      <c r="S312" s="496">
        <f>J312*389</f>
        <v>0</v>
      </c>
    </row>
    <row r="313" spans="1:19" s="495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51">
        <f>C313*2500</f>
        <v>27500</v>
      </c>
      <c r="L313" s="526">
        <f>D313*2500</f>
        <v>0</v>
      </c>
      <c r="M313" s="508">
        <f>E313*2500</f>
        <v>0</v>
      </c>
      <c r="N313" s="509"/>
      <c r="O313" s="509"/>
      <c r="P313" s="509"/>
      <c r="Q313" s="498"/>
      <c r="R313" s="496">
        <f t="shared" si="72"/>
        <v>27500</v>
      </c>
      <c r="S313" s="496">
        <f>J313*1412</f>
        <v>15532</v>
      </c>
    </row>
    <row r="314" spans="1:19" s="495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51">
        <f>C314*110</f>
        <v>22000</v>
      </c>
      <c r="L314" s="526"/>
      <c r="M314" s="508"/>
      <c r="N314" s="509"/>
      <c r="O314" s="509"/>
      <c r="P314" s="509"/>
      <c r="Q314" s="498"/>
      <c r="R314" s="496">
        <f t="shared" si="72"/>
        <v>22000</v>
      </c>
      <c r="S314" s="496">
        <f>J314*60</f>
        <v>16860</v>
      </c>
    </row>
    <row r="315" spans="1:19" s="495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51">
        <f>C315*75000</f>
        <v>0</v>
      </c>
      <c r="L315" s="526"/>
      <c r="M315" s="508"/>
      <c r="N315" s="509"/>
      <c r="O315" s="509"/>
      <c r="P315" s="509"/>
      <c r="Q315" s="498"/>
      <c r="R315" s="496">
        <f t="shared" si="72"/>
        <v>0</v>
      </c>
      <c r="S315" s="496">
        <f>J315*27500</f>
        <v>0</v>
      </c>
    </row>
    <row r="316" spans="1:19" s="495" customFormat="1">
      <c r="A316" s="139" t="s">
        <v>579</v>
      </c>
      <c r="B316" s="695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51">
        <f>C316*120000</f>
        <v>120000</v>
      </c>
      <c r="L316" s="526"/>
      <c r="M316" s="508"/>
      <c r="N316" s="509"/>
      <c r="O316" s="509"/>
      <c r="P316" s="509"/>
      <c r="Q316" s="498"/>
      <c r="R316" s="496">
        <f t="shared" si="72"/>
        <v>120000</v>
      </c>
      <c r="S316" s="496">
        <f>J316*59400</f>
        <v>59400</v>
      </c>
    </row>
    <row r="317" spans="1:19" s="495" customFormat="1">
      <c r="A317" s="139" t="s">
        <v>581</v>
      </c>
      <c r="B317" s="683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J317*33000</f>
        <v>0</v>
      </c>
    </row>
    <row r="318" spans="1:19" s="495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51">
        <f>C318*35000</f>
        <v>35000</v>
      </c>
      <c r="L318" s="526"/>
      <c r="M318" s="508"/>
      <c r="N318" s="509"/>
      <c r="O318" s="509"/>
      <c r="P318" s="509"/>
      <c r="Q318" s="498"/>
      <c r="R318" s="496">
        <f t="shared" si="72"/>
        <v>35000</v>
      </c>
      <c r="S318" s="496">
        <f>J318*15400</f>
        <v>15400</v>
      </c>
    </row>
    <row r="319" spans="1:19" s="495" customFormat="1">
      <c r="A319" s="139" t="s">
        <v>584</v>
      </c>
      <c r="B319" s="695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C319*36000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J319*12000</f>
        <v>0</v>
      </c>
    </row>
    <row r="320" spans="1:19" s="495" customFormat="1">
      <c r="A320" s="139" t="s">
        <v>586</v>
      </c>
      <c r="B320" s="683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C320*81000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J320*34000</f>
        <v>0</v>
      </c>
    </row>
    <row r="321" spans="1:19" s="495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51">
        <f>C321*36000</f>
        <v>72000</v>
      </c>
      <c r="L321" s="526"/>
      <c r="M321" s="508"/>
      <c r="N321" s="509"/>
      <c r="O321" s="509"/>
      <c r="P321" s="509"/>
      <c r="Q321" s="498"/>
      <c r="R321" s="496">
        <f t="shared" si="72"/>
        <v>72000</v>
      </c>
      <c r="S321" s="496">
        <f>J321*12000</f>
        <v>24000</v>
      </c>
    </row>
    <row r="322" spans="1:19" s="495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J322*12000</f>
        <v>0</v>
      </c>
    </row>
    <row r="323" spans="1:19" s="495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51">
        <f>C323*1100</f>
        <v>0</v>
      </c>
      <c r="L323" s="526"/>
      <c r="M323" s="508"/>
      <c r="N323" s="509"/>
      <c r="O323" s="509"/>
      <c r="P323" s="509"/>
      <c r="Q323" s="498"/>
      <c r="R323" s="496">
        <f t="shared" si="72"/>
        <v>0</v>
      </c>
      <c r="S323" s="496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13">
        <f>C324*3000</f>
        <v>87000</v>
      </c>
      <c r="L324" s="526"/>
      <c r="M324" s="508"/>
      <c r="N324" s="509"/>
      <c r="O324" s="509"/>
      <c r="P324" s="509"/>
      <c r="R324" s="496">
        <f t="shared" si="72"/>
        <v>87000</v>
      </c>
      <c r="S324" s="496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13">
        <f>C325*1000</f>
        <v>40000</v>
      </c>
      <c r="L325" s="526">
        <f>D325*10000</f>
        <v>0</v>
      </c>
      <c r="M325" s="508">
        <f>E325*10000</f>
        <v>0</v>
      </c>
      <c r="N325" s="509"/>
      <c r="O325" s="509"/>
      <c r="P325" s="509"/>
      <c r="R325" s="496">
        <f t="shared" si="72"/>
        <v>40000</v>
      </c>
      <c r="S325" s="496">
        <f>J325*528</f>
        <v>21120</v>
      </c>
    </row>
    <row r="326" spans="1:19">
      <c r="A326" s="69" t="s">
        <v>597</v>
      </c>
      <c r="B326" s="686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95">
        <f>C326*600</f>
        <v>0</v>
      </c>
      <c r="L326" s="526">
        <f>D326*600</f>
        <v>0</v>
      </c>
      <c r="M326" s="508">
        <f>E326*600</f>
        <v>0</v>
      </c>
      <c r="N326" s="509"/>
      <c r="O326" s="509"/>
      <c r="P326" s="509"/>
      <c r="R326" s="496">
        <f t="shared" si="72"/>
        <v>0</v>
      </c>
      <c r="S326" s="496">
        <f>J326*484</f>
        <v>0</v>
      </c>
    </row>
    <row r="327" spans="1:19" s="432" customFormat="1">
      <c r="A327" s="115" t="s">
        <v>599</v>
      </c>
      <c r="B327" s="683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51">
        <f>C327*1500</f>
        <v>0</v>
      </c>
      <c r="L327" s="526">
        <f>D327*1500</f>
        <v>0</v>
      </c>
      <c r="M327" s="508">
        <f>E327*1500</f>
        <v>0</v>
      </c>
      <c r="N327" s="509"/>
      <c r="O327" s="509"/>
      <c r="P327" s="509"/>
      <c r="Q327" s="498"/>
      <c r="R327" s="496">
        <f t="shared" si="72"/>
        <v>0</v>
      </c>
      <c r="S327" s="496">
        <f>J327*1155</f>
        <v>0</v>
      </c>
    </row>
    <row r="328" spans="1:19" s="432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C328*1100</f>
        <v>0</v>
      </c>
      <c r="L328" s="526">
        <f>D328*110</f>
        <v>0</v>
      </c>
      <c r="M328" s="508">
        <f>E328*110</f>
        <v>0</v>
      </c>
      <c r="N328" s="509"/>
      <c r="O328" s="509"/>
      <c r="P328" s="509"/>
      <c r="Q328" s="498"/>
      <c r="R328" s="496">
        <f t="shared" si="72"/>
        <v>0</v>
      </c>
      <c r="S328" s="496">
        <f>J328*968</f>
        <v>0</v>
      </c>
    </row>
    <row r="329" spans="1:19" s="432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95">
        <f>C329*30000</f>
        <v>0</v>
      </c>
      <c r="L329" s="526"/>
      <c r="M329" s="508"/>
      <c r="N329" s="509"/>
      <c r="O329" s="509"/>
      <c r="P329" s="509"/>
      <c r="Q329" s="498"/>
      <c r="R329" s="496">
        <f t="shared" si="72"/>
        <v>0</v>
      </c>
      <c r="S329" s="496">
        <f>J329*9600</f>
        <v>0</v>
      </c>
    </row>
    <row r="330" spans="1:19" s="432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95">
        <f>C330*55000</f>
        <v>0</v>
      </c>
      <c r="L330" s="526"/>
      <c r="M330" s="508"/>
      <c r="N330" s="509"/>
      <c r="O330" s="509"/>
      <c r="P330" s="509"/>
      <c r="Q330" s="498"/>
      <c r="R330" s="496">
        <f t="shared" ref="R330:R361" si="75">SUM(K330:Q330)</f>
        <v>0</v>
      </c>
      <c r="S330" s="496">
        <f>J330*26550</f>
        <v>0</v>
      </c>
    </row>
    <row r="331" spans="1:19" s="432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C331*6000</f>
        <v>0</v>
      </c>
      <c r="L331" s="526"/>
      <c r="M331" s="508"/>
      <c r="N331" s="509"/>
      <c r="O331" s="509"/>
      <c r="P331" s="509"/>
      <c r="Q331" s="498"/>
      <c r="R331" s="496">
        <f t="shared" si="75"/>
        <v>0</v>
      </c>
      <c r="S331" s="496">
        <f>J331*2910</f>
        <v>0</v>
      </c>
    </row>
    <row r="332" spans="1:19" s="432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95">
        <f>C332*88000</f>
        <v>0</v>
      </c>
      <c r="L332" s="526">
        <f>D332*88000</f>
        <v>0</v>
      </c>
      <c r="M332" s="575">
        <f>E332*88000</f>
        <v>0</v>
      </c>
      <c r="N332" s="556"/>
      <c r="O332" s="509"/>
      <c r="P332" s="509"/>
      <c r="Q332" s="498"/>
      <c r="R332" s="496">
        <f t="shared" si="75"/>
        <v>0</v>
      </c>
      <c r="S332" s="496">
        <f>J332*66000</f>
        <v>0</v>
      </c>
    </row>
    <row r="333" spans="1:19" s="432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51">
        <f>C333*650</f>
        <v>0</v>
      </c>
      <c r="L333" s="526">
        <f>D333*650</f>
        <v>0</v>
      </c>
      <c r="M333" s="508">
        <f>E333*650</f>
        <v>0</v>
      </c>
      <c r="N333" s="509"/>
      <c r="O333" s="509"/>
      <c r="P333" s="509"/>
      <c r="Q333" s="498"/>
      <c r="R333" s="496">
        <f t="shared" si="75"/>
        <v>0</v>
      </c>
      <c r="S333" s="496">
        <f>J333*517</f>
        <v>0</v>
      </c>
    </row>
    <row r="334" spans="1:19" s="432" customFormat="1">
      <c r="A334"/>
      <c r="C334" s="425"/>
      <c r="K334" s="610">
        <f t="shared" ref="K334:S334" si="76">SUM(K266:K333)</f>
        <v>6737600</v>
      </c>
      <c r="L334" s="614">
        <f t="shared" si="76"/>
        <v>0</v>
      </c>
      <c r="M334" s="614">
        <f t="shared" si="76"/>
        <v>1167000</v>
      </c>
      <c r="N334" s="614">
        <f t="shared" si="76"/>
        <v>0</v>
      </c>
      <c r="O334" s="614">
        <f t="shared" si="76"/>
        <v>41520</v>
      </c>
      <c r="P334" s="614">
        <f t="shared" si="76"/>
        <v>0</v>
      </c>
      <c r="Q334" s="614">
        <f t="shared" si="76"/>
        <v>0</v>
      </c>
      <c r="R334" s="614">
        <f t="shared" si="76"/>
        <v>7946120</v>
      </c>
      <c r="S334" s="614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81"/>
      <c r="L335" s="581"/>
      <c r="M335" s="585"/>
      <c r="N335" s="585"/>
      <c r="O335" s="615"/>
      <c r="P335" s="616"/>
      <c r="Q335" s="617"/>
      <c r="R335" s="585"/>
      <c r="S335" s="585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81"/>
      <c r="L336" s="581"/>
      <c r="M336" s="585"/>
      <c r="N336" s="585"/>
      <c r="O336" s="615"/>
      <c r="P336" s="616"/>
      <c r="Q336" s="617"/>
      <c r="R336" s="585"/>
      <c r="S336" s="585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>
      <c r="D338" s="474"/>
      <c r="E338" s="304"/>
      <c r="F338" s="214"/>
      <c r="G338" s="214"/>
      <c r="H338" s="123"/>
      <c r="I338" s="123"/>
      <c r="J338" s="124"/>
      <c r="P338" s="521"/>
    </row>
    <row r="339" spans="1:19">
      <c r="A339" s="64" t="s">
        <v>606</v>
      </c>
      <c r="D339" s="474"/>
      <c r="E339" s="304"/>
      <c r="F339" s="214"/>
      <c r="G339" s="214"/>
      <c r="I339" s="14"/>
      <c r="J339" s="125"/>
      <c r="P339" s="521"/>
    </row>
    <row r="340" spans="1:19" ht="48" customHeight="1">
      <c r="A340" s="100" t="s">
        <v>607</v>
      </c>
      <c r="B340" s="470" t="s">
        <v>608</v>
      </c>
      <c r="C340" s="474"/>
      <c r="D340" s="217"/>
      <c r="E340" s="304"/>
      <c r="F340" s="214"/>
      <c r="G340" s="214"/>
      <c r="H340" s="126"/>
      <c r="I340" s="126" t="s">
        <v>129</v>
      </c>
      <c r="J340" s="125"/>
      <c r="K340" s="564" t="s">
        <v>4</v>
      </c>
      <c r="L340" s="566"/>
      <c r="M340" s="566" t="s">
        <v>6</v>
      </c>
      <c r="N340" s="566"/>
      <c r="O340" s="510"/>
      <c r="P340" s="618"/>
      <c r="R340" s="564" t="s">
        <v>29</v>
      </c>
      <c r="S340" s="496" t="s">
        <v>167</v>
      </c>
    </row>
    <row r="341" spans="1:19" s="432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95">
        <f>C341*4400</f>
        <v>0</v>
      </c>
      <c r="L341" s="575"/>
      <c r="M341" s="508"/>
      <c r="N341" s="598"/>
      <c r="O341" s="497"/>
      <c r="P341" s="590"/>
      <c r="Q341" s="498"/>
      <c r="R341" s="495">
        <f t="shared" ref="R341:R372" si="78">SUM(K341:Q341)</f>
        <v>0</v>
      </c>
      <c r="S341" s="495">
        <f>J341*1340</f>
        <v>0</v>
      </c>
    </row>
    <row r="342" spans="1:19" s="432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95"/>
      <c r="L342" s="575"/>
      <c r="M342" s="508"/>
      <c r="N342" s="598"/>
      <c r="O342" s="497"/>
      <c r="P342" s="590"/>
      <c r="Q342" s="498"/>
      <c r="R342" s="495">
        <f t="shared" si="78"/>
        <v>0</v>
      </c>
      <c r="S342" s="495">
        <f>J342*1349</f>
        <v>0</v>
      </c>
    </row>
    <row r="343" spans="1:19" s="432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95">
        <f>C343*60000</f>
        <v>0</v>
      </c>
      <c r="L343" s="575"/>
      <c r="M343" s="508"/>
      <c r="N343" s="598">
        <f>F343*54000</f>
        <v>0</v>
      </c>
      <c r="O343" s="497"/>
      <c r="P343" s="590"/>
      <c r="Q343" s="498"/>
      <c r="R343" s="495">
        <f t="shared" si="78"/>
        <v>0</v>
      </c>
      <c r="S343" s="495">
        <f>J343*5060</f>
        <v>0</v>
      </c>
    </row>
    <row r="344" spans="1:19" s="432" customFormat="1" ht="16.5" customHeight="1">
      <c r="A344" s="265" t="s">
        <v>612</v>
      </c>
      <c r="B344" s="687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95">
        <v>10000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10000</v>
      </c>
      <c r="S344" s="495">
        <f>J344*2850</f>
        <v>2850</v>
      </c>
    </row>
    <row r="345" spans="1:19" s="432" customFormat="1" ht="16.5" customHeight="1">
      <c r="A345" s="265" t="s">
        <v>614</v>
      </c>
      <c r="B345" s="688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95">
        <f>C345*17000</f>
        <v>17000</v>
      </c>
      <c r="L345" s="575"/>
      <c r="M345" s="508"/>
      <c r="N345" s="598">
        <f>F345*15000</f>
        <v>0</v>
      </c>
      <c r="O345" s="497"/>
      <c r="P345" s="590"/>
      <c r="Q345" s="498"/>
      <c r="R345" s="495">
        <f t="shared" si="78"/>
        <v>17000</v>
      </c>
      <c r="S345" s="495">
        <f>J345*2670</f>
        <v>2670</v>
      </c>
    </row>
    <row r="346" spans="1:19" s="432" customFormat="1">
      <c r="A346" s="265" t="s">
        <v>615</v>
      </c>
      <c r="B346" s="688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0</v>
      </c>
      <c r="S346" s="495">
        <f>J346*2870</f>
        <v>0</v>
      </c>
    </row>
    <row r="347" spans="1:19" s="432" customFormat="1">
      <c r="A347" s="265" t="s">
        <v>616</v>
      </c>
      <c r="B347" s="688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95">
        <f>C347*16000</f>
        <v>16000</v>
      </c>
      <c r="L347" s="575"/>
      <c r="M347" s="508"/>
      <c r="N347" s="598">
        <f>F347*14000</f>
        <v>0</v>
      </c>
      <c r="O347" s="497"/>
      <c r="P347" s="590"/>
      <c r="Q347" s="498"/>
      <c r="R347" s="495">
        <f t="shared" si="78"/>
        <v>16000</v>
      </c>
      <c r="S347" s="495">
        <f>J347*2380</f>
        <v>2380</v>
      </c>
    </row>
    <row r="348" spans="1:19" s="432" customFormat="1">
      <c r="A348" s="263" t="s">
        <v>617</v>
      </c>
      <c r="B348" s="688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95">
        <v>28000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28000</v>
      </c>
      <c r="S348" s="495">
        <f>J348*2440</f>
        <v>4880</v>
      </c>
    </row>
    <row r="349" spans="1:19" s="432" customFormat="1">
      <c r="A349" s="263" t="s">
        <v>618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78"/>
        <v>0</v>
      </c>
      <c r="S349" s="495">
        <f>J349*2740</f>
        <v>0</v>
      </c>
    </row>
    <row r="350" spans="1:19" s="432" customFormat="1">
      <c r="A350" s="264" t="s">
        <v>619</v>
      </c>
      <c r="B350" s="688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95">
        <f>C350*20000</f>
        <v>0</v>
      </c>
      <c r="L350" s="575"/>
      <c r="M350" s="508"/>
      <c r="N350" s="598">
        <f>F350*18000</f>
        <v>0</v>
      </c>
      <c r="O350" s="497"/>
      <c r="P350" s="590"/>
      <c r="Q350" s="498"/>
      <c r="R350" s="495">
        <f t="shared" si="78"/>
        <v>0</v>
      </c>
      <c r="S350" s="495">
        <f>J350*4940</f>
        <v>0</v>
      </c>
    </row>
    <row r="351" spans="1:19" s="432" customFormat="1">
      <c r="A351" s="263" t="s">
        <v>620</v>
      </c>
      <c r="B351" s="688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95">
        <v>132000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132000</v>
      </c>
      <c r="S351" s="495">
        <f>J351*2470</f>
        <v>27170</v>
      </c>
    </row>
    <row r="352" spans="1:19" s="432" customFormat="1">
      <c r="A352" s="263" t="s">
        <v>621</v>
      </c>
      <c r="B352" s="688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J352*28700</f>
        <v>0</v>
      </c>
    </row>
    <row r="353" spans="1:19" s="432" customFormat="1">
      <c r="A353" s="263" t="s">
        <v>622</v>
      </c>
      <c r="B353" s="688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95">
        <f>C353*23000</f>
        <v>0</v>
      </c>
      <c r="L353" s="575"/>
      <c r="M353" s="508"/>
      <c r="N353" s="598">
        <f>F353*21000</f>
        <v>0</v>
      </c>
      <c r="O353" s="497"/>
      <c r="P353" s="590"/>
      <c r="Q353" s="498"/>
      <c r="R353" s="495">
        <f t="shared" si="78"/>
        <v>0</v>
      </c>
      <c r="S353" s="495">
        <f>J353*3170</f>
        <v>0</v>
      </c>
    </row>
    <row r="354" spans="1:19" s="432" customFormat="1">
      <c r="A354" s="263" t="s">
        <v>623</v>
      </c>
      <c r="B354" s="688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95">
        <v>7000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7000</v>
      </c>
      <c r="S354" s="495">
        <f>J354*2300</f>
        <v>2300</v>
      </c>
    </row>
    <row r="355" spans="1:19" s="432" customFormat="1">
      <c r="A355" s="263" t="s">
        <v>624</v>
      </c>
      <c r="B355" s="688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J355*1920</f>
        <v>0</v>
      </c>
    </row>
    <row r="356" spans="1:19" s="432" customFormat="1">
      <c r="A356" s="265" t="s">
        <v>625</v>
      </c>
      <c r="B356" s="688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J356*5710</f>
        <v>0</v>
      </c>
    </row>
    <row r="357" spans="1:19" s="432" customFormat="1">
      <c r="A357" s="265" t="s">
        <v>626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J357*4170</f>
        <v>0</v>
      </c>
    </row>
    <row r="358" spans="1:19" s="432" customFormat="1">
      <c r="A358" s="265" t="s">
        <v>627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J358*8570</f>
        <v>0</v>
      </c>
    </row>
    <row r="359" spans="1:19" s="432" customFormat="1">
      <c r="A359" s="265" t="s">
        <v>628</v>
      </c>
      <c r="B359" s="688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26000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26000</v>
      </c>
      <c r="S359" s="495">
        <f>J359*2260</f>
        <v>2260</v>
      </c>
    </row>
    <row r="360" spans="1:19" s="432" customFormat="1">
      <c r="A360" s="263" t="s">
        <v>629</v>
      </c>
      <c r="B360" s="688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J360*16916</f>
        <v>0</v>
      </c>
    </row>
    <row r="361" spans="1:19" s="432" customFormat="1">
      <c r="A361" s="265" t="s">
        <v>630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J361*2470</f>
        <v>0</v>
      </c>
    </row>
    <row r="362" spans="1:19" s="432" customFormat="1">
      <c r="A362" s="265" t="s">
        <v>631</v>
      </c>
      <c r="B362" s="688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J362*2160</f>
        <v>0</v>
      </c>
    </row>
    <row r="363" spans="1:19" s="432" customFormat="1">
      <c r="A363" s="265" t="s">
        <v>632</v>
      </c>
      <c r="B363" s="688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95">
        <f>C363*23000</f>
        <v>23000</v>
      </c>
      <c r="L363" s="575"/>
      <c r="M363" s="508"/>
      <c r="N363" s="598">
        <f>F363*21000</f>
        <v>0</v>
      </c>
      <c r="O363" s="497"/>
      <c r="P363" s="590"/>
      <c r="Q363" s="498"/>
      <c r="R363" s="495">
        <f t="shared" si="78"/>
        <v>23000</v>
      </c>
      <c r="S363" s="495">
        <f>J363*2540</f>
        <v>2540</v>
      </c>
    </row>
    <row r="364" spans="1:19" s="432" customFormat="1">
      <c r="A364" s="263" t="s">
        <v>633</v>
      </c>
      <c r="B364" s="688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J364*1690</f>
        <v>0</v>
      </c>
    </row>
    <row r="365" spans="1:19" s="432" customFormat="1">
      <c r="A365" s="265" t="s">
        <v>634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J365*10990</f>
        <v>0</v>
      </c>
    </row>
    <row r="366" spans="1:19" s="432" customFormat="1">
      <c r="A366" s="265" t="s">
        <v>635</v>
      </c>
      <c r="B366" s="688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95">
        <v>12000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12000</v>
      </c>
      <c r="S366" s="495">
        <f>J366*2180</f>
        <v>2180</v>
      </c>
    </row>
    <row r="367" spans="1:19" s="432" customFormat="1">
      <c r="A367" s="265" t="s">
        <v>636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J367*7800</f>
        <v>0</v>
      </c>
    </row>
    <row r="368" spans="1:19" s="432" customFormat="1">
      <c r="A368" s="263" t="s">
        <v>637</v>
      </c>
      <c r="B368" s="688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J368*4225</f>
        <v>0</v>
      </c>
    </row>
    <row r="369" spans="1:19" s="432" customFormat="1">
      <c r="A369" s="265" t="s">
        <v>638</v>
      </c>
      <c r="B369" s="688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95">
        <v>10000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10000</v>
      </c>
      <c r="S369" s="495">
        <f>J369*2652</f>
        <v>2652</v>
      </c>
    </row>
    <row r="370" spans="1:19" s="432" customFormat="1">
      <c r="A370" s="265" t="s">
        <v>639</v>
      </c>
      <c r="B370" s="688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95">
        <v>10000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10000</v>
      </c>
      <c r="S370" s="495">
        <f>J370*2410</f>
        <v>2410</v>
      </c>
    </row>
    <row r="371" spans="1:19" s="432" customFormat="1">
      <c r="A371" s="265" t="s">
        <v>640</v>
      </c>
      <c r="B371" s="688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0</v>
      </c>
      <c r="S371" s="495">
        <f>J371*1820</f>
        <v>0</v>
      </c>
    </row>
    <row r="372" spans="1:19" s="432" customFormat="1">
      <c r="A372" s="263" t="s">
        <v>641</v>
      </c>
      <c r="B372" s="688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95">
        <v>19000</v>
      </c>
      <c r="L372" s="575"/>
      <c r="M372" s="508"/>
      <c r="N372" s="598">
        <v>0</v>
      </c>
      <c r="O372" s="497"/>
      <c r="P372" s="590"/>
      <c r="Q372" s="498"/>
      <c r="R372" s="495">
        <f t="shared" si="78"/>
        <v>19000</v>
      </c>
      <c r="S372" s="495">
        <f>J372*4170</f>
        <v>4170</v>
      </c>
    </row>
    <row r="373" spans="1:19" s="432" customFormat="1">
      <c r="A373" s="263" t="s">
        <v>642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95">
        <f>C373*125000</f>
        <v>0</v>
      </c>
      <c r="L373" s="575"/>
      <c r="M373" s="508"/>
      <c r="N373" s="598">
        <f>F373*113000</f>
        <v>0</v>
      </c>
      <c r="O373" s="497"/>
      <c r="P373" s="590"/>
      <c r="Q373" s="498"/>
      <c r="R373" s="495">
        <f t="shared" ref="R373:R404" si="80">SUM(K373:Q373)</f>
        <v>0</v>
      </c>
      <c r="S373" s="495">
        <f>J373*9020</f>
        <v>0</v>
      </c>
    </row>
    <row r="374" spans="1:19" s="432" customFormat="1">
      <c r="A374" s="263" t="s">
        <v>643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C374*110000</f>
        <v>0</v>
      </c>
      <c r="L374" s="575"/>
      <c r="M374" s="508"/>
      <c r="N374" s="598">
        <f>F374*99000</f>
        <v>0</v>
      </c>
      <c r="O374" s="497"/>
      <c r="P374" s="590"/>
      <c r="Q374" s="498"/>
      <c r="R374" s="495">
        <f t="shared" si="80"/>
        <v>0</v>
      </c>
      <c r="S374" s="495">
        <f>J374*5930</f>
        <v>0</v>
      </c>
    </row>
    <row r="375" spans="1:19" s="432" customFormat="1">
      <c r="A375" s="265" t="s">
        <v>644</v>
      </c>
      <c r="B375" s="688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J375*17940</f>
        <v>0</v>
      </c>
    </row>
    <row r="376" spans="1:19" s="432" customFormat="1">
      <c r="A376" s="265" t="s">
        <v>645</v>
      </c>
      <c r="B376" s="688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J376*2110</f>
        <v>0</v>
      </c>
    </row>
    <row r="377" spans="1:19" s="432" customFormat="1">
      <c r="A377" s="263" t="s">
        <v>646</v>
      </c>
      <c r="B377" s="688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J377*1728</f>
        <v>0</v>
      </c>
    </row>
    <row r="378" spans="1:19" s="432" customFormat="1">
      <c r="A378" s="263" t="s">
        <v>647</v>
      </c>
      <c r="B378" s="688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95">
        <f>C378*17000</f>
        <v>0</v>
      </c>
      <c r="L378" s="575"/>
      <c r="M378" s="508"/>
      <c r="N378" s="598">
        <f>F378*15000</f>
        <v>0</v>
      </c>
      <c r="O378" s="497"/>
      <c r="P378" s="590"/>
      <c r="Q378" s="498"/>
      <c r="R378" s="495">
        <f t="shared" si="80"/>
        <v>0</v>
      </c>
      <c r="S378" s="495">
        <f>J378*2620</f>
        <v>0</v>
      </c>
    </row>
    <row r="379" spans="1:19" s="432" customFormat="1">
      <c r="A379" s="263" t="s">
        <v>648</v>
      </c>
      <c r="B379" s="688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J379*1996</f>
        <v>0</v>
      </c>
    </row>
    <row r="380" spans="1:19" s="432" customFormat="1">
      <c r="A380" s="263" t="s">
        <v>649</v>
      </c>
      <c r="B380" s="688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J380*2080</f>
        <v>0</v>
      </c>
    </row>
    <row r="381" spans="1:19" s="432" customFormat="1">
      <c r="A381" s="265" t="s">
        <v>650</v>
      </c>
      <c r="B381" s="688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J381*5556</f>
        <v>0</v>
      </c>
    </row>
    <row r="382" spans="1:19" s="432" customFormat="1">
      <c r="A382" s="265" t="s">
        <v>651</v>
      </c>
      <c r="B382" s="688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95">
        <v>27000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27000</v>
      </c>
      <c r="S382" s="495">
        <f>J382*5480</f>
        <v>5480</v>
      </c>
    </row>
    <row r="383" spans="1:19" s="432" customFormat="1">
      <c r="A383" s="263" t="s">
        <v>652</v>
      </c>
      <c r="B383" s="688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80"/>
        <v>0</v>
      </c>
      <c r="S383" s="495">
        <f>J383*6700</f>
        <v>0</v>
      </c>
    </row>
    <row r="384" spans="1:19" s="432" customFormat="1">
      <c r="A384" s="265" t="s">
        <v>653</v>
      </c>
      <c r="B384" s="688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J384*4225</f>
        <v>0</v>
      </c>
    </row>
    <row r="385" spans="1:19" s="432" customFormat="1">
      <c r="A385" s="265" t="s">
        <v>654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J385*5380</f>
        <v>0</v>
      </c>
    </row>
    <row r="386" spans="1:19" s="432" customFormat="1">
      <c r="A386" s="265" t="s">
        <v>655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J386*3220</f>
        <v>0</v>
      </c>
    </row>
    <row r="387" spans="1:19" s="432" customFormat="1">
      <c r="A387" s="265" t="s">
        <v>656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C387*29000</f>
        <v>0</v>
      </c>
      <c r="L387" s="575"/>
      <c r="M387" s="508"/>
      <c r="N387" s="598">
        <f>F387*26000</f>
        <v>0</v>
      </c>
      <c r="O387" s="497"/>
      <c r="P387" s="590"/>
      <c r="Q387" s="498"/>
      <c r="R387" s="495">
        <f t="shared" si="80"/>
        <v>0</v>
      </c>
      <c r="S387" s="495">
        <f>J387*5340</f>
        <v>0</v>
      </c>
    </row>
    <row r="388" spans="1:19" s="432" customFormat="1">
      <c r="A388" s="265" t="s">
        <v>657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80"/>
        <v>0</v>
      </c>
      <c r="S388" s="495">
        <f>J388*5600</f>
        <v>0</v>
      </c>
    </row>
    <row r="389" spans="1:19" s="432" customFormat="1">
      <c r="A389" s="265" t="s">
        <v>658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J389*2570</f>
        <v>0</v>
      </c>
    </row>
    <row r="390" spans="1:19" s="432" customFormat="1">
      <c r="A390" s="265" t="s">
        <v>659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f>C390*23000</f>
        <v>0</v>
      </c>
      <c r="L390" s="575"/>
      <c r="M390" s="508"/>
      <c r="N390" s="598">
        <f>F390*21000</f>
        <v>0</v>
      </c>
      <c r="O390" s="497"/>
      <c r="P390" s="590"/>
      <c r="Q390" s="498"/>
      <c r="R390" s="495">
        <f t="shared" si="80"/>
        <v>0</v>
      </c>
      <c r="S390" s="495">
        <f>J390*3330</f>
        <v>0</v>
      </c>
    </row>
    <row r="391" spans="1:19" s="432" customFormat="1">
      <c r="A391" s="265" t="s">
        <v>660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f>C391*16000</f>
        <v>0</v>
      </c>
      <c r="L391" s="575"/>
      <c r="M391" s="508"/>
      <c r="N391" s="598">
        <f>F391*14000</f>
        <v>0</v>
      </c>
      <c r="O391" s="497"/>
      <c r="P391" s="590"/>
      <c r="Q391" s="498"/>
      <c r="R391" s="495">
        <f t="shared" si="80"/>
        <v>0</v>
      </c>
      <c r="S391" s="495">
        <f>J391*2090</f>
        <v>0</v>
      </c>
    </row>
    <row r="392" spans="1:19" s="432" customFormat="1">
      <c r="A392" s="265" t="s">
        <v>661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J392*3170</f>
        <v>0</v>
      </c>
    </row>
    <row r="393" spans="1:19" s="432" customFormat="1">
      <c r="A393" s="265" t="s">
        <v>662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J393*4720</f>
        <v>0</v>
      </c>
    </row>
    <row r="394" spans="1:19" s="432" customFormat="1">
      <c r="A394" s="265" t="s">
        <v>663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J394*3048</f>
        <v>0</v>
      </c>
    </row>
    <row r="395" spans="1:19" s="432" customFormat="1">
      <c r="A395" s="265" t="s">
        <v>664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J395*2740</f>
        <v>0</v>
      </c>
    </row>
    <row r="396" spans="1:19" s="432" customFormat="1">
      <c r="A396" s="265" t="s">
        <v>665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f>C396*16000</f>
        <v>0</v>
      </c>
      <c r="L396" s="575"/>
      <c r="M396" s="508"/>
      <c r="N396" s="598">
        <f>F396*14000</f>
        <v>0</v>
      </c>
      <c r="O396" s="497"/>
      <c r="P396" s="590"/>
      <c r="Q396" s="498"/>
      <c r="R396" s="495">
        <f t="shared" si="80"/>
        <v>0</v>
      </c>
      <c r="S396" s="495">
        <f>J396*2160</f>
        <v>0</v>
      </c>
    </row>
    <row r="397" spans="1:19" s="432" customFormat="1">
      <c r="A397" s="263" t="s">
        <v>666</v>
      </c>
      <c r="B397" s="688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J397*2060</f>
        <v>0</v>
      </c>
    </row>
    <row r="398" spans="1:19" s="432" customFormat="1">
      <c r="A398" s="265" t="s">
        <v>667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J398*3730</f>
        <v>0</v>
      </c>
    </row>
    <row r="399" spans="1:19" s="432" customFormat="1">
      <c r="A399" s="265" t="s">
        <v>668</v>
      </c>
      <c r="B399" s="688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J399*2360</f>
        <v>0</v>
      </c>
    </row>
    <row r="400" spans="1:19" s="432" customFormat="1">
      <c r="A400" s="263" t="s">
        <v>669</v>
      </c>
      <c r="B400" s="688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J400*1790</f>
        <v>0</v>
      </c>
    </row>
    <row r="401" spans="1:19" s="432" customFormat="1">
      <c r="A401" s="265" t="s">
        <v>670</v>
      </c>
      <c r="B401" s="688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J401*4060</f>
        <v>0</v>
      </c>
    </row>
    <row r="402" spans="1:19" s="432" customFormat="1">
      <c r="A402" s="265" t="s">
        <v>671</v>
      </c>
      <c r="B402" s="688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80"/>
        <v>0</v>
      </c>
      <c r="S402" s="495">
        <f>J402*7690</f>
        <v>0</v>
      </c>
    </row>
    <row r="403" spans="1:19" s="432" customFormat="1">
      <c r="A403" s="265" t="s">
        <v>672</v>
      </c>
      <c r="B403" s="688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J403*3730</f>
        <v>0</v>
      </c>
    </row>
    <row r="404" spans="1:19" s="432" customFormat="1">
      <c r="A404" s="265" t="s">
        <v>673</v>
      </c>
      <c r="B404" s="688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95">
        <v>24000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24000</v>
      </c>
      <c r="S404" s="495">
        <f>J404*5160</f>
        <v>5160</v>
      </c>
    </row>
    <row r="405" spans="1:19" s="432" customFormat="1">
      <c r="A405" s="265" t="s">
        <v>674</v>
      </c>
      <c r="B405" s="688"/>
      <c r="C405" s="186"/>
      <c r="D405" s="187"/>
      <c r="E405" s="187"/>
      <c r="F405" s="183"/>
      <c r="G405" s="255"/>
      <c r="H405" s="70"/>
      <c r="I405" s="103"/>
      <c r="J405" s="26">
        <f t="shared" ref="J405:J436" si="81">SUM(B405:I405)</f>
        <v>0</v>
      </c>
      <c r="K405" s="495">
        <f>C405*125000</f>
        <v>0</v>
      </c>
      <c r="L405" s="575"/>
      <c r="M405" s="508"/>
      <c r="N405" s="598">
        <f>F405*113000</f>
        <v>0</v>
      </c>
      <c r="O405" s="497"/>
      <c r="P405" s="590"/>
      <c r="Q405" s="498"/>
      <c r="R405" s="495">
        <f t="shared" ref="R405:R436" si="82">SUM(K405:Q405)</f>
        <v>0</v>
      </c>
      <c r="S405" s="495">
        <f>J405*3640</f>
        <v>0</v>
      </c>
    </row>
    <row r="406" spans="1:19" s="432" customFormat="1">
      <c r="A406" s="265" t="s">
        <v>675</v>
      </c>
      <c r="B406" s="688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95">
        <f>C406*23000</f>
        <v>0</v>
      </c>
      <c r="L406" s="575"/>
      <c r="M406" s="508"/>
      <c r="N406" s="598">
        <f>F406*21000</f>
        <v>0</v>
      </c>
      <c r="O406" s="497"/>
      <c r="P406" s="590"/>
      <c r="Q406" s="498"/>
      <c r="R406" s="495">
        <f t="shared" si="82"/>
        <v>0</v>
      </c>
      <c r="S406" s="495">
        <f>J406*3220</f>
        <v>0</v>
      </c>
    </row>
    <row r="407" spans="1:19" s="432" customFormat="1">
      <c r="A407" s="265" t="s">
        <v>676</v>
      </c>
      <c r="B407" s="688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95">
        <v>32000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32000</v>
      </c>
      <c r="S407" s="495">
        <f>J407*8130</f>
        <v>8130</v>
      </c>
    </row>
    <row r="408" spans="1:19" s="432" customFormat="1">
      <c r="A408" s="265" t="s">
        <v>677</v>
      </c>
      <c r="B408" s="688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J408*2960</f>
        <v>0</v>
      </c>
    </row>
    <row r="409" spans="1:19" s="432" customFormat="1">
      <c r="A409" s="265" t="s">
        <v>678</v>
      </c>
      <c r="B409" s="688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J409*4270</f>
        <v>0</v>
      </c>
    </row>
    <row r="410" spans="1:19" s="432" customFormat="1">
      <c r="A410" s="265" t="s">
        <v>679</v>
      </c>
      <c r="B410" s="688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J410*5610</f>
        <v>0</v>
      </c>
    </row>
    <row r="411" spans="1:19" s="432" customFormat="1">
      <c r="A411" s="265" t="s">
        <v>680</v>
      </c>
      <c r="B411" s="688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J411*7310</f>
        <v>0</v>
      </c>
    </row>
    <row r="412" spans="1:19" s="432" customFormat="1">
      <c r="A412" s="265" t="s">
        <v>681</v>
      </c>
      <c r="B412" s="688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J412*3980</f>
        <v>0</v>
      </c>
    </row>
    <row r="413" spans="1:19" s="432" customFormat="1">
      <c r="A413" s="265" t="s">
        <v>682</v>
      </c>
      <c r="B413" s="683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J413*3920</f>
        <v>0</v>
      </c>
    </row>
    <row r="414" spans="1:19" s="432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95"/>
      <c r="L414" s="575"/>
      <c r="M414" s="508"/>
      <c r="N414" s="598"/>
      <c r="O414" s="497"/>
      <c r="P414" s="590"/>
      <c r="Q414" s="498"/>
      <c r="R414" s="495"/>
      <c r="S414" s="495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9">
        <f t="shared" ref="K415:Q415" si="84">SUM(K341:K414)</f>
        <v>393000</v>
      </c>
      <c r="L415" s="619">
        <f t="shared" si="84"/>
        <v>0</v>
      </c>
      <c r="M415" s="619">
        <f t="shared" si="84"/>
        <v>0</v>
      </c>
      <c r="N415" s="620">
        <f t="shared" si="84"/>
        <v>0</v>
      </c>
      <c r="O415" s="619">
        <f t="shared" si="84"/>
        <v>0</v>
      </c>
      <c r="P415" s="619">
        <f t="shared" si="84"/>
        <v>0</v>
      </c>
      <c r="Q415" s="619">
        <f t="shared" si="84"/>
        <v>0</v>
      </c>
      <c r="R415" s="619">
        <f t="shared" ref="R415:R446" si="85">SUM(K415:Q415)</f>
        <v>393000</v>
      </c>
      <c r="S415" s="619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46">
        <f>C416*480000</f>
        <v>0</v>
      </c>
      <c r="L416" s="546"/>
      <c r="M416" s="546"/>
      <c r="N416" s="549">
        <f>F416*432000</f>
        <v>0</v>
      </c>
      <c r="O416" s="546"/>
      <c r="P416" s="546"/>
      <c r="Q416" s="546"/>
      <c r="R416" s="495">
        <f t="shared" si="85"/>
        <v>0</v>
      </c>
      <c r="S416" s="546">
        <f>J416*40100</f>
        <v>0</v>
      </c>
    </row>
    <row r="417" spans="1:19" s="432" customFormat="1" ht="16.5" customHeight="1">
      <c r="A417" s="265" t="s">
        <v>612</v>
      </c>
      <c r="B417" s="687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J417*18000</f>
        <v>0</v>
      </c>
    </row>
    <row r="418" spans="1:19" s="432" customFormat="1" ht="16.5" customHeight="1">
      <c r="A418" s="265" t="s">
        <v>614</v>
      </c>
      <c r="B418" s="688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f>C418*136000</f>
        <v>0</v>
      </c>
      <c r="L418" s="575"/>
      <c r="M418" s="508"/>
      <c r="N418" s="598">
        <f>F418*122000</f>
        <v>0</v>
      </c>
      <c r="O418" s="497"/>
      <c r="P418" s="590"/>
      <c r="Q418" s="498"/>
      <c r="R418" s="495">
        <f t="shared" si="85"/>
        <v>0</v>
      </c>
      <c r="S418" s="495">
        <f>J418*16200</f>
        <v>0</v>
      </c>
    </row>
    <row r="419" spans="1:19" s="432" customFormat="1">
      <c r="A419" s="265" t="s">
        <v>615</v>
      </c>
      <c r="B419" s="688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J419*18200</f>
        <v>0</v>
      </c>
    </row>
    <row r="420" spans="1:19" s="432" customFormat="1">
      <c r="A420" s="265" t="s">
        <v>616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C420*128000</f>
        <v>0</v>
      </c>
      <c r="L420" s="575"/>
      <c r="M420" s="508"/>
      <c r="N420" s="598">
        <f>F420*115000</f>
        <v>0</v>
      </c>
      <c r="O420" s="497"/>
      <c r="P420" s="590"/>
      <c r="Q420" s="498"/>
      <c r="R420" s="495">
        <f t="shared" si="85"/>
        <v>0</v>
      </c>
      <c r="S420" s="495">
        <f>J420*13300</f>
        <v>0</v>
      </c>
    </row>
    <row r="421" spans="1:19" s="432" customFormat="1">
      <c r="A421" s="263" t="s">
        <v>617</v>
      </c>
      <c r="B421" s="688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95">
        <v>0</v>
      </c>
      <c r="L421" s="575"/>
      <c r="M421" s="508"/>
      <c r="N421" s="598">
        <v>79000</v>
      </c>
      <c r="O421" s="497"/>
      <c r="P421" s="590"/>
      <c r="Q421" s="498"/>
      <c r="R421" s="495">
        <f t="shared" si="85"/>
        <v>79000</v>
      </c>
      <c r="S421" s="495">
        <f>J421*13900</f>
        <v>13900</v>
      </c>
    </row>
    <row r="422" spans="1:19" s="432" customFormat="1">
      <c r="A422" s="263" t="s">
        <v>618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85"/>
        <v>0</v>
      </c>
      <c r="S422" s="495">
        <f>J422*16900</f>
        <v>0</v>
      </c>
    </row>
    <row r="423" spans="1:19" s="432" customFormat="1">
      <c r="A423" s="264" t="s">
        <v>619</v>
      </c>
      <c r="B423" s="688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95">
        <f>C423*146000</f>
        <v>0</v>
      </c>
      <c r="L423" s="575"/>
      <c r="M423" s="508"/>
      <c r="N423" s="598">
        <f>F423*131000</f>
        <v>0</v>
      </c>
      <c r="O423" s="497"/>
      <c r="P423" s="590"/>
      <c r="Q423" s="498"/>
      <c r="R423" s="495">
        <f t="shared" si="85"/>
        <v>0</v>
      </c>
      <c r="S423" s="495">
        <f>J423*38900</f>
        <v>0</v>
      </c>
    </row>
    <row r="424" spans="1:19" s="432" customFormat="1">
      <c r="A424" s="263" t="s">
        <v>620</v>
      </c>
      <c r="B424" s="688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J424*14200</f>
        <v>0</v>
      </c>
    </row>
    <row r="425" spans="1:19" s="432" customFormat="1">
      <c r="A425" s="263" t="s">
        <v>621</v>
      </c>
      <c r="B425" s="688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J425*276500</f>
        <v>0</v>
      </c>
    </row>
    <row r="426" spans="1:19" s="432" customFormat="1">
      <c r="A426" s="263" t="s">
        <v>622</v>
      </c>
      <c r="B426" s="688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95">
        <f>C426*184000</f>
        <v>0</v>
      </c>
      <c r="L426" s="575"/>
      <c r="M426" s="508"/>
      <c r="N426" s="598">
        <f>F426*166000</f>
        <v>0</v>
      </c>
      <c r="O426" s="497"/>
      <c r="P426" s="590"/>
      <c r="Q426" s="498"/>
      <c r="R426" s="495">
        <f t="shared" si="85"/>
        <v>0</v>
      </c>
      <c r="S426" s="495">
        <f>J426*21200</f>
        <v>0</v>
      </c>
    </row>
    <row r="427" spans="1:19" s="432" customFormat="1">
      <c r="A427" s="263" t="s">
        <v>623</v>
      </c>
      <c r="B427" s="688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J427*12500</f>
        <v>0</v>
      </c>
    </row>
    <row r="428" spans="1:19" s="432" customFormat="1">
      <c r="A428" s="263" t="s">
        <v>624</v>
      </c>
      <c r="B428" s="688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J428*8700</f>
        <v>0</v>
      </c>
    </row>
    <row r="429" spans="1:19" s="432" customFormat="1">
      <c r="A429" s="265" t="s">
        <v>625</v>
      </c>
      <c r="B429" s="688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J429*46600</f>
        <v>0</v>
      </c>
    </row>
    <row r="430" spans="1:19" s="432" customFormat="1">
      <c r="A430" s="265" t="s">
        <v>626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J430*31200</f>
        <v>0</v>
      </c>
    </row>
    <row r="431" spans="1:19" s="432" customFormat="1">
      <c r="A431" s="265" t="s">
        <v>627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J431*75200</f>
        <v>0</v>
      </c>
    </row>
    <row r="432" spans="1:19" s="432" customFormat="1">
      <c r="A432" s="265" t="s">
        <v>628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J432*12100</f>
        <v>0</v>
      </c>
    </row>
    <row r="433" spans="1:19" s="432" customFormat="1">
      <c r="A433" s="263" t="s">
        <v>629</v>
      </c>
      <c r="B433" s="688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J433*158660</f>
        <v>0</v>
      </c>
    </row>
    <row r="434" spans="1:19" s="432" customFormat="1">
      <c r="A434" s="265" t="s">
        <v>630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J434*14200</f>
        <v>0</v>
      </c>
    </row>
    <row r="435" spans="1:19" s="432" customFormat="1">
      <c r="A435" s="265" t="s">
        <v>631</v>
      </c>
      <c r="B435" s="688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J435*11100</f>
        <v>0</v>
      </c>
    </row>
    <row r="436" spans="1:19" s="432" customFormat="1">
      <c r="A436" s="265" t="s">
        <v>632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f>C436*184000</f>
        <v>0</v>
      </c>
      <c r="L436" s="575"/>
      <c r="M436" s="508"/>
      <c r="N436" s="598">
        <f>F436*166000</f>
        <v>0</v>
      </c>
      <c r="O436" s="497"/>
      <c r="P436" s="590"/>
      <c r="Q436" s="498"/>
      <c r="R436" s="495">
        <f t="shared" si="85"/>
        <v>0</v>
      </c>
      <c r="S436" s="495">
        <f>J436*14900</f>
        <v>0</v>
      </c>
    </row>
    <row r="437" spans="1:19" s="432" customFormat="1">
      <c r="A437" s="263" t="s">
        <v>633</v>
      </c>
      <c r="B437" s="688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J437*6400</f>
        <v>0</v>
      </c>
    </row>
    <row r="438" spans="1:19" s="432" customFormat="1">
      <c r="A438" s="265" t="s">
        <v>634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J438*99400</f>
        <v>0</v>
      </c>
    </row>
    <row r="439" spans="1:19" s="432" customFormat="1">
      <c r="A439" s="265" t="s">
        <v>635</v>
      </c>
      <c r="B439" s="688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J439*11300</f>
        <v>0</v>
      </c>
    </row>
    <row r="440" spans="1:19" s="432" customFormat="1">
      <c r="A440" s="265" t="s">
        <v>636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J440*67500</f>
        <v>0</v>
      </c>
    </row>
    <row r="441" spans="1:19" s="432" customFormat="1">
      <c r="A441" s="263" t="s">
        <v>637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J441*31750</f>
        <v>0</v>
      </c>
    </row>
    <row r="442" spans="1:19" s="432" customFormat="1">
      <c r="A442" s="265" t="s">
        <v>638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J442*16020</f>
        <v>0</v>
      </c>
    </row>
    <row r="443" spans="1:19" s="432" customFormat="1">
      <c r="A443" s="265" t="s">
        <v>639</v>
      </c>
      <c r="B443" s="688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J443*13600</f>
        <v>0</v>
      </c>
    </row>
    <row r="444" spans="1:19" s="432" customFormat="1">
      <c r="A444" s="265" t="s">
        <v>640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J444*13600</f>
        <v>0</v>
      </c>
    </row>
    <row r="445" spans="1:19" s="432" customFormat="1">
      <c r="A445" s="263" t="s">
        <v>641</v>
      </c>
      <c r="B445" s="688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J445*31200</f>
        <v>0</v>
      </c>
    </row>
    <row r="446" spans="1:19" s="432" customFormat="1">
      <c r="A446" s="263" t="s">
        <v>643</v>
      </c>
      <c r="B446" s="688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95">
        <f>C446*880000</f>
        <v>0</v>
      </c>
      <c r="L446" s="575"/>
      <c r="M446" s="508"/>
      <c r="N446" s="598">
        <f>F446*792000</f>
        <v>0</v>
      </c>
      <c r="O446" s="497"/>
      <c r="P446" s="590"/>
      <c r="Q446" s="498"/>
      <c r="R446" s="495">
        <f t="shared" si="85"/>
        <v>0</v>
      </c>
      <c r="S446" s="495">
        <f>J446*48800</f>
        <v>0</v>
      </c>
    </row>
    <row r="447" spans="1:19" s="432" customFormat="1">
      <c r="A447" s="263" t="s">
        <v>642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f>C447*1000000</f>
        <v>0</v>
      </c>
      <c r="L447" s="575"/>
      <c r="M447" s="508"/>
      <c r="N447" s="598">
        <f>F447*900000</f>
        <v>0</v>
      </c>
      <c r="O447" s="497"/>
      <c r="P447" s="590"/>
      <c r="Q447" s="498"/>
      <c r="R447" s="495">
        <f t="shared" ref="R447:R478" si="87">SUM(K447:Q447)</f>
        <v>0</v>
      </c>
      <c r="S447" s="495">
        <f>J447*79700</f>
        <v>0</v>
      </c>
    </row>
    <row r="448" spans="1:19" s="432" customFormat="1">
      <c r="A448" s="265" t="s">
        <v>644</v>
      </c>
      <c r="B448" s="688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J448*168900</f>
        <v>0</v>
      </c>
    </row>
    <row r="449" spans="1:19" s="432" customFormat="1">
      <c r="A449" s="265" t="s">
        <v>645</v>
      </c>
      <c r="B449" s="688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J449*10600</f>
        <v>0</v>
      </c>
    </row>
    <row r="450" spans="1:19" s="432" customFormat="1">
      <c r="A450" s="263" t="s">
        <v>646</v>
      </c>
      <c r="B450" s="688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J450*6780</f>
        <v>0</v>
      </c>
    </row>
    <row r="451" spans="1:19" s="432" customFormat="1">
      <c r="A451" s="263" t="s">
        <v>647</v>
      </c>
      <c r="B451" s="688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95">
        <f>C451*136000</f>
        <v>0</v>
      </c>
      <c r="L451" s="575"/>
      <c r="M451" s="508"/>
      <c r="N451" s="598">
        <f>F451*122000</f>
        <v>0</v>
      </c>
      <c r="O451" s="497"/>
      <c r="P451" s="590"/>
      <c r="Q451" s="498"/>
      <c r="R451" s="495">
        <f t="shared" si="87"/>
        <v>0</v>
      </c>
      <c r="S451" s="495">
        <f>J451*15700</f>
        <v>0</v>
      </c>
    </row>
    <row r="452" spans="1:19" s="432" customFormat="1">
      <c r="A452" s="263" t="s">
        <v>648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J452*9459</f>
        <v>0</v>
      </c>
    </row>
    <row r="453" spans="1:19" s="432" customFormat="1">
      <c r="A453" s="263" t="s">
        <v>649</v>
      </c>
      <c r="B453" s="688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J453*13600</f>
        <v>0</v>
      </c>
    </row>
    <row r="454" spans="1:19" s="432" customFormat="1">
      <c r="A454" s="265" t="s">
        <v>650</v>
      </c>
      <c r="B454" s="688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J454*45060</f>
        <v>0</v>
      </c>
    </row>
    <row r="455" spans="1:19" s="432" customFormat="1">
      <c r="A455" s="265" t="s">
        <v>651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J455*44300</f>
        <v>0</v>
      </c>
    </row>
    <row r="456" spans="1:19" s="432" customFormat="1">
      <c r="A456" s="263" t="s">
        <v>652</v>
      </c>
      <c r="B456" s="688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J456*56500</f>
        <v>0</v>
      </c>
    </row>
    <row r="457" spans="1:19" s="432" customFormat="1">
      <c r="A457" s="265" t="s">
        <v>653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87"/>
        <v>0</v>
      </c>
      <c r="S457" s="495">
        <f>J457*31750</f>
        <v>0</v>
      </c>
    </row>
    <row r="458" spans="1:19" s="432" customFormat="1">
      <c r="A458" s="265" t="s">
        <v>654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J458*43300</f>
        <v>0</v>
      </c>
    </row>
    <row r="459" spans="1:19" s="432" customFormat="1">
      <c r="A459" s="265" t="s">
        <v>655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f>C459*184000</f>
        <v>0</v>
      </c>
      <c r="L459" s="575"/>
      <c r="M459" s="508"/>
      <c r="N459" s="598">
        <f>F459*166000</f>
        <v>0</v>
      </c>
      <c r="O459" s="497"/>
      <c r="P459" s="590"/>
      <c r="Q459" s="498"/>
      <c r="R459" s="495">
        <f t="shared" si="87"/>
        <v>0</v>
      </c>
      <c r="S459" s="495">
        <f>J459*21700</f>
        <v>0</v>
      </c>
    </row>
    <row r="460" spans="1:19" s="432" customFormat="1">
      <c r="A460" s="265" t="s">
        <v>656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C460*228000</f>
        <v>0</v>
      </c>
      <c r="L460" s="575"/>
      <c r="M460" s="508"/>
      <c r="N460" s="598">
        <f>F460*205000</f>
        <v>0</v>
      </c>
      <c r="O460" s="497"/>
      <c r="P460" s="590"/>
      <c r="Q460" s="498"/>
      <c r="R460" s="495">
        <f t="shared" si="87"/>
        <v>0</v>
      </c>
      <c r="S460" s="495">
        <f>J460*42900</f>
        <v>0</v>
      </c>
    </row>
    <row r="461" spans="1:19" s="432" customFormat="1">
      <c r="A461" s="265" t="s">
        <v>685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J461*21200</f>
        <v>0</v>
      </c>
    </row>
    <row r="462" spans="1:19" s="432" customFormat="1">
      <c r="A462" s="265" t="s">
        <v>657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J462*45500</f>
        <v>0</v>
      </c>
    </row>
    <row r="463" spans="1:19" s="432" customFormat="1">
      <c r="A463" s="265" t="s">
        <v>658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J463*15200</f>
        <v>0</v>
      </c>
    </row>
    <row r="464" spans="1:19" s="432" customFormat="1">
      <c r="A464" s="265" t="s">
        <v>659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f>C464*184000</f>
        <v>0</v>
      </c>
      <c r="L464" s="575"/>
      <c r="M464" s="508"/>
      <c r="N464" s="598">
        <f>F464*166000</f>
        <v>0</v>
      </c>
      <c r="O464" s="497"/>
      <c r="P464" s="590"/>
      <c r="Q464" s="498"/>
      <c r="R464" s="495">
        <f t="shared" si="87"/>
        <v>0</v>
      </c>
      <c r="S464" s="495">
        <f>J464*22800</f>
        <v>0</v>
      </c>
    </row>
    <row r="465" spans="1:19" s="432" customFormat="1">
      <c r="A465" s="265" t="s">
        <v>660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J465*10400</f>
        <v>0</v>
      </c>
    </row>
    <row r="466" spans="1:19" s="432" customFormat="1">
      <c r="A466" s="265" t="s">
        <v>662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J466*36700</f>
        <v>0</v>
      </c>
    </row>
    <row r="467" spans="1:19" s="432" customFormat="1">
      <c r="A467" s="265" t="s">
        <v>663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J467*19980</f>
        <v>0</v>
      </c>
    </row>
    <row r="468" spans="1:19" s="432" customFormat="1">
      <c r="A468" s="265" t="s">
        <v>664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J468*16900</f>
        <v>0</v>
      </c>
    </row>
    <row r="469" spans="1:19" s="432" customFormat="1">
      <c r="A469" s="265" t="s">
        <v>665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f>C469*128000</f>
        <v>0</v>
      </c>
      <c r="L469" s="575"/>
      <c r="M469" s="508"/>
      <c r="N469" s="598">
        <f>F469*115000</f>
        <v>0</v>
      </c>
      <c r="O469" s="497"/>
      <c r="P469" s="590"/>
      <c r="Q469" s="498"/>
      <c r="R469" s="495">
        <f t="shared" si="87"/>
        <v>0</v>
      </c>
      <c r="S469" s="495">
        <f>J469*11100</f>
        <v>0</v>
      </c>
    </row>
    <row r="470" spans="1:19" s="432" customFormat="1">
      <c r="A470" s="263" t="s">
        <v>666</v>
      </c>
      <c r="B470" s="688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J470*10100</f>
        <v>0</v>
      </c>
    </row>
    <row r="471" spans="1:19" s="432" customFormat="1">
      <c r="A471" s="265" t="s">
        <v>667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J471*26800</f>
        <v>0</v>
      </c>
    </row>
    <row r="472" spans="1:19" s="432" customFormat="1">
      <c r="A472" s="265" t="s">
        <v>668</v>
      </c>
      <c r="B472" s="688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J472*13100</f>
        <v>0</v>
      </c>
    </row>
    <row r="473" spans="1:19" s="432" customFormat="1">
      <c r="A473" s="263" t="s">
        <v>669</v>
      </c>
      <c r="B473" s="688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95">
        <v>0</v>
      </c>
      <c r="L473" s="575"/>
      <c r="M473" s="508"/>
      <c r="N473" s="598">
        <f>F473*40000</f>
        <v>40000</v>
      </c>
      <c r="O473" s="497"/>
      <c r="P473" s="590"/>
      <c r="Q473" s="498"/>
      <c r="R473" s="495">
        <f t="shared" si="87"/>
        <v>40000</v>
      </c>
      <c r="S473" s="495">
        <f>J473*7400</f>
        <v>7400</v>
      </c>
    </row>
    <row r="474" spans="1:19" s="432" customFormat="1">
      <c r="A474" s="265" t="s">
        <v>670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J474*30100</f>
        <v>0</v>
      </c>
    </row>
    <row r="475" spans="1:19" s="432" customFormat="1">
      <c r="A475" s="265" t="s">
        <v>671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87"/>
        <v>0</v>
      </c>
      <c r="S475" s="495">
        <f>J475*66400</f>
        <v>0</v>
      </c>
    </row>
    <row r="476" spans="1:19" s="432" customFormat="1">
      <c r="A476" s="265" t="s">
        <v>672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J476*26800</f>
        <v>0</v>
      </c>
    </row>
    <row r="477" spans="1:19" s="432" customFormat="1">
      <c r="A477" s="265" t="s">
        <v>673</v>
      </c>
      <c r="B477" s="688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J477*41100</f>
        <v>0</v>
      </c>
    </row>
    <row r="478" spans="1:19" s="432" customFormat="1">
      <c r="A478" s="265" t="s">
        <v>674</v>
      </c>
      <c r="B478" s="688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95">
        <f>C478*1000000</f>
        <v>0</v>
      </c>
      <c r="L478" s="575"/>
      <c r="M478" s="508"/>
      <c r="N478" s="598">
        <f>F478*900000</f>
        <v>0</v>
      </c>
      <c r="O478" s="497"/>
      <c r="P478" s="590"/>
      <c r="Q478" s="498"/>
      <c r="R478" s="495">
        <f t="shared" si="87"/>
        <v>0</v>
      </c>
      <c r="S478" s="495">
        <f>J478*25900</f>
        <v>0</v>
      </c>
    </row>
    <row r="479" spans="1:19" s="432" customFormat="1">
      <c r="A479" s="265" t="s">
        <v>676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ref="R479:R510" si="89">SUM(K479:Q479)</f>
        <v>0</v>
      </c>
      <c r="S479" s="495">
        <f>J479*70800</f>
        <v>0</v>
      </c>
    </row>
    <row r="480" spans="1:19" s="432" customFormat="1">
      <c r="A480" s="265" t="s">
        <v>675</v>
      </c>
      <c r="B480" s="688"/>
      <c r="C480" s="26"/>
      <c r="D480" s="187"/>
      <c r="E480" s="187"/>
      <c r="F480" s="150"/>
      <c r="G480" s="154"/>
      <c r="H480" s="70"/>
      <c r="I480" s="103"/>
      <c r="J480" s="26">
        <f t="shared" ref="J480:J511" si="90">SUM(B480:I480)</f>
        <v>0</v>
      </c>
      <c r="K480" s="495">
        <f>C480*184000</f>
        <v>0</v>
      </c>
      <c r="L480" s="575"/>
      <c r="M480" s="508"/>
      <c r="N480" s="598">
        <f>F480*166000</f>
        <v>0</v>
      </c>
      <c r="O480" s="497"/>
      <c r="P480" s="590"/>
      <c r="Q480" s="498"/>
      <c r="R480" s="495">
        <f t="shared" si="89"/>
        <v>0</v>
      </c>
      <c r="S480" s="495">
        <f>J480*21700</f>
        <v>0</v>
      </c>
    </row>
    <row r="481" spans="1:19" s="432" customFormat="1">
      <c r="A481" s="265" t="s">
        <v>677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J481*19100</f>
        <v>0</v>
      </c>
    </row>
    <row r="482" spans="1:19" s="432" customFormat="1">
      <c r="A482" s="265" t="s">
        <v>678</v>
      </c>
      <c r="B482" s="688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J482*32200</f>
        <v>0</v>
      </c>
    </row>
    <row r="483" spans="1:19" s="432" customFormat="1">
      <c r="A483" s="265" t="s">
        <v>679</v>
      </c>
      <c r="B483" s="688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J483*45600</f>
        <v>0</v>
      </c>
    </row>
    <row r="484" spans="1:19" s="432" customFormat="1">
      <c r="A484" s="265" t="s">
        <v>680</v>
      </c>
      <c r="B484" s="688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J484*62600</f>
        <v>0</v>
      </c>
    </row>
    <row r="485" spans="1:19" s="432" customFormat="1">
      <c r="A485" s="265" t="s">
        <v>681</v>
      </c>
      <c r="B485" s="688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J485*29300</f>
        <v>0</v>
      </c>
    </row>
    <row r="486" spans="1:19" s="432" customFormat="1">
      <c r="A486" s="265" t="s">
        <v>682</v>
      </c>
      <c r="B486" s="683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J486*28700</f>
        <v>0</v>
      </c>
    </row>
    <row r="487" spans="1:19" s="432" customFormat="1">
      <c r="A487" s="265"/>
      <c r="B487" s="475"/>
      <c r="C487" s="26"/>
      <c r="D487" s="187"/>
      <c r="E487" s="187"/>
      <c r="F487" s="150"/>
      <c r="G487" s="154"/>
      <c r="H487" s="70"/>
      <c r="I487" s="103"/>
      <c r="J487" s="26"/>
      <c r="K487" s="495"/>
      <c r="L487" s="575"/>
      <c r="M487" s="508"/>
      <c r="N487" s="598"/>
      <c r="O487" s="497"/>
      <c r="P487" s="590"/>
      <c r="Q487" s="498"/>
      <c r="R487" s="495"/>
      <c r="S487" s="495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9">
        <f t="shared" si="91"/>
        <v>0</v>
      </c>
      <c r="L488" s="619">
        <f t="shared" si="91"/>
        <v>0</v>
      </c>
      <c r="M488" s="619">
        <f t="shared" si="91"/>
        <v>0</v>
      </c>
      <c r="N488" s="619">
        <f t="shared" si="91"/>
        <v>119000</v>
      </c>
      <c r="O488" s="619">
        <f t="shared" si="91"/>
        <v>0</v>
      </c>
      <c r="P488" s="619">
        <f t="shared" si="91"/>
        <v>0</v>
      </c>
      <c r="Q488" s="619">
        <f t="shared" si="91"/>
        <v>0</v>
      </c>
      <c r="R488" s="619">
        <f>SUM(K488:Q488)</f>
        <v>119000</v>
      </c>
      <c r="S488" s="619">
        <f>SUM(S417:S487)</f>
        <v>21300</v>
      </c>
    </row>
    <row r="489" spans="1:19" s="432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72"/>
      <c r="L489" s="575"/>
      <c r="M489" s="508"/>
      <c r="N489" s="509"/>
      <c r="O489" s="497"/>
      <c r="P489" s="590"/>
      <c r="Q489" s="498"/>
      <c r="R489" s="495"/>
      <c r="S489" s="495"/>
    </row>
    <row r="490" spans="1:19" s="432" customFormat="1" ht="16.5" customHeight="1">
      <c r="A490" s="265" t="s">
        <v>687</v>
      </c>
      <c r="B490" s="687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72">
        <f>C490*156000</f>
        <v>0</v>
      </c>
      <c r="L490" s="575"/>
      <c r="M490" s="508">
        <f>E490*156000</f>
        <v>0</v>
      </c>
      <c r="N490" s="509">
        <f>F490*124800</f>
        <v>0</v>
      </c>
      <c r="O490" s="497"/>
      <c r="P490" s="590"/>
      <c r="Q490" s="498"/>
      <c r="R490" s="495">
        <f t="shared" ref="R490:R495" si="92">SUM(K490:Q490)</f>
        <v>0</v>
      </c>
      <c r="S490" s="495">
        <f>J490*22320</f>
        <v>0</v>
      </c>
    </row>
    <row r="491" spans="1:19" s="217" customFormat="1">
      <c r="A491" s="265" t="s">
        <v>689</v>
      </c>
      <c r="B491" s="688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72">
        <f>C491*44000</f>
        <v>0</v>
      </c>
      <c r="L491" s="621"/>
      <c r="M491" s="508">
        <f>E491*44000</f>
        <v>0</v>
      </c>
      <c r="N491" s="509">
        <f>F491*35200</f>
        <v>0</v>
      </c>
      <c r="O491" s="621"/>
      <c r="P491" s="622"/>
      <c r="Q491" s="623"/>
      <c r="R491" s="495">
        <f t="shared" si="92"/>
        <v>0</v>
      </c>
      <c r="S491" s="495">
        <f>J491*10230</f>
        <v>0</v>
      </c>
    </row>
    <row r="492" spans="1:19" s="217" customFormat="1">
      <c r="A492" s="265" t="s">
        <v>690</v>
      </c>
      <c r="B492" s="688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72">
        <f>C492*44000</f>
        <v>0</v>
      </c>
      <c r="L492" s="621"/>
      <c r="M492" s="508">
        <f>E492*44000</f>
        <v>0</v>
      </c>
      <c r="N492" s="509">
        <f>F492*35200</f>
        <v>0</v>
      </c>
      <c r="O492" s="621"/>
      <c r="P492" s="622"/>
      <c r="Q492" s="623"/>
      <c r="R492" s="495">
        <f t="shared" si="92"/>
        <v>0</v>
      </c>
      <c r="S492" s="495">
        <f>J492*10780</f>
        <v>0</v>
      </c>
    </row>
    <row r="493" spans="1:19" s="217" customFormat="1">
      <c r="A493" s="265" t="s">
        <v>691</v>
      </c>
      <c r="B493" s="688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72">
        <f>C493*66000</f>
        <v>0</v>
      </c>
      <c r="L493" s="621"/>
      <c r="M493" s="508">
        <f>E493*66000</f>
        <v>0</v>
      </c>
      <c r="N493" s="509">
        <f>F493*52800</f>
        <v>0</v>
      </c>
      <c r="O493" s="621"/>
      <c r="P493" s="622"/>
      <c r="Q493" s="623"/>
      <c r="R493" s="495">
        <f t="shared" si="92"/>
        <v>0</v>
      </c>
      <c r="S493" s="495">
        <f>J493*14300</f>
        <v>0</v>
      </c>
    </row>
    <row r="494" spans="1:19" s="306" customFormat="1">
      <c r="A494" s="265" t="s">
        <v>692</v>
      </c>
      <c r="B494" s="683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72">
        <f>C494*36000</f>
        <v>0</v>
      </c>
      <c r="L494" s="621"/>
      <c r="M494" s="508">
        <f>E494*36000</f>
        <v>0</v>
      </c>
      <c r="N494" s="509">
        <f>F494*28800</f>
        <v>0</v>
      </c>
      <c r="O494" s="621"/>
      <c r="P494" s="622"/>
      <c r="Q494" s="623"/>
      <c r="R494" s="495">
        <f t="shared" si="92"/>
        <v>0</v>
      </c>
      <c r="S494" s="495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24">
        <f t="shared" ref="K495:Q495" si="94">SUM(K489:K494)</f>
        <v>0</v>
      </c>
      <c r="L495" s="624">
        <f t="shared" si="94"/>
        <v>0</v>
      </c>
      <c r="M495" s="624">
        <f t="shared" si="94"/>
        <v>0</v>
      </c>
      <c r="N495" s="624">
        <f t="shared" si="94"/>
        <v>0</v>
      </c>
      <c r="O495" s="624">
        <f t="shared" si="94"/>
        <v>0</v>
      </c>
      <c r="P495" s="624">
        <f t="shared" si="94"/>
        <v>0</v>
      </c>
      <c r="Q495" s="624">
        <f t="shared" si="94"/>
        <v>0</v>
      </c>
      <c r="R495" s="625">
        <f t="shared" si="92"/>
        <v>0</v>
      </c>
      <c r="S495" s="626">
        <f>SUM(S489:S494)</f>
        <v>0</v>
      </c>
    </row>
    <row r="496" spans="1:19">
      <c r="A496" s="356"/>
      <c r="D496" s="127"/>
      <c r="E496" s="128"/>
      <c r="F496" s="471"/>
      <c r="G496" s="7"/>
      <c r="H496" s="471"/>
      <c r="I496" s="690" t="s">
        <v>694</v>
      </c>
      <c r="J496" s="691"/>
      <c r="K496" s="627">
        <f>K495+K488+K415</f>
        <v>393000</v>
      </c>
      <c r="L496" s="628"/>
      <c r="M496" s="629"/>
      <c r="N496" s="629"/>
      <c r="O496" s="629"/>
      <c r="P496" s="630"/>
      <c r="Q496" s="631"/>
      <c r="R496" s="627">
        <f>R495+R488+R415</f>
        <v>512000</v>
      </c>
      <c r="S496" s="632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601"/>
      <c r="L497" s="601"/>
      <c r="M497" s="602"/>
      <c r="N497" s="602"/>
      <c r="O497" s="603"/>
      <c r="P497" s="604"/>
      <c r="Q497" s="605"/>
      <c r="R497" s="601"/>
      <c r="S497" s="606"/>
    </row>
    <row r="498" spans="1:19" s="432" customFormat="1" ht="17.25" customHeight="1" thickBot="1">
      <c r="A498" t="s">
        <v>695</v>
      </c>
      <c r="C498" s="425"/>
      <c r="F498" s="144"/>
      <c r="J498" s="145"/>
      <c r="K498" s="633"/>
      <c r="L498" s="633"/>
      <c r="M498" s="633"/>
      <c r="N498" s="633"/>
      <c r="O498" s="556"/>
      <c r="P498" s="633"/>
      <c r="Q498" s="633"/>
      <c r="R498"/>
    </row>
    <row r="499" spans="1:19" s="432" customFormat="1">
      <c r="A499" t="s">
        <v>696</v>
      </c>
      <c r="C499" s="425"/>
      <c r="F499" s="144"/>
      <c r="J499" s="126"/>
      <c r="K499" s="634" t="s">
        <v>697</v>
      </c>
      <c r="L499" s="635" t="s">
        <v>698</v>
      </c>
      <c r="M499" s="636" t="s">
        <v>699</v>
      </c>
      <c r="N499" s="637" t="s">
        <v>700</v>
      </c>
      <c r="O499" s="638"/>
      <c r="P499" s="639" t="s">
        <v>118</v>
      </c>
      <c r="Q499" s="640"/>
      <c r="R499" s="533"/>
      <c r="S499"/>
    </row>
    <row r="500" spans="1:19" s="432" customFormat="1">
      <c r="A500"/>
      <c r="C500" s="425"/>
      <c r="F500" s="144"/>
      <c r="J500" s="126" t="s">
        <v>701</v>
      </c>
      <c r="K500" s="641">
        <f>R24+R44+R61+R85+R102+R120+R127+R133+R141+R159</f>
        <v>269872910</v>
      </c>
      <c r="L500" s="565">
        <f>R223+R233+R239+R247</f>
        <v>45515650</v>
      </c>
      <c r="M500" s="532">
        <f>R496</f>
        <v>512000</v>
      </c>
      <c r="N500" s="642">
        <f>R260+R334</f>
        <v>17350800</v>
      </c>
      <c r="O500" s="533"/>
      <c r="P500" s="643">
        <f>SUM(K500:O500)</f>
        <v>333251360</v>
      </c>
      <c r="Q500" s="640"/>
      <c r="R500" s="533"/>
      <c r="S500"/>
    </row>
    <row r="501" spans="1:19" s="432" customFormat="1" ht="17.25" customHeight="1" thickBot="1">
      <c r="A501" t="s">
        <v>702</v>
      </c>
      <c r="C501" s="425"/>
      <c r="F501" s="144"/>
      <c r="J501" s="357" t="s">
        <v>30</v>
      </c>
      <c r="K501" s="644">
        <f>S24+S44+S61+S85+S102+S120+S127+S133+S141+S159</f>
        <v>133641735</v>
      </c>
      <c r="L501" s="645">
        <f>S223+S233+S239+S247</f>
        <v>11535048</v>
      </c>
      <c r="M501" s="646">
        <f>S496</f>
        <v>98532</v>
      </c>
      <c r="N501" s="647">
        <f>S260+S334</f>
        <v>6422737</v>
      </c>
      <c r="O501" s="648"/>
      <c r="P501" s="649">
        <f>SUM(K501:O501)</f>
        <v>151698052</v>
      </c>
      <c r="Q501" s="640"/>
      <c r="R501" s="640"/>
      <c r="S501"/>
    </row>
    <row r="502" spans="1:19" s="432" customFormat="1">
      <c r="A502" t="s">
        <v>703</v>
      </c>
      <c r="C502" s="425"/>
      <c r="F502" s="144"/>
      <c r="K502" s="495"/>
      <c r="L502" s="495"/>
      <c r="M502" s="496"/>
      <c r="N502" s="650"/>
      <c r="O502" s="573" t="s">
        <v>704</v>
      </c>
      <c r="P502" s="651" t="s">
        <v>30</v>
      </c>
      <c r="Q502" s="498"/>
      <c r="R502" s="496"/>
      <c r="S502"/>
    </row>
    <row r="503" spans="1:19" s="432" customFormat="1">
      <c r="A503"/>
      <c r="C503" s="425"/>
      <c r="F503" s="144"/>
      <c r="K503" s="495"/>
      <c r="L503" s="495"/>
      <c r="M503" s="496"/>
      <c r="N503" s="650" t="s">
        <v>705</v>
      </c>
      <c r="O503" s="574">
        <f>K500</f>
        <v>269872910</v>
      </c>
      <c r="P503" s="652">
        <f>K501</f>
        <v>133641735</v>
      </c>
      <c r="Q503" s="557"/>
      <c r="R503" s="522"/>
      <c r="S503"/>
    </row>
    <row r="504" spans="1:19" s="432" customFormat="1">
      <c r="A504" t="s">
        <v>706</v>
      </c>
      <c r="B504" s="129"/>
      <c r="C504" s="425"/>
      <c r="F504" s="144"/>
      <c r="H504" s="174"/>
      <c r="I504" s="174"/>
      <c r="J504" s="175"/>
      <c r="K504" s="495"/>
      <c r="L504" s="495"/>
      <c r="M504" s="496"/>
      <c r="N504" s="653" t="s">
        <v>707</v>
      </c>
      <c r="O504" s="654">
        <f>L500</f>
        <v>45515650</v>
      </c>
      <c r="P504" s="655">
        <f>L501</f>
        <v>11535048</v>
      </c>
      <c r="Q504" s="656"/>
      <c r="R504" s="656"/>
      <c r="S504"/>
    </row>
    <row r="505" spans="1:19" s="432" customFormat="1">
      <c r="A505" t="s">
        <v>708</v>
      </c>
      <c r="C505" s="425"/>
      <c r="F505" s="144"/>
      <c r="K505" s="495"/>
      <c r="L505" s="495"/>
      <c r="M505" s="496"/>
      <c r="N505" s="657" t="s">
        <v>709</v>
      </c>
      <c r="O505" s="621">
        <f>N500</f>
        <v>17350800</v>
      </c>
      <c r="P505" s="658">
        <f>N501</f>
        <v>6422737</v>
      </c>
      <c r="Q505" s="659"/>
      <c r="R505" s="659"/>
      <c r="S505"/>
    </row>
    <row r="506" spans="1:19" s="432" customFormat="1">
      <c r="A506" t="s">
        <v>710</v>
      </c>
      <c r="C506" s="425"/>
      <c r="F506" s="144"/>
      <c r="K506" s="495"/>
      <c r="L506" s="660"/>
      <c r="M506" s="496"/>
      <c r="N506" s="661" t="s">
        <v>699</v>
      </c>
      <c r="O506" s="598">
        <f>M500</f>
        <v>512000</v>
      </c>
      <c r="P506" s="662">
        <f>M501</f>
        <v>98532</v>
      </c>
      <c r="Q506" s="598"/>
      <c r="R506" s="663"/>
      <c r="S506"/>
    </row>
    <row r="507" spans="1:19" s="432" customFormat="1">
      <c r="A507" t="s">
        <v>711</v>
      </c>
      <c r="C507" s="425"/>
      <c r="F507" s="171"/>
      <c r="G507" s="170"/>
      <c r="K507" s="495"/>
      <c r="L507" s="660"/>
      <c r="M507" s="496"/>
      <c r="N507" s="664"/>
      <c r="O507" s="665"/>
      <c r="P507" s="666"/>
      <c r="Q507" s="663"/>
      <c r="R507" s="667"/>
      <c r="S507"/>
    </row>
    <row r="508" spans="1:19" s="432" customFormat="1">
      <c r="A508" t="s">
        <v>712</v>
      </c>
      <c r="C508" s="425"/>
      <c r="F508" s="171"/>
      <c r="K508" s="495"/>
      <c r="L508" s="495"/>
      <c r="M508" s="496"/>
      <c r="N508" s="668" t="s">
        <v>118</v>
      </c>
      <c r="O508" s="669">
        <f>SUM(O503:O507)</f>
        <v>333251360</v>
      </c>
      <c r="P508" s="670">
        <f>SUM(P503:P507)</f>
        <v>151698052</v>
      </c>
      <c r="Q508" s="557"/>
      <c r="R508" s="496"/>
      <c r="S508"/>
    </row>
    <row r="509" spans="1:19" s="432" customFormat="1">
      <c r="A509" t="s">
        <v>713</v>
      </c>
      <c r="B509" s="393">
        <v>1</v>
      </c>
      <c r="C509" s="425"/>
      <c r="K509" s="496"/>
      <c r="L509" s="621" t="s">
        <v>709</v>
      </c>
      <c r="M509" s="496" t="s">
        <v>705</v>
      </c>
      <c r="N509" s="671" t="s">
        <v>707</v>
      </c>
      <c r="O509" s="598" t="s">
        <v>699</v>
      </c>
      <c r="P509" s="672" t="s">
        <v>10</v>
      </c>
      <c r="Q509" s="564" t="s">
        <v>714</v>
      </c>
      <c r="R509" s="432" t="s">
        <v>715</v>
      </c>
      <c r="S509" s="672"/>
    </row>
    <row r="510" spans="1:19">
      <c r="A510" t="s">
        <v>716</v>
      </c>
      <c r="B510" s="432">
        <v>3</v>
      </c>
      <c r="E510" s="212"/>
      <c r="K510" s="496" t="s">
        <v>4</v>
      </c>
      <c r="L510" s="621">
        <v>15501800</v>
      </c>
      <c r="M510" s="496">
        <v>238075510</v>
      </c>
      <c r="N510" s="673">
        <v>37884750</v>
      </c>
      <c r="O510" s="598">
        <v>512000</v>
      </c>
      <c r="P510" s="674">
        <f t="shared" ref="P510:P515" si="95">SUM(L510:O510)</f>
        <v>291974060</v>
      </c>
      <c r="Q510" s="495">
        <v>291972208</v>
      </c>
      <c r="R510" s="210"/>
      <c r="S510" s="674"/>
    </row>
    <row r="511" spans="1:19">
      <c r="A511" t="s">
        <v>717</v>
      </c>
      <c r="K511" s="496"/>
      <c r="L511" s="621">
        <v>5587217</v>
      </c>
      <c r="M511" s="496">
        <v>115808417</v>
      </c>
      <c r="N511" s="673">
        <v>9693441</v>
      </c>
      <c r="O511" s="598">
        <v>98532</v>
      </c>
      <c r="P511" s="674">
        <f t="shared" si="95"/>
        <v>131187607</v>
      </c>
      <c r="Q511" s="495">
        <v>130829742</v>
      </c>
      <c r="R511" s="210"/>
      <c r="S511" s="674"/>
    </row>
    <row r="512" spans="1:19">
      <c r="K512" s="496" t="s">
        <v>718</v>
      </c>
      <c r="L512" s="621"/>
      <c r="N512" s="673"/>
      <c r="O512" s="598"/>
      <c r="P512" s="674">
        <f t="shared" si="95"/>
        <v>0</v>
      </c>
      <c r="Q512" s="495"/>
      <c r="R512" s="210"/>
      <c r="S512" s="674"/>
    </row>
    <row r="513" spans="1:19">
      <c r="K513" s="496"/>
      <c r="L513" s="621"/>
      <c r="N513" s="673"/>
      <c r="O513" s="598"/>
      <c r="P513" s="674">
        <f t="shared" si="95"/>
        <v>0</v>
      </c>
      <c r="Q513" s="495"/>
      <c r="R513" s="210"/>
      <c r="S513" s="674"/>
    </row>
    <row r="514" spans="1:19">
      <c r="K514" s="496" t="s">
        <v>6</v>
      </c>
      <c r="L514" s="621">
        <f>N500-L510-L512</f>
        <v>1849000</v>
      </c>
      <c r="M514" s="496">
        <f t="shared" ref="M514:O515" si="96">K500-M510-M512</f>
        <v>31797400</v>
      </c>
      <c r="N514" s="673">
        <f t="shared" si="96"/>
        <v>7630900</v>
      </c>
      <c r="O514" s="598">
        <f t="shared" si="96"/>
        <v>0</v>
      </c>
      <c r="P514" s="674">
        <f t="shared" si="95"/>
        <v>41277300</v>
      </c>
      <c r="Q514" s="495">
        <v>41276988</v>
      </c>
      <c r="R514" s="210"/>
      <c r="S514" s="674"/>
    </row>
    <row r="515" spans="1:19">
      <c r="K515" s="496"/>
      <c r="L515" s="621">
        <f>N501-L511-L513</f>
        <v>835520</v>
      </c>
      <c r="M515" s="496">
        <f t="shared" si="96"/>
        <v>17833318</v>
      </c>
      <c r="N515" s="673">
        <f t="shared" si="96"/>
        <v>1841607</v>
      </c>
      <c r="O515" s="598">
        <f t="shared" si="96"/>
        <v>0</v>
      </c>
      <c r="P515" s="674">
        <f t="shared" si="95"/>
        <v>20510445</v>
      </c>
      <c r="Q515" s="495">
        <v>20456221</v>
      </c>
      <c r="R515" s="210"/>
      <c r="S515" s="674"/>
    </row>
    <row r="516" spans="1:19">
      <c r="K516" s="496"/>
      <c r="L516" s="621"/>
      <c r="N516" s="673"/>
      <c r="O516" s="598"/>
      <c r="P516" s="674"/>
      <c r="Q516" s="495"/>
      <c r="R516"/>
      <c r="S516" s="674"/>
    </row>
    <row r="517" spans="1:19">
      <c r="K517" s="496" t="s">
        <v>719</v>
      </c>
      <c r="L517" s="621">
        <f t="shared" ref="L517:O518" si="97">L510+L512+L514</f>
        <v>17350800</v>
      </c>
      <c r="M517" s="496">
        <f t="shared" si="97"/>
        <v>269872910</v>
      </c>
      <c r="N517" s="654">
        <f t="shared" si="97"/>
        <v>45515650</v>
      </c>
      <c r="O517" s="598">
        <f t="shared" si="97"/>
        <v>512000</v>
      </c>
      <c r="P517" s="674">
        <f>SUM(L517:O517)</f>
        <v>333251360</v>
      </c>
      <c r="Q517" s="553">
        <f>Q510+Q512+Q514</f>
        <v>333249196</v>
      </c>
      <c r="R517" s="553">
        <v>354009370</v>
      </c>
      <c r="S517" s="674"/>
    </row>
    <row r="518" spans="1:19" s="432" customFormat="1">
      <c r="A518"/>
      <c r="C518" s="425"/>
      <c r="K518" s="496" t="s">
        <v>720</v>
      </c>
      <c r="L518" s="621">
        <f t="shared" si="97"/>
        <v>6422737</v>
      </c>
      <c r="M518" s="496">
        <f t="shared" si="97"/>
        <v>133641735</v>
      </c>
      <c r="N518" s="654">
        <f t="shared" si="97"/>
        <v>11535048</v>
      </c>
      <c r="O518" s="598">
        <f t="shared" si="97"/>
        <v>98532</v>
      </c>
      <c r="P518" s="674">
        <f>SUM(L518:O518)</f>
        <v>151698052</v>
      </c>
      <c r="Q518" s="553">
        <f>Q511+Q513+Q515</f>
        <v>151285963</v>
      </c>
      <c r="R518" s="211"/>
      <c r="S518" s="674"/>
    </row>
    <row r="520" spans="1:19">
      <c r="R520" s="16" t="s">
        <v>721</v>
      </c>
      <c r="S520" s="496">
        <v>29519200</v>
      </c>
    </row>
    <row r="521" spans="1:19">
      <c r="R521" s="258" t="s">
        <v>764</v>
      </c>
      <c r="S521" s="496">
        <v>49774560</v>
      </c>
    </row>
    <row r="522" spans="1:19" ht="25.5" customHeight="1">
      <c r="R522" s="258" t="s">
        <v>723</v>
      </c>
    </row>
    <row r="523" spans="1:19">
      <c r="L523" s="659" t="s">
        <v>709</v>
      </c>
      <c r="M523" s="496" t="s">
        <v>705</v>
      </c>
      <c r="N523" s="656" t="s">
        <v>707</v>
      </c>
      <c r="O523" s="598" t="s">
        <v>724</v>
      </c>
      <c r="P523" s="498" t="s">
        <v>10</v>
      </c>
      <c r="R523" s="258" t="s">
        <v>725</v>
      </c>
    </row>
    <row r="524" spans="1:19">
      <c r="K524" s="495" t="s">
        <v>726</v>
      </c>
      <c r="L524" s="621">
        <v>13557800</v>
      </c>
      <c r="M524" s="496">
        <v>62689500</v>
      </c>
      <c r="N524" s="673">
        <v>22710970</v>
      </c>
      <c r="O524" s="598">
        <v>393000</v>
      </c>
      <c r="P524" s="495">
        <f>SUM(K524:O524)</f>
        <v>99351270</v>
      </c>
      <c r="Q524" s="495">
        <v>99351180</v>
      </c>
      <c r="R524" s="58" t="s">
        <v>727</v>
      </c>
    </row>
    <row r="525" spans="1:19">
      <c r="L525" s="621">
        <v>4605205</v>
      </c>
      <c r="M525" s="496">
        <v>24432561</v>
      </c>
      <c r="N525" s="673">
        <v>4799639</v>
      </c>
      <c r="O525" s="598">
        <v>77232</v>
      </c>
      <c r="P525" s="495">
        <f>SUM(K525:O525)</f>
        <v>33914637</v>
      </c>
      <c r="Q525" s="495">
        <v>33629329</v>
      </c>
      <c r="R525" s="58" t="s">
        <v>728</v>
      </c>
      <c r="S525" s="496">
        <f>P517+S521+S520</f>
        <v>412545120</v>
      </c>
    </row>
    <row r="526" spans="1:19">
      <c r="K526" s="495" t="s">
        <v>729</v>
      </c>
      <c r="L526" s="621">
        <v>1944000</v>
      </c>
      <c r="M526" s="496">
        <v>175386010</v>
      </c>
      <c r="N526" s="654">
        <v>15173780</v>
      </c>
      <c r="O526" s="598">
        <v>119000</v>
      </c>
      <c r="P526" s="496">
        <f>SUM(K526:O526)</f>
        <v>192622790</v>
      </c>
      <c r="Q526" s="496">
        <v>192621028</v>
      </c>
      <c r="R526" t="s">
        <v>730</v>
      </c>
      <c r="S526" s="496">
        <f>R517-S525</f>
        <v>-58535750</v>
      </c>
    </row>
    <row r="527" spans="1:19">
      <c r="L527" s="621">
        <v>982012</v>
      </c>
      <c r="M527" s="496">
        <v>91375856</v>
      </c>
      <c r="N527" s="654">
        <v>4893802</v>
      </c>
      <c r="O527" s="598">
        <v>21300</v>
      </c>
      <c r="P527" s="496">
        <f>SUM(K527:O527)</f>
        <v>97272970</v>
      </c>
      <c r="Q527" s="496">
        <v>97200413</v>
      </c>
      <c r="R527" s="675"/>
      <c r="S527" s="675"/>
    </row>
    <row r="528" spans="1:19">
      <c r="L528" s="496"/>
      <c r="N528" s="497"/>
      <c r="O528" s="496"/>
      <c r="Q528" s="496"/>
    </row>
    <row r="529" spans="1:17">
      <c r="L529" s="659">
        <f t="shared" ref="L529:O530" si="98">L524+L526</f>
        <v>15501800</v>
      </c>
      <c r="M529" s="496">
        <f t="shared" si="98"/>
        <v>238075510</v>
      </c>
      <c r="N529" s="656">
        <f t="shared" si="98"/>
        <v>37884750</v>
      </c>
      <c r="O529" s="497">
        <f t="shared" si="98"/>
        <v>512000</v>
      </c>
      <c r="P529" s="496">
        <f>SUM(K529:O529)</f>
        <v>291974060</v>
      </c>
      <c r="Q529" s="496"/>
    </row>
    <row r="530" spans="1:17" s="496" customFormat="1">
      <c r="A530"/>
      <c r="B530" s="432"/>
      <c r="C530" s="425"/>
      <c r="D530" s="432"/>
      <c r="E530" s="432"/>
      <c r="F530" s="432"/>
      <c r="G530" s="432"/>
      <c r="H530" s="432"/>
      <c r="I530" s="432"/>
      <c r="J530" s="432"/>
      <c r="K530" s="495"/>
      <c r="L530" s="659">
        <f t="shared" si="98"/>
        <v>5587217</v>
      </c>
      <c r="M530" s="496">
        <f t="shared" si="98"/>
        <v>115808417</v>
      </c>
      <c r="N530" s="656">
        <f t="shared" si="98"/>
        <v>9693441</v>
      </c>
      <c r="O530" s="497">
        <f t="shared" si="98"/>
        <v>98532</v>
      </c>
      <c r="P530" s="496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11" zoomScale="86" zoomScaleNormal="86" workbookViewId="0">
      <selection activeCell="A28" sqref="A28:XFD28"/>
    </sheetView>
  </sheetViews>
  <sheetFormatPr defaultRowHeight="16.5"/>
  <cols>
    <col min="1" max="1" width="24.6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0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2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767</v>
      </c>
      <c r="P6" s="504" t="s">
        <v>9</v>
      </c>
      <c r="Q6" s="504" t="s">
        <v>768</v>
      </c>
      <c r="R6" s="505" t="s">
        <v>29</v>
      </c>
      <c r="S6" s="505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506">
        <f t="shared" ref="K7:K12" si="1">C7*26300</f>
        <v>1972500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42080</v>
      </c>
      <c r="P7" s="509"/>
      <c r="Q7" s="510"/>
      <c r="R7" s="496">
        <f t="shared" ref="R7:R23" si="3">SUM(K7:Q7)</f>
        <v>2014580</v>
      </c>
      <c r="S7" s="496">
        <f>(C7+D7+E7+F7+I7+H7+G7)*8655</f>
        <v>666435</v>
      </c>
    </row>
    <row r="8" spans="1:19">
      <c r="A8" s="20" t="s">
        <v>770</v>
      </c>
      <c r="B8" s="478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506">
        <f t="shared" si="1"/>
        <v>131500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131500</v>
      </c>
      <c r="S8" s="496">
        <f>(C8+D8+E8+F8+I8+H8+G8)*8926</f>
        <v>44630</v>
      </c>
    </row>
    <row r="9" spans="1:19">
      <c r="A9" s="20" t="s">
        <v>771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 t="shared" si="1"/>
        <v>131500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131500</v>
      </c>
      <c r="S9" s="496">
        <f>(C9+D9+E9+F9+I9+H9+G9)*8926</f>
        <v>44630</v>
      </c>
    </row>
    <row r="10" spans="1:19">
      <c r="A10" s="20" t="s">
        <v>772</v>
      </c>
      <c r="B10" s="478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506">
        <f t="shared" si="1"/>
        <v>0</v>
      </c>
      <c r="L10" s="507">
        <f t="shared" si="2"/>
        <v>0</v>
      </c>
      <c r="M10" s="508">
        <f t="shared" si="2"/>
        <v>460800</v>
      </c>
      <c r="N10" s="509"/>
      <c r="O10" s="509">
        <f>F10*20000</f>
        <v>0</v>
      </c>
      <c r="P10" s="509"/>
      <c r="Q10" s="510"/>
      <c r="R10" s="496">
        <f t="shared" si="3"/>
        <v>460800</v>
      </c>
      <c r="S10" s="496">
        <f>(C10+D10+E10+F10+I10+H10+G10)*8926</f>
        <v>214224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506">
        <f t="shared" si="1"/>
        <v>157800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157800</v>
      </c>
      <c r="S12" s="496">
        <f>(C12+D12+E12+F12+I12+H12+G12)*8926</f>
        <v>53556</v>
      </c>
    </row>
    <row r="13" spans="1:19" ht="16.5" customHeight="1">
      <c r="A13" s="20" t="s">
        <v>774</v>
      </c>
      <c r="B13" s="687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0</v>
      </c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776</v>
      </c>
      <c r="B14" s="688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11">
        <f>C14*35500</f>
        <v>35500</v>
      </c>
      <c r="L14" s="507"/>
      <c r="M14" s="508">
        <f>E14*33600</f>
        <v>0</v>
      </c>
      <c r="N14" s="509"/>
      <c r="O14" s="509"/>
      <c r="P14" s="509">
        <f>H14*26700</f>
        <v>0</v>
      </c>
      <c r="Q14" s="510"/>
      <c r="R14" s="496">
        <f t="shared" si="3"/>
        <v>35500</v>
      </c>
      <c r="S14" s="496">
        <f>(C14+D14+E14+F14+I14+H14+G14)*14065</f>
        <v>14065</v>
      </c>
    </row>
    <row r="15" spans="1:19">
      <c r="A15" s="20" t="s">
        <v>777</v>
      </c>
      <c r="B15" s="688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11">
        <f>C15*35500</f>
        <v>106500</v>
      </c>
      <c r="L15" s="507"/>
      <c r="M15" s="508">
        <f>E15*33600</f>
        <v>0</v>
      </c>
      <c r="N15" s="509"/>
      <c r="O15" s="509"/>
      <c r="P15" s="509">
        <f>H15*26700</f>
        <v>0</v>
      </c>
      <c r="Q15" s="510"/>
      <c r="R15" s="496">
        <f t="shared" si="3"/>
        <v>106500</v>
      </c>
      <c r="S15" s="496">
        <f>(C15+D15+E15+F15+I15+H15+G15)*14876</f>
        <v>44628</v>
      </c>
    </row>
    <row r="16" spans="1:19">
      <c r="A16" s="20" t="s">
        <v>778</v>
      </c>
      <c r="B16" s="688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11">
        <f>C16*40000</f>
        <v>320000</v>
      </c>
      <c r="L16" s="507"/>
      <c r="M16" s="508">
        <f>E16*35500</f>
        <v>0</v>
      </c>
      <c r="N16" s="509"/>
      <c r="O16" s="509"/>
      <c r="P16" s="509">
        <f>H16*30000</f>
        <v>0</v>
      </c>
      <c r="Q16" s="510"/>
      <c r="R16" s="496">
        <f t="shared" si="3"/>
        <v>320000</v>
      </c>
      <c r="S16" s="496">
        <f>(C16+D16+E16+F16+I16+H16+G16)*15958</f>
        <v>127664</v>
      </c>
    </row>
    <row r="17" spans="1:19">
      <c r="A17" s="20" t="s">
        <v>779</v>
      </c>
      <c r="B17" s="688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11">
        <f>C17*30000</f>
        <v>900000</v>
      </c>
      <c r="L17" s="507"/>
      <c r="M17" s="508">
        <f>E17*20000</f>
        <v>360000</v>
      </c>
      <c r="N17" s="509"/>
      <c r="O17" s="509"/>
      <c r="P17" s="509">
        <f>H17*19800</f>
        <v>0</v>
      </c>
      <c r="Q17" s="510"/>
      <c r="R17" s="496">
        <f t="shared" si="3"/>
        <v>1260000</v>
      </c>
      <c r="S17" s="496">
        <f>(C17+D17+E17+F17+I17+H17+G17)*13262</f>
        <v>636576</v>
      </c>
    </row>
    <row r="18" spans="1:19">
      <c r="A18" s="20" t="s">
        <v>780</v>
      </c>
      <c r="B18" s="688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11">
        <f>C18*190000</f>
        <v>380000</v>
      </c>
      <c r="L18" s="507"/>
      <c r="M18" s="508">
        <f>E18*154000</f>
        <v>154000</v>
      </c>
      <c r="N18" s="509"/>
      <c r="O18" s="509"/>
      <c r="P18" s="509">
        <f>H18*142500</f>
        <v>0</v>
      </c>
      <c r="Q18" s="510"/>
      <c r="R18" s="496">
        <f t="shared" si="3"/>
        <v>534000</v>
      </c>
      <c r="S18" s="496">
        <f>(C18+D18+E18+F18+I18+H18+G18)*89709</f>
        <v>269127</v>
      </c>
    </row>
    <row r="19" spans="1:19">
      <c r="A19" s="20" t="s">
        <v>781</v>
      </c>
      <c r="B19" s="688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11">
        <f>C19*190000</f>
        <v>190000</v>
      </c>
      <c r="L19" s="507"/>
      <c r="M19" s="508">
        <f>E19*154000</f>
        <v>308000</v>
      </c>
      <c r="N19" s="509"/>
      <c r="O19" s="509"/>
      <c r="P19" s="509">
        <f>H19*142500</f>
        <v>0</v>
      </c>
      <c r="Q19" s="510"/>
      <c r="R19" s="496">
        <f t="shared" si="3"/>
        <v>498000</v>
      </c>
      <c r="S19" s="496">
        <f>(C19+D19+E19+F19+I19+H19+G19)*85201</f>
        <v>255603</v>
      </c>
    </row>
    <row r="20" spans="1:19">
      <c r="A20" s="20" t="s">
        <v>782</v>
      </c>
      <c r="B20" s="688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11">
        <f>C20*190000</f>
        <v>380000</v>
      </c>
      <c r="L20" s="507"/>
      <c r="M20" s="508">
        <f>E20*154000</f>
        <v>0</v>
      </c>
      <c r="N20" s="509"/>
      <c r="O20" s="509"/>
      <c r="P20" s="509">
        <f>H20*142500</f>
        <v>0</v>
      </c>
      <c r="Q20" s="510"/>
      <c r="R20" s="496">
        <f t="shared" si="3"/>
        <v>380000</v>
      </c>
      <c r="S20" s="496">
        <f>(C20+D20+E20+F20+I20+H20+G20)*89709</f>
        <v>179418</v>
      </c>
    </row>
    <row r="21" spans="1:19">
      <c r="A21" s="20" t="s">
        <v>783</v>
      </c>
      <c r="B21" s="683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11">
        <f>C21*206000</f>
        <v>1854000</v>
      </c>
      <c r="L21" s="507"/>
      <c r="M21" s="508">
        <f>E21*171000</f>
        <v>513000</v>
      </c>
      <c r="N21" s="509"/>
      <c r="O21" s="509"/>
      <c r="P21" s="509">
        <f>H21*154500</f>
        <v>0</v>
      </c>
      <c r="Q21" s="510"/>
      <c r="R21" s="496">
        <f t="shared" si="3"/>
        <v>2367000</v>
      </c>
      <c r="S21" s="496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13">
        <f t="shared" si="4"/>
        <v>6559300</v>
      </c>
      <c r="L24" s="514">
        <f t="shared" si="4"/>
        <v>0</v>
      </c>
      <c r="M24" s="515">
        <f t="shared" si="4"/>
        <v>1795800</v>
      </c>
      <c r="N24" s="516">
        <f t="shared" si="4"/>
        <v>0</v>
      </c>
      <c r="O24" s="516">
        <f t="shared" si="4"/>
        <v>42080</v>
      </c>
      <c r="P24" s="516">
        <f t="shared" si="4"/>
        <v>0</v>
      </c>
      <c r="Q24" s="516">
        <f t="shared" si="4"/>
        <v>0</v>
      </c>
      <c r="R24" s="517">
        <f t="shared" si="4"/>
        <v>8397180</v>
      </c>
      <c r="S24" s="518">
        <f t="shared" si="4"/>
        <v>3708208</v>
      </c>
    </row>
    <row r="25" spans="1:19" s="16" customFormat="1">
      <c r="A25" s="75" t="s">
        <v>784</v>
      </c>
      <c r="B25" s="682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0</v>
      </c>
      <c r="O25" s="509">
        <f>G25*4340</f>
        <v>4340</v>
      </c>
      <c r="P25" s="521"/>
      <c r="Q25" s="498"/>
      <c r="R25" s="496">
        <f t="shared" ref="R25:R41" si="6">SUM(K25:Q25)</f>
        <v>16740</v>
      </c>
      <c r="S25" s="522">
        <f>(C25+D25+E25+F25+I25+G25+H25)*3923</f>
        <v>11769</v>
      </c>
    </row>
    <row r="26" spans="1:19" s="16" customFormat="1">
      <c r="A26" s="75" t="s">
        <v>785</v>
      </c>
      <c r="B26" s="688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506">
        <f>C26*6200</f>
        <v>37200</v>
      </c>
      <c r="L26" s="519"/>
      <c r="M26" s="520"/>
      <c r="N26" s="509">
        <f>F26*5580</f>
        <v>0</v>
      </c>
      <c r="O26" s="509">
        <f>G26*4340</f>
        <v>4340</v>
      </c>
      <c r="P26" s="521"/>
      <c r="Q26" s="498"/>
      <c r="R26" s="496">
        <f t="shared" si="6"/>
        <v>41540</v>
      </c>
      <c r="S26" s="522">
        <f>(C26+D26+E26+F26+I26+G26+H26)*3923</f>
        <v>27461</v>
      </c>
    </row>
    <row r="27" spans="1:19" s="16" customFormat="1">
      <c r="A27" s="75" t="s">
        <v>786</v>
      </c>
      <c r="B27" s="688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27900</v>
      </c>
      <c r="O27" s="509">
        <f>G27*4340</f>
        <v>0</v>
      </c>
      <c r="P27" s="521"/>
      <c r="Q27" s="498"/>
      <c r="R27" s="496">
        <f t="shared" si="6"/>
        <v>34100</v>
      </c>
      <c r="S27" s="522">
        <f>(C27+D27+E27+F27+I27+G27+H27)*3923</f>
        <v>23538</v>
      </c>
    </row>
    <row r="28" spans="1:19" s="16" customFormat="1">
      <c r="A28" s="75" t="s">
        <v>787</v>
      </c>
      <c r="B28" s="683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506">
        <f>C28*6200</f>
        <v>37200</v>
      </c>
      <c r="L28" s="519"/>
      <c r="M28" s="520"/>
      <c r="N28" s="509">
        <f>F28*5580</f>
        <v>39060</v>
      </c>
      <c r="O28" s="509">
        <f>G28*4340</f>
        <v>0</v>
      </c>
      <c r="P28" s="521"/>
      <c r="Q28" s="498"/>
      <c r="R28" s="496">
        <f t="shared" si="6"/>
        <v>76260</v>
      </c>
      <c r="S28" s="522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506">
        <f>C29*40000</f>
        <v>1760000</v>
      </c>
      <c r="L29" s="507">
        <f>D29*30800</f>
        <v>0</v>
      </c>
      <c r="M29" s="508">
        <f>E29*30800</f>
        <v>4712400</v>
      </c>
      <c r="N29" s="497">
        <f>F29*34000</f>
        <v>31178000</v>
      </c>
      <c r="O29" s="509"/>
      <c r="P29" s="523">
        <f>H29*34000</f>
        <v>0</v>
      </c>
      <c r="Q29" s="523"/>
      <c r="R29" s="496">
        <f t="shared" si="6"/>
        <v>37650400</v>
      </c>
      <c r="S29" s="522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506">
        <f t="shared" ref="K30:K41" si="7">C30*37800</f>
        <v>2192400</v>
      </c>
      <c r="L30" s="507">
        <f t="shared" ref="L30:L41" si="8">D30*27800</f>
        <v>0</v>
      </c>
      <c r="M30" s="508">
        <f t="shared" ref="M30:M41" si="9">E30*27800</f>
        <v>8673600</v>
      </c>
      <c r="N30" s="497">
        <f t="shared" ref="N30:N41" si="10">F30*32130</f>
        <v>24836490</v>
      </c>
      <c r="O30" s="509"/>
      <c r="P30" s="523">
        <f t="shared" ref="P30:P41" si="11">H30*32130</f>
        <v>0</v>
      </c>
      <c r="Q30" s="523"/>
      <c r="R30" s="496">
        <f t="shared" si="6"/>
        <v>35702490</v>
      </c>
      <c r="S30" s="522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506">
        <f t="shared" si="7"/>
        <v>1171800</v>
      </c>
      <c r="L31" s="507">
        <f t="shared" si="8"/>
        <v>0</v>
      </c>
      <c r="M31" s="508">
        <f t="shared" si="9"/>
        <v>2891200</v>
      </c>
      <c r="N31" s="497">
        <f t="shared" si="10"/>
        <v>21527100</v>
      </c>
      <c r="O31" s="509"/>
      <c r="P31" s="523">
        <f t="shared" si="11"/>
        <v>0</v>
      </c>
      <c r="Q31" s="523"/>
      <c r="R31" s="496">
        <f t="shared" si="6"/>
        <v>25590100</v>
      </c>
      <c r="S31" s="522">
        <f>(C31+D31+E31+F31+I31+G31+H31)*15958</f>
        <v>12846190</v>
      </c>
    </row>
    <row r="32" spans="1:19">
      <c r="A32" s="20" t="s">
        <v>791</v>
      </c>
      <c r="B32" s="478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506">
        <f t="shared" si="7"/>
        <v>567000</v>
      </c>
      <c r="L32" s="507">
        <f t="shared" si="8"/>
        <v>0</v>
      </c>
      <c r="M32" s="508">
        <f t="shared" si="9"/>
        <v>2585400</v>
      </c>
      <c r="N32" s="497">
        <f t="shared" si="10"/>
        <v>6940080</v>
      </c>
      <c r="O32" s="509"/>
      <c r="P32" s="523">
        <f t="shared" si="11"/>
        <v>0</v>
      </c>
      <c r="Q32" s="523"/>
      <c r="R32" s="496">
        <f t="shared" si="6"/>
        <v>10092480</v>
      </c>
      <c r="S32" s="522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506">
        <f t="shared" si="7"/>
        <v>415800</v>
      </c>
      <c r="L33" s="507">
        <f t="shared" si="8"/>
        <v>0</v>
      </c>
      <c r="M33" s="508">
        <f t="shared" si="9"/>
        <v>2780000</v>
      </c>
      <c r="N33" s="497">
        <f t="shared" si="10"/>
        <v>8610840</v>
      </c>
      <c r="O33" s="509">
        <f>G33*30240</f>
        <v>30240</v>
      </c>
      <c r="P33" s="523">
        <f t="shared" si="11"/>
        <v>0</v>
      </c>
      <c r="Q33" s="523"/>
      <c r="R33" s="496">
        <f t="shared" si="6"/>
        <v>11836880</v>
      </c>
      <c r="S33" s="522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506">
        <f t="shared" si="7"/>
        <v>1020600</v>
      </c>
      <c r="L34" s="507">
        <f t="shared" si="8"/>
        <v>0</v>
      </c>
      <c r="M34" s="508">
        <f t="shared" si="9"/>
        <v>2891200</v>
      </c>
      <c r="N34" s="497">
        <f t="shared" si="10"/>
        <v>13462470</v>
      </c>
      <c r="O34" s="509"/>
      <c r="P34" s="523">
        <f t="shared" si="11"/>
        <v>0</v>
      </c>
      <c r="Q34" s="523"/>
      <c r="R34" s="496">
        <f t="shared" si="6"/>
        <v>17374270</v>
      </c>
      <c r="S34" s="522">
        <f t="shared" si="12"/>
        <v>9174000</v>
      </c>
    </row>
    <row r="35" spans="1:19">
      <c r="A35" s="20" t="s">
        <v>794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795</v>
      </c>
      <c r="B36" s="478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506">
        <f t="shared" si="7"/>
        <v>264600</v>
      </c>
      <c r="L36" s="507">
        <f t="shared" si="8"/>
        <v>0</v>
      </c>
      <c r="M36" s="508">
        <f t="shared" si="9"/>
        <v>250200</v>
      </c>
      <c r="N36" s="497">
        <f t="shared" si="10"/>
        <v>1381590</v>
      </c>
      <c r="O36" s="509"/>
      <c r="P36" s="523">
        <f t="shared" si="11"/>
        <v>0</v>
      </c>
      <c r="Q36" s="523"/>
      <c r="R36" s="496">
        <f t="shared" si="6"/>
        <v>1896390</v>
      </c>
      <c r="S36" s="522">
        <f t="shared" si="12"/>
        <v>984120</v>
      </c>
    </row>
    <row r="37" spans="1:19">
      <c r="A37" s="20" t="s">
        <v>796</v>
      </c>
      <c r="B37" s="478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506">
        <f t="shared" si="7"/>
        <v>226800</v>
      </c>
      <c r="L37" s="507">
        <f t="shared" si="8"/>
        <v>0</v>
      </c>
      <c r="M37" s="508">
        <f t="shared" si="9"/>
        <v>1390000</v>
      </c>
      <c r="N37" s="497">
        <f t="shared" si="10"/>
        <v>4337550</v>
      </c>
      <c r="O37" s="509"/>
      <c r="P37" s="523">
        <f t="shared" si="11"/>
        <v>0</v>
      </c>
      <c r="Q37" s="523"/>
      <c r="R37" s="496">
        <f t="shared" si="6"/>
        <v>5954350</v>
      </c>
      <c r="S37" s="522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506">
        <f t="shared" si="7"/>
        <v>189000</v>
      </c>
      <c r="L38" s="507">
        <f t="shared" si="8"/>
        <v>0</v>
      </c>
      <c r="M38" s="508">
        <f t="shared" si="9"/>
        <v>305800</v>
      </c>
      <c r="N38" s="497">
        <f t="shared" si="10"/>
        <v>1477980</v>
      </c>
      <c r="O38" s="509"/>
      <c r="P38" s="523">
        <f t="shared" si="11"/>
        <v>0</v>
      </c>
      <c r="Q38" s="523"/>
      <c r="R38" s="496">
        <f t="shared" si="6"/>
        <v>1972780</v>
      </c>
      <c r="S38" s="522">
        <f t="shared" si="12"/>
        <v>1034160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798</v>
      </c>
      <c r="B40" s="478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506">
        <f t="shared" si="7"/>
        <v>415800</v>
      </c>
      <c r="L40" s="507">
        <f t="shared" si="8"/>
        <v>0</v>
      </c>
      <c r="M40" s="508">
        <f t="shared" si="9"/>
        <v>500400</v>
      </c>
      <c r="N40" s="497">
        <f t="shared" si="10"/>
        <v>6972210</v>
      </c>
      <c r="O40" s="509"/>
      <c r="P40" s="523">
        <f t="shared" si="11"/>
        <v>0</v>
      </c>
      <c r="Q40" s="523"/>
      <c r="R40" s="496">
        <f t="shared" si="6"/>
        <v>7888410</v>
      </c>
      <c r="S40" s="522">
        <f>(C40+D40+E40+F40+I40+G40+H40)*15688</f>
        <v>3859248</v>
      </c>
    </row>
    <row r="41" spans="1:19">
      <c r="A41" s="20" t="s">
        <v>799</v>
      </c>
      <c r="B41" s="478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506">
        <f t="shared" si="7"/>
        <v>37800</v>
      </c>
      <c r="L41" s="507">
        <f t="shared" si="8"/>
        <v>0</v>
      </c>
      <c r="M41" s="508">
        <f t="shared" si="9"/>
        <v>0</v>
      </c>
      <c r="N41" s="497">
        <f t="shared" si="10"/>
        <v>0</v>
      </c>
      <c r="O41" s="509"/>
      <c r="P41" s="523">
        <f t="shared" si="11"/>
        <v>0</v>
      </c>
      <c r="Q41" s="523"/>
      <c r="R41" s="496">
        <f t="shared" si="6"/>
        <v>37800</v>
      </c>
      <c r="S41" s="522">
        <f>(C41+D41+E41+F41+I41+G41+H41)*15688</f>
        <v>15688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13">
        <f t="shared" ref="K44:S44" si="14">SUM(K25:K43)</f>
        <v>8354600</v>
      </c>
      <c r="L44" s="514">
        <f t="shared" si="14"/>
        <v>0</v>
      </c>
      <c r="M44" s="515">
        <f t="shared" si="14"/>
        <v>26980200</v>
      </c>
      <c r="N44" s="513">
        <f t="shared" si="14"/>
        <v>120791270</v>
      </c>
      <c r="O44" s="516">
        <f t="shared" si="14"/>
        <v>38920</v>
      </c>
      <c r="P44" s="516">
        <f t="shared" si="14"/>
        <v>0</v>
      </c>
      <c r="Q44" s="516">
        <f t="shared" si="14"/>
        <v>0</v>
      </c>
      <c r="R44" s="524">
        <f t="shared" si="14"/>
        <v>156164990</v>
      </c>
      <c r="S44" s="518">
        <f t="shared" si="14"/>
        <v>80848967</v>
      </c>
    </row>
    <row r="45" spans="1:19">
      <c r="C45" s="432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800</v>
      </c>
      <c r="B48" s="477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506">
        <f>C48*35700</f>
        <v>1392300</v>
      </c>
      <c r="L48" s="526">
        <f t="shared" ref="L48:L58" si="16">D48*25400</f>
        <v>0</v>
      </c>
      <c r="M48" s="508">
        <f t="shared" ref="M48:M58" si="17">E48*25400</f>
        <v>1270000</v>
      </c>
      <c r="N48" s="497">
        <f t="shared" ref="N48:N58" si="18">F48*29500</f>
        <v>7906000</v>
      </c>
      <c r="P48" s="509">
        <f t="shared" ref="P48:P58" si="19">H48*29500</f>
        <v>0</v>
      </c>
      <c r="R48" s="496">
        <f t="shared" ref="R48:R58" si="20">SUM(K48:Q48)</f>
        <v>10568300</v>
      </c>
      <c r="S48" s="496">
        <f>(C48+D48+E48+F48+I48+H48+G48)*14155</f>
        <v>5053335</v>
      </c>
    </row>
    <row r="49" spans="1:19">
      <c r="A49" s="41" t="s">
        <v>801</v>
      </c>
      <c r="B49" s="476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506">
        <f>C49*35700</f>
        <v>214200</v>
      </c>
      <c r="L49" s="526">
        <f t="shared" si="16"/>
        <v>0</v>
      </c>
      <c r="M49" s="508">
        <f t="shared" si="17"/>
        <v>101600</v>
      </c>
      <c r="N49" s="497">
        <f t="shared" si="18"/>
        <v>1534000</v>
      </c>
      <c r="P49" s="509">
        <f t="shared" si="19"/>
        <v>0</v>
      </c>
      <c r="R49" s="496">
        <f t="shared" si="20"/>
        <v>1849800</v>
      </c>
      <c r="S49" s="496">
        <f>(C49+D49+E49+F49+I49+H49+G49)*14155</f>
        <v>877610</v>
      </c>
    </row>
    <row r="50" spans="1:19">
      <c r="A50" s="41" t="s">
        <v>802</v>
      </c>
      <c r="B50" s="477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506">
        <f t="shared" ref="K50:K58" si="21">C50*34700</f>
        <v>34700</v>
      </c>
      <c r="L50" s="526">
        <f t="shared" si="16"/>
        <v>0</v>
      </c>
      <c r="M50" s="508">
        <f t="shared" si="17"/>
        <v>0</v>
      </c>
      <c r="N50" s="497">
        <f t="shared" si="18"/>
        <v>0</v>
      </c>
      <c r="P50" s="509">
        <f t="shared" si="19"/>
        <v>0</v>
      </c>
      <c r="R50" s="496">
        <f t="shared" si="20"/>
        <v>34700</v>
      </c>
      <c r="S50" s="496">
        <f t="shared" ref="S50:S55" si="22">(C50+D50+E50+F50+I50+H50+G50)*13975</f>
        <v>13975</v>
      </c>
    </row>
    <row r="51" spans="1:19">
      <c r="A51" s="41" t="s">
        <v>803</v>
      </c>
      <c r="B51" s="476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506">
        <f t="shared" si="21"/>
        <v>242900</v>
      </c>
      <c r="L51" s="526">
        <f t="shared" si="16"/>
        <v>0</v>
      </c>
      <c r="M51" s="508">
        <f t="shared" si="17"/>
        <v>0</v>
      </c>
      <c r="N51" s="497">
        <f t="shared" si="18"/>
        <v>2566500</v>
      </c>
      <c r="P51" s="509">
        <f t="shared" si="19"/>
        <v>0</v>
      </c>
      <c r="R51" s="496">
        <f t="shared" si="20"/>
        <v>2809400</v>
      </c>
      <c r="S51" s="496">
        <f t="shared" si="22"/>
        <v>1313650</v>
      </c>
    </row>
    <row r="52" spans="1:19">
      <c r="A52" s="41" t="s">
        <v>804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805</v>
      </c>
      <c r="B53" s="477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506">
        <f t="shared" si="21"/>
        <v>104100</v>
      </c>
      <c r="L53" s="526">
        <f t="shared" si="16"/>
        <v>0</v>
      </c>
      <c r="M53" s="508">
        <f t="shared" si="17"/>
        <v>0</v>
      </c>
      <c r="N53" s="497">
        <f t="shared" si="18"/>
        <v>1091500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1223360</v>
      </c>
      <c r="S53" s="496">
        <f t="shared" si="22"/>
        <v>572975</v>
      </c>
    </row>
    <row r="54" spans="1:19">
      <c r="A54" s="41" t="s">
        <v>806</v>
      </c>
      <c r="B54" s="476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506">
        <f t="shared" si="21"/>
        <v>347000</v>
      </c>
      <c r="L54" s="526">
        <f t="shared" si="16"/>
        <v>0</v>
      </c>
      <c r="M54" s="508">
        <f t="shared" si="17"/>
        <v>0</v>
      </c>
      <c r="N54" s="497">
        <f t="shared" si="18"/>
        <v>2773000</v>
      </c>
      <c r="P54" s="509">
        <f t="shared" si="19"/>
        <v>0</v>
      </c>
      <c r="R54" s="496">
        <f t="shared" si="20"/>
        <v>3120000</v>
      </c>
      <c r="S54" s="496">
        <f t="shared" si="22"/>
        <v>1453400</v>
      </c>
    </row>
    <row r="55" spans="1:19">
      <c r="A55" s="41" t="s">
        <v>807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808</v>
      </c>
      <c r="B56" s="476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506">
        <f t="shared" si="21"/>
        <v>520500</v>
      </c>
      <c r="L56" s="526">
        <f t="shared" si="16"/>
        <v>0</v>
      </c>
      <c r="M56" s="508">
        <f t="shared" si="17"/>
        <v>457200</v>
      </c>
      <c r="N56" s="497">
        <f t="shared" si="18"/>
        <v>2684500</v>
      </c>
      <c r="P56" s="509">
        <f t="shared" si="19"/>
        <v>0</v>
      </c>
      <c r="R56" s="496">
        <f t="shared" si="20"/>
        <v>3662200</v>
      </c>
      <c r="S56" s="496">
        <f>(C56+D56+E56+F56+I56+H56+G56)*13434</f>
        <v>1665816</v>
      </c>
    </row>
    <row r="57" spans="1:19">
      <c r="A57" s="41" t="s">
        <v>809</v>
      </c>
      <c r="B57" s="476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506">
        <f t="shared" si="21"/>
        <v>347000</v>
      </c>
      <c r="L57" s="526">
        <f t="shared" si="16"/>
        <v>0</v>
      </c>
      <c r="M57" s="508">
        <f t="shared" si="17"/>
        <v>0</v>
      </c>
      <c r="N57" s="497">
        <f t="shared" si="18"/>
        <v>2537000</v>
      </c>
      <c r="P57" s="509">
        <f t="shared" si="19"/>
        <v>0</v>
      </c>
      <c r="R57" s="496">
        <f t="shared" si="20"/>
        <v>2884000</v>
      </c>
      <c r="S57" s="496">
        <f>(C57+D57+E57+F57+I57+H57+G57)*13975</f>
        <v>1341600</v>
      </c>
    </row>
    <row r="58" spans="1:19">
      <c r="A58" s="41" t="s">
        <v>810</v>
      </c>
      <c r="B58" s="476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506">
        <f t="shared" si="21"/>
        <v>138800</v>
      </c>
      <c r="L58" s="526">
        <f t="shared" si="16"/>
        <v>0</v>
      </c>
      <c r="M58" s="508">
        <f t="shared" si="17"/>
        <v>457200</v>
      </c>
      <c r="N58" s="497">
        <f t="shared" si="18"/>
        <v>560500</v>
      </c>
      <c r="P58" s="509">
        <f t="shared" si="19"/>
        <v>0</v>
      </c>
      <c r="R58" s="496">
        <f t="shared" si="20"/>
        <v>1156500</v>
      </c>
      <c r="S58" s="496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12"/>
      <c r="L59" s="526"/>
      <c r="M59" s="508"/>
      <c r="N59" s="509"/>
      <c r="P59" s="521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13">
        <f t="shared" si="23"/>
        <v>3341500</v>
      </c>
      <c r="L60" s="527">
        <f t="shared" si="23"/>
        <v>0</v>
      </c>
      <c r="M60" s="515">
        <f t="shared" si="23"/>
        <v>2286000</v>
      </c>
      <c r="N60" s="516">
        <f t="shared" si="23"/>
        <v>21653000</v>
      </c>
      <c r="O60" s="516">
        <f t="shared" si="23"/>
        <v>27760</v>
      </c>
      <c r="P60" s="516">
        <f t="shared" si="23"/>
        <v>0</v>
      </c>
      <c r="Q60" s="516">
        <f t="shared" si="23"/>
        <v>0</v>
      </c>
      <c r="R60" s="517">
        <f t="shared" si="23"/>
        <v>27308260</v>
      </c>
      <c r="S60" s="518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25"/>
      <c r="P61" s="521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21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21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21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21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503" t="s">
        <v>4</v>
      </c>
      <c r="L66" s="684" t="s">
        <v>25</v>
      </c>
      <c r="M66" s="685"/>
      <c r="N66" s="504" t="s">
        <v>93</v>
      </c>
      <c r="O66" s="504" t="s">
        <v>27</v>
      </c>
      <c r="P66" s="504" t="s">
        <v>9</v>
      </c>
      <c r="Q66" s="505"/>
      <c r="R66" s="505" t="s">
        <v>29</v>
      </c>
      <c r="S66" s="505" t="s">
        <v>30</v>
      </c>
    </row>
    <row r="67" spans="1:19" s="495" customFormat="1">
      <c r="A67" s="104" t="s">
        <v>811</v>
      </c>
      <c r="B67" s="476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8">
        <f>C67*25200</f>
        <v>3376800</v>
      </c>
      <c r="L67" s="526">
        <f>D67*21000</f>
        <v>0</v>
      </c>
      <c r="M67" s="508">
        <f>E67*21000</f>
        <v>0</v>
      </c>
      <c r="N67" s="509"/>
      <c r="O67" s="509"/>
      <c r="P67" s="509"/>
      <c r="Q67" s="498"/>
      <c r="R67" s="496">
        <f t="shared" ref="R67:R83" si="25">SUM(K67:Q67)</f>
        <v>3376800</v>
      </c>
      <c r="S67" s="496">
        <f>(C67+D67+E67+F67+I67+G67+H67)*7032</f>
        <v>942288</v>
      </c>
    </row>
    <row r="68" spans="1:19" s="495" customFormat="1">
      <c r="A68" s="104" t="s">
        <v>132</v>
      </c>
      <c r="B68" s="476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8">
        <f>C68*47000</f>
        <v>329000</v>
      </c>
      <c r="L68" s="526">
        <f>D68*39600</f>
        <v>0</v>
      </c>
      <c r="M68" s="508">
        <f>E68*39600</f>
        <v>1544400</v>
      </c>
      <c r="N68" s="509"/>
      <c r="O68" s="509"/>
      <c r="P68" s="509"/>
      <c r="Q68" s="498"/>
      <c r="R68" s="496">
        <f t="shared" si="25"/>
        <v>1873400</v>
      </c>
      <c r="S68" s="496">
        <f>(C68+D68+E68+F68+I68+G68+H68)*11631</f>
        <v>535026</v>
      </c>
    </row>
    <row r="69" spans="1:19" s="495" customFormat="1">
      <c r="A69" s="104" t="s">
        <v>134</v>
      </c>
      <c r="B69" s="476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8">
        <f>C69*29400</f>
        <v>2763600</v>
      </c>
      <c r="L69" s="526">
        <f>D69*25000</f>
        <v>0</v>
      </c>
      <c r="M69" s="508">
        <f>E69*25000</f>
        <v>0</v>
      </c>
      <c r="N69" s="509"/>
      <c r="O69" s="509"/>
      <c r="P69" s="509"/>
      <c r="Q69" s="498"/>
      <c r="R69" s="496">
        <f t="shared" si="25"/>
        <v>2763600</v>
      </c>
      <c r="S69" s="496">
        <f>(C69+D69+E69+F69+I69+G69+H69)*8565</f>
        <v>805110</v>
      </c>
    </row>
    <row r="70" spans="1:19" s="495" customFormat="1">
      <c r="A70" s="104" t="s">
        <v>812</v>
      </c>
      <c r="B70" s="476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8">
        <f>C70*47000</f>
        <v>94000</v>
      </c>
      <c r="L70" s="526">
        <f>D70*39600</f>
        <v>0</v>
      </c>
      <c r="M70" s="508">
        <f>E70*39600</f>
        <v>554400</v>
      </c>
      <c r="N70" s="509"/>
      <c r="O70" s="509"/>
      <c r="P70" s="509"/>
      <c r="Q70" s="498"/>
      <c r="R70" s="496">
        <f t="shared" si="25"/>
        <v>648400</v>
      </c>
      <c r="S70" s="496">
        <f>(C70+D70+E70+F70+I70+G70+H70)*13073</f>
        <v>209168</v>
      </c>
    </row>
    <row r="71" spans="1:19" s="495" customFormat="1">
      <c r="A71" s="104" t="s">
        <v>813</v>
      </c>
      <c r="B71" s="476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8">
        <f>C71*25200</f>
        <v>1789200</v>
      </c>
      <c r="L71" s="526">
        <f>D71*21000</f>
        <v>0</v>
      </c>
      <c r="M71" s="508">
        <f>E71*21000</f>
        <v>0</v>
      </c>
      <c r="N71" s="509"/>
      <c r="O71" s="509"/>
      <c r="P71" s="509"/>
      <c r="Q71" s="498"/>
      <c r="R71" s="496">
        <f t="shared" si="25"/>
        <v>1789200</v>
      </c>
      <c r="S71" s="496">
        <f>(C71+D71+E71+F71+I71+G71+H71)*7032</f>
        <v>499272</v>
      </c>
    </row>
    <row r="72" spans="1:19" s="495" customFormat="1">
      <c r="A72" s="104" t="s">
        <v>814</v>
      </c>
      <c r="B72" s="476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8">
        <f>C72*29400</f>
        <v>911400</v>
      </c>
      <c r="L72" s="526">
        <f>D72*25000</f>
        <v>0</v>
      </c>
      <c r="M72" s="508">
        <f>E72*25000</f>
        <v>75000</v>
      </c>
      <c r="N72" s="509"/>
      <c r="O72" s="509"/>
      <c r="P72" s="509"/>
      <c r="Q72" s="498"/>
      <c r="R72" s="496">
        <f t="shared" si="25"/>
        <v>986400</v>
      </c>
      <c r="S72" s="496">
        <f>(C72+D72+E72+F72+I72+G72+H72)*8565</f>
        <v>291210</v>
      </c>
    </row>
    <row r="73" spans="1:19" s="495" customFormat="1">
      <c r="A73" s="104" t="s">
        <v>141</v>
      </c>
      <c r="B73" s="476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8">
        <f>C73*47000</f>
        <v>0</v>
      </c>
      <c r="L73" s="526">
        <f>D73*39600</f>
        <v>0</v>
      </c>
      <c r="M73" s="508">
        <f>E73*39600</f>
        <v>198000</v>
      </c>
      <c r="N73" s="509"/>
      <c r="O73" s="509"/>
      <c r="P73" s="509"/>
      <c r="Q73" s="498"/>
      <c r="R73" s="496">
        <f t="shared" si="25"/>
        <v>198000</v>
      </c>
      <c r="S73" s="496">
        <f>(C73+D73+E73+F73+I73+G73+H73)*13073</f>
        <v>65365</v>
      </c>
    </row>
    <row r="74" spans="1:19" s="495" customFormat="1">
      <c r="A74" s="104" t="s">
        <v>142</v>
      </c>
      <c r="B74" s="476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8">
        <f>C74*29400</f>
        <v>117600</v>
      </c>
      <c r="L74" s="526">
        <f>D74*25000</f>
        <v>0</v>
      </c>
      <c r="M74" s="508">
        <f>E74*25000</f>
        <v>0</v>
      </c>
      <c r="N74" s="509"/>
      <c r="O74" s="509"/>
      <c r="P74" s="509"/>
      <c r="Q74" s="498"/>
      <c r="R74" s="496">
        <f t="shared" si="25"/>
        <v>117600</v>
      </c>
      <c r="S74" s="496">
        <f>(C74+D74+E74+F74+I74+G74+H74)*8926</f>
        <v>35704</v>
      </c>
    </row>
    <row r="75" spans="1:19" s="495" customFormat="1">
      <c r="A75" s="104" t="s">
        <v>815</v>
      </c>
      <c r="B75" s="476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8">
        <f>C75*25200</f>
        <v>0</v>
      </c>
      <c r="L75" s="526">
        <f>D75*21000</f>
        <v>0</v>
      </c>
      <c r="M75" s="508">
        <f>E75*21000</f>
        <v>0</v>
      </c>
      <c r="N75" s="509"/>
      <c r="O75" s="509"/>
      <c r="P75" s="509"/>
      <c r="Q75" s="498"/>
      <c r="R75" s="496">
        <f t="shared" si="25"/>
        <v>0</v>
      </c>
      <c r="S75" s="496">
        <f>(C75+D75+E75+F75+I75+G75+H75)*7032</f>
        <v>0</v>
      </c>
    </row>
    <row r="76" spans="1:19" s="495" customFormat="1">
      <c r="A76" s="104" t="s">
        <v>816</v>
      </c>
      <c r="B76" s="476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9">
        <f>C76*47000</f>
        <v>1692000</v>
      </c>
      <c r="L76" s="526">
        <f>D76*39600</f>
        <v>0</v>
      </c>
      <c r="M76" s="508">
        <f>E76*39600</f>
        <v>118800</v>
      </c>
      <c r="N76" s="509"/>
      <c r="O76" s="509"/>
      <c r="P76" s="509"/>
      <c r="Q76" s="498"/>
      <c r="R76" s="496">
        <f t="shared" si="25"/>
        <v>1810800</v>
      </c>
      <c r="S76" s="496">
        <f>(C76+D76+E76+F76+I76+G76+H76)*11631</f>
        <v>453609</v>
      </c>
    </row>
    <row r="77" spans="1:19" s="495" customFormat="1">
      <c r="A77" s="104" t="s">
        <v>147</v>
      </c>
      <c r="B77" s="476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8">
        <f>C77*29400</f>
        <v>294000</v>
      </c>
      <c r="L77" s="526">
        <f t="shared" ref="L77:M79" si="26">D77*25000</f>
        <v>0</v>
      </c>
      <c r="M77" s="508">
        <f t="shared" si="26"/>
        <v>675000</v>
      </c>
      <c r="N77" s="509"/>
      <c r="O77" s="509"/>
      <c r="P77" s="509"/>
      <c r="Q77" s="498"/>
      <c r="R77" s="496">
        <f t="shared" si="25"/>
        <v>969000</v>
      </c>
      <c r="S77" s="496">
        <f>(C77+D77+E77+F77+I77+G77+H77)*8926</f>
        <v>330262</v>
      </c>
    </row>
    <row r="78" spans="1:19" s="495" customFormat="1">
      <c r="A78" s="104" t="s">
        <v>149</v>
      </c>
      <c r="B78" s="476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8">
        <f>C78*29400</f>
        <v>352800</v>
      </c>
      <c r="L78" s="526">
        <f t="shared" si="26"/>
        <v>0</v>
      </c>
      <c r="M78" s="508">
        <f t="shared" si="26"/>
        <v>375000</v>
      </c>
      <c r="N78" s="509"/>
      <c r="O78" s="509"/>
      <c r="P78" s="509"/>
      <c r="Q78" s="498"/>
      <c r="R78" s="496">
        <f t="shared" si="25"/>
        <v>727800</v>
      </c>
      <c r="S78" s="496">
        <f>(C78+D78+E78+F78+I78+G78+H78)*8926</f>
        <v>241002</v>
      </c>
    </row>
    <row r="79" spans="1:19" s="495" customFormat="1">
      <c r="A79" s="55" t="s">
        <v>150</v>
      </c>
      <c r="B79" s="472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8">
        <f>C79*29400</f>
        <v>88200</v>
      </c>
      <c r="L79" s="526">
        <f t="shared" si="26"/>
        <v>0</v>
      </c>
      <c r="M79" s="508">
        <f t="shared" si="26"/>
        <v>0</v>
      </c>
      <c r="N79" s="509"/>
      <c r="O79" s="509"/>
      <c r="P79" s="509"/>
      <c r="Q79" s="498"/>
      <c r="R79" s="496">
        <f t="shared" si="25"/>
        <v>88200</v>
      </c>
      <c r="S79" s="496">
        <f>(C79+D79+E79+F79+I79+G79+H79)*8926</f>
        <v>26778</v>
      </c>
    </row>
    <row r="80" spans="1:19" s="495" customFormat="1">
      <c r="A80" s="104" t="s">
        <v>817</v>
      </c>
      <c r="B80" s="476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8">
        <f>C80*47000</f>
        <v>376000</v>
      </c>
      <c r="L80" s="526">
        <f>D80*35200</f>
        <v>0</v>
      </c>
      <c r="M80" s="508">
        <f>E80*35200</f>
        <v>35200</v>
      </c>
      <c r="N80" s="509"/>
      <c r="O80" s="509">
        <f>F80*37600</f>
        <v>37600</v>
      </c>
      <c r="P80" s="509"/>
      <c r="Q80" s="498"/>
      <c r="R80" s="496">
        <f t="shared" si="25"/>
        <v>448800</v>
      </c>
      <c r="S80" s="496">
        <f>(C80+D80+E80+F80+I80+G80+H80)*18934</f>
        <v>189340</v>
      </c>
    </row>
    <row r="81" spans="1:19" s="495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9">
        <f>C81*16800</f>
        <v>16800</v>
      </c>
      <c r="L81" s="526">
        <f t="shared" ref="L81:M83" si="27">D81*12100</f>
        <v>0</v>
      </c>
      <c r="M81" s="508">
        <f t="shared" si="27"/>
        <v>0</v>
      </c>
      <c r="N81" s="509"/>
      <c r="O81" s="509">
        <f>F81*9000</f>
        <v>0</v>
      </c>
      <c r="P81" s="509"/>
      <c r="Q81" s="498"/>
      <c r="R81" s="496">
        <f t="shared" si="25"/>
        <v>16800</v>
      </c>
      <c r="S81" s="496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9">
        <f>C82*16800</f>
        <v>16800</v>
      </c>
      <c r="L82" s="526">
        <f t="shared" si="27"/>
        <v>0</v>
      </c>
      <c r="M82" s="508">
        <f t="shared" si="27"/>
        <v>0</v>
      </c>
      <c r="N82" s="509"/>
      <c r="O82" s="509">
        <f>F82*9000</f>
        <v>0</v>
      </c>
      <c r="P82" s="509"/>
      <c r="R82" s="496">
        <f t="shared" si="25"/>
        <v>16800</v>
      </c>
      <c r="S82" s="496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693" t="s">
        <v>157</v>
      </c>
      <c r="I84" s="685"/>
      <c r="J84" s="433" t="s">
        <v>10</v>
      </c>
      <c r="K84" s="513">
        <f t="shared" ref="K84:S84" si="28">SUM(K67:K83)</f>
        <v>12251800</v>
      </c>
      <c r="L84" s="527">
        <f t="shared" si="28"/>
        <v>0</v>
      </c>
      <c r="M84" s="515">
        <f t="shared" si="28"/>
        <v>3575800</v>
      </c>
      <c r="N84" s="516">
        <f t="shared" si="28"/>
        <v>0</v>
      </c>
      <c r="O84" s="516">
        <f t="shared" si="28"/>
        <v>37600</v>
      </c>
      <c r="P84" s="516">
        <f t="shared" si="28"/>
        <v>0</v>
      </c>
      <c r="Q84" s="513">
        <f t="shared" si="28"/>
        <v>0</v>
      </c>
      <c r="R84" s="517">
        <f t="shared" si="28"/>
        <v>15865200</v>
      </c>
      <c r="S84" s="518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26"/>
      <c r="M85" s="508"/>
      <c r="P85" s="521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503" t="s">
        <v>4</v>
      </c>
      <c r="L86" s="684" t="s">
        <v>25</v>
      </c>
      <c r="M86" s="685"/>
      <c r="N86" s="504" t="s">
        <v>93</v>
      </c>
      <c r="O86" s="504" t="s">
        <v>27</v>
      </c>
      <c r="P86" s="504" t="s">
        <v>9</v>
      </c>
      <c r="Q86" s="530" t="s">
        <v>129</v>
      </c>
      <c r="R86" s="505" t="s">
        <v>29</v>
      </c>
      <c r="S86" s="531" t="s">
        <v>167</v>
      </c>
    </row>
    <row r="87" spans="1:19">
      <c r="A87" s="69" t="s">
        <v>821</v>
      </c>
      <c r="B87" s="476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8">
        <f t="shared" ref="K87:K92" si="30">C87*18900</f>
        <v>2154600</v>
      </c>
      <c r="L87" s="526">
        <f t="shared" ref="L87:M92" si="31">D87*15400</f>
        <v>0</v>
      </c>
      <c r="M87" s="508">
        <f t="shared" si="31"/>
        <v>308000</v>
      </c>
      <c r="N87" s="509"/>
      <c r="O87" s="509"/>
      <c r="P87" s="532">
        <f t="shared" ref="P87:P92" si="32">H87*18000</f>
        <v>0</v>
      </c>
      <c r="Q87" s="533"/>
      <c r="R87" s="496">
        <f t="shared" ref="R87:R98" si="33">SUM(K87:Q87)</f>
        <v>2462600</v>
      </c>
      <c r="S87" s="496">
        <f t="shared" ref="S87:S92" si="34">J87*7734</f>
        <v>1036356</v>
      </c>
    </row>
    <row r="88" spans="1:19">
      <c r="A88" s="69" t="s">
        <v>822</v>
      </c>
      <c r="B88" s="476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8">
        <f t="shared" si="30"/>
        <v>1360800</v>
      </c>
      <c r="L88" s="526">
        <f t="shared" si="31"/>
        <v>0</v>
      </c>
      <c r="M88" s="508">
        <f t="shared" si="31"/>
        <v>46200</v>
      </c>
      <c r="N88" s="509"/>
      <c r="O88" s="509"/>
      <c r="P88" s="532">
        <f t="shared" si="32"/>
        <v>0</v>
      </c>
      <c r="Q88" s="533"/>
      <c r="R88" s="496">
        <f t="shared" si="33"/>
        <v>1407000</v>
      </c>
      <c r="S88" s="496">
        <f t="shared" si="34"/>
        <v>580050</v>
      </c>
    </row>
    <row r="89" spans="1:19">
      <c r="A89" s="69" t="s">
        <v>823</v>
      </c>
      <c r="B89" s="476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8">
        <f t="shared" si="30"/>
        <v>1757700</v>
      </c>
      <c r="L89" s="526">
        <f t="shared" si="31"/>
        <v>0</v>
      </c>
      <c r="M89" s="508">
        <f t="shared" si="31"/>
        <v>261800</v>
      </c>
      <c r="N89" s="509"/>
      <c r="O89" s="509"/>
      <c r="P89" s="532">
        <f t="shared" si="32"/>
        <v>0</v>
      </c>
      <c r="Q89" s="533"/>
      <c r="R89" s="496">
        <f t="shared" si="33"/>
        <v>2019500</v>
      </c>
      <c r="S89" s="496">
        <f t="shared" si="34"/>
        <v>850740</v>
      </c>
    </row>
    <row r="90" spans="1:19">
      <c r="A90" s="69" t="s">
        <v>824</v>
      </c>
      <c r="B90" s="476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8">
        <f t="shared" si="30"/>
        <v>1568700</v>
      </c>
      <c r="L90" s="526">
        <f t="shared" si="31"/>
        <v>0</v>
      </c>
      <c r="M90" s="508">
        <f t="shared" si="31"/>
        <v>15400</v>
      </c>
      <c r="N90" s="509"/>
      <c r="O90" s="509"/>
      <c r="P90" s="532">
        <f t="shared" si="32"/>
        <v>0</v>
      </c>
      <c r="Q90" s="533"/>
      <c r="R90" s="496">
        <f t="shared" si="33"/>
        <v>1584100</v>
      </c>
      <c r="S90" s="496">
        <f t="shared" si="34"/>
        <v>649656</v>
      </c>
    </row>
    <row r="91" spans="1:19">
      <c r="A91" s="69" t="s">
        <v>825</v>
      </c>
      <c r="B91" s="476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8">
        <f t="shared" si="30"/>
        <v>982800</v>
      </c>
      <c r="L91" s="526">
        <f t="shared" si="31"/>
        <v>0</v>
      </c>
      <c r="M91" s="508">
        <f t="shared" si="31"/>
        <v>92400</v>
      </c>
      <c r="N91" s="509"/>
      <c r="O91" s="509"/>
      <c r="P91" s="532">
        <f t="shared" si="32"/>
        <v>0</v>
      </c>
      <c r="Q91" s="533"/>
      <c r="R91" s="496">
        <f t="shared" si="33"/>
        <v>1075200</v>
      </c>
      <c r="S91" s="496">
        <f t="shared" si="34"/>
        <v>448572</v>
      </c>
    </row>
    <row r="92" spans="1:19">
      <c r="A92" s="69" t="s">
        <v>826</v>
      </c>
      <c r="B92" s="476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8">
        <f t="shared" si="30"/>
        <v>737100</v>
      </c>
      <c r="L92" s="526">
        <f t="shared" si="31"/>
        <v>0</v>
      </c>
      <c r="M92" s="508">
        <f t="shared" si="31"/>
        <v>138600</v>
      </c>
      <c r="N92" s="509"/>
      <c r="O92" s="509"/>
      <c r="P92" s="532">
        <f t="shared" si="32"/>
        <v>0</v>
      </c>
      <c r="Q92" s="533"/>
      <c r="R92" s="496">
        <f t="shared" si="33"/>
        <v>875700</v>
      </c>
      <c r="S92" s="496">
        <f t="shared" si="34"/>
        <v>371232</v>
      </c>
    </row>
    <row r="93" spans="1:19">
      <c r="A93" s="69" t="s">
        <v>827</v>
      </c>
      <c r="B93" s="476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8">
        <f t="shared" ref="K93:K98" si="35">C93*8400</f>
        <v>739200</v>
      </c>
      <c r="L93" s="526">
        <f t="shared" ref="L93:M98" si="36">D93*6600</f>
        <v>0</v>
      </c>
      <c r="M93" s="508">
        <f t="shared" si="36"/>
        <v>211200</v>
      </c>
      <c r="N93" s="509">
        <f t="shared" ref="N93:N98" si="37">F93*6720</f>
        <v>2889600</v>
      </c>
      <c r="O93" s="509"/>
      <c r="P93" s="509"/>
      <c r="Q93" s="533"/>
      <c r="R93" s="496">
        <f t="shared" si="33"/>
        <v>3840000</v>
      </c>
      <c r="S93" s="496">
        <f t="shared" ref="S93:S98" si="38">J93*2880</f>
        <v>1584000</v>
      </c>
    </row>
    <row r="94" spans="1:19">
      <c r="A94" s="69" t="s">
        <v>828</v>
      </c>
      <c r="B94" s="476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8">
        <f t="shared" si="35"/>
        <v>487200</v>
      </c>
      <c r="L94" s="526">
        <f t="shared" si="36"/>
        <v>0</v>
      </c>
      <c r="M94" s="508">
        <f t="shared" si="36"/>
        <v>211200</v>
      </c>
      <c r="N94" s="509">
        <f t="shared" si="37"/>
        <v>5779200</v>
      </c>
      <c r="O94" s="509"/>
      <c r="P94" s="509"/>
      <c r="Q94" s="533"/>
      <c r="R94" s="496">
        <f t="shared" si="33"/>
        <v>6477600</v>
      </c>
      <c r="S94" s="496">
        <f t="shared" si="38"/>
        <v>2736000</v>
      </c>
    </row>
    <row r="95" spans="1:19">
      <c r="A95" s="69" t="s">
        <v>829</v>
      </c>
      <c r="B95" s="476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8">
        <f t="shared" si="35"/>
        <v>949200</v>
      </c>
      <c r="L95" s="526">
        <f t="shared" si="36"/>
        <v>0</v>
      </c>
      <c r="M95" s="508">
        <f t="shared" si="36"/>
        <v>184800</v>
      </c>
      <c r="N95" s="509">
        <f t="shared" si="37"/>
        <v>5779200</v>
      </c>
      <c r="O95" s="509"/>
      <c r="P95" s="509"/>
      <c r="Q95" s="533"/>
      <c r="R95" s="496">
        <f t="shared" si="33"/>
        <v>6913200</v>
      </c>
      <c r="S95" s="496">
        <f t="shared" si="38"/>
        <v>2882880</v>
      </c>
    </row>
    <row r="96" spans="1:19">
      <c r="A96" s="69" t="s">
        <v>830</v>
      </c>
      <c r="B96" s="476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8">
        <f t="shared" si="35"/>
        <v>638400</v>
      </c>
      <c r="L96" s="526">
        <f t="shared" si="36"/>
        <v>0</v>
      </c>
      <c r="M96" s="508">
        <f t="shared" si="36"/>
        <v>99000</v>
      </c>
      <c r="N96" s="509">
        <f t="shared" si="37"/>
        <v>0</v>
      </c>
      <c r="O96" s="509"/>
      <c r="P96" s="509"/>
      <c r="Q96" s="533"/>
      <c r="R96" s="496">
        <f t="shared" si="33"/>
        <v>737400</v>
      </c>
      <c r="S96" s="496">
        <f t="shared" si="38"/>
        <v>262080</v>
      </c>
    </row>
    <row r="97" spans="1:19">
      <c r="A97" s="69" t="s">
        <v>831</v>
      </c>
      <c r="B97" s="476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8">
        <f t="shared" si="35"/>
        <v>680400</v>
      </c>
      <c r="L97" s="526">
        <f t="shared" si="36"/>
        <v>0</v>
      </c>
      <c r="M97" s="508">
        <f t="shared" si="36"/>
        <v>145200</v>
      </c>
      <c r="N97" s="509">
        <f t="shared" si="37"/>
        <v>0</v>
      </c>
      <c r="O97" s="509"/>
      <c r="P97" s="509"/>
      <c r="Q97" s="533"/>
      <c r="R97" s="496">
        <f t="shared" si="33"/>
        <v>825600</v>
      </c>
      <c r="S97" s="496">
        <f t="shared" si="38"/>
        <v>296640</v>
      </c>
    </row>
    <row r="98" spans="1:19">
      <c r="A98" s="313" t="s">
        <v>832</v>
      </c>
      <c r="B98" s="472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8">
        <f t="shared" si="35"/>
        <v>386400</v>
      </c>
      <c r="L98" s="526">
        <f t="shared" si="36"/>
        <v>0</v>
      </c>
      <c r="M98" s="508">
        <f t="shared" si="36"/>
        <v>138600</v>
      </c>
      <c r="N98" s="509">
        <f t="shared" si="37"/>
        <v>0</v>
      </c>
      <c r="O98" s="509"/>
      <c r="P98" s="509"/>
      <c r="Q98" s="533"/>
      <c r="R98" s="496">
        <f t="shared" si="33"/>
        <v>525000</v>
      </c>
      <c r="S98" s="496">
        <f t="shared" si="38"/>
        <v>192960</v>
      </c>
    </row>
    <row r="99" spans="1:19" s="16" customFormat="1">
      <c r="A99" s="71" t="s">
        <v>182</v>
      </c>
      <c r="B99" s="476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34">
        <f t="shared" si="39"/>
        <v>8561700</v>
      </c>
      <c r="L99" s="535">
        <f t="shared" si="39"/>
        <v>0</v>
      </c>
      <c r="M99" s="536">
        <f t="shared" si="39"/>
        <v>862400</v>
      </c>
      <c r="N99" s="537">
        <f t="shared" si="39"/>
        <v>0</v>
      </c>
      <c r="O99" s="537">
        <f t="shared" si="39"/>
        <v>0</v>
      </c>
      <c r="P99" s="537">
        <f t="shared" si="39"/>
        <v>0</v>
      </c>
      <c r="Q99" s="538">
        <f t="shared" si="39"/>
        <v>0</v>
      </c>
      <c r="R99" s="539"/>
      <c r="S99" s="539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40">
        <f t="shared" si="40"/>
        <v>3141600</v>
      </c>
      <c r="L100" s="541">
        <f t="shared" si="40"/>
        <v>0</v>
      </c>
      <c r="M100" s="542">
        <f t="shared" si="40"/>
        <v>778800</v>
      </c>
      <c r="N100" s="543">
        <f t="shared" si="40"/>
        <v>11558400</v>
      </c>
      <c r="O100" s="543">
        <f t="shared" si="40"/>
        <v>0</v>
      </c>
      <c r="P100" s="543">
        <f t="shared" si="40"/>
        <v>0</v>
      </c>
      <c r="Q100" s="544"/>
      <c r="R100" s="545"/>
      <c r="S100" s="545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3" t="s">
        <v>10</v>
      </c>
      <c r="K101" s="513">
        <f t="shared" ref="K101:S101" si="41">SUM(K87:K98)</f>
        <v>12442500</v>
      </c>
      <c r="L101" s="527">
        <f t="shared" si="41"/>
        <v>0</v>
      </c>
      <c r="M101" s="515">
        <f t="shared" si="41"/>
        <v>1852400</v>
      </c>
      <c r="N101" s="516">
        <f t="shared" si="41"/>
        <v>14448000</v>
      </c>
      <c r="O101" s="516">
        <f t="shared" si="41"/>
        <v>0</v>
      </c>
      <c r="P101" s="516">
        <f t="shared" si="41"/>
        <v>0</v>
      </c>
      <c r="Q101" s="516">
        <f t="shared" si="41"/>
        <v>0</v>
      </c>
      <c r="R101" s="517">
        <f t="shared" si="41"/>
        <v>28742900</v>
      </c>
      <c r="S101" s="518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3"/>
      <c r="K102" s="546"/>
      <c r="L102" s="547"/>
      <c r="M102" s="548"/>
      <c r="N102" s="549"/>
      <c r="O102" s="549"/>
      <c r="P102" s="549"/>
      <c r="Q102" s="549"/>
      <c r="R102" s="550"/>
      <c r="S102" s="550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25"/>
      <c r="P103" s="521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21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503" t="s">
        <v>4</v>
      </c>
      <c r="L105" s="684" t="s">
        <v>25</v>
      </c>
      <c r="M105" s="685"/>
      <c r="N105" s="504" t="s">
        <v>93</v>
      </c>
      <c r="O105" s="504" t="s">
        <v>744</v>
      </c>
      <c r="P105" s="504" t="s">
        <v>9</v>
      </c>
      <c r="Q105" s="505"/>
      <c r="R105" s="505" t="s">
        <v>29</v>
      </c>
      <c r="S105" s="531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51">
        <f t="shared" ref="K106:M111" si="43">C106*12000</f>
        <v>0</v>
      </c>
      <c r="L106" s="526">
        <f t="shared" si="43"/>
        <v>0</v>
      </c>
      <c r="M106" s="508">
        <f t="shared" si="43"/>
        <v>0</v>
      </c>
      <c r="N106" s="509"/>
      <c r="O106" s="509"/>
      <c r="P106" s="509"/>
      <c r="Q106" s="523"/>
      <c r="R106" s="496">
        <f t="shared" ref="R106:R117" si="44">SUM(K106:Q106)</f>
        <v>0</v>
      </c>
      <c r="S106" s="496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76">
        <f t="shared" si="43"/>
        <v>0</v>
      </c>
      <c r="L107" s="676">
        <f t="shared" si="43"/>
        <v>0</v>
      </c>
      <c r="M107" s="665">
        <f t="shared" si="43"/>
        <v>0</v>
      </c>
      <c r="N107" s="640"/>
      <c r="O107" s="640"/>
      <c r="P107" s="640"/>
      <c r="Q107" s="677"/>
      <c r="R107" s="665">
        <f t="shared" si="44"/>
        <v>0</v>
      </c>
      <c r="S107" s="665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76">
        <f t="shared" si="43"/>
        <v>0</v>
      </c>
      <c r="L108" s="676">
        <f t="shared" si="43"/>
        <v>0</v>
      </c>
      <c r="M108" s="665">
        <f t="shared" si="43"/>
        <v>0</v>
      </c>
      <c r="N108" s="640"/>
      <c r="O108" s="640"/>
      <c r="P108" s="640"/>
      <c r="Q108" s="677"/>
      <c r="R108" s="665">
        <f t="shared" si="44"/>
        <v>0</v>
      </c>
      <c r="S108" s="665">
        <f t="shared" si="45"/>
        <v>0</v>
      </c>
    </row>
    <row r="109" spans="1:19">
      <c r="A109" s="69" t="s">
        <v>193</v>
      </c>
      <c r="B109" s="476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194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195</v>
      </c>
      <c r="B111" s="476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51">
        <f t="shared" si="43"/>
        <v>264000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264000</v>
      </c>
      <c r="S111" s="496">
        <f t="shared" si="45"/>
        <v>131274</v>
      </c>
    </row>
    <row r="112" spans="1:19">
      <c r="A112" s="69" t="s">
        <v>834</v>
      </c>
      <c r="B112" s="476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8">
        <f t="shared" ref="K112:K117" si="46">C112*47000</f>
        <v>47000</v>
      </c>
      <c r="L112" s="526">
        <f t="shared" ref="L112:M117" si="47">D112*35200</f>
        <v>0</v>
      </c>
      <c r="M112" s="508">
        <f t="shared" si="47"/>
        <v>0</v>
      </c>
      <c r="N112" s="509">
        <f t="shared" ref="N112:N117" si="48">F112*23500</f>
        <v>0</v>
      </c>
      <c r="O112" s="509">
        <f>G112*22500</f>
        <v>0</v>
      </c>
      <c r="P112" s="509"/>
      <c r="Q112" s="523"/>
      <c r="R112" s="496">
        <f t="shared" si="44"/>
        <v>47000</v>
      </c>
      <c r="S112" s="496">
        <f t="shared" ref="S112:S117" si="49">J112*15480</f>
        <v>15480</v>
      </c>
    </row>
    <row r="113" spans="1:19">
      <c r="A113" s="69" t="s">
        <v>835</v>
      </c>
      <c r="B113" s="476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8">
        <f t="shared" si="46"/>
        <v>0</v>
      </c>
      <c r="L113" s="526">
        <f t="shared" si="47"/>
        <v>0</v>
      </c>
      <c r="M113" s="508">
        <f t="shared" si="47"/>
        <v>0</v>
      </c>
      <c r="N113" s="509">
        <f t="shared" si="48"/>
        <v>0</v>
      </c>
      <c r="O113" s="509"/>
      <c r="P113" s="509"/>
      <c r="Q113" s="523"/>
      <c r="R113" s="496">
        <f t="shared" si="44"/>
        <v>0</v>
      </c>
      <c r="S113" s="496">
        <f t="shared" si="49"/>
        <v>0</v>
      </c>
    </row>
    <row r="114" spans="1:19">
      <c r="A114" s="69" t="s">
        <v>836</v>
      </c>
      <c r="B114" s="476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0</v>
      </c>
      <c r="O114" s="509">
        <f>G114*22500</f>
        <v>0</v>
      </c>
      <c r="P114" s="509"/>
      <c r="Q114" s="523"/>
      <c r="R114" s="496">
        <f t="shared" si="44"/>
        <v>0</v>
      </c>
      <c r="S114" s="496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8">
        <f t="shared" si="46"/>
        <v>94000</v>
      </c>
      <c r="L115" s="526">
        <f t="shared" si="47"/>
        <v>0</v>
      </c>
      <c r="M115" s="508">
        <f t="shared" si="47"/>
        <v>0</v>
      </c>
      <c r="N115" s="509">
        <f t="shared" si="48"/>
        <v>188000</v>
      </c>
      <c r="O115" s="509">
        <f>G115*23500</f>
        <v>0</v>
      </c>
      <c r="P115" s="509"/>
      <c r="Q115" s="523"/>
      <c r="R115" s="496">
        <f t="shared" si="44"/>
        <v>282000</v>
      </c>
      <c r="S115" s="496">
        <f t="shared" si="49"/>
        <v>154800</v>
      </c>
    </row>
    <row r="116" spans="1:19">
      <c r="A116" s="69" t="s">
        <v>838</v>
      </c>
      <c r="B116" s="476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94000</v>
      </c>
      <c r="O116" s="509">
        <f>G116*23500</f>
        <v>0</v>
      </c>
      <c r="P116" s="509"/>
      <c r="Q116" s="523"/>
      <c r="R116" s="496">
        <f t="shared" si="44"/>
        <v>94000</v>
      </c>
      <c r="S116" s="496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117500</v>
      </c>
      <c r="O117" s="509"/>
      <c r="P117" s="509"/>
      <c r="Q117" s="523"/>
      <c r="R117" s="496">
        <f t="shared" si="44"/>
        <v>117500</v>
      </c>
      <c r="S117" s="496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26"/>
      <c r="M118" s="508"/>
      <c r="N118" s="509"/>
      <c r="O118" s="509"/>
      <c r="P118" s="509"/>
      <c r="Q118" s="523"/>
    </row>
    <row r="119" spans="1:19" s="16" customFormat="1">
      <c r="B119" s="433"/>
      <c r="C119" s="64"/>
      <c r="D119" s="72"/>
      <c r="E119" s="73"/>
      <c r="F119" s="74"/>
      <c r="G119" s="74"/>
      <c r="H119" s="165"/>
      <c r="I119" s="74"/>
      <c r="J119" s="75" t="s">
        <v>10</v>
      </c>
      <c r="K119" s="513">
        <f t="shared" ref="K119:S119" si="50">SUM(K107:K118)</f>
        <v>405000</v>
      </c>
      <c r="L119" s="527">
        <f t="shared" si="50"/>
        <v>0</v>
      </c>
      <c r="M119" s="515">
        <f t="shared" si="50"/>
        <v>0</v>
      </c>
      <c r="N119" s="516">
        <f t="shared" si="50"/>
        <v>399500</v>
      </c>
      <c r="O119" s="516">
        <f t="shared" si="50"/>
        <v>0</v>
      </c>
      <c r="P119" s="516">
        <f t="shared" si="50"/>
        <v>0</v>
      </c>
      <c r="Q119" s="552">
        <f t="shared" si="50"/>
        <v>0</v>
      </c>
      <c r="R119" s="517">
        <f t="shared" si="50"/>
        <v>804500</v>
      </c>
      <c r="S119" s="518">
        <f t="shared" si="50"/>
        <v>440874</v>
      </c>
    </row>
    <row r="120" spans="1:19" s="16" customFormat="1">
      <c r="B120" s="433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53"/>
      <c r="L120" s="554"/>
      <c r="M120" s="555"/>
      <c r="N120" s="556"/>
      <c r="O120" s="556"/>
      <c r="P120" s="556"/>
      <c r="Q120" s="519"/>
      <c r="R120" s="557"/>
      <c r="S120" s="557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8" t="s">
        <v>4</v>
      </c>
      <c r="L121" s="684" t="s">
        <v>25</v>
      </c>
      <c r="M121" s="685"/>
      <c r="N121" s="559" t="s">
        <v>93</v>
      </c>
      <c r="O121" s="559" t="s">
        <v>27</v>
      </c>
      <c r="P121" s="559" t="s">
        <v>9</v>
      </c>
      <c r="Q121" s="560"/>
      <c r="R121" s="560" t="s">
        <v>29</v>
      </c>
      <c r="S121" s="561" t="s">
        <v>167</v>
      </c>
    </row>
    <row r="122" spans="1:19">
      <c r="A122" s="20" t="s">
        <v>208</v>
      </c>
      <c r="B122" s="476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9">
        <f>C122*100800</f>
        <v>201600</v>
      </c>
      <c r="L122" s="526">
        <f t="shared" ref="L122:M125" si="51">D122*86900</f>
        <v>0</v>
      </c>
      <c r="M122" s="508">
        <f t="shared" si="51"/>
        <v>86900</v>
      </c>
      <c r="N122" s="509"/>
      <c r="O122" s="509"/>
      <c r="P122" s="509"/>
      <c r="R122" s="496">
        <f>SUM(K122:Q122)</f>
        <v>288500</v>
      </c>
      <c r="S122" s="496">
        <f>J122*36064</f>
        <v>108192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si="51"/>
        <v>0</v>
      </c>
      <c r="M123" s="508">
        <f t="shared" si="51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209</v>
      </c>
      <c r="B124" s="476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210</v>
      </c>
      <c r="B125" s="476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9">
        <f>C125*100800</f>
        <v>100800</v>
      </c>
      <c r="L125" s="526">
        <f t="shared" si="51"/>
        <v>0</v>
      </c>
      <c r="M125" s="508">
        <f t="shared" si="51"/>
        <v>86900</v>
      </c>
      <c r="N125" s="509"/>
      <c r="O125" s="509"/>
      <c r="P125" s="509"/>
      <c r="R125" s="496">
        <f>SUM(K125:Q125)</f>
        <v>187700</v>
      </c>
      <c r="S125" s="496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13">
        <f t="shared" ref="K126:S126" si="52">SUM(K122:K125)</f>
        <v>504000</v>
      </c>
      <c r="L126" s="527">
        <f t="shared" si="52"/>
        <v>0</v>
      </c>
      <c r="M126" s="515">
        <f t="shared" si="52"/>
        <v>173800</v>
      </c>
      <c r="N126" s="516">
        <f t="shared" si="52"/>
        <v>0</v>
      </c>
      <c r="O126" s="516">
        <f t="shared" si="52"/>
        <v>0</v>
      </c>
      <c r="P126" s="516">
        <f t="shared" si="52"/>
        <v>0</v>
      </c>
      <c r="Q126" s="513">
        <f t="shared" si="52"/>
        <v>0</v>
      </c>
      <c r="R126" s="517">
        <f t="shared" si="52"/>
        <v>677800</v>
      </c>
      <c r="S126" s="518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82" t="s">
        <v>213</v>
      </c>
      <c r="F127" s="79" t="s">
        <v>214</v>
      </c>
      <c r="G127" s="63"/>
      <c r="H127" s="154"/>
      <c r="I127" s="63"/>
      <c r="J127" s="64"/>
      <c r="K127" s="503" t="s">
        <v>4</v>
      </c>
      <c r="L127" s="684" t="s">
        <v>25</v>
      </c>
      <c r="M127" s="685"/>
      <c r="N127" s="504" t="s">
        <v>93</v>
      </c>
      <c r="O127" s="504" t="s">
        <v>27</v>
      </c>
      <c r="P127" s="504" t="s">
        <v>9</v>
      </c>
      <c r="Q127" s="505"/>
      <c r="R127" s="505" t="s">
        <v>29</v>
      </c>
      <c r="S127" s="531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7"/>
      <c r="M128" s="508"/>
      <c r="N128" s="509">
        <f>F128*39000</f>
        <v>0</v>
      </c>
      <c r="P128" s="521"/>
      <c r="R128" s="496">
        <f>SUM(K128:Q128)</f>
        <v>0</v>
      </c>
      <c r="S128" s="496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7"/>
      <c r="M129" s="508"/>
      <c r="N129" s="509">
        <f>F129*39000</f>
        <v>39000</v>
      </c>
      <c r="P129" s="521"/>
      <c r="R129" s="496">
        <f>SUM(K129:Q129)</f>
        <v>39000</v>
      </c>
      <c r="S129" s="496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7"/>
      <c r="M131" s="508"/>
      <c r="N131" s="509">
        <f>F131*39000</f>
        <v>39000</v>
      </c>
      <c r="P131" s="521"/>
      <c r="R131" s="496">
        <f>SUM(K131:Q131)</f>
        <v>39000</v>
      </c>
      <c r="S131" s="496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3" t="s">
        <v>10</v>
      </c>
      <c r="K132" s="513">
        <f t="shared" ref="K132:S132" si="53">SUM(K128:K131)</f>
        <v>0</v>
      </c>
      <c r="L132" s="514">
        <f t="shared" si="53"/>
        <v>0</v>
      </c>
      <c r="M132" s="515">
        <f t="shared" si="53"/>
        <v>0</v>
      </c>
      <c r="N132" s="516">
        <f t="shared" si="53"/>
        <v>78000</v>
      </c>
      <c r="O132" s="516">
        <f t="shared" si="53"/>
        <v>0</v>
      </c>
      <c r="P132" s="513">
        <f t="shared" si="53"/>
        <v>0</v>
      </c>
      <c r="Q132" s="513">
        <f t="shared" si="53"/>
        <v>0</v>
      </c>
      <c r="R132" s="517">
        <f t="shared" si="53"/>
        <v>78000</v>
      </c>
      <c r="S132" s="518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3"/>
      <c r="K133" s="553"/>
      <c r="L133" s="562"/>
      <c r="M133" s="555"/>
      <c r="N133" s="556"/>
      <c r="O133" s="556"/>
      <c r="P133" s="553"/>
      <c r="Q133" s="553"/>
      <c r="R133" s="557"/>
      <c r="S133" s="557"/>
    </row>
    <row r="134" spans="1:19">
      <c r="C134" s="432"/>
      <c r="D134" s="45"/>
      <c r="E134" s="9" t="s">
        <v>220</v>
      </c>
      <c r="F134" s="74"/>
      <c r="G134" s="7"/>
      <c r="H134" s="151"/>
      <c r="I134" s="81"/>
      <c r="J134" s="433"/>
      <c r="L134" s="507"/>
      <c r="M134" s="508"/>
      <c r="P134" s="521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503" t="s">
        <v>4</v>
      </c>
      <c r="L135" s="684" t="s">
        <v>25</v>
      </c>
      <c r="M135" s="685"/>
      <c r="N135" s="504" t="s">
        <v>93</v>
      </c>
      <c r="O135" s="504" t="s">
        <v>27</v>
      </c>
      <c r="P135" s="504" t="s">
        <v>9</v>
      </c>
      <c r="Q135" s="563"/>
      <c r="R135" s="505" t="s">
        <v>29</v>
      </c>
      <c r="S135" s="531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64"/>
      <c r="L136" s="565"/>
      <c r="M136" s="566"/>
      <c r="N136" s="532"/>
      <c r="O136" s="532"/>
      <c r="P136" s="532"/>
      <c r="Q136" s="510"/>
      <c r="R136" s="498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51">
        <f>C137*134000</f>
        <v>268000</v>
      </c>
      <c r="L137" s="507">
        <f>D137*106700</f>
        <v>0</v>
      </c>
      <c r="M137" s="508">
        <f>E137*106700</f>
        <v>213400</v>
      </c>
      <c r="N137" s="509"/>
      <c r="O137" s="509"/>
      <c r="P137" s="509"/>
      <c r="Q137" s="510"/>
      <c r="R137" s="496">
        <f>SUM(K137:Q137)</f>
        <v>481400</v>
      </c>
      <c r="S137" s="496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51">
        <f>C138*134000</f>
        <v>134000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134000</v>
      </c>
      <c r="S138" s="496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7">
        <f>C139*89600</f>
        <v>0</v>
      </c>
      <c r="L139" s="507">
        <f>D139*89600</f>
        <v>0</v>
      </c>
      <c r="M139" s="508">
        <f>E139*89600</f>
        <v>0</v>
      </c>
      <c r="N139" s="509">
        <f>F139*89600</f>
        <v>179200</v>
      </c>
      <c r="O139" s="509"/>
      <c r="P139" s="509"/>
      <c r="Q139" s="510"/>
      <c r="R139" s="496">
        <f>SUM(K139:Q139)</f>
        <v>179200</v>
      </c>
      <c r="S139" s="496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13">
        <f t="shared" ref="K140:S140" si="54">SUM(K136:K139)</f>
        <v>402000</v>
      </c>
      <c r="L140" s="514">
        <f t="shared" si="54"/>
        <v>0</v>
      </c>
      <c r="M140" s="515">
        <f t="shared" si="54"/>
        <v>213400</v>
      </c>
      <c r="N140" s="516">
        <f t="shared" si="54"/>
        <v>179200</v>
      </c>
      <c r="O140" s="516">
        <f t="shared" si="54"/>
        <v>0</v>
      </c>
      <c r="P140" s="516">
        <f t="shared" si="54"/>
        <v>0</v>
      </c>
      <c r="Q140" s="516">
        <f t="shared" si="54"/>
        <v>0</v>
      </c>
      <c r="R140" s="517">
        <f t="shared" si="54"/>
        <v>794600</v>
      </c>
      <c r="S140" s="518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73" t="s">
        <v>87</v>
      </c>
      <c r="G141" s="473"/>
      <c r="H141" s="405"/>
      <c r="I141" s="74" t="s">
        <v>229</v>
      </c>
      <c r="J141" s="75"/>
      <c r="K141" s="553"/>
      <c r="L141" s="562"/>
      <c r="M141" s="555"/>
      <c r="N141" s="556"/>
      <c r="O141" s="556"/>
      <c r="P141" s="556"/>
      <c r="Q141" s="556"/>
      <c r="R141" s="557"/>
      <c r="S141" s="557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7"/>
      <c r="P142" s="521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7"/>
      <c r="P143" s="521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7"/>
      <c r="P144" s="521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7"/>
      <c r="P145" s="521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7"/>
      <c r="P146" s="521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7"/>
      <c r="P147" s="521"/>
    </row>
    <row r="148" spans="1:19">
      <c r="A148" s="16"/>
      <c r="B148" s="432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8" t="s">
        <v>4</v>
      </c>
      <c r="L148" s="684" t="s">
        <v>25</v>
      </c>
      <c r="M148" s="685"/>
      <c r="N148" s="504" t="s">
        <v>93</v>
      </c>
      <c r="O148" s="504" t="s">
        <v>27</v>
      </c>
      <c r="P148" s="504" t="s">
        <v>9</v>
      </c>
      <c r="Q148" s="504" t="s">
        <v>27</v>
      </c>
      <c r="R148" s="505" t="s">
        <v>29</v>
      </c>
      <c r="S148" s="531" t="s">
        <v>167</v>
      </c>
    </row>
    <row r="149" spans="1:19">
      <c r="A149" s="69" t="s">
        <v>842</v>
      </c>
      <c r="B149" s="476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51">
        <f>C149*10400</f>
        <v>5990400</v>
      </c>
      <c r="L149" s="507">
        <f>D149*9000</f>
        <v>0</v>
      </c>
      <c r="M149" s="508">
        <f>E149*9000</f>
        <v>324000</v>
      </c>
      <c r="N149" s="509"/>
      <c r="O149" s="509"/>
      <c r="P149" s="509"/>
      <c r="Q149" s="532"/>
      <c r="R149" s="496">
        <f t="shared" ref="R149:R157" si="56">SUM(K149:Q149)</f>
        <v>6314400</v>
      </c>
      <c r="S149" s="496">
        <f>J149*5400</f>
        <v>3304800</v>
      </c>
    </row>
    <row r="150" spans="1:19">
      <c r="A150" s="69" t="s">
        <v>843</v>
      </c>
      <c r="B150" s="476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51">
        <f>C150*14700</f>
        <v>3836700</v>
      </c>
      <c r="L150" s="507">
        <f>D150*12900</f>
        <v>0</v>
      </c>
      <c r="M150" s="508">
        <f>E150*12900</f>
        <v>928800</v>
      </c>
      <c r="N150" s="509"/>
      <c r="O150" s="509">
        <f>F150*11760</f>
        <v>11760</v>
      </c>
      <c r="P150" s="509"/>
      <c r="Q150" s="532"/>
      <c r="R150" s="496">
        <f t="shared" si="56"/>
        <v>4777260</v>
      </c>
      <c r="S150" s="496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25">
        <f>C151*4500</f>
        <v>0</v>
      </c>
      <c r="L151" s="507">
        <f>D151*4500</f>
        <v>0</v>
      </c>
      <c r="M151" s="508">
        <f>E151*4500</f>
        <v>0</v>
      </c>
      <c r="N151" s="509">
        <f>F151*4200</f>
        <v>0</v>
      </c>
      <c r="O151" s="509"/>
      <c r="P151" s="509"/>
      <c r="Q151" s="532"/>
      <c r="R151" s="496">
        <f t="shared" si="56"/>
        <v>0</v>
      </c>
      <c r="S151" s="496">
        <f>J151*1984</f>
        <v>0</v>
      </c>
    </row>
    <row r="152" spans="1:19">
      <c r="A152" s="69" t="s">
        <v>844</v>
      </c>
      <c r="B152" s="476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51">
        <f>C152*14700</f>
        <v>132300</v>
      </c>
      <c r="L152" s="507">
        <f>D152*11000</f>
        <v>0</v>
      </c>
      <c r="M152" s="508">
        <f>E152*11000</f>
        <v>0</v>
      </c>
      <c r="N152" s="509"/>
      <c r="O152" s="509"/>
      <c r="P152" s="509"/>
      <c r="Q152" s="532"/>
      <c r="R152" s="496">
        <f t="shared" si="56"/>
        <v>132300</v>
      </c>
      <c r="S152" s="496">
        <f>J152*4658</f>
        <v>41922</v>
      </c>
    </row>
    <row r="153" spans="1:19">
      <c r="A153" s="69" t="s">
        <v>845</v>
      </c>
      <c r="B153" s="476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51">
        <f>C153*26400</f>
        <v>1478400</v>
      </c>
      <c r="L153" s="507">
        <f>D153*18500</f>
        <v>0</v>
      </c>
      <c r="M153" s="508">
        <f>E153*18500</f>
        <v>0</v>
      </c>
      <c r="N153" s="509"/>
      <c r="O153" s="509"/>
      <c r="P153" s="509"/>
      <c r="Q153" s="532"/>
      <c r="R153" s="496">
        <f t="shared" si="56"/>
        <v>1478400</v>
      </c>
      <c r="S153" s="496">
        <f>J153*6653</f>
        <v>372568</v>
      </c>
    </row>
    <row r="154" spans="1:19">
      <c r="A154" s="69" t="s">
        <v>846</v>
      </c>
      <c r="B154" s="476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51">
        <f>C154*23100</f>
        <v>693000</v>
      </c>
      <c r="L154" s="507">
        <f>D154*17000</f>
        <v>0</v>
      </c>
      <c r="M154" s="508">
        <f>E154*17000</f>
        <v>0</v>
      </c>
      <c r="N154" s="509"/>
      <c r="O154" s="509"/>
      <c r="P154" s="509"/>
      <c r="Q154" s="532"/>
      <c r="R154" s="496">
        <f t="shared" si="56"/>
        <v>693000</v>
      </c>
      <c r="S154" s="496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56">
        <f>C155*21000</f>
        <v>0</v>
      </c>
      <c r="L155" s="507">
        <f>D155*15200</f>
        <v>0</v>
      </c>
      <c r="M155" s="508">
        <f>E155*15200</f>
        <v>273600</v>
      </c>
      <c r="N155" s="509">
        <f>F155*19640</f>
        <v>1237320</v>
      </c>
      <c r="O155" s="509"/>
      <c r="P155" s="509"/>
      <c r="Q155" s="532"/>
      <c r="R155" s="496">
        <f t="shared" si="56"/>
        <v>1510920</v>
      </c>
      <c r="S155" s="496">
        <f>J155*8415</f>
        <v>681615</v>
      </c>
    </row>
    <row r="156" spans="1:19">
      <c r="A156" s="104" t="s">
        <v>848</v>
      </c>
      <c r="B156" s="476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51">
        <f>C156*14700</f>
        <v>44100</v>
      </c>
      <c r="L156" s="507">
        <f>D156*11000</f>
        <v>0</v>
      </c>
      <c r="M156" s="508">
        <f>E156*11000</f>
        <v>0</v>
      </c>
      <c r="N156" s="509"/>
      <c r="O156" s="509"/>
      <c r="P156" s="509"/>
      <c r="Q156" s="532"/>
      <c r="R156" s="496">
        <f t="shared" si="56"/>
        <v>44100</v>
      </c>
      <c r="S156" s="496">
        <f>J156*5590</f>
        <v>16770</v>
      </c>
    </row>
    <row r="157" spans="1:19">
      <c r="A157" s="104" t="s">
        <v>265</v>
      </c>
      <c r="B157" s="476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51">
        <f>C157*17500</f>
        <v>122500</v>
      </c>
      <c r="L157" s="507">
        <f>D157*17500</f>
        <v>0</v>
      </c>
      <c r="M157" s="508">
        <f>E157*17500</f>
        <v>0</v>
      </c>
      <c r="N157" s="509"/>
      <c r="O157" s="509"/>
      <c r="P157" s="509"/>
      <c r="Q157" s="532"/>
      <c r="R157" s="496">
        <f t="shared" si="56"/>
        <v>122500</v>
      </c>
      <c r="S157" s="496">
        <f>J157*7123</f>
        <v>49861</v>
      </c>
    </row>
    <row r="158" spans="1:19" s="16" customFormat="1">
      <c r="A158" s="412" t="s">
        <v>288</v>
      </c>
      <c r="B158" s="482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13">
        <f t="shared" ref="K158:S158" si="57">SUM(K149:K157)</f>
        <v>12297400</v>
      </c>
      <c r="L158" s="514">
        <f t="shared" si="57"/>
        <v>0</v>
      </c>
      <c r="M158" s="515">
        <f t="shared" si="57"/>
        <v>1526400</v>
      </c>
      <c r="N158" s="513">
        <f t="shared" si="57"/>
        <v>1237320</v>
      </c>
      <c r="O158" s="516">
        <f t="shared" si="57"/>
        <v>11760</v>
      </c>
      <c r="P158" s="516">
        <f t="shared" si="57"/>
        <v>0</v>
      </c>
      <c r="Q158" s="516">
        <f t="shared" si="57"/>
        <v>0</v>
      </c>
      <c r="R158" s="517">
        <f t="shared" si="57"/>
        <v>15072880</v>
      </c>
      <c r="S158" s="518">
        <f t="shared" si="57"/>
        <v>7104746</v>
      </c>
    </row>
    <row r="159" spans="1:19">
      <c r="A159" s="410" t="s">
        <v>850</v>
      </c>
      <c r="B159" s="482" t="s">
        <v>268</v>
      </c>
      <c r="C159" s="411" t="s">
        <v>295</v>
      </c>
      <c r="D159" s="482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21"/>
    </row>
    <row r="160" spans="1:19">
      <c r="A160" s="410" t="s">
        <v>283</v>
      </c>
      <c r="B160" s="9" t="s">
        <v>284</v>
      </c>
      <c r="C160" s="482" t="s">
        <v>300</v>
      </c>
      <c r="D160" s="482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21"/>
    </row>
    <row r="161" spans="1:19">
      <c r="A161" s="410" t="s">
        <v>273</v>
      </c>
      <c r="B161" s="482" t="s">
        <v>274</v>
      </c>
      <c r="C161" s="482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21"/>
    </row>
    <row r="162" spans="1:19">
      <c r="A162" s="410" t="s">
        <v>278</v>
      </c>
      <c r="B162" s="482" t="s">
        <v>279</v>
      </c>
      <c r="C162" s="482" t="s">
        <v>306</v>
      </c>
      <c r="D162" s="482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21"/>
    </row>
    <row r="163" spans="1:19">
      <c r="A163" s="410" t="s">
        <v>293</v>
      </c>
      <c r="B163" s="482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21"/>
    </row>
    <row r="164" spans="1:19" ht="24" customHeight="1">
      <c r="A164" s="412" t="s">
        <v>304</v>
      </c>
      <c r="B164" s="482" t="s">
        <v>305</v>
      </c>
      <c r="C164" s="482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21"/>
    </row>
    <row r="165" spans="1:19">
      <c r="A165" s="412" t="s">
        <v>311</v>
      </c>
      <c r="B165" s="482" t="s">
        <v>312</v>
      </c>
      <c r="C165" s="482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21"/>
    </row>
    <row r="166" spans="1:19">
      <c r="A166" s="412" t="s">
        <v>318</v>
      </c>
      <c r="B166" s="482" t="s">
        <v>319</v>
      </c>
      <c r="C166" s="415" t="s">
        <v>860</v>
      </c>
      <c r="D166" s="482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21"/>
    </row>
    <row r="167" spans="1:19">
      <c r="A167" s="412" t="s">
        <v>327</v>
      </c>
      <c r="B167" s="482" t="s">
        <v>328</v>
      </c>
      <c r="C167" s="414" t="s">
        <v>862</v>
      </c>
      <c r="D167" s="482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21"/>
    </row>
    <row r="168" spans="1:19">
      <c r="A168" s="410" t="s">
        <v>332</v>
      </c>
      <c r="B168" s="482" t="s">
        <v>333</v>
      </c>
      <c r="C168" s="482" t="s">
        <v>865</v>
      </c>
      <c r="D168" s="482" t="s">
        <v>321</v>
      </c>
      <c r="E168" s="287"/>
      <c r="F168" s="79"/>
      <c r="G168" s="378"/>
      <c r="H168" s="426"/>
      <c r="I168" s="222"/>
      <c r="J168" s="111"/>
      <c r="K168" s="332"/>
      <c r="P168" s="521"/>
    </row>
    <row r="169" spans="1:19">
      <c r="A169" s="413" t="s">
        <v>866</v>
      </c>
      <c r="B169" s="482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684" t="s">
        <v>25</v>
      </c>
      <c r="M169" s="685"/>
      <c r="N169" s="504" t="s">
        <v>93</v>
      </c>
      <c r="O169" s="569" t="s">
        <v>334</v>
      </c>
      <c r="P169" s="504" t="s">
        <v>9</v>
      </c>
      <c r="Q169" s="569" t="s">
        <v>335</v>
      </c>
      <c r="R169" s="505" t="s">
        <v>29</v>
      </c>
      <c r="S169" s="531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64"/>
      <c r="L170" s="570"/>
      <c r="M170" s="508"/>
      <c r="N170" s="532"/>
      <c r="O170" s="532"/>
      <c r="P170" s="532"/>
      <c r="Q170" s="510"/>
      <c r="R170" s="498"/>
    </row>
    <row r="171" spans="1:19">
      <c r="A171" s="180" t="s">
        <v>868</v>
      </c>
      <c r="B171" s="477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51">
        <f>C171*16800</f>
        <v>184800</v>
      </c>
      <c r="L171" s="526">
        <f>D171*12800</f>
        <v>0</v>
      </c>
      <c r="M171" s="508">
        <f>E171*12800</f>
        <v>128000</v>
      </c>
      <c r="N171" s="509"/>
      <c r="O171" s="509"/>
      <c r="P171" s="509"/>
      <c r="Q171" s="510"/>
      <c r="R171" s="498">
        <f t="shared" ref="R171:R202" si="59">SUM(K171:Q171)</f>
        <v>312800</v>
      </c>
      <c r="S171" s="496">
        <f>J171*3075</f>
        <v>64575</v>
      </c>
    </row>
    <row r="172" spans="1:19">
      <c r="A172" s="69" t="s">
        <v>869</v>
      </c>
      <c r="B172" s="476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71">
        <f>C172*12800</f>
        <v>25600</v>
      </c>
      <c r="L172" s="570">
        <f>D172*9600</f>
        <v>0</v>
      </c>
      <c r="M172" s="508">
        <f>E172*9600</f>
        <v>38400</v>
      </c>
      <c r="N172" s="532"/>
      <c r="O172" s="532"/>
      <c r="P172" s="532"/>
      <c r="Q172" s="510"/>
      <c r="R172" s="498">
        <f t="shared" si="59"/>
        <v>64000</v>
      </c>
      <c r="S172" s="496">
        <f>J172*3857</f>
        <v>23142</v>
      </c>
    </row>
    <row r="173" spans="1:19">
      <c r="A173" s="69" t="s">
        <v>870</v>
      </c>
      <c r="B173" s="476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71">
        <f>C173*36000</f>
        <v>72000</v>
      </c>
      <c r="L173" s="570">
        <f>D173*33000</f>
        <v>0</v>
      </c>
      <c r="M173" s="508">
        <f>E173*33000</f>
        <v>132000</v>
      </c>
      <c r="N173" s="532"/>
      <c r="O173" s="532"/>
      <c r="P173" s="532"/>
      <c r="Q173" s="510"/>
      <c r="R173" s="498">
        <f t="shared" si="59"/>
        <v>204000</v>
      </c>
      <c r="S173" s="496">
        <f>J173*8619</f>
        <v>51714</v>
      </c>
    </row>
    <row r="174" spans="1:19">
      <c r="A174" s="104" t="s">
        <v>871</v>
      </c>
      <c r="B174" s="476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51">
        <f>C174*28800</f>
        <v>3628800</v>
      </c>
      <c r="L174" s="526">
        <f>D174*26400</f>
        <v>0</v>
      </c>
      <c r="M174" s="508">
        <f>E174*26400</f>
        <v>1135200</v>
      </c>
      <c r="N174" s="509"/>
      <c r="O174" s="509"/>
      <c r="P174" s="509">
        <f>F174*28800</f>
        <v>0</v>
      </c>
      <c r="Q174" s="510"/>
      <c r="R174" s="498">
        <f t="shared" si="59"/>
        <v>4764000</v>
      </c>
      <c r="S174" s="496">
        <f>J174*6704</f>
        <v>1132976</v>
      </c>
    </row>
    <row r="175" spans="1:19">
      <c r="A175" s="104" t="s">
        <v>872</v>
      </c>
      <c r="B175" s="476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51">
        <f>C175*16000</f>
        <v>2096000</v>
      </c>
      <c r="L175" s="526">
        <f>D175*11200</f>
        <v>0</v>
      </c>
      <c r="M175" s="508">
        <f>E175*11200</f>
        <v>593600</v>
      </c>
      <c r="N175" s="509"/>
      <c r="O175" s="532"/>
      <c r="P175" s="509"/>
      <c r="Q175" s="510"/>
      <c r="R175" s="498">
        <f t="shared" si="59"/>
        <v>2689600</v>
      </c>
      <c r="S175" s="496">
        <f>J175*3489</f>
        <v>641976</v>
      </c>
    </row>
    <row r="176" spans="1:19">
      <c r="A176" s="180" t="s">
        <v>873</v>
      </c>
      <c r="B176" s="694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51">
        <f>C176*36800</f>
        <v>552000</v>
      </c>
      <c r="L176" s="526">
        <f>D176*27200</f>
        <v>0</v>
      </c>
      <c r="M176" s="508">
        <f>E176*27200</f>
        <v>408000</v>
      </c>
      <c r="N176" s="509"/>
      <c r="O176" s="509"/>
      <c r="P176" s="509"/>
      <c r="Q176" s="510"/>
      <c r="R176" s="498">
        <f t="shared" si="59"/>
        <v>960000</v>
      </c>
      <c r="S176" s="496">
        <f>J176*6040</f>
        <v>181200</v>
      </c>
    </row>
    <row r="177" spans="1:19">
      <c r="A177" s="180" t="s">
        <v>874</v>
      </c>
      <c r="B177" s="683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51">
        <f>C177*16000</f>
        <v>0</v>
      </c>
      <c r="L177" s="526">
        <f>D177*12800</f>
        <v>0</v>
      </c>
      <c r="M177" s="508">
        <f>E177*12800</f>
        <v>0</v>
      </c>
      <c r="N177" s="509"/>
      <c r="O177" s="509"/>
      <c r="P177" s="509"/>
      <c r="Q177" s="510"/>
      <c r="R177" s="498">
        <f t="shared" si="59"/>
        <v>0</v>
      </c>
      <c r="S177" s="496">
        <f>J177*4212</f>
        <v>0</v>
      </c>
    </row>
    <row r="178" spans="1:19">
      <c r="A178" s="180" t="s">
        <v>875</v>
      </c>
      <c r="B178" s="477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51">
        <f>C178*28000</f>
        <v>0</v>
      </c>
      <c r="L178" s="526">
        <f>D178*19600</f>
        <v>0</v>
      </c>
      <c r="M178" s="508">
        <f>E178*19600</f>
        <v>0</v>
      </c>
      <c r="N178" s="509"/>
      <c r="O178" s="509"/>
      <c r="P178" s="509"/>
      <c r="Q178" s="510"/>
      <c r="R178" s="498">
        <f t="shared" si="59"/>
        <v>0</v>
      </c>
      <c r="S178" s="496">
        <f>J178*6097</f>
        <v>0</v>
      </c>
    </row>
    <row r="179" spans="1:19">
      <c r="A179" s="180" t="s">
        <v>876</v>
      </c>
      <c r="B179" s="477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51">
        <f>C179*31000</f>
        <v>124000</v>
      </c>
      <c r="L179" s="526">
        <f>D179*19800</f>
        <v>0</v>
      </c>
      <c r="M179" s="508">
        <f>E179*19800</f>
        <v>59400</v>
      </c>
      <c r="N179" s="509"/>
      <c r="O179" s="509"/>
      <c r="P179" s="509"/>
      <c r="Q179" s="510"/>
      <c r="R179" s="498">
        <f t="shared" si="59"/>
        <v>183400</v>
      </c>
      <c r="S179" s="496">
        <f>J179*6612</f>
        <v>46284</v>
      </c>
    </row>
    <row r="180" spans="1:19" s="388" customFormat="1">
      <c r="A180" s="256" t="s">
        <v>877</v>
      </c>
      <c r="B180" s="477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72">
        <f>C180*27200</f>
        <v>190400</v>
      </c>
      <c r="L180" s="526">
        <f>D180*20000</f>
        <v>0</v>
      </c>
      <c r="M180" s="508">
        <f>E180*20000</f>
        <v>20000</v>
      </c>
      <c r="N180" s="509"/>
      <c r="O180" s="509"/>
      <c r="P180" s="509"/>
      <c r="Q180" s="510"/>
      <c r="R180" s="573">
        <f t="shared" si="59"/>
        <v>210400</v>
      </c>
      <c r="S180" s="574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51">
        <f>C181*16000</f>
        <v>128000</v>
      </c>
      <c r="L181" s="526">
        <f>D181*12000</f>
        <v>0</v>
      </c>
      <c r="M181" s="508">
        <f>E181*12000</f>
        <v>84000</v>
      </c>
      <c r="N181" s="509"/>
      <c r="O181" s="509"/>
      <c r="P181" s="509"/>
      <c r="Q181" s="510"/>
      <c r="R181" s="498">
        <f t="shared" si="59"/>
        <v>212000</v>
      </c>
      <c r="S181" s="496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51">
        <f>C182*19000</f>
        <v>114000</v>
      </c>
      <c r="L182" s="526">
        <f>D182*13000</f>
        <v>0</v>
      </c>
      <c r="M182" s="508">
        <f>E182*13000</f>
        <v>0</v>
      </c>
      <c r="N182" s="509"/>
      <c r="O182" s="509"/>
      <c r="P182" s="509"/>
      <c r="Q182" s="510"/>
      <c r="R182" s="498">
        <f t="shared" si="59"/>
        <v>114000</v>
      </c>
      <c r="S182" s="496">
        <f>J182*3677</f>
        <v>22062</v>
      </c>
    </row>
    <row r="183" spans="1:19">
      <c r="A183" s="256" t="s">
        <v>880</v>
      </c>
      <c r="B183" s="477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51">
        <f>C183*16000</f>
        <v>0</v>
      </c>
      <c r="L183" s="526">
        <f>D183*12000</f>
        <v>0</v>
      </c>
      <c r="M183" s="508">
        <f>E183*12000</f>
        <v>0</v>
      </c>
      <c r="N183" s="509"/>
      <c r="O183" s="509"/>
      <c r="P183" s="509"/>
      <c r="Q183" s="510"/>
      <c r="R183" s="498">
        <f t="shared" si="59"/>
        <v>0</v>
      </c>
      <c r="S183" s="496">
        <f>J183*4716</f>
        <v>0</v>
      </c>
    </row>
    <row r="184" spans="1:19" s="221" customFormat="1">
      <c r="A184" s="220" t="s">
        <v>881</v>
      </c>
      <c r="B184" s="476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51">
        <f>C184*26880</f>
        <v>0</v>
      </c>
      <c r="L184" s="526">
        <f>D184*26400</f>
        <v>0</v>
      </c>
      <c r="M184" s="508">
        <f>E184*26400</f>
        <v>0</v>
      </c>
      <c r="N184" s="509"/>
      <c r="O184" s="509"/>
      <c r="P184" s="509">
        <f>H184*26880</f>
        <v>0</v>
      </c>
      <c r="Q184" s="510"/>
      <c r="R184" s="498">
        <f t="shared" si="59"/>
        <v>0</v>
      </c>
      <c r="S184" s="496">
        <f>J184*8712</f>
        <v>0</v>
      </c>
    </row>
    <row r="185" spans="1:19">
      <c r="A185" s="104" t="s">
        <v>882</v>
      </c>
      <c r="B185" s="476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51">
        <f>C185*30400</f>
        <v>243200</v>
      </c>
      <c r="L185" s="526">
        <f>D185*25600</f>
        <v>0</v>
      </c>
      <c r="M185" s="508">
        <f>E185*25600</f>
        <v>102400</v>
      </c>
      <c r="N185" s="509"/>
      <c r="O185" s="509"/>
      <c r="P185" s="509"/>
      <c r="Q185" s="510"/>
      <c r="R185" s="498">
        <f t="shared" si="59"/>
        <v>345600</v>
      </c>
      <c r="S185" s="496">
        <f>J185*5760</f>
        <v>69120</v>
      </c>
    </row>
    <row r="186" spans="1:19">
      <c r="A186" s="104" t="s">
        <v>883</v>
      </c>
      <c r="B186" s="476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51">
        <f>C186*17600</f>
        <v>193600</v>
      </c>
      <c r="L186" s="526">
        <f>D186*14400</f>
        <v>0</v>
      </c>
      <c r="M186" s="575">
        <f>E186*14400</f>
        <v>0</v>
      </c>
      <c r="N186" s="556"/>
      <c r="O186" s="509"/>
      <c r="P186" s="509"/>
      <c r="Q186" s="510"/>
      <c r="R186" s="498">
        <f t="shared" si="59"/>
        <v>193600</v>
      </c>
      <c r="S186" s="496">
        <f>J186*3867</f>
        <v>42537</v>
      </c>
    </row>
    <row r="187" spans="1:19">
      <c r="A187" s="104" t="s">
        <v>364</v>
      </c>
      <c r="B187" s="476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51">
        <f>C187*64800</f>
        <v>0</v>
      </c>
      <c r="L187" s="526">
        <f>D187*51840</f>
        <v>0</v>
      </c>
      <c r="M187" s="508">
        <f>E187*51840</f>
        <v>0</v>
      </c>
      <c r="N187" s="509">
        <f>F187*45360</f>
        <v>0</v>
      </c>
      <c r="O187" s="509"/>
      <c r="P187" s="509">
        <f>H187*45360</f>
        <v>0</v>
      </c>
      <c r="Q187" s="510"/>
      <c r="R187" s="498">
        <f t="shared" si="59"/>
        <v>0</v>
      </c>
      <c r="S187" s="496">
        <f>J187*20308</f>
        <v>0</v>
      </c>
    </row>
    <row r="188" spans="1:19">
      <c r="A188" s="180" t="s">
        <v>884</v>
      </c>
      <c r="B188" s="476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51">
        <f>C188*11000</f>
        <v>4213000</v>
      </c>
      <c r="L188" s="526">
        <f>D188*9900</f>
        <v>198000</v>
      </c>
      <c r="M188" s="508">
        <f>E188*8800</f>
        <v>1056000</v>
      </c>
      <c r="N188" s="509"/>
      <c r="O188" s="509">
        <f>F188*11000</f>
        <v>0</v>
      </c>
      <c r="P188" s="509">
        <f>H188*11000</f>
        <v>0</v>
      </c>
      <c r="Q188" s="510"/>
      <c r="R188" s="498">
        <f t="shared" si="59"/>
        <v>5467000</v>
      </c>
      <c r="S188" s="496">
        <f>J188*2006</f>
        <v>1049138</v>
      </c>
    </row>
    <row r="189" spans="1:19">
      <c r="A189" s="104" t="s">
        <v>885</v>
      </c>
      <c r="B189" s="476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51">
        <f>C189*16000</f>
        <v>80000</v>
      </c>
      <c r="L189" s="526">
        <f>D189*12000</f>
        <v>0</v>
      </c>
      <c r="M189" s="508">
        <f>E189*12000</f>
        <v>12000</v>
      </c>
      <c r="N189" s="509"/>
      <c r="O189" s="509">
        <f>F189*12800</f>
        <v>25600</v>
      </c>
      <c r="P189" s="509"/>
      <c r="Q189" s="510"/>
      <c r="R189" s="498">
        <f t="shared" si="59"/>
        <v>117600</v>
      </c>
      <c r="S189" s="496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56">
        <f>C190*1800</f>
        <v>270000</v>
      </c>
      <c r="L190" s="526">
        <f>D190*1600</f>
        <v>0</v>
      </c>
      <c r="M190" s="508">
        <f>E190*1600</f>
        <v>320000</v>
      </c>
      <c r="N190" s="509"/>
      <c r="O190" s="509">
        <f>F190*1600</f>
        <v>16000</v>
      </c>
      <c r="P190" s="509"/>
      <c r="Q190" s="510"/>
      <c r="R190" s="498">
        <f t="shared" si="59"/>
        <v>606000</v>
      </c>
      <c r="S190" s="496">
        <f>J190*818</f>
        <v>294480</v>
      </c>
    </row>
    <row r="191" spans="1:19">
      <c r="A191" s="104" t="s">
        <v>887</v>
      </c>
      <c r="B191" s="476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51">
        <f>C191*2000</f>
        <v>150000</v>
      </c>
      <c r="L191" s="526">
        <f>D191*1600</f>
        <v>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9"/>
        <v>150000</v>
      </c>
      <c r="S191" s="496">
        <f>J191*863</f>
        <v>64725</v>
      </c>
    </row>
    <row r="192" spans="1:19">
      <c r="A192" s="104" t="s">
        <v>888</v>
      </c>
      <c r="B192" s="476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51">
        <f>C192*24000</f>
        <v>456000</v>
      </c>
      <c r="L192" s="526"/>
      <c r="M192" s="508">
        <f>E192*18000</f>
        <v>540000</v>
      </c>
      <c r="N192" s="509"/>
      <c r="O192" s="509"/>
      <c r="P192" s="509"/>
      <c r="Q192" s="510"/>
      <c r="R192" s="498">
        <f t="shared" si="59"/>
        <v>996000</v>
      </c>
      <c r="S192" s="496">
        <f>J192*3853</f>
        <v>188797</v>
      </c>
    </row>
    <row r="193" spans="1:19">
      <c r="A193" s="104" t="s">
        <v>889</v>
      </c>
      <c r="B193" s="476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51">
        <f>C193*19200</f>
        <v>480000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9"/>
        <v>480000</v>
      </c>
      <c r="S193" s="496">
        <f>J193*4062</f>
        <v>101550</v>
      </c>
    </row>
    <row r="194" spans="1:19">
      <c r="A194" s="104" t="s">
        <v>890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9"/>
        <v>0</v>
      </c>
      <c r="S194" s="496">
        <f>J194*7146</f>
        <v>0</v>
      </c>
    </row>
    <row r="195" spans="1:19">
      <c r="A195" s="104" t="s">
        <v>891</v>
      </c>
      <c r="B195" s="476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C195*44000</f>
        <v>0</v>
      </c>
      <c r="L195" s="526"/>
      <c r="M195" s="508">
        <f>E195*30800</f>
        <v>0</v>
      </c>
      <c r="N195" s="509"/>
      <c r="O195" s="509"/>
      <c r="P195" s="509"/>
      <c r="Q195" s="510"/>
      <c r="R195" s="498">
        <f t="shared" si="59"/>
        <v>0</v>
      </c>
      <c r="S195" s="496">
        <f>J195*6987</f>
        <v>0</v>
      </c>
    </row>
    <row r="196" spans="1:19">
      <c r="A196" s="104" t="s">
        <v>893</v>
      </c>
      <c r="B196" s="476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C196*16000</f>
        <v>0</v>
      </c>
      <c r="L196" s="526"/>
      <c r="M196" s="508">
        <f>E196*12800</f>
        <v>0</v>
      </c>
      <c r="N196" s="509"/>
      <c r="O196" s="509"/>
      <c r="P196" s="509"/>
      <c r="Q196" s="510"/>
      <c r="R196" s="498">
        <f t="shared" si="59"/>
        <v>0</v>
      </c>
      <c r="S196" s="496">
        <f>J196*2978</f>
        <v>0</v>
      </c>
    </row>
    <row r="197" spans="1:19">
      <c r="A197" s="104" t="s">
        <v>895</v>
      </c>
      <c r="B197" s="476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51">
        <f>C197*19200</f>
        <v>38400</v>
      </c>
      <c r="L197" s="526"/>
      <c r="M197" s="508">
        <f>E197*11000</f>
        <v>0</v>
      </c>
      <c r="N197" s="509"/>
      <c r="O197" s="509"/>
      <c r="P197" s="509"/>
      <c r="Q197" s="510"/>
      <c r="R197" s="498">
        <f t="shared" si="59"/>
        <v>38400</v>
      </c>
      <c r="S197" s="496">
        <f>J197*4314</f>
        <v>8628</v>
      </c>
    </row>
    <row r="198" spans="1:19">
      <c r="A198" s="104" t="s">
        <v>896</v>
      </c>
      <c r="B198" s="476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51">
        <f>C198*9000</f>
        <v>9000</v>
      </c>
      <c r="L198" s="526"/>
      <c r="M198" s="508">
        <f>E198*6600</f>
        <v>0</v>
      </c>
      <c r="N198" s="509"/>
      <c r="O198" s="509"/>
      <c r="P198" s="509"/>
      <c r="Q198" s="510"/>
      <c r="R198" s="498">
        <f t="shared" si="59"/>
        <v>9000</v>
      </c>
      <c r="S198" s="496">
        <f>J198*3131</f>
        <v>3131</v>
      </c>
    </row>
    <row r="199" spans="1:19">
      <c r="A199" s="104" t="s">
        <v>897</v>
      </c>
      <c r="B199" s="476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51">
        <f>C199*5500</f>
        <v>110000</v>
      </c>
      <c r="L199" s="551">
        <f>D199*5500</f>
        <v>0</v>
      </c>
      <c r="M199" s="508">
        <f>E199*5500</f>
        <v>0</v>
      </c>
      <c r="N199" s="509"/>
      <c r="O199" s="509"/>
      <c r="P199" s="509"/>
      <c r="Q199" s="510"/>
      <c r="R199" s="498">
        <f t="shared" si="59"/>
        <v>110000</v>
      </c>
      <c r="S199" s="496">
        <f>J199*2426</f>
        <v>48520</v>
      </c>
    </row>
    <row r="200" spans="1:19">
      <c r="A200" s="104" t="s">
        <v>380</v>
      </c>
      <c r="B200" s="476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51">
        <f>C200*14500</f>
        <v>87000</v>
      </c>
      <c r="L200" s="551">
        <f>D200*14500</f>
        <v>0</v>
      </c>
      <c r="M200" s="508">
        <f>E200*12100</f>
        <v>0</v>
      </c>
      <c r="N200" s="509"/>
      <c r="O200" s="509"/>
      <c r="P200" s="509"/>
      <c r="Q200" s="510"/>
      <c r="R200" s="498">
        <f t="shared" si="59"/>
        <v>87000</v>
      </c>
      <c r="S200" s="496">
        <f>J200*5557</f>
        <v>33342</v>
      </c>
    </row>
    <row r="201" spans="1:19" s="495" customFormat="1">
      <c r="A201" s="104" t="s">
        <v>898</v>
      </c>
      <c r="B201" s="682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51">
        <f>C201*12000</f>
        <v>48000</v>
      </c>
      <c r="L201" s="526">
        <f>D201*9900</f>
        <v>0</v>
      </c>
      <c r="M201" s="508">
        <f>E201*9900</f>
        <v>0</v>
      </c>
      <c r="N201" s="509"/>
      <c r="O201" s="509">
        <f>F201*7200</f>
        <v>0</v>
      </c>
      <c r="P201" s="509"/>
      <c r="Q201" s="510"/>
      <c r="R201" s="498">
        <f t="shared" si="59"/>
        <v>48000</v>
      </c>
      <c r="S201" s="496">
        <f>J201*2633</f>
        <v>10532</v>
      </c>
    </row>
    <row r="202" spans="1:19" s="495" customFormat="1">
      <c r="A202" s="180" t="s">
        <v>899</v>
      </c>
      <c r="B202" s="683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95">
        <f>C202*14000</f>
        <v>14000</v>
      </c>
      <c r="L202" s="526">
        <f>D202*11600</f>
        <v>0</v>
      </c>
      <c r="M202" s="508">
        <f>E202*11600</f>
        <v>0</v>
      </c>
      <c r="N202" s="509"/>
      <c r="O202" s="509">
        <f>F202*8400</f>
        <v>0</v>
      </c>
      <c r="P202" s="509"/>
      <c r="Q202" s="510"/>
      <c r="R202" s="498">
        <f t="shared" si="59"/>
        <v>14000</v>
      </c>
      <c r="S202" s="496">
        <f>J202*3569</f>
        <v>3569</v>
      </c>
    </row>
    <row r="203" spans="1:19" s="495" customFormat="1">
      <c r="A203" s="104" t="s">
        <v>900</v>
      </c>
      <c r="B203" s="476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95">
        <f>C203*16500</f>
        <v>1369500</v>
      </c>
      <c r="L203" s="526"/>
      <c r="M203" s="508">
        <f>E203*12500</f>
        <v>525000</v>
      </c>
      <c r="N203" s="509"/>
      <c r="O203" s="509"/>
      <c r="P203" s="509"/>
      <c r="Q203" s="532"/>
      <c r="R203" s="498">
        <f t="shared" ref="R203:R234" si="60">SUM(K203:Q203)</f>
        <v>1894500</v>
      </c>
      <c r="S203" s="496">
        <f>J203*3069</f>
        <v>383625</v>
      </c>
    </row>
    <row r="204" spans="1:19" s="495" customFormat="1">
      <c r="A204" s="104" t="s">
        <v>901</v>
      </c>
      <c r="B204" s="476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95">
        <f>C204*18000</f>
        <v>594000</v>
      </c>
      <c r="L204" s="526"/>
      <c r="M204" s="508">
        <f>E204*13200</f>
        <v>224400</v>
      </c>
      <c r="N204" s="509">
        <f>F204*18000</f>
        <v>0</v>
      </c>
      <c r="O204" s="509"/>
      <c r="P204" s="509"/>
      <c r="Q204" s="510"/>
      <c r="R204" s="498">
        <f t="shared" si="60"/>
        <v>818400</v>
      </c>
      <c r="S204" s="496">
        <f>J204*3147</f>
        <v>157350</v>
      </c>
    </row>
    <row r="205" spans="1:19" s="495" customFormat="1">
      <c r="A205" s="104" t="s">
        <v>902</v>
      </c>
      <c r="B205" s="476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95">
        <f>C205*12000</f>
        <v>96000</v>
      </c>
      <c r="L205" s="526"/>
      <c r="M205" s="508">
        <f>E205*9600</f>
        <v>19200</v>
      </c>
      <c r="N205" s="509">
        <f>F205*12000</f>
        <v>0</v>
      </c>
      <c r="O205" s="509">
        <f>G205*9600</f>
        <v>0</v>
      </c>
      <c r="P205" s="509"/>
      <c r="Q205" s="510"/>
      <c r="R205" s="498">
        <f t="shared" si="60"/>
        <v>115200</v>
      </c>
      <c r="S205" s="496">
        <f>J205*2740</f>
        <v>27400</v>
      </c>
    </row>
    <row r="206" spans="1:19" s="495" customFormat="1">
      <c r="A206" s="104" t="s">
        <v>903</v>
      </c>
      <c r="B206" s="682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51">
        <f>C206*6600</f>
        <v>184800</v>
      </c>
      <c r="L206" s="526"/>
      <c r="M206" s="508">
        <f>E206*5500</f>
        <v>0</v>
      </c>
      <c r="N206" s="509"/>
      <c r="O206" s="509">
        <f>F206*5300</f>
        <v>10600</v>
      </c>
      <c r="P206" s="509"/>
      <c r="Q206" s="532">
        <f>I206*4620</f>
        <v>9240</v>
      </c>
      <c r="R206" s="498">
        <f t="shared" si="60"/>
        <v>204640</v>
      </c>
      <c r="S206" s="496">
        <f>J206*2573</f>
        <v>82336</v>
      </c>
    </row>
    <row r="207" spans="1:19" s="495" customFormat="1">
      <c r="A207" s="104" t="s">
        <v>904</v>
      </c>
      <c r="B207" s="683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51">
        <f>C207*6600</f>
        <v>204600</v>
      </c>
      <c r="L207" s="526"/>
      <c r="M207" s="508">
        <f>E207*5500</f>
        <v>0</v>
      </c>
      <c r="N207" s="509"/>
      <c r="O207" s="509">
        <f>F207*5300</f>
        <v>10600</v>
      </c>
      <c r="P207" s="509"/>
      <c r="Q207" s="532">
        <f>I207*4620</f>
        <v>9240</v>
      </c>
      <c r="R207" s="498">
        <f t="shared" si="60"/>
        <v>224440</v>
      </c>
      <c r="S207" s="496">
        <f>J207*3222</f>
        <v>112770</v>
      </c>
    </row>
    <row r="208" spans="1:19" s="495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26"/>
      <c r="M208" s="508">
        <f>E208*180000</f>
        <v>0</v>
      </c>
      <c r="N208" s="509"/>
      <c r="O208" s="509"/>
      <c r="P208" s="509"/>
      <c r="Q208" s="510"/>
      <c r="R208" s="498">
        <f t="shared" si="60"/>
        <v>0</v>
      </c>
      <c r="S208" s="496">
        <f>J208*63000</f>
        <v>0</v>
      </c>
    </row>
    <row r="209" spans="1:19" s="495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26"/>
      <c r="M209" s="508">
        <f>E209*180000</f>
        <v>0</v>
      </c>
      <c r="N209" s="509"/>
      <c r="O209" s="509"/>
      <c r="P209" s="509"/>
      <c r="Q209" s="510"/>
      <c r="R209" s="498">
        <f t="shared" si="60"/>
        <v>0</v>
      </c>
      <c r="S209" s="496">
        <f>J209*90000</f>
        <v>0</v>
      </c>
    </row>
    <row r="210" spans="1:19" s="495" customFormat="1">
      <c r="A210" s="180" t="s">
        <v>905</v>
      </c>
      <c r="B210" s="476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95">
        <f>C210*28000</f>
        <v>56000</v>
      </c>
      <c r="L210" s="526"/>
      <c r="M210" s="508">
        <f>E210*22400</f>
        <v>44800</v>
      </c>
      <c r="N210" s="509"/>
      <c r="O210" s="509"/>
      <c r="P210" s="509"/>
      <c r="Q210" s="510"/>
      <c r="R210" s="498">
        <f t="shared" si="60"/>
        <v>100800</v>
      </c>
      <c r="S210" s="496">
        <f>J210*4618</f>
        <v>18472</v>
      </c>
    </row>
    <row r="211" spans="1:19" s="495" customFormat="1">
      <c r="A211" s="180" t="s">
        <v>906</v>
      </c>
      <c r="B211" s="476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95">
        <f>C211*27000</f>
        <v>54000</v>
      </c>
      <c r="L211" s="526"/>
      <c r="M211" s="508">
        <f>E211*21600</f>
        <v>43200</v>
      </c>
      <c r="N211" s="509"/>
      <c r="O211" s="509"/>
      <c r="P211" s="509"/>
      <c r="Q211" s="510"/>
      <c r="R211" s="498">
        <f t="shared" si="60"/>
        <v>97200</v>
      </c>
      <c r="S211" s="496">
        <f>J211*4063</f>
        <v>16252</v>
      </c>
    </row>
    <row r="212" spans="1:19" s="495" customFormat="1">
      <c r="A212" s="180" t="s">
        <v>907</v>
      </c>
      <c r="B212" s="476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95">
        <f>C212*27000</f>
        <v>0</v>
      </c>
      <c r="L212" s="526"/>
      <c r="M212" s="508">
        <f>E212*21600</f>
        <v>0</v>
      </c>
      <c r="N212" s="509"/>
      <c r="O212" s="509"/>
      <c r="P212" s="509"/>
      <c r="Q212" s="510"/>
      <c r="R212" s="498">
        <f t="shared" si="60"/>
        <v>0</v>
      </c>
      <c r="S212" s="496">
        <f>J212*3601</f>
        <v>0</v>
      </c>
    </row>
    <row r="213" spans="1:19" s="495" customFormat="1">
      <c r="A213" s="104" t="s">
        <v>909</v>
      </c>
      <c r="B213" s="476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95">
        <f>C213*28000</f>
        <v>336000</v>
      </c>
      <c r="L213" s="526"/>
      <c r="M213" s="508"/>
      <c r="N213" s="509">
        <f>F213*19600</f>
        <v>0</v>
      </c>
      <c r="O213" s="509"/>
      <c r="P213" s="509">
        <f>H213*22400</f>
        <v>0</v>
      </c>
      <c r="Q213" s="510"/>
      <c r="R213" s="498">
        <f t="shared" si="60"/>
        <v>336000</v>
      </c>
      <c r="S213" s="496">
        <f>J213*6493</f>
        <v>77916</v>
      </c>
    </row>
    <row r="214" spans="1:19" s="495" customFormat="1">
      <c r="A214" s="104" t="s">
        <v>910</v>
      </c>
      <c r="B214" s="476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95">
        <f>C214*28000</f>
        <v>252000</v>
      </c>
      <c r="L214" s="526"/>
      <c r="M214" s="508"/>
      <c r="N214" s="509">
        <f>F214*19600</f>
        <v>0</v>
      </c>
      <c r="O214" s="509"/>
      <c r="P214" s="509">
        <f>H214*22400</f>
        <v>0</v>
      </c>
      <c r="Q214" s="510"/>
      <c r="R214" s="498">
        <f t="shared" si="60"/>
        <v>252000</v>
      </c>
      <c r="S214" s="496">
        <f>J214*6900</f>
        <v>62100</v>
      </c>
    </row>
    <row r="215" spans="1:19" s="495" customFormat="1">
      <c r="A215" s="104" t="s">
        <v>911</v>
      </c>
      <c r="B215" s="476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95">
        <f>C215*22000</f>
        <v>22000</v>
      </c>
      <c r="L215" s="526"/>
      <c r="M215" s="508"/>
      <c r="N215" s="509">
        <f>F215*17100</f>
        <v>0</v>
      </c>
      <c r="O215" s="509"/>
      <c r="P215" s="509"/>
      <c r="Q215" s="510"/>
      <c r="R215" s="498">
        <f t="shared" si="60"/>
        <v>22000</v>
      </c>
      <c r="S215" s="496">
        <f>J215*2573</f>
        <v>2573</v>
      </c>
    </row>
    <row r="216" spans="1:19" s="495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95">
        <f>C216*22000</f>
        <v>0</v>
      </c>
      <c r="L216" s="526"/>
      <c r="M216" s="508"/>
      <c r="N216" s="509">
        <f>F216*17600</f>
        <v>0</v>
      </c>
      <c r="O216" s="509"/>
      <c r="P216" s="509"/>
      <c r="Q216" s="510"/>
      <c r="R216" s="498">
        <f t="shared" si="60"/>
        <v>0</v>
      </c>
      <c r="S216" s="496">
        <f>J216*4950</f>
        <v>0</v>
      </c>
    </row>
    <row r="217" spans="1:19" s="495" customFormat="1" ht="16.5" customHeight="1">
      <c r="A217" s="104" t="s">
        <v>404</v>
      </c>
      <c r="B217" s="689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95">
        <f>C217*12000</f>
        <v>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0</v>
      </c>
      <c r="Q217" s="510"/>
      <c r="R217" s="498">
        <f t="shared" si="60"/>
        <v>0</v>
      </c>
      <c r="S217" s="496">
        <f>J217*2645</f>
        <v>0</v>
      </c>
    </row>
    <row r="218" spans="1:19" s="495" customFormat="1">
      <c r="A218" s="104" t="s">
        <v>406</v>
      </c>
      <c r="B218" s="683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0"/>
        <v>0</v>
      </c>
      <c r="S218" s="496">
        <f>J218*5981</f>
        <v>0</v>
      </c>
    </row>
    <row r="219" spans="1:19" ht="16.5" customHeight="1">
      <c r="A219" s="104" t="s">
        <v>913</v>
      </c>
      <c r="B219" s="689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95">
        <f>C219*12000</f>
        <v>24000</v>
      </c>
      <c r="L219" s="526"/>
      <c r="M219" s="508">
        <f>E219*12000</f>
        <v>0</v>
      </c>
      <c r="N219" s="509">
        <f>F219*9600</f>
        <v>0</v>
      </c>
      <c r="O219" s="509"/>
      <c r="P219" s="509">
        <f>H219*12000</f>
        <v>0</v>
      </c>
      <c r="Q219" s="510"/>
      <c r="R219" s="498">
        <f t="shared" si="60"/>
        <v>24000</v>
      </c>
      <c r="S219" s="496">
        <f>J219*2718</f>
        <v>5436</v>
      </c>
    </row>
    <row r="220" spans="1:19">
      <c r="A220" s="104" t="s">
        <v>914</v>
      </c>
      <c r="B220" s="683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95">
        <f>C220*48000</f>
        <v>240000</v>
      </c>
      <c r="L220" s="526"/>
      <c r="M220" s="508">
        <f>E220*48000</f>
        <v>0</v>
      </c>
      <c r="N220" s="509">
        <f>F220*38400</f>
        <v>0</v>
      </c>
      <c r="O220" s="509"/>
      <c r="P220" s="509"/>
      <c r="Q220" s="510"/>
      <c r="R220" s="498">
        <f t="shared" si="60"/>
        <v>240000</v>
      </c>
      <c r="S220" s="496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95">
        <f>C221*18000</f>
        <v>0</v>
      </c>
      <c r="L221" s="526"/>
      <c r="M221" s="508"/>
      <c r="N221" s="509">
        <f>F221*14400</f>
        <v>0</v>
      </c>
      <c r="O221" s="509"/>
      <c r="P221" s="509"/>
      <c r="Q221" s="510"/>
      <c r="R221" s="498">
        <f t="shared" si="60"/>
        <v>0</v>
      </c>
      <c r="S221" s="496">
        <f>J221*3129</f>
        <v>0</v>
      </c>
    </row>
    <row r="222" spans="1:19" ht="16.5" customHeight="1">
      <c r="A222" s="104" t="s">
        <v>916</v>
      </c>
      <c r="B222" s="689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95">
        <f>C222*18000</f>
        <v>414000</v>
      </c>
      <c r="L222" s="526"/>
      <c r="M222" s="508">
        <f>E222*18000</f>
        <v>0</v>
      </c>
      <c r="N222" s="509">
        <f>F222*14400</f>
        <v>14400</v>
      </c>
      <c r="O222" s="509"/>
      <c r="P222" s="509">
        <f>H222*18000</f>
        <v>0</v>
      </c>
      <c r="Q222" s="510"/>
      <c r="R222" s="498">
        <f t="shared" si="60"/>
        <v>428400</v>
      </c>
      <c r="S222" s="496">
        <f>J222*2748</f>
        <v>65952</v>
      </c>
    </row>
    <row r="223" spans="1:19">
      <c r="A223" s="104" t="s">
        <v>917</v>
      </c>
      <c r="B223" s="688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95">
        <f>C223*36000</f>
        <v>180000</v>
      </c>
      <c r="L223" s="526"/>
      <c r="M223" s="508">
        <f>E223*36000</f>
        <v>0</v>
      </c>
      <c r="N223" s="509">
        <f>F223*28800</f>
        <v>0</v>
      </c>
      <c r="O223" s="509"/>
      <c r="P223" s="509">
        <f>H223*36000</f>
        <v>0</v>
      </c>
      <c r="Q223" s="510"/>
      <c r="R223" s="498">
        <f t="shared" si="60"/>
        <v>180000</v>
      </c>
      <c r="S223" s="496">
        <f>J223*4960</f>
        <v>24800</v>
      </c>
    </row>
    <row r="224" spans="1:19">
      <c r="A224" s="104" t="s">
        <v>918</v>
      </c>
      <c r="B224" s="683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95">
        <f>C224*90000</f>
        <v>270000</v>
      </c>
      <c r="L224" s="526"/>
      <c r="M224" s="508">
        <f>E224*90000</f>
        <v>0</v>
      </c>
      <c r="N224" s="509">
        <f>F224*72000</f>
        <v>72000</v>
      </c>
      <c r="O224" s="509"/>
      <c r="P224" s="509"/>
      <c r="Q224" s="510"/>
      <c r="R224" s="498">
        <f t="shared" si="60"/>
        <v>342000</v>
      </c>
      <c r="S224" s="496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76">
        <f t="shared" ref="K225:S225" si="62">SUM(K170:K224)</f>
        <v>17804700</v>
      </c>
      <c r="L225" s="577">
        <f t="shared" si="62"/>
        <v>198000</v>
      </c>
      <c r="M225" s="578">
        <f t="shared" si="62"/>
        <v>5485600</v>
      </c>
      <c r="N225" s="579">
        <f t="shared" si="62"/>
        <v>86400</v>
      </c>
      <c r="O225" s="579">
        <f t="shared" si="62"/>
        <v>62800</v>
      </c>
      <c r="P225" s="579">
        <f t="shared" si="62"/>
        <v>0</v>
      </c>
      <c r="Q225" s="576">
        <f t="shared" si="62"/>
        <v>18480</v>
      </c>
      <c r="R225" s="580">
        <f t="shared" si="62"/>
        <v>23655980</v>
      </c>
      <c r="S225" s="580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81"/>
      <c r="L226" s="582"/>
      <c r="M226" s="583"/>
      <c r="N226" s="584"/>
      <c r="O226" s="584"/>
      <c r="P226" s="584"/>
      <c r="Q226" s="581"/>
      <c r="R226" s="585"/>
      <c r="S226" s="585"/>
    </row>
    <row r="227" spans="1:19" ht="24" customHeight="1">
      <c r="A227" s="107" t="s">
        <v>417</v>
      </c>
      <c r="C227" s="108" t="s">
        <v>418</v>
      </c>
      <c r="D227" s="692"/>
      <c r="E227" s="227"/>
      <c r="F227" s="5" t="s">
        <v>420</v>
      </c>
      <c r="G227" s="9" t="s">
        <v>421</v>
      </c>
      <c r="H227" s="10"/>
      <c r="I227" s="112"/>
      <c r="J227" s="96"/>
      <c r="K227" s="525"/>
      <c r="P227" s="521"/>
    </row>
    <row r="228" spans="1:19" ht="17.25" customHeight="1">
      <c r="A228" s="107"/>
      <c r="C228" s="406" t="s">
        <v>422</v>
      </c>
      <c r="D228" s="688"/>
      <c r="E228" s="294"/>
      <c r="F228" s="293"/>
      <c r="G228" s="14"/>
      <c r="H228" s="369"/>
      <c r="I228" s="361"/>
      <c r="J228" s="14"/>
      <c r="K228" s="308"/>
      <c r="P228" s="521"/>
    </row>
    <row r="229" spans="1:19" ht="21.75" customHeight="1">
      <c r="A229" s="107"/>
      <c r="C229" s="406" t="s">
        <v>423</v>
      </c>
      <c r="D229" s="688"/>
      <c r="E229" s="294"/>
      <c r="F229" s="292" t="s">
        <v>419</v>
      </c>
      <c r="G229" s="387"/>
      <c r="H229" s="14"/>
      <c r="I229" s="361"/>
      <c r="J229" s="230"/>
      <c r="K229" s="231"/>
      <c r="P229" s="521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503" t="s">
        <v>4</v>
      </c>
      <c r="L230" s="684" t="s">
        <v>431</v>
      </c>
      <c r="M230" s="685"/>
      <c r="N230" s="685"/>
      <c r="O230" s="586"/>
      <c r="P230" s="587"/>
      <c r="Q230" s="588" t="s">
        <v>432</v>
      </c>
      <c r="R230" s="505" t="s">
        <v>29</v>
      </c>
      <c r="S230" s="531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51">
        <f>C231*12000</f>
        <v>1320000</v>
      </c>
      <c r="L231" s="526">
        <f>D231*9900</f>
        <v>0</v>
      </c>
      <c r="M231" s="575">
        <f>F231*9900</f>
        <v>158400</v>
      </c>
      <c r="N231" s="508"/>
      <c r="O231" s="589"/>
      <c r="P231" s="590"/>
      <c r="Q231" s="510">
        <f>H231*12000</f>
        <v>0</v>
      </c>
      <c r="R231" s="496">
        <f>SUM(K231:Q231)</f>
        <v>1478400</v>
      </c>
      <c r="S231" s="496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51">
        <f>C232*22000</f>
        <v>2728000</v>
      </c>
      <c r="L232" s="526">
        <f>D232*18000</f>
        <v>0</v>
      </c>
      <c r="M232" s="575">
        <f>F232*18000</f>
        <v>504000</v>
      </c>
      <c r="N232" s="508"/>
      <c r="O232" s="589"/>
      <c r="P232" s="590"/>
      <c r="Q232" s="510">
        <f>H232*22000</f>
        <v>0</v>
      </c>
      <c r="R232" s="496">
        <f>SUM(K232:Q232)</f>
        <v>3232000</v>
      </c>
      <c r="S232" s="496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51">
        <f>C233*16500</f>
        <v>511500</v>
      </c>
      <c r="L233" s="526">
        <f>D233*13200</f>
        <v>0</v>
      </c>
      <c r="M233" s="575">
        <f>F233*13200</f>
        <v>0</v>
      </c>
      <c r="N233" s="508"/>
      <c r="O233" s="589"/>
      <c r="P233" s="590"/>
      <c r="Q233" s="510">
        <f>H233*13200</f>
        <v>0</v>
      </c>
      <c r="R233" s="496">
        <f>SUM(K233:Q233)</f>
        <v>511500</v>
      </c>
      <c r="S233" s="496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51">
        <f>C234*16000</f>
        <v>304000</v>
      </c>
      <c r="L234" s="575">
        <f>E234*13100</f>
        <v>393000</v>
      </c>
      <c r="M234" s="575"/>
      <c r="N234" s="508"/>
      <c r="O234" s="589"/>
      <c r="P234" s="590"/>
      <c r="Q234" s="510">
        <f>G234*16000</f>
        <v>0</v>
      </c>
      <c r="R234" s="496">
        <f>SUM(K234:Q234)</f>
        <v>697000</v>
      </c>
      <c r="S234" s="496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76">
        <f t="shared" ref="K235:S235" si="63">SUM(K231:K234)</f>
        <v>4863500</v>
      </c>
      <c r="L235" s="678">
        <f t="shared" si="63"/>
        <v>393000</v>
      </c>
      <c r="M235" s="576">
        <f t="shared" si="63"/>
        <v>662400</v>
      </c>
      <c r="N235" s="578">
        <f t="shared" si="63"/>
        <v>0</v>
      </c>
      <c r="O235" s="579">
        <f t="shared" si="63"/>
        <v>0</v>
      </c>
      <c r="P235" s="579">
        <f t="shared" si="63"/>
        <v>0</v>
      </c>
      <c r="Q235" s="576">
        <f t="shared" si="63"/>
        <v>0</v>
      </c>
      <c r="R235" s="580">
        <f t="shared" si="63"/>
        <v>5918900</v>
      </c>
      <c r="S235" s="580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81"/>
      <c r="L236" s="582"/>
      <c r="M236" s="581"/>
      <c r="N236" s="581"/>
      <c r="O236" s="584"/>
      <c r="P236" s="581"/>
      <c r="Q236" s="581"/>
      <c r="R236" s="585"/>
      <c r="S236" s="585"/>
    </row>
    <row r="237" spans="1:19">
      <c r="A237" s="64" t="s">
        <v>444</v>
      </c>
      <c r="B237" s="113"/>
      <c r="C237" s="89"/>
      <c r="D237" s="469" t="s">
        <v>445</v>
      </c>
      <c r="E237" s="102"/>
      <c r="F237" s="114"/>
      <c r="G237" s="168"/>
      <c r="H237" s="14" t="s">
        <v>27</v>
      </c>
      <c r="I237" s="14"/>
      <c r="J237" s="97"/>
      <c r="K237" s="564" t="s">
        <v>4</v>
      </c>
      <c r="L237" s="696" t="s">
        <v>446</v>
      </c>
      <c r="M237" s="697"/>
      <c r="N237" s="532" t="s">
        <v>93</v>
      </c>
      <c r="O237" s="532" t="s">
        <v>27</v>
      </c>
      <c r="P237" s="591" t="s">
        <v>9</v>
      </c>
      <c r="Q237" s="532"/>
      <c r="R237" s="498" t="s">
        <v>29</v>
      </c>
      <c r="S237" s="496" t="s">
        <v>167</v>
      </c>
    </row>
    <row r="238" spans="1:19">
      <c r="A238" s="115" t="s">
        <v>447</v>
      </c>
      <c r="B238" s="478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95">
        <f>C238*7000</f>
        <v>0</v>
      </c>
      <c r="L238" s="526"/>
      <c r="M238" s="508">
        <f>E238*0</f>
        <v>0</v>
      </c>
      <c r="N238" s="509"/>
      <c r="O238" s="509">
        <f>H238*1680</f>
        <v>0</v>
      </c>
      <c r="P238" s="592"/>
      <c r="Q238" s="532"/>
      <c r="R238" s="496">
        <f>SUM(K238:Q238)</f>
        <v>0</v>
      </c>
      <c r="S238" s="496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56">
        <f>C239*7800</f>
        <v>0</v>
      </c>
      <c r="L239" s="526"/>
      <c r="M239" s="508">
        <f>E239*0</f>
        <v>0</v>
      </c>
      <c r="N239" s="509"/>
      <c r="O239" s="509">
        <f>H239*1680</f>
        <v>0</v>
      </c>
      <c r="P239" s="592"/>
      <c r="Q239" s="532"/>
      <c r="R239" s="496">
        <f>SUM(K239:Q239)</f>
        <v>0</v>
      </c>
      <c r="S239" s="496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51">
        <f>C240*600</f>
        <v>0</v>
      </c>
      <c r="L240" s="526">
        <f>D240*600</f>
        <v>0</v>
      </c>
      <c r="M240" s="508">
        <f>E240*600</f>
        <v>0</v>
      </c>
      <c r="N240" s="509"/>
      <c r="O240" s="509">
        <f>H240*1680</f>
        <v>0</v>
      </c>
      <c r="P240" s="592"/>
      <c r="Q240" s="532"/>
      <c r="R240" s="496">
        <f>SUM(K240:Q240)</f>
        <v>0</v>
      </c>
      <c r="S240" s="496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76">
        <f t="shared" ref="K241:S241" si="64">SUM(K238:K240)</f>
        <v>0</v>
      </c>
      <c r="L241" s="577">
        <f t="shared" si="64"/>
        <v>0</v>
      </c>
      <c r="M241" s="593">
        <f t="shared" si="64"/>
        <v>0</v>
      </c>
      <c r="N241" s="579">
        <f t="shared" si="64"/>
        <v>0</v>
      </c>
      <c r="O241" s="579">
        <f t="shared" si="64"/>
        <v>0</v>
      </c>
      <c r="P241" s="579">
        <f t="shared" si="64"/>
        <v>0</v>
      </c>
      <c r="Q241" s="579">
        <f t="shared" si="64"/>
        <v>0</v>
      </c>
      <c r="R241" s="580">
        <f t="shared" si="64"/>
        <v>0</v>
      </c>
      <c r="S241" s="580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21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21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21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21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64" t="s">
        <v>4</v>
      </c>
      <c r="L246" s="594" t="s">
        <v>460</v>
      </c>
      <c r="M246" s="523" t="s">
        <v>461</v>
      </c>
      <c r="N246" s="595" t="s">
        <v>462</v>
      </c>
      <c r="O246" s="596"/>
      <c r="P246" s="597" t="s">
        <v>454</v>
      </c>
      <c r="Q246" s="597"/>
      <c r="R246" s="564" t="s">
        <v>29</v>
      </c>
      <c r="S246" s="496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51">
        <f>C247*1750</f>
        <v>367500</v>
      </c>
      <c r="L247" s="526">
        <f>D247*1750</f>
        <v>0</v>
      </c>
      <c r="M247" s="598">
        <f>E247*1400</f>
        <v>2310000</v>
      </c>
      <c r="N247" s="508">
        <f>F247*1400</f>
        <v>490000</v>
      </c>
      <c r="O247" s="596">
        <f>G247*1750</f>
        <v>0</v>
      </c>
      <c r="P247" s="508">
        <f>H247*1200</f>
        <v>0</v>
      </c>
      <c r="Q247" s="508"/>
      <c r="R247" s="495">
        <f>SUM(K247:Q247)</f>
        <v>3167500</v>
      </c>
      <c r="S247" s="495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51">
        <f>C248*1750</f>
        <v>157500</v>
      </c>
      <c r="L248" s="526">
        <f>D248*1750</f>
        <v>0</v>
      </c>
      <c r="M248" s="598">
        <f>E248*1400</f>
        <v>3360000</v>
      </c>
      <c r="N248" s="508">
        <f>F248*1400</f>
        <v>280000</v>
      </c>
      <c r="O248" s="596">
        <f>G248*1750</f>
        <v>0</v>
      </c>
      <c r="P248" s="508">
        <f>H248*1200</f>
        <v>0</v>
      </c>
      <c r="Q248" s="508"/>
      <c r="R248" s="495">
        <f>SUM(I248:Q248)</f>
        <v>3800190</v>
      </c>
      <c r="S248" s="495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76">
        <f t="shared" ref="K249:S249" si="65">SUM(K247:K248)</f>
        <v>525000</v>
      </c>
      <c r="L249" s="577">
        <f t="shared" si="65"/>
        <v>0</v>
      </c>
      <c r="M249" s="576">
        <f t="shared" si="65"/>
        <v>5670000</v>
      </c>
      <c r="N249" s="576">
        <f t="shared" si="65"/>
        <v>770000</v>
      </c>
      <c r="O249" s="578">
        <f t="shared" si="65"/>
        <v>0</v>
      </c>
      <c r="P249" s="576">
        <f t="shared" si="65"/>
        <v>0</v>
      </c>
      <c r="Q249" s="576">
        <f t="shared" si="65"/>
        <v>0</v>
      </c>
      <c r="R249" s="599">
        <f t="shared" si="65"/>
        <v>6967690</v>
      </c>
      <c r="S249" s="600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 s="16" customFormat="1">
      <c r="B251" s="64"/>
      <c r="C251" s="64"/>
      <c r="D251" s="479" t="s">
        <v>467</v>
      </c>
      <c r="E251" s="128" t="s">
        <v>6</v>
      </c>
      <c r="F251" s="471" t="s">
        <v>468</v>
      </c>
      <c r="G251" s="7" t="s">
        <v>469</v>
      </c>
      <c r="H251" s="129"/>
      <c r="I251" s="471"/>
      <c r="J251" s="345" t="s">
        <v>93</v>
      </c>
      <c r="K251" s="601"/>
      <c r="L251" s="601"/>
      <c r="M251" s="602"/>
      <c r="N251" s="602"/>
      <c r="O251" s="603"/>
      <c r="P251" s="604"/>
      <c r="Q251" s="605"/>
      <c r="R251" s="601"/>
      <c r="S251" s="606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601"/>
      <c r="L252" s="601"/>
      <c r="M252" s="602"/>
      <c r="N252" s="602"/>
      <c r="O252" s="603"/>
      <c r="P252" s="604"/>
      <c r="Q252" s="605"/>
      <c r="R252" s="601"/>
      <c r="S252" s="606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503" t="s">
        <v>4</v>
      </c>
      <c r="L253" s="684" t="s">
        <v>474</v>
      </c>
      <c r="M253" s="685"/>
      <c r="N253" s="563"/>
      <c r="O253" s="563" t="s">
        <v>19</v>
      </c>
      <c r="P253" s="607"/>
      <c r="Q253" s="588" t="s">
        <v>27</v>
      </c>
      <c r="R253" s="505" t="s">
        <v>29</v>
      </c>
      <c r="S253" s="608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51">
        <f>C254*204000</f>
        <v>5712000</v>
      </c>
      <c r="L254" s="526">
        <f>D254*176000</f>
        <v>0</v>
      </c>
      <c r="M254" s="508">
        <f>E254*176000</f>
        <v>704000</v>
      </c>
      <c r="N254" s="497"/>
      <c r="O254" s="497">
        <f>F254*163200</f>
        <v>163200</v>
      </c>
      <c r="P254" s="521"/>
      <c r="Q254" s="510"/>
      <c r="R254" s="496">
        <f t="shared" ref="R254:R260" si="67">SUM(K254:Q254)</f>
        <v>6579200</v>
      </c>
      <c r="S254" s="496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51">
        <f>C255*46200</f>
        <v>415800</v>
      </c>
      <c r="L255" s="526">
        <f>D255*44000</f>
        <v>0</v>
      </c>
      <c r="M255" s="508">
        <f>E255*44000</f>
        <v>0</v>
      </c>
      <c r="N255" s="497"/>
      <c r="O255" s="497">
        <f>F255*36920</f>
        <v>73840</v>
      </c>
      <c r="P255" s="521"/>
      <c r="Q255" s="510">
        <f>I255*30800</f>
        <v>61600</v>
      </c>
      <c r="R255" s="496">
        <f t="shared" si="67"/>
        <v>551240</v>
      </c>
      <c r="S255" s="496">
        <f>J255*13500</f>
        <v>175500</v>
      </c>
    </row>
    <row r="256" spans="1:19">
      <c r="A256" s="69" t="s">
        <v>479</v>
      </c>
      <c r="B256" s="478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51">
        <f>C256*21000</f>
        <v>315000</v>
      </c>
      <c r="L256" s="526">
        <f>D256*15400</f>
        <v>0</v>
      </c>
      <c r="M256" s="508">
        <f>E256*15400</f>
        <v>0</v>
      </c>
      <c r="N256" s="497"/>
      <c r="P256" s="521"/>
      <c r="Q256" s="510"/>
      <c r="R256" s="496">
        <f t="shared" si="67"/>
        <v>315000</v>
      </c>
      <c r="S256" s="496">
        <f>J256*4500</f>
        <v>67500</v>
      </c>
    </row>
    <row r="257" spans="1:19">
      <c r="A257" s="115" t="s">
        <v>481</v>
      </c>
      <c r="B257" s="478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51">
        <f>C257*21000</f>
        <v>441000</v>
      </c>
      <c r="L257" s="526">
        <f>D257*15400</f>
        <v>0</v>
      </c>
      <c r="M257" s="508">
        <f>E257*15400</f>
        <v>15400</v>
      </c>
      <c r="N257" s="497"/>
      <c r="P257" s="521"/>
      <c r="Q257" s="510"/>
      <c r="R257" s="496">
        <f t="shared" si="67"/>
        <v>456400</v>
      </c>
      <c r="S257" s="496">
        <f>J257*4700</f>
        <v>103400</v>
      </c>
    </row>
    <row r="258" spans="1:19">
      <c r="A258" s="115" t="s">
        <v>482</v>
      </c>
      <c r="B258" s="478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51">
        <f>C258*10400</f>
        <v>72800</v>
      </c>
      <c r="L258" s="526">
        <f>D258*10400</f>
        <v>0</v>
      </c>
      <c r="M258" s="508">
        <f>E258*10400</f>
        <v>0</v>
      </c>
      <c r="N258" s="497"/>
      <c r="P258" s="521"/>
      <c r="Q258" s="510"/>
      <c r="R258" s="496">
        <f t="shared" si="67"/>
        <v>72800</v>
      </c>
      <c r="S258" s="496">
        <f>J258*2700</f>
        <v>18900</v>
      </c>
    </row>
    <row r="259" spans="1:19">
      <c r="A259" s="69" t="s">
        <v>483</v>
      </c>
      <c r="B259" s="478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95">
        <f>C259*150000</f>
        <v>0</v>
      </c>
      <c r="L259" s="526">
        <f>D259*120000</f>
        <v>0</v>
      </c>
      <c r="M259" s="508">
        <f>E259*120000</f>
        <v>0</v>
      </c>
      <c r="N259" s="497"/>
      <c r="P259" s="521"/>
      <c r="Q259" s="510"/>
      <c r="R259" s="496">
        <f t="shared" si="67"/>
        <v>0</v>
      </c>
      <c r="S259" s="496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7">
        <f>C260*12000</f>
        <v>0</v>
      </c>
      <c r="L260" s="526"/>
      <c r="M260" s="508"/>
      <c r="N260" s="497"/>
      <c r="P260" s="521"/>
      <c r="Q260" s="510">
        <f>F260*12000</f>
        <v>0</v>
      </c>
      <c r="R260" s="496">
        <f t="shared" si="67"/>
        <v>0</v>
      </c>
      <c r="S260" s="496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81"/>
      <c r="L261" s="582"/>
      <c r="M261" s="581"/>
      <c r="N261" s="581"/>
      <c r="O261" s="583"/>
      <c r="P261" s="581"/>
      <c r="Q261" s="581"/>
      <c r="R261" s="581"/>
      <c r="S261" s="609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10">
        <f t="shared" ref="K262:S262" si="68">SUM(K254:K261)</f>
        <v>6956600</v>
      </c>
      <c r="L262" s="610">
        <f t="shared" si="68"/>
        <v>0</v>
      </c>
      <c r="M262" s="610">
        <f t="shared" si="68"/>
        <v>719400</v>
      </c>
      <c r="N262" s="610">
        <f t="shared" si="68"/>
        <v>0</v>
      </c>
      <c r="O262" s="610">
        <f t="shared" si="68"/>
        <v>237040</v>
      </c>
      <c r="P262" s="610">
        <f t="shared" si="68"/>
        <v>0</v>
      </c>
      <c r="Q262" s="610">
        <f t="shared" si="68"/>
        <v>61600</v>
      </c>
      <c r="R262" s="610">
        <f t="shared" si="68"/>
        <v>7974640</v>
      </c>
      <c r="S262" s="610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21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21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21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21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503" t="s">
        <v>4</v>
      </c>
      <c r="L267" s="684" t="s">
        <v>474</v>
      </c>
      <c r="M267" s="685"/>
      <c r="N267" s="504" t="s">
        <v>26</v>
      </c>
      <c r="O267" s="504" t="s">
        <v>27</v>
      </c>
      <c r="P267" s="504" t="s">
        <v>9</v>
      </c>
      <c r="Q267" s="505"/>
      <c r="R267" s="505" t="s">
        <v>29</v>
      </c>
      <c r="S267" s="608" t="s">
        <v>167</v>
      </c>
    </row>
    <row r="268" spans="1:19" s="495" customFormat="1">
      <c r="A268" s="104" t="s">
        <v>499</v>
      </c>
      <c r="B268" s="689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51">
        <f>C268*25000</f>
        <v>250000</v>
      </c>
      <c r="L268" s="526">
        <f>D268*22000</f>
        <v>0</v>
      </c>
      <c r="M268" s="508">
        <f>E268*22000</f>
        <v>88000</v>
      </c>
      <c r="N268" s="509">
        <f>F268*10000</f>
        <v>0</v>
      </c>
      <c r="O268" s="509"/>
      <c r="P268" s="509"/>
      <c r="Q268" s="498"/>
      <c r="R268" s="496">
        <f t="shared" ref="R268:R299" si="70">SUM(K268:Q268)</f>
        <v>338000</v>
      </c>
      <c r="S268" s="496">
        <f>J268*15400</f>
        <v>215600</v>
      </c>
    </row>
    <row r="269" spans="1:19" s="495" customFormat="1">
      <c r="A269" s="104" t="s">
        <v>501</v>
      </c>
      <c r="B269" s="683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51">
        <f>C269*12000</f>
        <v>504000</v>
      </c>
      <c r="L269" s="526">
        <f>D269*12000</f>
        <v>0</v>
      </c>
      <c r="M269" s="508">
        <f>E269*12000</f>
        <v>0</v>
      </c>
      <c r="N269" s="509"/>
      <c r="O269" s="509"/>
      <c r="P269" s="509"/>
      <c r="Q269" s="498"/>
      <c r="R269" s="496">
        <f t="shared" si="70"/>
        <v>504000</v>
      </c>
      <c r="S269" s="496">
        <f>J269*7150</f>
        <v>300300</v>
      </c>
    </row>
    <row r="270" spans="1:19" s="495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51">
        <f>C270*22000</f>
        <v>242000</v>
      </c>
      <c r="L270" s="526">
        <f>D270*22000</f>
        <v>0</v>
      </c>
      <c r="M270" s="508">
        <f>E270*15000</f>
        <v>210000</v>
      </c>
      <c r="N270" s="509"/>
      <c r="O270" s="509"/>
      <c r="P270" s="509"/>
      <c r="Q270" s="498"/>
      <c r="R270" s="496">
        <f t="shared" si="70"/>
        <v>452000</v>
      </c>
      <c r="S270" s="496">
        <f>J270*10835</f>
        <v>270875</v>
      </c>
    </row>
    <row r="271" spans="1:19" s="495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51">
        <f>C271*22000</f>
        <v>770000</v>
      </c>
      <c r="L271" s="526">
        <f>D271*22000</f>
        <v>0</v>
      </c>
      <c r="M271" s="508">
        <f>E271*22000</f>
        <v>176000</v>
      </c>
      <c r="N271" s="509"/>
      <c r="O271" s="509"/>
      <c r="P271" s="509"/>
      <c r="Q271" s="498"/>
      <c r="R271" s="496">
        <f t="shared" si="70"/>
        <v>946000</v>
      </c>
      <c r="S271" s="496">
        <f>J271*9361</f>
        <v>402523</v>
      </c>
    </row>
    <row r="272" spans="1:19" s="495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51">
        <f>C272*18000</f>
        <v>252000</v>
      </c>
      <c r="L272" s="526">
        <f>D272*15000</f>
        <v>0</v>
      </c>
      <c r="M272" s="508">
        <f>E272*15000</f>
        <v>210000</v>
      </c>
      <c r="N272" s="509"/>
      <c r="O272" s="509">
        <f>I272*14400</f>
        <v>14400</v>
      </c>
      <c r="P272" s="509"/>
      <c r="Q272" s="532"/>
      <c r="R272" s="496">
        <f t="shared" si="70"/>
        <v>476400</v>
      </c>
      <c r="S272" s="496">
        <f>J272*4238</f>
        <v>122902</v>
      </c>
    </row>
    <row r="273" spans="1:19" s="495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51">
        <f>C273*15000</f>
        <v>150000</v>
      </c>
      <c r="L273" s="526">
        <f>D273*11600</f>
        <v>0</v>
      </c>
      <c r="M273" s="508">
        <f>E273*11600</f>
        <v>0</v>
      </c>
      <c r="N273" s="509"/>
      <c r="O273" s="509"/>
      <c r="P273" s="509"/>
      <c r="Q273" s="498"/>
      <c r="R273" s="496">
        <f t="shared" si="70"/>
        <v>150000</v>
      </c>
      <c r="S273" s="496">
        <f>J273*3719</f>
        <v>37190</v>
      </c>
    </row>
    <row r="274" spans="1:19" s="495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51">
        <f>C274*33000</f>
        <v>297000</v>
      </c>
      <c r="L274" s="526">
        <f>D274*33000</f>
        <v>0</v>
      </c>
      <c r="M274" s="575">
        <f>E274*33000</f>
        <v>0</v>
      </c>
      <c r="N274" s="556"/>
      <c r="O274" s="556"/>
      <c r="P274" s="556"/>
      <c r="Q274" s="498"/>
      <c r="R274" s="496">
        <f t="shared" si="70"/>
        <v>297000</v>
      </c>
      <c r="S274" s="496">
        <f>J274*16500</f>
        <v>148500</v>
      </c>
    </row>
    <row r="275" spans="1:19" s="495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95">
        <f>C275*77000</f>
        <v>0</v>
      </c>
      <c r="L275" s="526">
        <f>D275*77000</f>
        <v>0</v>
      </c>
      <c r="M275" s="575">
        <f>E275*77000</f>
        <v>0</v>
      </c>
      <c r="N275" s="556"/>
      <c r="O275" s="556"/>
      <c r="P275" s="556"/>
      <c r="Q275" s="532"/>
      <c r="R275" s="496">
        <f t="shared" si="70"/>
        <v>0</v>
      </c>
      <c r="S275" s="496">
        <f>J275*38500</f>
        <v>0</v>
      </c>
    </row>
    <row r="276" spans="1:19" s="495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72">
        <f>C276*2500</f>
        <v>185000</v>
      </c>
      <c r="L276" s="526"/>
      <c r="M276" s="508"/>
      <c r="N276" s="509"/>
      <c r="O276" s="509"/>
      <c r="P276" s="509"/>
      <c r="Q276" s="532"/>
      <c r="R276" s="496">
        <f t="shared" si="70"/>
        <v>185000</v>
      </c>
      <c r="S276" s="496">
        <f>J276*1070</f>
        <v>79180</v>
      </c>
    </row>
    <row r="277" spans="1:19" s="495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56">
        <f>C277*1700</f>
        <v>680000</v>
      </c>
      <c r="L277" s="526">
        <f>D277*1700</f>
        <v>0</v>
      </c>
      <c r="M277" s="508">
        <f>E277*1700</f>
        <v>0</v>
      </c>
      <c r="N277" s="509"/>
      <c r="O277" s="509">
        <f>I277*2000</f>
        <v>2000</v>
      </c>
      <c r="P277" s="509"/>
      <c r="Q277" s="532"/>
      <c r="R277" s="496">
        <f t="shared" si="70"/>
        <v>682000</v>
      </c>
      <c r="S277" s="496">
        <f>J277*1070</f>
        <v>429070</v>
      </c>
    </row>
    <row r="278" spans="1:19" s="495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72">
        <f>C278*2500</f>
        <v>150000</v>
      </c>
      <c r="L278" s="526"/>
      <c r="M278" s="508">
        <f>E278*1500</f>
        <v>0</v>
      </c>
      <c r="N278" s="509"/>
      <c r="O278" s="509"/>
      <c r="P278" s="509"/>
      <c r="Q278" s="498"/>
      <c r="R278" s="496">
        <f t="shared" si="70"/>
        <v>150000</v>
      </c>
      <c r="S278" s="496">
        <f>J278*495</f>
        <v>29700</v>
      </c>
    </row>
    <row r="279" spans="1:19" s="495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56">
        <f>C279*1700</f>
        <v>0</v>
      </c>
      <c r="L279" s="526">
        <f>D279*1700</f>
        <v>0</v>
      </c>
      <c r="M279" s="508">
        <f>E279*1700</f>
        <v>0</v>
      </c>
      <c r="N279" s="509"/>
      <c r="O279" s="509">
        <f>I279*2000</f>
        <v>0</v>
      </c>
      <c r="P279" s="509"/>
      <c r="Q279" s="498"/>
      <c r="R279" s="496">
        <f t="shared" si="70"/>
        <v>0</v>
      </c>
      <c r="S279" s="496">
        <f>J279*495</f>
        <v>0</v>
      </c>
    </row>
    <row r="280" spans="1:19" s="495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72">
        <f>C280*2500</f>
        <v>427500</v>
      </c>
      <c r="L280" s="526"/>
      <c r="M280" s="508"/>
      <c r="N280" s="509"/>
      <c r="O280" s="509"/>
      <c r="P280" s="509"/>
      <c r="Q280" s="532"/>
      <c r="R280" s="496">
        <f t="shared" si="70"/>
        <v>427500</v>
      </c>
      <c r="S280" s="496">
        <f>J280*310</f>
        <v>53010</v>
      </c>
    </row>
    <row r="281" spans="1:19" s="495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56">
        <f>C281*1700</f>
        <v>170000</v>
      </c>
      <c r="L281" s="526">
        <f>D281*1700</f>
        <v>0</v>
      </c>
      <c r="M281" s="508">
        <f>E281*1700</f>
        <v>340000</v>
      </c>
      <c r="N281" s="509"/>
      <c r="O281" s="509">
        <f>I281*2000</f>
        <v>6000</v>
      </c>
      <c r="P281" s="509"/>
      <c r="Q281" s="532"/>
      <c r="R281" s="496">
        <f t="shared" si="70"/>
        <v>516000</v>
      </c>
      <c r="S281" s="496">
        <f>J281*310</f>
        <v>93930</v>
      </c>
    </row>
    <row r="282" spans="1:19" s="495" customFormat="1">
      <c r="A282" s="206" t="s">
        <v>524</v>
      </c>
      <c r="B282" s="686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51">
        <f>C282*18900</f>
        <v>264600</v>
      </c>
      <c r="L282" s="526">
        <f>D282*15400</f>
        <v>0</v>
      </c>
      <c r="M282" s="575">
        <f>E282*15400</f>
        <v>46200</v>
      </c>
      <c r="N282" s="556"/>
      <c r="O282" s="611">
        <f>I282*15120</f>
        <v>15120</v>
      </c>
      <c r="P282" s="556"/>
      <c r="Q282" s="556"/>
      <c r="R282" s="496">
        <f t="shared" si="70"/>
        <v>325920</v>
      </c>
      <c r="S282" s="496">
        <f>J282*4794</f>
        <v>86292</v>
      </c>
    </row>
    <row r="283" spans="1:19" s="495" customFormat="1">
      <c r="A283" s="139" t="s">
        <v>526</v>
      </c>
      <c r="B283" s="683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95">
        <f>C283*11000</f>
        <v>0</v>
      </c>
      <c r="L283" s="526">
        <f>D283*7000</f>
        <v>0</v>
      </c>
      <c r="M283" s="508">
        <f>E283*7000</f>
        <v>0</v>
      </c>
      <c r="N283" s="509"/>
      <c r="O283" s="509"/>
      <c r="P283" s="509"/>
      <c r="Q283" s="498"/>
      <c r="R283" s="496">
        <f t="shared" si="70"/>
        <v>0</v>
      </c>
      <c r="S283" s="496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51">
        <f>C284*25000</f>
        <v>50000</v>
      </c>
      <c r="L284" s="526">
        <f>D284*20000</f>
        <v>0</v>
      </c>
      <c r="M284" s="508">
        <f>E284*20000</f>
        <v>20000</v>
      </c>
      <c r="N284" s="509"/>
      <c r="O284" s="509"/>
      <c r="P284" s="509"/>
      <c r="R284" s="496">
        <f t="shared" si="70"/>
        <v>70000</v>
      </c>
      <c r="S284" s="496">
        <f>J284*12400</f>
        <v>37200</v>
      </c>
    </row>
    <row r="285" spans="1:19">
      <c r="A285" s="139" t="s">
        <v>927</v>
      </c>
      <c r="B285" s="686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51">
        <f>C285*40000</f>
        <v>40000</v>
      </c>
      <c r="L285" s="526">
        <f>D285*40000</f>
        <v>0</v>
      </c>
      <c r="M285" s="508">
        <f>E285*38000</f>
        <v>0</v>
      </c>
      <c r="N285" s="509"/>
      <c r="O285" s="611"/>
      <c r="P285" s="509"/>
      <c r="R285" s="496">
        <f t="shared" si="70"/>
        <v>40000</v>
      </c>
      <c r="S285" s="496">
        <f>J285*26400</f>
        <v>26400</v>
      </c>
    </row>
    <row r="286" spans="1:19">
      <c r="A286" s="139" t="s">
        <v>928</v>
      </c>
      <c r="B286" s="688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51">
        <f>C286*22000</f>
        <v>22000</v>
      </c>
      <c r="L286" s="526">
        <f>D286*22000</f>
        <v>0</v>
      </c>
      <c r="M286" s="508">
        <f>E286*18000</f>
        <v>0</v>
      </c>
      <c r="N286" s="509"/>
      <c r="O286" s="509"/>
      <c r="P286" s="509"/>
      <c r="R286" s="496">
        <f t="shared" si="70"/>
        <v>22000</v>
      </c>
      <c r="S286" s="496">
        <f>J286*11000</f>
        <v>11000</v>
      </c>
    </row>
    <row r="287" spans="1:19">
      <c r="A287" s="139" t="s">
        <v>929</v>
      </c>
      <c r="B287" s="683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95">
        <f>C287*4000</f>
        <v>0</v>
      </c>
      <c r="L287" s="526">
        <f>D287*4000</f>
        <v>0</v>
      </c>
      <c r="M287" s="508">
        <f>E287*3000</f>
        <v>150000</v>
      </c>
      <c r="N287" s="509"/>
      <c r="O287" s="509"/>
      <c r="P287" s="509"/>
      <c r="R287" s="496">
        <f t="shared" si="70"/>
        <v>150000</v>
      </c>
      <c r="S287" s="496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51">
        <f>C288*25000</f>
        <v>100000</v>
      </c>
      <c r="L288" s="526">
        <f>D288*25000</f>
        <v>0</v>
      </c>
      <c r="M288" s="508">
        <f>E288*25000</f>
        <v>0</v>
      </c>
      <c r="N288" s="509"/>
      <c r="O288" s="509"/>
      <c r="P288" s="509"/>
      <c r="R288" s="496">
        <f t="shared" si="70"/>
        <v>100000</v>
      </c>
      <c r="S288" s="496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51">
        <f>C289*5000</f>
        <v>5000</v>
      </c>
      <c r="L289" s="526">
        <f>D289*5000</f>
        <v>0</v>
      </c>
      <c r="M289" s="508">
        <f>E289*4500</f>
        <v>0</v>
      </c>
      <c r="N289" s="509"/>
      <c r="O289" s="509"/>
      <c r="P289" s="509"/>
      <c r="R289" s="496">
        <f t="shared" si="70"/>
        <v>5000</v>
      </c>
      <c r="S289" s="496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51">
        <f>C290*27000</f>
        <v>0</v>
      </c>
      <c r="L290" s="526">
        <f>D290*20000</f>
        <v>0</v>
      </c>
      <c r="M290" s="508">
        <f>E290*20000</f>
        <v>0</v>
      </c>
      <c r="N290" s="509"/>
      <c r="O290" s="509"/>
      <c r="P290" s="509"/>
      <c r="R290" s="496">
        <f t="shared" si="70"/>
        <v>0</v>
      </c>
      <c r="S290" s="496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95">
        <f>C291*4000</f>
        <v>0</v>
      </c>
      <c r="L291" s="526">
        <f>D291*4000</f>
        <v>0</v>
      </c>
      <c r="M291" s="508">
        <f>E291*4000</f>
        <v>0</v>
      </c>
      <c r="N291" s="509"/>
      <c r="O291" s="509"/>
      <c r="P291" s="509"/>
      <c r="R291" s="496">
        <f t="shared" si="70"/>
        <v>0</v>
      </c>
      <c r="S291" s="496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95">
        <f>C292*3900</f>
        <v>635700</v>
      </c>
      <c r="L292" s="526">
        <f>D292*3900</f>
        <v>0</v>
      </c>
      <c r="M292" s="508">
        <f>E292*3900</f>
        <v>0</v>
      </c>
      <c r="N292" s="509"/>
      <c r="O292" s="509"/>
      <c r="P292" s="509"/>
      <c r="R292" s="496">
        <f t="shared" si="70"/>
        <v>635700</v>
      </c>
      <c r="S292" s="496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95">
        <f>C293*6600</f>
        <v>52800</v>
      </c>
      <c r="L293" s="526">
        <f>D293*6600</f>
        <v>0</v>
      </c>
      <c r="M293" s="508">
        <f>E293*6600</f>
        <v>0</v>
      </c>
      <c r="N293" s="509"/>
      <c r="O293" s="509"/>
      <c r="P293" s="509"/>
      <c r="R293" s="496">
        <f t="shared" si="70"/>
        <v>52800</v>
      </c>
      <c r="S293" s="496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95">
        <f>C294*25000</f>
        <v>0</v>
      </c>
      <c r="L294" s="526">
        <f>D294*20000</f>
        <v>0</v>
      </c>
      <c r="M294" s="508">
        <f>E294*20000</f>
        <v>0</v>
      </c>
      <c r="N294" s="509"/>
      <c r="O294" s="509"/>
      <c r="P294" s="509"/>
      <c r="R294" s="496">
        <f t="shared" si="70"/>
        <v>0</v>
      </c>
      <c r="S294" s="496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51">
        <f>C295*15000</f>
        <v>15000</v>
      </c>
      <c r="L295" s="526">
        <f>D295*10000</f>
        <v>0</v>
      </c>
      <c r="M295" s="508">
        <f>E295*10000</f>
        <v>0</v>
      </c>
      <c r="N295" s="509"/>
      <c r="O295" s="509"/>
      <c r="P295" s="509"/>
      <c r="R295" s="496">
        <f t="shared" si="70"/>
        <v>15000</v>
      </c>
      <c r="S295" s="496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51">
        <f>C296*15000</f>
        <v>0</v>
      </c>
      <c r="L296" s="526">
        <f>D296*10000</f>
        <v>0</v>
      </c>
      <c r="M296" s="508">
        <f>E296*10000</f>
        <v>0</v>
      </c>
      <c r="N296" s="509"/>
      <c r="O296" s="509"/>
      <c r="P296" s="509"/>
      <c r="R296" s="496">
        <f t="shared" si="70"/>
        <v>0</v>
      </c>
      <c r="S296" s="496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72">
        <f>C297*30000</f>
        <v>60000</v>
      </c>
      <c r="L297" s="526">
        <f>D297*25000</f>
        <v>0</v>
      </c>
      <c r="M297" s="508">
        <f>E297*25000</f>
        <v>0</v>
      </c>
      <c r="N297" s="509"/>
      <c r="O297" s="509"/>
      <c r="P297" s="509"/>
      <c r="Q297" s="612"/>
      <c r="R297" s="496">
        <f t="shared" si="70"/>
        <v>60000</v>
      </c>
      <c r="S297" s="496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95">
        <f>C298*24000</f>
        <v>0</v>
      </c>
      <c r="L298" s="526">
        <f>D298*20000</f>
        <v>0</v>
      </c>
      <c r="M298" s="508">
        <f>E298*18000</f>
        <v>0</v>
      </c>
      <c r="N298" s="509"/>
      <c r="O298" s="509"/>
      <c r="P298" s="509"/>
      <c r="R298" s="496">
        <f t="shared" si="70"/>
        <v>0</v>
      </c>
      <c r="S298" s="496">
        <f>J298*9945</f>
        <v>0</v>
      </c>
    </row>
    <row r="299" spans="1:19">
      <c r="A299" t="s">
        <v>444</v>
      </c>
      <c r="B299" s="686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95">
        <f>C299*25000</f>
        <v>0</v>
      </c>
      <c r="L299" s="526">
        <f>D299*25000</f>
        <v>0</v>
      </c>
      <c r="M299" s="508">
        <f>E299*25000</f>
        <v>0</v>
      </c>
      <c r="N299" s="509"/>
      <c r="O299" s="509"/>
      <c r="P299" s="509"/>
      <c r="R299" s="496">
        <f t="shared" si="70"/>
        <v>0</v>
      </c>
      <c r="S299" s="496">
        <f>J299*18000</f>
        <v>0</v>
      </c>
    </row>
    <row r="300" spans="1:19">
      <c r="A300" s="115" t="s">
        <v>552</v>
      </c>
      <c r="B300" s="688"/>
      <c r="C300" s="190"/>
      <c r="D300" s="190"/>
      <c r="E300" s="187"/>
      <c r="F300" s="190"/>
      <c r="G300" s="189"/>
      <c r="H300" s="194"/>
      <c r="I300" s="194"/>
      <c r="J300" s="26">
        <f t="shared" ref="J300:J331" si="71">SUM(C300:I300)</f>
        <v>0</v>
      </c>
      <c r="K300" s="551">
        <f>C300*10000</f>
        <v>0</v>
      </c>
      <c r="L300" s="526"/>
      <c r="M300" s="508"/>
      <c r="N300" s="509"/>
      <c r="O300" s="509"/>
      <c r="P300" s="509"/>
      <c r="R300" s="496">
        <f t="shared" ref="R300:R331" si="72">SUM(K300:Q300)</f>
        <v>0</v>
      </c>
      <c r="S300" s="496">
        <f>J300*9000</f>
        <v>0</v>
      </c>
    </row>
    <row r="301" spans="1:19">
      <c r="A301" s="115" t="s">
        <v>553</v>
      </c>
      <c r="B301" s="68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C301*24000</f>
        <v>0</v>
      </c>
      <c r="L301" s="526"/>
      <c r="M301" s="508"/>
      <c r="N301" s="509"/>
      <c r="O301" s="509"/>
      <c r="P301" s="509"/>
      <c r="R301" s="496">
        <f t="shared" si="72"/>
        <v>0</v>
      </c>
      <c r="S301" s="496">
        <f>J301*18000</f>
        <v>0</v>
      </c>
    </row>
    <row r="302" spans="1:19">
      <c r="A302" s="115" t="s">
        <v>554</v>
      </c>
      <c r="B302" s="683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95">
        <f>C302*7000</f>
        <v>0</v>
      </c>
      <c r="L302" s="526">
        <f>D302*7000</f>
        <v>0</v>
      </c>
      <c r="M302" s="508">
        <f>E302*7000</f>
        <v>0</v>
      </c>
      <c r="N302" s="509"/>
      <c r="O302" s="509"/>
      <c r="P302" s="509"/>
      <c r="R302" s="496">
        <f t="shared" si="72"/>
        <v>0</v>
      </c>
      <c r="S302" s="496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95">
        <f>C303*10000</f>
        <v>0</v>
      </c>
      <c r="L303" s="526">
        <f>D303*10000</f>
        <v>0</v>
      </c>
      <c r="M303" s="508">
        <f>E303*10000</f>
        <v>0</v>
      </c>
      <c r="N303" s="509"/>
      <c r="O303" s="509"/>
      <c r="P303" s="509"/>
      <c r="R303" s="496">
        <f t="shared" si="72"/>
        <v>0</v>
      </c>
      <c r="S303" s="496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51">
        <f t="shared" ref="K304:M305" si="73">C304*200</f>
        <v>92000</v>
      </c>
      <c r="L304" s="526">
        <f t="shared" si="73"/>
        <v>0</v>
      </c>
      <c r="M304" s="508">
        <f t="shared" si="73"/>
        <v>0</v>
      </c>
      <c r="N304" s="509"/>
      <c r="O304" s="509"/>
      <c r="P304" s="509"/>
      <c r="R304" s="496">
        <f t="shared" si="72"/>
        <v>92000</v>
      </c>
      <c r="S304" s="496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51">
        <f t="shared" si="73"/>
        <v>8000</v>
      </c>
      <c r="L305" s="526">
        <f t="shared" si="73"/>
        <v>0</v>
      </c>
      <c r="M305" s="508">
        <f t="shared" si="73"/>
        <v>0</v>
      </c>
      <c r="N305" s="509"/>
      <c r="O305" s="509"/>
      <c r="P305" s="509"/>
      <c r="R305" s="496">
        <f t="shared" si="72"/>
        <v>8000</v>
      </c>
      <c r="S305" s="496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51"/>
      <c r="L306" s="526"/>
      <c r="M306" s="508">
        <f>E306*150</f>
        <v>18000</v>
      </c>
      <c r="N306" s="509"/>
      <c r="O306" s="509"/>
      <c r="P306" s="509"/>
      <c r="R306" s="496">
        <f t="shared" si="72"/>
        <v>18000</v>
      </c>
      <c r="S306" s="496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51"/>
      <c r="L307" s="526"/>
      <c r="M307" s="508">
        <f>E307*15000</f>
        <v>0</v>
      </c>
      <c r="N307" s="509"/>
      <c r="O307" s="509"/>
      <c r="P307" s="509"/>
      <c r="R307" s="496">
        <f t="shared" si="72"/>
        <v>0</v>
      </c>
      <c r="S307" s="496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95">
        <f>C308*3000</f>
        <v>0</v>
      </c>
      <c r="L308" s="526">
        <f>D308*3000</f>
        <v>0</v>
      </c>
      <c r="M308" s="508">
        <f>E308*3000</f>
        <v>0</v>
      </c>
      <c r="N308" s="509"/>
      <c r="O308" s="509"/>
      <c r="P308" s="509"/>
      <c r="R308" s="496">
        <f t="shared" si="72"/>
        <v>0</v>
      </c>
      <c r="S308" s="496">
        <f>J308*1320</f>
        <v>0</v>
      </c>
    </row>
    <row r="309" spans="1:19" s="495" customFormat="1">
      <c r="A309" s="139" t="s">
        <v>564</v>
      </c>
      <c r="B309" s="686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51">
        <f>C309*1100</f>
        <v>11000</v>
      </c>
      <c r="L309" s="526">
        <f>D309*850</f>
        <v>0</v>
      </c>
      <c r="M309" s="508">
        <f>E309*850</f>
        <v>0</v>
      </c>
      <c r="N309" s="509"/>
      <c r="O309" s="509"/>
      <c r="P309" s="509"/>
      <c r="Q309" s="498"/>
      <c r="R309" s="496">
        <f t="shared" si="72"/>
        <v>11000</v>
      </c>
      <c r="S309" s="496">
        <f>J309*780</f>
        <v>7800</v>
      </c>
    </row>
    <row r="310" spans="1:19" s="495" customFormat="1">
      <c r="A310" s="139" t="s">
        <v>566</v>
      </c>
      <c r="B310" s="683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51">
        <f>C310*1200</f>
        <v>12000</v>
      </c>
      <c r="L310" s="526">
        <f>D310*980</f>
        <v>0</v>
      </c>
      <c r="M310" s="508">
        <f>E310*980</f>
        <v>0</v>
      </c>
      <c r="N310" s="509"/>
      <c r="O310" s="509"/>
      <c r="P310" s="509"/>
      <c r="Q310" s="498"/>
      <c r="R310" s="496">
        <f t="shared" si="72"/>
        <v>12000</v>
      </c>
      <c r="S310" s="496">
        <f>J310*836</f>
        <v>8360</v>
      </c>
    </row>
    <row r="311" spans="1:19" s="495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51">
        <f>C311*2500</f>
        <v>0</v>
      </c>
      <c r="L311" s="526">
        <f>D311*1100</f>
        <v>0</v>
      </c>
      <c r="M311" s="508">
        <f>E311*1100</f>
        <v>0</v>
      </c>
      <c r="N311" s="509"/>
      <c r="O311" s="509"/>
      <c r="P311" s="509"/>
      <c r="Q311" s="498"/>
      <c r="R311" s="496">
        <f t="shared" si="72"/>
        <v>0</v>
      </c>
      <c r="S311" s="496">
        <f>J311*1628</f>
        <v>0</v>
      </c>
    </row>
    <row r="312" spans="1:19" s="495" customFormat="1">
      <c r="A312" s="139" t="s">
        <v>569</v>
      </c>
      <c r="B312" s="695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95">
        <f t="shared" ref="K312:M314" si="74">C312*550</f>
        <v>5500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5500</v>
      </c>
      <c r="S312" s="496">
        <f>J312*389</f>
        <v>3890</v>
      </c>
    </row>
    <row r="313" spans="1:19" s="495" customFormat="1">
      <c r="A313" s="139" t="s">
        <v>571</v>
      </c>
      <c r="B313" s="688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95">
        <f t="shared" si="74"/>
        <v>11000</v>
      </c>
      <c r="L313" s="526">
        <f t="shared" si="74"/>
        <v>0</v>
      </c>
      <c r="M313" s="508">
        <f t="shared" si="74"/>
        <v>0</v>
      </c>
      <c r="N313" s="509"/>
      <c r="O313" s="509"/>
      <c r="P313" s="509"/>
      <c r="Q313" s="498"/>
      <c r="R313" s="496">
        <f t="shared" si="72"/>
        <v>11000</v>
      </c>
      <c r="S313" s="496">
        <f>J313*389</f>
        <v>7780</v>
      </c>
    </row>
    <row r="314" spans="1:19" s="495" customFormat="1">
      <c r="A314" s="139" t="s">
        <v>572</v>
      </c>
      <c r="B314" s="683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95">
        <f t="shared" si="74"/>
        <v>5500</v>
      </c>
      <c r="L314" s="526">
        <f t="shared" si="74"/>
        <v>0</v>
      </c>
      <c r="M314" s="508">
        <f t="shared" si="74"/>
        <v>0</v>
      </c>
      <c r="N314" s="509"/>
      <c r="O314" s="509"/>
      <c r="P314" s="509"/>
      <c r="Q314" s="498"/>
      <c r="R314" s="496">
        <f t="shared" si="72"/>
        <v>5500</v>
      </c>
      <c r="S314" s="496">
        <f>J314*389</f>
        <v>3890</v>
      </c>
    </row>
    <row r="315" spans="1:19" s="495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51">
        <f>C315*2500</f>
        <v>10000</v>
      </c>
      <c r="L315" s="526">
        <f>D315*2500</f>
        <v>0</v>
      </c>
      <c r="M315" s="508">
        <f>E315*2500</f>
        <v>0</v>
      </c>
      <c r="N315" s="509"/>
      <c r="O315" s="509"/>
      <c r="P315" s="509"/>
      <c r="Q315" s="498"/>
      <c r="R315" s="496">
        <f t="shared" si="72"/>
        <v>10000</v>
      </c>
      <c r="S315" s="496">
        <f>J315*1412</f>
        <v>5648</v>
      </c>
    </row>
    <row r="316" spans="1:19" s="495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51">
        <f>C316*110</f>
        <v>11000</v>
      </c>
      <c r="L316" s="526"/>
      <c r="M316" s="508"/>
      <c r="N316" s="509"/>
      <c r="O316" s="509"/>
      <c r="P316" s="509"/>
      <c r="Q316" s="498"/>
      <c r="R316" s="496">
        <f t="shared" si="72"/>
        <v>11000</v>
      </c>
      <c r="S316" s="496">
        <f>J316*60</f>
        <v>9420</v>
      </c>
    </row>
    <row r="317" spans="1:19" s="495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J317*27500</f>
        <v>0</v>
      </c>
    </row>
    <row r="318" spans="1:19" s="495" customFormat="1">
      <c r="A318" s="139" t="s">
        <v>579</v>
      </c>
      <c r="B318" s="695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51">
        <f>C318*120000</f>
        <v>0</v>
      </c>
      <c r="L318" s="526"/>
      <c r="M318" s="508"/>
      <c r="N318" s="509"/>
      <c r="O318" s="509"/>
      <c r="P318" s="509"/>
      <c r="Q318" s="498"/>
      <c r="R318" s="496">
        <f t="shared" si="72"/>
        <v>0</v>
      </c>
      <c r="S318" s="496">
        <f>J318*59400</f>
        <v>0</v>
      </c>
    </row>
    <row r="319" spans="1:19" s="495" customFormat="1">
      <c r="A319" s="139" t="s">
        <v>581</v>
      </c>
      <c r="B319" s="683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C319*75000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J319*33000</f>
        <v>0</v>
      </c>
    </row>
    <row r="320" spans="1:19" s="495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C320*35000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J320*15400</f>
        <v>0</v>
      </c>
    </row>
    <row r="321" spans="1:19" s="495" customFormat="1">
      <c r="A321" s="139" t="s">
        <v>584</v>
      </c>
      <c r="B321" s="695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51">
        <f>C321*36000</f>
        <v>0</v>
      </c>
      <c r="L321" s="526"/>
      <c r="M321" s="508"/>
      <c r="N321" s="509"/>
      <c r="O321" s="509"/>
      <c r="P321" s="509"/>
      <c r="Q321" s="498"/>
      <c r="R321" s="496">
        <f t="shared" si="72"/>
        <v>0</v>
      </c>
      <c r="S321" s="496">
        <f>J321*12000</f>
        <v>0</v>
      </c>
    </row>
    <row r="322" spans="1:19" s="495" customFormat="1">
      <c r="A322" s="139" t="s">
        <v>586</v>
      </c>
      <c r="B322" s="683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J322*34000</f>
        <v>0</v>
      </c>
    </row>
    <row r="323" spans="1:19" s="495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51">
        <f>C323*36000</f>
        <v>36000</v>
      </c>
      <c r="L323" s="526"/>
      <c r="M323" s="508"/>
      <c r="N323" s="509"/>
      <c r="O323" s="509"/>
      <c r="P323" s="509"/>
      <c r="Q323" s="498"/>
      <c r="R323" s="496">
        <f t="shared" si="72"/>
        <v>36000</v>
      </c>
      <c r="S323" s="496">
        <f>J323*12000</f>
        <v>12000</v>
      </c>
    </row>
    <row r="324" spans="1:19" s="495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51">
        <f>C324*81000</f>
        <v>0</v>
      </c>
      <c r="L324" s="526"/>
      <c r="M324" s="508"/>
      <c r="N324" s="509"/>
      <c r="O324" s="509"/>
      <c r="P324" s="509"/>
      <c r="Q324" s="498"/>
      <c r="R324" s="496">
        <f t="shared" si="72"/>
        <v>0</v>
      </c>
      <c r="S324" s="496">
        <f>J324*12000</f>
        <v>0</v>
      </c>
    </row>
    <row r="325" spans="1:19" s="495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51">
        <f>C325*1100</f>
        <v>0</v>
      </c>
      <c r="L325" s="526"/>
      <c r="M325" s="508"/>
      <c r="N325" s="509"/>
      <c r="O325" s="509"/>
      <c r="P325" s="509"/>
      <c r="Q325" s="498"/>
      <c r="R325" s="496">
        <f t="shared" si="72"/>
        <v>0</v>
      </c>
      <c r="S325" s="496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13">
        <f>C326*3000</f>
        <v>51000</v>
      </c>
      <c r="L326" s="526"/>
      <c r="M326" s="508"/>
      <c r="N326" s="509"/>
      <c r="O326" s="509"/>
      <c r="P326" s="509"/>
      <c r="R326" s="496">
        <f t="shared" si="72"/>
        <v>51000</v>
      </c>
      <c r="S326" s="496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13">
        <f>C327*1000</f>
        <v>30000</v>
      </c>
      <c r="L327" s="526">
        <f>D327*10000</f>
        <v>0</v>
      </c>
      <c r="M327" s="508">
        <f>E327*10000</f>
        <v>0</v>
      </c>
      <c r="N327" s="509"/>
      <c r="O327" s="509"/>
      <c r="P327" s="509"/>
      <c r="R327" s="496">
        <f t="shared" si="72"/>
        <v>30000</v>
      </c>
      <c r="S327" s="496">
        <f>J327*528</f>
        <v>15840</v>
      </c>
    </row>
    <row r="328" spans="1:19">
      <c r="A328" s="69" t="s">
        <v>597</v>
      </c>
      <c r="B328" s="686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C328*600</f>
        <v>0</v>
      </c>
      <c r="L328" s="526">
        <f>D328*600</f>
        <v>0</v>
      </c>
      <c r="M328" s="508">
        <f>E328*600</f>
        <v>0</v>
      </c>
      <c r="N328" s="509"/>
      <c r="O328" s="509"/>
      <c r="P328" s="509"/>
      <c r="R328" s="496">
        <f t="shared" si="72"/>
        <v>0</v>
      </c>
      <c r="S328" s="496">
        <f>J328*484</f>
        <v>0</v>
      </c>
    </row>
    <row r="329" spans="1:19" s="432" customFormat="1">
      <c r="A329" s="115" t="s">
        <v>599</v>
      </c>
      <c r="B329" s="683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51">
        <f>C329*1500</f>
        <v>0</v>
      </c>
      <c r="L329" s="526">
        <f>D329*1500</f>
        <v>0</v>
      </c>
      <c r="M329" s="508">
        <f>E329*1500</f>
        <v>0</v>
      </c>
      <c r="N329" s="509"/>
      <c r="O329" s="509"/>
      <c r="P329" s="509"/>
      <c r="Q329" s="498"/>
      <c r="R329" s="496">
        <f t="shared" si="72"/>
        <v>0</v>
      </c>
      <c r="S329" s="496">
        <f>J329*1155</f>
        <v>0</v>
      </c>
    </row>
    <row r="330" spans="1:19" s="432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95">
        <f>C330*1100</f>
        <v>0</v>
      </c>
      <c r="L330" s="526">
        <f>D330*110</f>
        <v>0</v>
      </c>
      <c r="M330" s="508">
        <f>E330*110</f>
        <v>0</v>
      </c>
      <c r="N330" s="509"/>
      <c r="O330" s="509"/>
      <c r="P330" s="509"/>
      <c r="Q330" s="498"/>
      <c r="R330" s="496">
        <f t="shared" si="72"/>
        <v>0</v>
      </c>
      <c r="S330" s="496">
        <f>J330*968</f>
        <v>0</v>
      </c>
    </row>
    <row r="331" spans="1:19" s="432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C331*30000</f>
        <v>0</v>
      </c>
      <c r="L331" s="526"/>
      <c r="M331" s="508"/>
      <c r="N331" s="509"/>
      <c r="O331" s="509"/>
      <c r="P331" s="509"/>
      <c r="Q331" s="498"/>
      <c r="R331" s="496">
        <f t="shared" si="72"/>
        <v>0</v>
      </c>
      <c r="S331" s="496">
        <f>J331*9600</f>
        <v>0</v>
      </c>
    </row>
    <row r="332" spans="1:19" s="432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95">
        <f>C332*55000</f>
        <v>0</v>
      </c>
      <c r="L332" s="526"/>
      <c r="M332" s="508"/>
      <c r="N332" s="509"/>
      <c r="O332" s="509"/>
      <c r="P332" s="509"/>
      <c r="Q332" s="498"/>
      <c r="R332" s="496">
        <f t="shared" ref="R332:R363" si="75">SUM(K332:Q332)</f>
        <v>0</v>
      </c>
      <c r="S332" s="496">
        <f>J332*26550</f>
        <v>0</v>
      </c>
    </row>
    <row r="333" spans="1:19" s="432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95">
        <f>C333*6000</f>
        <v>0</v>
      </c>
      <c r="L333" s="526"/>
      <c r="M333" s="508"/>
      <c r="N333" s="509"/>
      <c r="O333" s="509"/>
      <c r="P333" s="509"/>
      <c r="Q333" s="498"/>
      <c r="R333" s="496">
        <f t="shared" si="75"/>
        <v>0</v>
      </c>
      <c r="S333" s="496">
        <f>J333*2910</f>
        <v>0</v>
      </c>
    </row>
    <row r="334" spans="1:19" s="432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95">
        <f>C334*88000</f>
        <v>0</v>
      </c>
      <c r="L334" s="526">
        <f>D334*88000</f>
        <v>0</v>
      </c>
      <c r="M334" s="575">
        <f>E334*88000</f>
        <v>0</v>
      </c>
      <c r="N334" s="556"/>
      <c r="O334" s="509"/>
      <c r="P334" s="509"/>
      <c r="Q334" s="498"/>
      <c r="R334" s="496">
        <f t="shared" si="75"/>
        <v>0</v>
      </c>
      <c r="S334" s="496">
        <f>J334*66000</f>
        <v>0</v>
      </c>
    </row>
    <row r="335" spans="1:19" s="432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51">
        <f>C335*650</f>
        <v>0</v>
      </c>
      <c r="L335" s="526">
        <f>D335*650</f>
        <v>0</v>
      </c>
      <c r="M335" s="508">
        <f>E335*650</f>
        <v>0</v>
      </c>
      <c r="N335" s="509"/>
      <c r="O335" s="509"/>
      <c r="P335" s="509"/>
      <c r="Q335" s="498"/>
      <c r="R335" s="496">
        <f t="shared" si="75"/>
        <v>0</v>
      </c>
      <c r="S335" s="496">
        <f>J335*517</f>
        <v>0</v>
      </c>
    </row>
    <row r="336" spans="1:19" s="432" customFormat="1">
      <c r="A336"/>
      <c r="C336" s="425"/>
      <c r="K336" s="610">
        <f t="shared" ref="K336:S336" si="76">SUM(K268:K335)</f>
        <v>5605600</v>
      </c>
      <c r="L336" s="614">
        <f t="shared" si="76"/>
        <v>0</v>
      </c>
      <c r="M336" s="614">
        <f t="shared" si="76"/>
        <v>1258200</v>
      </c>
      <c r="N336" s="614">
        <f t="shared" si="76"/>
        <v>0</v>
      </c>
      <c r="O336" s="614">
        <f t="shared" si="76"/>
        <v>37520</v>
      </c>
      <c r="P336" s="614">
        <f t="shared" si="76"/>
        <v>0</v>
      </c>
      <c r="Q336" s="614">
        <f t="shared" si="76"/>
        <v>0</v>
      </c>
      <c r="R336" s="614">
        <f t="shared" si="76"/>
        <v>6901320</v>
      </c>
      <c r="S336" s="614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81"/>
      <c r="L338" s="581"/>
      <c r="M338" s="585"/>
      <c r="N338" s="585"/>
      <c r="O338" s="615"/>
      <c r="P338" s="616"/>
      <c r="Q338" s="617"/>
      <c r="R338" s="585"/>
      <c r="S338" s="585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81"/>
      <c r="L339" s="581"/>
      <c r="M339" s="585"/>
      <c r="N339" s="585"/>
      <c r="O339" s="615"/>
      <c r="P339" s="616"/>
      <c r="Q339" s="617"/>
      <c r="R339" s="585"/>
      <c r="S339" s="585"/>
    </row>
    <row r="340" spans="1:19">
      <c r="D340" s="474"/>
      <c r="E340" s="304"/>
      <c r="F340" s="214"/>
      <c r="G340" s="214"/>
      <c r="H340" s="123"/>
      <c r="I340" s="123"/>
      <c r="J340" s="124"/>
      <c r="P340" s="521"/>
    </row>
    <row r="341" spans="1:19">
      <c r="A341" s="64" t="s">
        <v>606</v>
      </c>
      <c r="D341" s="474"/>
      <c r="E341" s="304"/>
      <c r="F341" s="214"/>
      <c r="G341" s="214"/>
      <c r="I341" s="14"/>
      <c r="J341" s="125"/>
      <c r="P341" s="521"/>
    </row>
    <row r="342" spans="1:19" ht="48" customHeight="1">
      <c r="A342" s="100" t="s">
        <v>938</v>
      </c>
      <c r="B342" s="470" t="s">
        <v>608</v>
      </c>
      <c r="C342" s="474"/>
      <c r="D342" s="217"/>
      <c r="E342" s="304"/>
      <c r="F342" s="214"/>
      <c r="G342" s="214"/>
      <c r="H342" s="126"/>
      <c r="I342" s="126" t="s">
        <v>129</v>
      </c>
      <c r="J342" s="125"/>
      <c r="K342" s="564" t="s">
        <v>4</v>
      </c>
      <c r="L342" s="566"/>
      <c r="M342" s="566" t="s">
        <v>6</v>
      </c>
      <c r="N342" s="566"/>
      <c r="O342" s="510"/>
      <c r="P342" s="618"/>
      <c r="R342" s="564" t="s">
        <v>29</v>
      </c>
      <c r="S342" s="496" t="s">
        <v>167</v>
      </c>
    </row>
    <row r="343" spans="1:19" s="432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95">
        <f>C343*4400</f>
        <v>0</v>
      </c>
      <c r="L343" s="575"/>
      <c r="M343" s="508"/>
      <c r="N343" s="598"/>
      <c r="O343" s="497"/>
      <c r="P343" s="590"/>
      <c r="Q343" s="498"/>
      <c r="R343" s="495">
        <f t="shared" ref="R343:R374" si="78">SUM(K343:Q343)</f>
        <v>0</v>
      </c>
      <c r="S343" s="495">
        <f>J343*1340</f>
        <v>0</v>
      </c>
    </row>
    <row r="344" spans="1:19" s="432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95"/>
      <c r="L344" s="575"/>
      <c r="M344" s="508"/>
      <c r="N344" s="598"/>
      <c r="O344" s="497"/>
      <c r="P344" s="590"/>
      <c r="Q344" s="498"/>
      <c r="R344" s="495">
        <f t="shared" si="78"/>
        <v>0</v>
      </c>
      <c r="S344" s="495">
        <f>J344*1349</f>
        <v>0</v>
      </c>
    </row>
    <row r="345" spans="1:19" s="432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95">
        <f>C345*60000</f>
        <v>0</v>
      </c>
      <c r="L345" s="575"/>
      <c r="M345" s="508"/>
      <c r="N345" s="598">
        <f>F345*54000</f>
        <v>0</v>
      </c>
      <c r="O345" s="497"/>
      <c r="P345" s="590"/>
      <c r="Q345" s="498"/>
      <c r="R345" s="495">
        <f t="shared" si="78"/>
        <v>0</v>
      </c>
      <c r="S345" s="495">
        <f>J345*5060</f>
        <v>0</v>
      </c>
    </row>
    <row r="346" spans="1:19" s="432" customFormat="1" ht="16.5" customHeight="1">
      <c r="A346" s="265" t="s">
        <v>612</v>
      </c>
      <c r="B346" s="687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95">
        <v>20000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20000</v>
      </c>
      <c r="S346" s="495">
        <f>J346*2850</f>
        <v>5700</v>
      </c>
    </row>
    <row r="347" spans="1:19" s="432" customFormat="1" ht="16.5" customHeight="1">
      <c r="A347" s="265" t="s">
        <v>614</v>
      </c>
      <c r="B347" s="688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95">
        <f>C347*17000</f>
        <v>0</v>
      </c>
      <c r="L347" s="575"/>
      <c r="M347" s="508"/>
      <c r="N347" s="598">
        <f>F347*15000</f>
        <v>0</v>
      </c>
      <c r="O347" s="497"/>
      <c r="P347" s="590"/>
      <c r="Q347" s="498"/>
      <c r="R347" s="495">
        <f t="shared" si="78"/>
        <v>0</v>
      </c>
      <c r="S347" s="495">
        <f>J347*2670</f>
        <v>0</v>
      </c>
    </row>
    <row r="348" spans="1:19" s="432" customFormat="1">
      <c r="A348" s="265" t="s">
        <v>615</v>
      </c>
      <c r="B348" s="688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</f>
        <v>0</v>
      </c>
    </row>
    <row r="349" spans="1:19" s="432" customFormat="1">
      <c r="A349" s="265" t="s">
        <v>616</v>
      </c>
      <c r="B349" s="688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C349*16000</f>
        <v>0</v>
      </c>
      <c r="L349" s="575"/>
      <c r="M349" s="508"/>
      <c r="N349" s="598">
        <f>F349*14000</f>
        <v>0</v>
      </c>
      <c r="O349" s="497"/>
      <c r="P349" s="590"/>
      <c r="Q349" s="498"/>
      <c r="R349" s="495">
        <f t="shared" si="78"/>
        <v>0</v>
      </c>
      <c r="S349" s="495">
        <f>J349*2380</f>
        <v>0</v>
      </c>
    </row>
    <row r="350" spans="1:19" s="432" customFormat="1">
      <c r="A350" s="263" t="s">
        <v>617</v>
      </c>
      <c r="B350" s="688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95">
        <v>28000</v>
      </c>
      <c r="L350" s="575"/>
      <c r="M350" s="508"/>
      <c r="N350" s="598">
        <v>13000</v>
      </c>
      <c r="O350" s="497"/>
      <c r="P350" s="590"/>
      <c r="Q350" s="498"/>
      <c r="R350" s="495">
        <f t="shared" si="78"/>
        <v>41000</v>
      </c>
      <c r="S350" s="495">
        <f>J350*2440</f>
        <v>7320</v>
      </c>
    </row>
    <row r="351" spans="1:19" s="432" customFormat="1">
      <c r="A351" s="263" t="s">
        <v>618</v>
      </c>
      <c r="B351" s="688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95">
        <v>10000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10000</v>
      </c>
      <c r="S351" s="495">
        <f>J351*2740</f>
        <v>2740</v>
      </c>
    </row>
    <row r="352" spans="1:19" s="432" customFormat="1">
      <c r="A352" s="263" t="s">
        <v>623</v>
      </c>
      <c r="B352" s="688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95">
        <v>21000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21000</v>
      </c>
      <c r="S352" s="495">
        <f>J352*2300</f>
        <v>6900</v>
      </c>
    </row>
    <row r="353" spans="1:19" s="432" customFormat="1">
      <c r="A353" s="263" t="s">
        <v>624</v>
      </c>
      <c r="B353" s="688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95">
        <v>9000</v>
      </c>
      <c r="L353" s="575"/>
      <c r="M353" s="508"/>
      <c r="N353" s="598">
        <v>8000</v>
      </c>
      <c r="O353" s="497"/>
      <c r="P353" s="590"/>
      <c r="Q353" s="498"/>
      <c r="R353" s="495">
        <f t="shared" si="78"/>
        <v>17000</v>
      </c>
      <c r="S353" s="495">
        <f>J353*1920</f>
        <v>3840</v>
      </c>
    </row>
    <row r="354" spans="1:19" s="432" customFormat="1">
      <c r="A354" s="264" t="s">
        <v>619</v>
      </c>
      <c r="B354" s="688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95">
        <f>C354*20000</f>
        <v>0</v>
      </c>
      <c r="L354" s="575"/>
      <c r="M354" s="508"/>
      <c r="N354" s="598">
        <f>F354*18000</f>
        <v>18000</v>
      </c>
      <c r="O354" s="497"/>
      <c r="P354" s="590"/>
      <c r="Q354" s="498"/>
      <c r="R354" s="495">
        <f t="shared" si="78"/>
        <v>18000</v>
      </c>
      <c r="S354" s="495">
        <f>J354*4940</f>
        <v>4940</v>
      </c>
    </row>
    <row r="355" spans="1:19" s="432" customFormat="1">
      <c r="A355" s="263" t="s">
        <v>620</v>
      </c>
      <c r="B355" s="688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95">
        <v>48000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48000</v>
      </c>
      <c r="S355" s="495">
        <f>J355*2470</f>
        <v>9880</v>
      </c>
    </row>
    <row r="356" spans="1:19" s="432" customFormat="1">
      <c r="A356" s="263" t="s">
        <v>621</v>
      </c>
      <c r="B356" s="688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95">
        <v>92000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92000</v>
      </c>
      <c r="S356" s="495">
        <f>J356*28700</f>
        <v>28700</v>
      </c>
    </row>
    <row r="357" spans="1:19" s="432" customFormat="1">
      <c r="A357" s="263" t="s">
        <v>622</v>
      </c>
      <c r="B357" s="688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78"/>
        <v>0</v>
      </c>
      <c r="S357" s="495">
        <f>J357*3170</f>
        <v>0</v>
      </c>
    </row>
    <row r="358" spans="1:19" s="432" customFormat="1">
      <c r="A358" s="265" t="s">
        <v>625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J358*5710</f>
        <v>0</v>
      </c>
    </row>
    <row r="359" spans="1:19" s="432" customFormat="1">
      <c r="A359" s="265" t="s">
        <v>626</v>
      </c>
      <c r="B359" s="688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18000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18000</v>
      </c>
      <c r="S359" s="495">
        <f>J359*4170</f>
        <v>4170</v>
      </c>
    </row>
    <row r="360" spans="1:19" s="432" customFormat="1">
      <c r="A360" s="265" t="s">
        <v>627</v>
      </c>
      <c r="B360" s="688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J360*8570</f>
        <v>0</v>
      </c>
    </row>
    <row r="361" spans="1:19" s="432" customFormat="1">
      <c r="A361" s="265" t="s">
        <v>628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J361*2260</f>
        <v>0</v>
      </c>
    </row>
    <row r="362" spans="1:19" s="432" customFormat="1">
      <c r="A362" s="263" t="s">
        <v>629</v>
      </c>
      <c r="B362" s="688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J362*16916</f>
        <v>0</v>
      </c>
    </row>
    <row r="363" spans="1:19" s="432" customFormat="1">
      <c r="A363" s="265" t="s">
        <v>630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J363*2470</f>
        <v>0</v>
      </c>
    </row>
    <row r="364" spans="1:19" s="432" customFormat="1">
      <c r="A364" s="265" t="s">
        <v>631</v>
      </c>
      <c r="B364" s="688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J364*2160</f>
        <v>0</v>
      </c>
    </row>
    <row r="365" spans="1:19" s="432" customFormat="1">
      <c r="A365" s="265" t="s">
        <v>632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f>C365*23000</f>
        <v>0</v>
      </c>
      <c r="L365" s="575"/>
      <c r="M365" s="508"/>
      <c r="N365" s="598">
        <f>F365*21000</f>
        <v>0</v>
      </c>
      <c r="O365" s="497"/>
      <c r="P365" s="590"/>
      <c r="Q365" s="498"/>
      <c r="R365" s="495">
        <f t="shared" si="78"/>
        <v>0</v>
      </c>
      <c r="S365" s="495">
        <f>J365*2540</f>
        <v>0</v>
      </c>
    </row>
    <row r="366" spans="1:19" s="432" customFormat="1">
      <c r="A366" s="263" t="s">
        <v>633</v>
      </c>
      <c r="B366" s="688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J366*1690</f>
        <v>0</v>
      </c>
    </row>
    <row r="367" spans="1:19" s="432" customFormat="1">
      <c r="A367" s="265" t="s">
        <v>634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J367*10990</f>
        <v>0</v>
      </c>
    </row>
    <row r="368" spans="1:19" s="432" customFormat="1">
      <c r="A368" s="265" t="s">
        <v>635</v>
      </c>
      <c r="B368" s="688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J368*2180</f>
        <v>0</v>
      </c>
    </row>
    <row r="369" spans="1:19" s="432" customFormat="1">
      <c r="A369" s="265" t="s">
        <v>636</v>
      </c>
      <c r="B369" s="688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0</v>
      </c>
      <c r="S369" s="495">
        <f>J369*7800</f>
        <v>0</v>
      </c>
    </row>
    <row r="370" spans="1:19" s="432" customFormat="1">
      <c r="A370" s="263" t="s">
        <v>637</v>
      </c>
      <c r="B370" s="688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0</v>
      </c>
      <c r="S370" s="495">
        <f>J370*4225</f>
        <v>0</v>
      </c>
    </row>
    <row r="371" spans="1:19" s="432" customFormat="1">
      <c r="A371" s="265" t="s">
        <v>638</v>
      </c>
      <c r="B371" s="688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95">
        <v>10000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10000</v>
      </c>
      <c r="S371" s="495">
        <f>J371*2652</f>
        <v>2652</v>
      </c>
    </row>
    <row r="372" spans="1:19" s="432" customFormat="1">
      <c r="A372" s="265" t="s">
        <v>639</v>
      </c>
      <c r="B372" s="688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95">
        <v>10000</v>
      </c>
      <c r="L372" s="575"/>
      <c r="M372" s="508"/>
      <c r="N372" s="598">
        <v>9000</v>
      </c>
      <c r="O372" s="497"/>
      <c r="P372" s="590"/>
      <c r="Q372" s="498"/>
      <c r="R372" s="495">
        <f t="shared" si="78"/>
        <v>19000</v>
      </c>
      <c r="S372" s="495">
        <f>J372*2410</f>
        <v>4820</v>
      </c>
    </row>
    <row r="373" spans="1:19" s="432" customFormat="1">
      <c r="A373" s="265" t="s">
        <v>640</v>
      </c>
      <c r="B373" s="688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8"/>
        <v>0</v>
      </c>
      <c r="S373" s="495">
        <f>J373*1820</f>
        <v>0</v>
      </c>
    </row>
    <row r="374" spans="1:19" s="432" customFormat="1">
      <c r="A374" s="263" t="s">
        <v>641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8"/>
        <v>0</v>
      </c>
      <c r="S374" s="495">
        <f>J374*4170</f>
        <v>0</v>
      </c>
    </row>
    <row r="375" spans="1:19" s="432" customFormat="1">
      <c r="A375" s="263" t="s">
        <v>642</v>
      </c>
      <c r="B375" s="688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95">
        <f>C375*125000</f>
        <v>0</v>
      </c>
      <c r="L375" s="575"/>
      <c r="M375" s="508"/>
      <c r="N375" s="598">
        <f>F375*113000</f>
        <v>0</v>
      </c>
      <c r="O375" s="497"/>
      <c r="P375" s="590"/>
      <c r="Q375" s="498"/>
      <c r="R375" s="495">
        <f t="shared" ref="R375:R406" si="80">SUM(K375:Q375)</f>
        <v>0</v>
      </c>
      <c r="S375" s="495">
        <f>J375*9020</f>
        <v>0</v>
      </c>
    </row>
    <row r="376" spans="1:19" s="432" customFormat="1">
      <c r="A376" s="263" t="s">
        <v>643</v>
      </c>
      <c r="B376" s="688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f>C376*110000</f>
        <v>0</v>
      </c>
      <c r="L376" s="575"/>
      <c r="M376" s="508"/>
      <c r="N376" s="598">
        <f>F376*99000</f>
        <v>0</v>
      </c>
      <c r="O376" s="497"/>
      <c r="P376" s="590"/>
      <c r="Q376" s="498"/>
      <c r="R376" s="495">
        <f t="shared" si="80"/>
        <v>0</v>
      </c>
      <c r="S376" s="495">
        <f>J376*5930</f>
        <v>0</v>
      </c>
    </row>
    <row r="377" spans="1:19" s="432" customFormat="1">
      <c r="A377" s="265" t="s">
        <v>644</v>
      </c>
      <c r="B377" s="688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J377*17940</f>
        <v>0</v>
      </c>
    </row>
    <row r="378" spans="1:19" s="432" customFormat="1">
      <c r="A378" s="265" t="s">
        <v>645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J378*2110</f>
        <v>0</v>
      </c>
    </row>
    <row r="379" spans="1:19" s="432" customFormat="1">
      <c r="A379" s="263" t="s">
        <v>646</v>
      </c>
      <c r="B379" s="688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95">
        <v>24000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24000</v>
      </c>
      <c r="S379" s="495">
        <f>J379*1728</f>
        <v>6912</v>
      </c>
    </row>
    <row r="380" spans="1:19" s="432" customFormat="1">
      <c r="A380" s="263" t="s">
        <v>647</v>
      </c>
      <c r="B380" s="688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f>C380*17000</f>
        <v>0</v>
      </c>
      <c r="L380" s="575"/>
      <c r="M380" s="508"/>
      <c r="N380" s="598">
        <f>F380*15000</f>
        <v>0</v>
      </c>
      <c r="O380" s="497"/>
      <c r="P380" s="590"/>
      <c r="Q380" s="498"/>
      <c r="R380" s="495">
        <f t="shared" si="80"/>
        <v>0</v>
      </c>
      <c r="S380" s="495">
        <f>J380*2620</f>
        <v>0</v>
      </c>
    </row>
    <row r="381" spans="1:19" s="432" customFormat="1">
      <c r="A381" s="263" t="s">
        <v>648</v>
      </c>
      <c r="B381" s="688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95">
        <v>24000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24000</v>
      </c>
      <c r="S381" s="495">
        <f>J381*1996</f>
        <v>3992</v>
      </c>
    </row>
    <row r="382" spans="1:19" s="432" customFormat="1">
      <c r="A382" s="263" t="s">
        <v>649</v>
      </c>
      <c r="B382" s="688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0</v>
      </c>
      <c r="S382" s="495">
        <f>J382*2080</f>
        <v>0</v>
      </c>
    </row>
    <row r="383" spans="1:19" s="432" customFormat="1">
      <c r="A383" s="265" t="s">
        <v>650</v>
      </c>
      <c r="B383" s="688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95">
        <v>27000</v>
      </c>
      <c r="L383" s="575"/>
      <c r="M383" s="508"/>
      <c r="N383" s="598">
        <v>24000</v>
      </c>
      <c r="O383" s="497"/>
      <c r="P383" s="590"/>
      <c r="Q383" s="498"/>
      <c r="R383" s="495">
        <f t="shared" si="80"/>
        <v>51000</v>
      </c>
      <c r="S383" s="495">
        <f>J383*5556</f>
        <v>11112</v>
      </c>
    </row>
    <row r="384" spans="1:19" s="432" customFormat="1">
      <c r="A384" s="265" t="s">
        <v>651</v>
      </c>
      <c r="B384" s="688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95">
        <v>27000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27000</v>
      </c>
      <c r="S384" s="495">
        <f>J384*5480</f>
        <v>5480</v>
      </c>
    </row>
    <row r="385" spans="1:19" s="432" customFormat="1">
      <c r="A385" s="263" t="s">
        <v>652</v>
      </c>
      <c r="B385" s="688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J385*6700</f>
        <v>0</v>
      </c>
    </row>
    <row r="386" spans="1:19" s="432" customFormat="1">
      <c r="A386" s="265" t="s">
        <v>653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v>0</v>
      </c>
      <c r="L386" s="575"/>
      <c r="M386" s="508"/>
      <c r="N386" s="598">
        <v>0</v>
      </c>
      <c r="O386" s="497"/>
      <c r="P386" s="590"/>
      <c r="Q386" s="498"/>
      <c r="R386" s="495">
        <f t="shared" si="80"/>
        <v>0</v>
      </c>
      <c r="S386" s="495">
        <f>J386*4225</f>
        <v>0</v>
      </c>
    </row>
    <row r="387" spans="1:19" s="432" customFormat="1">
      <c r="A387" s="265" t="s">
        <v>654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80"/>
        <v>0</v>
      </c>
      <c r="S387" s="495">
        <f>J387*5380</f>
        <v>0</v>
      </c>
    </row>
    <row r="388" spans="1:19" s="432" customFormat="1">
      <c r="A388" s="265" t="s">
        <v>655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J388*3220</f>
        <v>0</v>
      </c>
    </row>
    <row r="389" spans="1:19" s="432" customFormat="1">
      <c r="A389" s="265" t="s">
        <v>656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f>C389*29000</f>
        <v>0</v>
      </c>
      <c r="L389" s="575"/>
      <c r="M389" s="508"/>
      <c r="N389" s="598">
        <f>F389*26000</f>
        <v>0</v>
      </c>
      <c r="O389" s="497"/>
      <c r="P389" s="590"/>
      <c r="Q389" s="498"/>
      <c r="R389" s="495">
        <f t="shared" si="80"/>
        <v>0</v>
      </c>
      <c r="S389" s="495">
        <f>J389*5340</f>
        <v>0</v>
      </c>
    </row>
    <row r="390" spans="1:19" s="432" customFormat="1">
      <c r="A390" s="265" t="s">
        <v>657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J390*5600</f>
        <v>0</v>
      </c>
    </row>
    <row r="391" spans="1:19" s="432" customFormat="1">
      <c r="A391" s="265" t="s">
        <v>658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J391*2570</f>
        <v>0</v>
      </c>
    </row>
    <row r="392" spans="1:19" s="432" customFormat="1">
      <c r="A392" s="265" t="s">
        <v>659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J392*3330</f>
        <v>0</v>
      </c>
    </row>
    <row r="393" spans="1:19" s="432" customFormat="1">
      <c r="A393" s="265" t="s">
        <v>660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f>C393*16000</f>
        <v>0</v>
      </c>
      <c r="L393" s="575"/>
      <c r="M393" s="508"/>
      <c r="N393" s="598">
        <f>F393*14000</f>
        <v>0</v>
      </c>
      <c r="O393" s="497"/>
      <c r="P393" s="590"/>
      <c r="Q393" s="498"/>
      <c r="R393" s="495">
        <f t="shared" si="80"/>
        <v>0</v>
      </c>
      <c r="S393" s="495">
        <f>J393*2090</f>
        <v>0</v>
      </c>
    </row>
    <row r="394" spans="1:19" s="432" customFormat="1">
      <c r="A394" s="265" t="s">
        <v>661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f>C394*23000</f>
        <v>0</v>
      </c>
      <c r="L394" s="575"/>
      <c r="M394" s="508"/>
      <c r="N394" s="598">
        <f>F394*21000</f>
        <v>0</v>
      </c>
      <c r="O394" s="497"/>
      <c r="P394" s="590"/>
      <c r="Q394" s="498"/>
      <c r="R394" s="495">
        <f t="shared" si="80"/>
        <v>0</v>
      </c>
      <c r="S394" s="495">
        <f>J394*3170</f>
        <v>0</v>
      </c>
    </row>
    <row r="395" spans="1:19" s="432" customFormat="1">
      <c r="A395" s="265" t="s">
        <v>662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J395*4720</f>
        <v>0</v>
      </c>
    </row>
    <row r="396" spans="1:19" s="432" customFormat="1">
      <c r="A396" s="265" t="s">
        <v>663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0</v>
      </c>
      <c r="S396" s="495">
        <f>J396*3048</f>
        <v>0</v>
      </c>
    </row>
    <row r="397" spans="1:19" s="432" customFormat="1">
      <c r="A397" s="265" t="s">
        <v>664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J397*2740</f>
        <v>0</v>
      </c>
    </row>
    <row r="398" spans="1:19" s="432" customFormat="1">
      <c r="A398" s="265" t="s">
        <v>665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f>C398*16000</f>
        <v>0</v>
      </c>
      <c r="L398" s="575"/>
      <c r="M398" s="508"/>
      <c r="N398" s="598">
        <f>F398*14000</f>
        <v>0</v>
      </c>
      <c r="O398" s="497"/>
      <c r="P398" s="590"/>
      <c r="Q398" s="498"/>
      <c r="R398" s="495">
        <f t="shared" si="80"/>
        <v>0</v>
      </c>
      <c r="S398" s="495">
        <f>J398*2160</f>
        <v>0</v>
      </c>
    </row>
    <row r="399" spans="1:19" s="432" customFormat="1">
      <c r="A399" s="263" t="s">
        <v>666</v>
      </c>
      <c r="B399" s="688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95">
        <v>0</v>
      </c>
      <c r="L399" s="575"/>
      <c r="M399" s="508"/>
      <c r="N399" s="598">
        <f>F399*20000</f>
        <v>20000</v>
      </c>
      <c r="O399" s="497"/>
      <c r="P399" s="590"/>
      <c r="Q399" s="498"/>
      <c r="R399" s="495">
        <f t="shared" si="80"/>
        <v>20000</v>
      </c>
      <c r="S399" s="495">
        <f>J399*2060</f>
        <v>2060</v>
      </c>
    </row>
    <row r="400" spans="1:19" s="432" customFormat="1">
      <c r="A400" s="265" t="s">
        <v>667</v>
      </c>
      <c r="B400" s="688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J400*3730</f>
        <v>0</v>
      </c>
    </row>
    <row r="401" spans="1:19" s="432" customFormat="1">
      <c r="A401" s="265" t="s">
        <v>668</v>
      </c>
      <c r="B401" s="688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J401*2360</f>
        <v>0</v>
      </c>
    </row>
    <row r="402" spans="1:19" s="432" customFormat="1">
      <c r="A402" s="263" t="s">
        <v>669</v>
      </c>
      <c r="B402" s="688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95">
        <v>40000</v>
      </c>
      <c r="L402" s="575"/>
      <c r="M402" s="508"/>
      <c r="N402" s="598">
        <v>27000</v>
      </c>
      <c r="O402" s="497"/>
      <c r="P402" s="590"/>
      <c r="Q402" s="498"/>
      <c r="R402" s="495">
        <f t="shared" si="80"/>
        <v>67000</v>
      </c>
      <c r="S402" s="495">
        <f>J402*1790</f>
        <v>12530</v>
      </c>
    </row>
    <row r="403" spans="1:19" s="432" customFormat="1">
      <c r="A403" s="265" t="s">
        <v>670</v>
      </c>
      <c r="B403" s="688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J403*4060</f>
        <v>0</v>
      </c>
    </row>
    <row r="404" spans="1:19" s="432" customFormat="1">
      <c r="A404" s="265" t="s">
        <v>671</v>
      </c>
      <c r="B404" s="688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0</v>
      </c>
      <c r="S404" s="495">
        <f>J404*7690</f>
        <v>0</v>
      </c>
    </row>
    <row r="405" spans="1:19" s="432" customFormat="1">
      <c r="A405" s="265" t="s">
        <v>672</v>
      </c>
      <c r="B405" s="688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0"/>
        <v>0</v>
      </c>
      <c r="S405" s="495">
        <f>J405*3730</f>
        <v>0</v>
      </c>
    </row>
    <row r="406" spans="1:19" s="432" customFormat="1">
      <c r="A406" s="265" t="s">
        <v>673</v>
      </c>
      <c r="B406" s="688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95">
        <v>24000</v>
      </c>
      <c r="L406" s="575"/>
      <c r="M406" s="508"/>
      <c r="N406" s="598">
        <v>0</v>
      </c>
      <c r="O406" s="497"/>
      <c r="P406" s="590"/>
      <c r="Q406" s="498"/>
      <c r="R406" s="495">
        <f t="shared" si="80"/>
        <v>24000</v>
      </c>
      <c r="S406" s="495">
        <f>J406*5160</f>
        <v>5160</v>
      </c>
    </row>
    <row r="407" spans="1:19" s="432" customFormat="1">
      <c r="A407" s="265" t="s">
        <v>674</v>
      </c>
      <c r="B407" s="688"/>
      <c r="C407" s="186"/>
      <c r="D407" s="187"/>
      <c r="E407" s="187"/>
      <c r="F407" s="183"/>
      <c r="G407" s="255"/>
      <c r="H407" s="70"/>
      <c r="I407" s="103"/>
      <c r="J407" s="26">
        <f t="shared" ref="J407:J438" si="81">SUM(B407:I407)</f>
        <v>0</v>
      </c>
      <c r="K407" s="495">
        <f>C407*125000</f>
        <v>0</v>
      </c>
      <c r="L407" s="575"/>
      <c r="M407" s="508"/>
      <c r="N407" s="598">
        <f>F407*113000</f>
        <v>0</v>
      </c>
      <c r="O407" s="497"/>
      <c r="P407" s="590"/>
      <c r="Q407" s="498"/>
      <c r="R407" s="495">
        <f t="shared" ref="R407:R438" si="82">SUM(K407:Q407)</f>
        <v>0</v>
      </c>
      <c r="S407" s="495">
        <f>J407*3640</f>
        <v>0</v>
      </c>
    </row>
    <row r="408" spans="1:19" s="432" customFormat="1">
      <c r="A408" s="265" t="s">
        <v>675</v>
      </c>
      <c r="B408" s="688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95">
        <f>C408*23000</f>
        <v>0</v>
      </c>
      <c r="L408" s="575"/>
      <c r="M408" s="508"/>
      <c r="N408" s="598">
        <f>F408*21000</f>
        <v>0</v>
      </c>
      <c r="O408" s="497"/>
      <c r="P408" s="590"/>
      <c r="Q408" s="498"/>
      <c r="R408" s="495">
        <f t="shared" si="82"/>
        <v>0</v>
      </c>
      <c r="S408" s="495">
        <f>J408*3220</f>
        <v>0</v>
      </c>
    </row>
    <row r="409" spans="1:19" s="432" customFormat="1">
      <c r="A409" s="265" t="s">
        <v>676</v>
      </c>
      <c r="B409" s="688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J409*8130</f>
        <v>0</v>
      </c>
    </row>
    <row r="410" spans="1:19" s="432" customFormat="1">
      <c r="A410" s="265" t="s">
        <v>677</v>
      </c>
      <c r="B410" s="688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J410*2960</f>
        <v>0</v>
      </c>
    </row>
    <row r="411" spans="1:19" s="432" customFormat="1">
      <c r="A411" s="265" t="s">
        <v>678</v>
      </c>
      <c r="B411" s="688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J411*4270</f>
        <v>0</v>
      </c>
    </row>
    <row r="412" spans="1:19" s="432" customFormat="1">
      <c r="A412" s="265" t="s">
        <v>679</v>
      </c>
      <c r="B412" s="688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J412*5610</f>
        <v>0</v>
      </c>
    </row>
    <row r="413" spans="1:19" s="432" customFormat="1">
      <c r="A413" s="265" t="s">
        <v>680</v>
      </c>
      <c r="B413" s="688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J413*7310</f>
        <v>0</v>
      </c>
    </row>
    <row r="414" spans="1:19" s="432" customFormat="1">
      <c r="A414" s="265" t="s">
        <v>681</v>
      </c>
      <c r="B414" s="688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95">
        <v>0</v>
      </c>
      <c r="L414" s="575"/>
      <c r="M414" s="508"/>
      <c r="N414" s="598">
        <v>0</v>
      </c>
      <c r="O414" s="497"/>
      <c r="P414" s="590"/>
      <c r="Q414" s="498"/>
      <c r="R414" s="495">
        <f t="shared" si="82"/>
        <v>0</v>
      </c>
      <c r="S414" s="495">
        <f>J414*3980</f>
        <v>0</v>
      </c>
    </row>
    <row r="415" spans="1:19" s="432" customFormat="1">
      <c r="A415" s="265" t="s">
        <v>682</v>
      </c>
      <c r="B415" s="683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2"/>
        <v>0</v>
      </c>
      <c r="S415" s="495">
        <f>J415*3920</f>
        <v>0</v>
      </c>
    </row>
    <row r="416" spans="1:19" s="432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95"/>
      <c r="L416" s="575"/>
      <c r="M416" s="508"/>
      <c r="N416" s="598"/>
      <c r="O416" s="497"/>
      <c r="P416" s="590"/>
      <c r="Q416" s="498"/>
      <c r="R416" s="495"/>
      <c r="S416" s="495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9">
        <f t="shared" ref="K417:Q417" si="84">SUM(K343:K416)</f>
        <v>432000</v>
      </c>
      <c r="L417" s="619">
        <f t="shared" si="84"/>
        <v>0</v>
      </c>
      <c r="M417" s="619">
        <f t="shared" si="84"/>
        <v>0</v>
      </c>
      <c r="N417" s="620">
        <f t="shared" si="84"/>
        <v>119000</v>
      </c>
      <c r="O417" s="619">
        <f t="shared" si="84"/>
        <v>0</v>
      </c>
      <c r="P417" s="619">
        <f t="shared" si="84"/>
        <v>0</v>
      </c>
      <c r="Q417" s="619">
        <f t="shared" si="84"/>
        <v>0</v>
      </c>
      <c r="R417" s="619">
        <f t="shared" ref="R417:R448" si="85">SUM(K417:Q417)</f>
        <v>551000</v>
      </c>
      <c r="S417" s="619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46">
        <f>C418*480000</f>
        <v>0</v>
      </c>
      <c r="L418" s="546"/>
      <c r="M418" s="546"/>
      <c r="N418" s="549">
        <f>F418*432000</f>
        <v>0</v>
      </c>
      <c r="O418" s="546"/>
      <c r="P418" s="546"/>
      <c r="Q418" s="546"/>
      <c r="R418" s="495">
        <f t="shared" si="85"/>
        <v>0</v>
      </c>
      <c r="S418" s="546">
        <f>J418*40100</f>
        <v>0</v>
      </c>
    </row>
    <row r="419" spans="1:19" s="432" customFormat="1" ht="16.5" customHeight="1">
      <c r="A419" s="265" t="s">
        <v>612</v>
      </c>
      <c r="B419" s="687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J419*18000</f>
        <v>0</v>
      </c>
    </row>
    <row r="420" spans="1:19" s="432" customFormat="1" ht="16.5" customHeight="1">
      <c r="A420" s="265" t="s">
        <v>614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C420*136000</f>
        <v>0</v>
      </c>
      <c r="L420" s="575"/>
      <c r="M420" s="508"/>
      <c r="N420" s="598">
        <f>F420*122000</f>
        <v>0</v>
      </c>
      <c r="O420" s="497"/>
      <c r="P420" s="590"/>
      <c r="Q420" s="498"/>
      <c r="R420" s="495">
        <f t="shared" si="85"/>
        <v>0</v>
      </c>
      <c r="S420" s="495">
        <f>J420*16200</f>
        <v>0</v>
      </c>
    </row>
    <row r="421" spans="1:19" s="432" customFormat="1">
      <c r="A421" s="265" t="s">
        <v>615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J421*18200</f>
        <v>0</v>
      </c>
    </row>
    <row r="422" spans="1:19" s="432" customFormat="1">
      <c r="A422" s="265" t="s">
        <v>616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C422*128000</f>
        <v>0</v>
      </c>
      <c r="L422" s="575"/>
      <c r="M422" s="508"/>
      <c r="N422" s="598">
        <f>F422*115000</f>
        <v>0</v>
      </c>
      <c r="O422" s="497"/>
      <c r="P422" s="590"/>
      <c r="Q422" s="498"/>
      <c r="R422" s="495">
        <f t="shared" si="85"/>
        <v>0</v>
      </c>
      <c r="S422" s="495">
        <f>J422*13300</f>
        <v>0</v>
      </c>
    </row>
    <row r="423" spans="1:19" s="432" customFormat="1">
      <c r="A423" s="263" t="s">
        <v>617</v>
      </c>
      <c r="B423" s="688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95">
        <v>0</v>
      </c>
      <c r="L423" s="575"/>
      <c r="M423" s="508"/>
      <c r="N423" s="598">
        <v>158000</v>
      </c>
      <c r="O423" s="497"/>
      <c r="P423" s="590"/>
      <c r="Q423" s="498"/>
      <c r="R423" s="495">
        <f t="shared" si="85"/>
        <v>158000</v>
      </c>
      <c r="S423" s="495">
        <f>J423*13900</f>
        <v>27800</v>
      </c>
    </row>
    <row r="424" spans="1:19" s="432" customFormat="1">
      <c r="A424" s="263" t="s">
        <v>618</v>
      </c>
      <c r="B424" s="688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J424*16900</f>
        <v>0</v>
      </c>
    </row>
    <row r="425" spans="1:19" s="432" customFormat="1">
      <c r="A425" s="263" t="s">
        <v>623</v>
      </c>
      <c r="B425" s="688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95">
        <v>0</v>
      </c>
      <c r="L425" s="575"/>
      <c r="M425" s="508"/>
      <c r="N425" s="598">
        <v>41000</v>
      </c>
      <c r="O425" s="497"/>
      <c r="P425" s="590"/>
      <c r="Q425" s="498"/>
      <c r="R425" s="495">
        <f t="shared" si="85"/>
        <v>41000</v>
      </c>
      <c r="S425" s="495">
        <f>J425*12500</f>
        <v>12500</v>
      </c>
    </row>
    <row r="426" spans="1:19" s="432" customFormat="1">
      <c r="A426" s="263" t="s">
        <v>624</v>
      </c>
      <c r="B426" s="688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95">
        <v>0</v>
      </c>
      <c r="L426" s="575"/>
      <c r="M426" s="508"/>
      <c r="N426" s="598">
        <v>49000</v>
      </c>
      <c r="O426" s="497"/>
      <c r="P426" s="590"/>
      <c r="Q426" s="498"/>
      <c r="R426" s="495">
        <f t="shared" si="85"/>
        <v>49000</v>
      </c>
      <c r="S426" s="495">
        <f>J426*8700</f>
        <v>8700</v>
      </c>
    </row>
    <row r="427" spans="1:19" s="432" customFormat="1">
      <c r="A427" s="264" t="s">
        <v>619</v>
      </c>
      <c r="B427" s="688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95">
        <f>C427*146000</f>
        <v>0</v>
      </c>
      <c r="L427" s="575"/>
      <c r="M427" s="508"/>
      <c r="N427" s="598">
        <f>F427*131000</f>
        <v>0</v>
      </c>
      <c r="O427" s="497"/>
      <c r="P427" s="590"/>
      <c r="Q427" s="498"/>
      <c r="R427" s="495">
        <f t="shared" si="85"/>
        <v>0</v>
      </c>
      <c r="S427" s="495">
        <f>J427*38900</f>
        <v>0</v>
      </c>
    </row>
    <row r="428" spans="1:19" s="432" customFormat="1">
      <c r="A428" s="263" t="s">
        <v>620</v>
      </c>
      <c r="B428" s="688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J428*14200</f>
        <v>0</v>
      </c>
    </row>
    <row r="429" spans="1:19" s="432" customFormat="1">
      <c r="A429" s="263" t="s">
        <v>621</v>
      </c>
      <c r="B429" s="688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J429*276500</f>
        <v>0</v>
      </c>
    </row>
    <row r="430" spans="1:19" s="432" customFormat="1">
      <c r="A430" s="263" t="s">
        <v>622</v>
      </c>
      <c r="B430" s="688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85"/>
        <v>0</v>
      </c>
      <c r="S430" s="495">
        <f>J430*21200</f>
        <v>0</v>
      </c>
    </row>
    <row r="431" spans="1:19" s="432" customFormat="1">
      <c r="A431" s="265" t="s">
        <v>625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J431*46600</f>
        <v>0</v>
      </c>
    </row>
    <row r="432" spans="1:19" s="432" customFormat="1">
      <c r="A432" s="265" t="s">
        <v>626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J432*31200</f>
        <v>0</v>
      </c>
    </row>
    <row r="433" spans="1:19" s="432" customFormat="1">
      <c r="A433" s="265" t="s">
        <v>627</v>
      </c>
      <c r="B433" s="688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J433*75200</f>
        <v>0</v>
      </c>
    </row>
    <row r="434" spans="1:19" s="432" customFormat="1">
      <c r="A434" s="265" t="s">
        <v>628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J434*12100</f>
        <v>0</v>
      </c>
    </row>
    <row r="435" spans="1:19" s="432" customFormat="1">
      <c r="A435" s="263" t="s">
        <v>629</v>
      </c>
      <c r="B435" s="688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J435*158660</f>
        <v>0</v>
      </c>
    </row>
    <row r="436" spans="1:19" s="432" customFormat="1">
      <c r="A436" s="265" t="s">
        <v>630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J436*14200</f>
        <v>0</v>
      </c>
    </row>
    <row r="437" spans="1:19" s="432" customFormat="1">
      <c r="A437" s="265" t="s">
        <v>631</v>
      </c>
      <c r="B437" s="688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J437*11100</f>
        <v>0</v>
      </c>
    </row>
    <row r="438" spans="1:19" s="432" customFormat="1">
      <c r="A438" s="265" t="s">
        <v>632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f>C438*184000</f>
        <v>0</v>
      </c>
      <c r="L438" s="575"/>
      <c r="M438" s="508"/>
      <c r="N438" s="598">
        <f>F438*166000</f>
        <v>0</v>
      </c>
      <c r="O438" s="497"/>
      <c r="P438" s="590"/>
      <c r="Q438" s="498"/>
      <c r="R438" s="495">
        <f t="shared" si="85"/>
        <v>0</v>
      </c>
      <c r="S438" s="495">
        <f>J438*14900</f>
        <v>0</v>
      </c>
    </row>
    <row r="439" spans="1:19" s="432" customFormat="1">
      <c r="A439" s="263" t="s">
        <v>633</v>
      </c>
      <c r="B439" s="688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J439*6400</f>
        <v>0</v>
      </c>
    </row>
    <row r="440" spans="1:19" s="432" customFormat="1">
      <c r="A440" s="265" t="s">
        <v>634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J440*99400</f>
        <v>0</v>
      </c>
    </row>
    <row r="441" spans="1:19" s="432" customFormat="1">
      <c r="A441" s="265" t="s">
        <v>635</v>
      </c>
      <c r="B441" s="688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J441*11300</f>
        <v>0</v>
      </c>
    </row>
    <row r="442" spans="1:19" s="432" customFormat="1">
      <c r="A442" s="265" t="s">
        <v>636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J442*67500</f>
        <v>0</v>
      </c>
    </row>
    <row r="443" spans="1:19" s="432" customFormat="1">
      <c r="A443" s="263" t="s">
        <v>637</v>
      </c>
      <c r="B443" s="688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J443*31750</f>
        <v>0</v>
      </c>
    </row>
    <row r="444" spans="1:19" s="432" customFormat="1">
      <c r="A444" s="265" t="s">
        <v>638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J444*16020</f>
        <v>0</v>
      </c>
    </row>
    <row r="445" spans="1:19" s="432" customFormat="1">
      <c r="A445" s="265" t="s">
        <v>639</v>
      </c>
      <c r="B445" s="688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J445*13600</f>
        <v>0</v>
      </c>
    </row>
    <row r="446" spans="1:19" s="432" customFormat="1">
      <c r="A446" s="265" t="s">
        <v>640</v>
      </c>
      <c r="B446" s="688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5"/>
        <v>0</v>
      </c>
      <c r="S446" s="495">
        <f>J446*13600</f>
        <v>0</v>
      </c>
    </row>
    <row r="447" spans="1:19" s="432" customFormat="1">
      <c r="A447" s="263" t="s">
        <v>641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85"/>
        <v>0</v>
      </c>
      <c r="S447" s="495">
        <f>J447*31200</f>
        <v>0</v>
      </c>
    </row>
    <row r="448" spans="1:19" s="432" customFormat="1">
      <c r="A448" s="263" t="s">
        <v>643</v>
      </c>
      <c r="B448" s="688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95">
        <f>C448*880000</f>
        <v>0</v>
      </c>
      <c r="L448" s="575"/>
      <c r="M448" s="508"/>
      <c r="N448" s="598">
        <f>F448*792000</f>
        <v>0</v>
      </c>
      <c r="O448" s="497"/>
      <c r="P448" s="590"/>
      <c r="Q448" s="498"/>
      <c r="R448" s="495">
        <f t="shared" si="85"/>
        <v>0</v>
      </c>
      <c r="S448" s="495">
        <f>J448*48800</f>
        <v>0</v>
      </c>
    </row>
    <row r="449" spans="1:19" s="432" customFormat="1">
      <c r="A449" s="263" t="s">
        <v>642</v>
      </c>
      <c r="B449" s="688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95">
        <f>C449*1000000</f>
        <v>0</v>
      </c>
      <c r="L449" s="575"/>
      <c r="M449" s="508"/>
      <c r="N449" s="598">
        <f>F449*900000</f>
        <v>0</v>
      </c>
      <c r="O449" s="497"/>
      <c r="P449" s="590"/>
      <c r="Q449" s="498"/>
      <c r="R449" s="495">
        <f t="shared" ref="R449:R480" si="87">SUM(K449:Q449)</f>
        <v>0</v>
      </c>
      <c r="S449" s="495">
        <f>J449*79700</f>
        <v>0</v>
      </c>
    </row>
    <row r="450" spans="1:19" s="432" customFormat="1">
      <c r="A450" s="265" t="s">
        <v>644</v>
      </c>
      <c r="B450" s="688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J450*168900</f>
        <v>0</v>
      </c>
    </row>
    <row r="451" spans="1:19" s="432" customFormat="1">
      <c r="A451" s="265" t="s">
        <v>645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J451*10600</f>
        <v>0</v>
      </c>
    </row>
    <row r="452" spans="1:19" s="432" customFormat="1">
      <c r="A452" s="263" t="s">
        <v>646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J452*6780</f>
        <v>0</v>
      </c>
    </row>
    <row r="453" spans="1:19" s="432" customFormat="1">
      <c r="A453" s="263" t="s">
        <v>647</v>
      </c>
      <c r="B453" s="688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95">
        <f>C453*136000</f>
        <v>0</v>
      </c>
      <c r="L453" s="575"/>
      <c r="M453" s="508"/>
      <c r="N453" s="598">
        <f>F453*122000</f>
        <v>0</v>
      </c>
      <c r="O453" s="497"/>
      <c r="P453" s="590"/>
      <c r="Q453" s="498"/>
      <c r="R453" s="495">
        <f t="shared" si="87"/>
        <v>0</v>
      </c>
      <c r="S453" s="495">
        <f>J453*15700</f>
        <v>0</v>
      </c>
    </row>
    <row r="454" spans="1:19" s="432" customFormat="1">
      <c r="A454" s="263" t="s">
        <v>648</v>
      </c>
      <c r="B454" s="688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J454*9459</f>
        <v>0</v>
      </c>
    </row>
    <row r="455" spans="1:19" s="432" customFormat="1">
      <c r="A455" s="263" t="s">
        <v>649</v>
      </c>
      <c r="B455" s="688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J455*13600</f>
        <v>0</v>
      </c>
    </row>
    <row r="456" spans="1:19" s="432" customFormat="1">
      <c r="A456" s="265" t="s">
        <v>650</v>
      </c>
      <c r="B456" s="688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J456*45060</f>
        <v>0</v>
      </c>
    </row>
    <row r="457" spans="1:19" s="432" customFormat="1">
      <c r="A457" s="265" t="s">
        <v>651</v>
      </c>
      <c r="B457" s="688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95">
        <v>0</v>
      </c>
      <c r="L457" s="575"/>
      <c r="M457" s="508"/>
      <c r="N457" s="598">
        <v>162000</v>
      </c>
      <c r="O457" s="497"/>
      <c r="P457" s="590"/>
      <c r="Q457" s="498"/>
      <c r="R457" s="495">
        <f t="shared" si="87"/>
        <v>162000</v>
      </c>
      <c r="S457" s="495">
        <f>J457*44300</f>
        <v>44300</v>
      </c>
    </row>
    <row r="458" spans="1:19" s="432" customFormat="1">
      <c r="A458" s="263" t="s">
        <v>652</v>
      </c>
      <c r="B458" s="688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95">
        <v>0</v>
      </c>
      <c r="L458" s="575"/>
      <c r="M458" s="508"/>
      <c r="N458" s="598">
        <v>151000</v>
      </c>
      <c r="O458" s="497"/>
      <c r="P458" s="590"/>
      <c r="Q458" s="498"/>
      <c r="R458" s="495">
        <f t="shared" si="87"/>
        <v>151000</v>
      </c>
      <c r="S458" s="495">
        <f>J458*56500</f>
        <v>56500</v>
      </c>
    </row>
    <row r="459" spans="1:19" s="432" customFormat="1">
      <c r="A459" s="265" t="s">
        <v>653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J459*31750</f>
        <v>0</v>
      </c>
    </row>
    <row r="460" spans="1:19" s="432" customFormat="1">
      <c r="A460" s="265" t="s">
        <v>654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87"/>
        <v>0</v>
      </c>
      <c r="S460" s="495">
        <f>J460*43300</f>
        <v>0</v>
      </c>
    </row>
    <row r="461" spans="1:19" s="432" customFormat="1">
      <c r="A461" s="265" t="s">
        <v>655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J461*21700</f>
        <v>0</v>
      </c>
    </row>
    <row r="462" spans="1:19" s="432" customFormat="1">
      <c r="A462" s="265" t="s">
        <v>656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f>C462*228000</f>
        <v>0</v>
      </c>
      <c r="L462" s="575"/>
      <c r="M462" s="508"/>
      <c r="N462" s="598">
        <f>F462*205000</f>
        <v>0</v>
      </c>
      <c r="O462" s="497"/>
      <c r="P462" s="590"/>
      <c r="Q462" s="498"/>
      <c r="R462" s="495">
        <f t="shared" si="87"/>
        <v>0</v>
      </c>
      <c r="S462" s="495">
        <f>J462*42900</f>
        <v>0</v>
      </c>
    </row>
    <row r="463" spans="1:19" s="432" customFormat="1">
      <c r="A463" s="265" t="s">
        <v>685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f>C463*184000</f>
        <v>0</v>
      </c>
      <c r="L463" s="575"/>
      <c r="M463" s="508"/>
      <c r="N463" s="598">
        <f>F463*166000</f>
        <v>0</v>
      </c>
      <c r="O463" s="497"/>
      <c r="P463" s="590"/>
      <c r="Q463" s="498"/>
      <c r="R463" s="495">
        <f t="shared" si="87"/>
        <v>0</v>
      </c>
      <c r="S463" s="495">
        <f>J463*21200</f>
        <v>0</v>
      </c>
    </row>
    <row r="464" spans="1:19" s="432" customFormat="1">
      <c r="A464" s="265" t="s">
        <v>657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J464*45500</f>
        <v>0</v>
      </c>
    </row>
    <row r="465" spans="1:19" s="432" customFormat="1">
      <c r="A465" s="265" t="s">
        <v>658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87"/>
        <v>0</v>
      </c>
      <c r="S465" s="495">
        <f>J465*15200</f>
        <v>0</v>
      </c>
    </row>
    <row r="466" spans="1:19" s="432" customFormat="1">
      <c r="A466" s="265" t="s">
        <v>659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f>C466*184000</f>
        <v>0</v>
      </c>
      <c r="L466" s="575"/>
      <c r="M466" s="508"/>
      <c r="N466" s="598">
        <f>F466*166000</f>
        <v>0</v>
      </c>
      <c r="O466" s="497"/>
      <c r="P466" s="590"/>
      <c r="Q466" s="498"/>
      <c r="R466" s="495">
        <f t="shared" si="87"/>
        <v>0</v>
      </c>
      <c r="S466" s="495">
        <f>J466*22800</f>
        <v>0</v>
      </c>
    </row>
    <row r="467" spans="1:19" s="432" customFormat="1">
      <c r="A467" s="265" t="s">
        <v>660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f>C467*128000</f>
        <v>0</v>
      </c>
      <c r="L467" s="575"/>
      <c r="M467" s="508"/>
      <c r="N467" s="598">
        <f>F467*115000</f>
        <v>0</v>
      </c>
      <c r="O467" s="497"/>
      <c r="P467" s="590"/>
      <c r="Q467" s="498"/>
      <c r="R467" s="495">
        <f t="shared" si="87"/>
        <v>0</v>
      </c>
      <c r="S467" s="495">
        <f>J467*10400</f>
        <v>0</v>
      </c>
    </row>
    <row r="468" spans="1:19" s="432" customFormat="1">
      <c r="A468" s="265" t="s">
        <v>662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J468*36700</f>
        <v>0</v>
      </c>
    </row>
    <row r="469" spans="1:19" s="432" customFormat="1">
      <c r="A469" s="265" t="s">
        <v>663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J469*19980</f>
        <v>0</v>
      </c>
    </row>
    <row r="470" spans="1:19" s="432" customFormat="1">
      <c r="A470" s="265" t="s">
        <v>664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J470*16900</f>
        <v>0</v>
      </c>
    </row>
    <row r="471" spans="1:19" s="432" customFormat="1">
      <c r="A471" s="265" t="s">
        <v>665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f>C471*128000</f>
        <v>0</v>
      </c>
      <c r="L471" s="575"/>
      <c r="M471" s="508"/>
      <c r="N471" s="598">
        <f>F471*115000</f>
        <v>0</v>
      </c>
      <c r="O471" s="497"/>
      <c r="P471" s="590"/>
      <c r="Q471" s="498"/>
      <c r="R471" s="495">
        <f t="shared" si="87"/>
        <v>0</v>
      </c>
      <c r="S471" s="495">
        <f>J471*11100</f>
        <v>0</v>
      </c>
    </row>
    <row r="472" spans="1:19" s="432" customFormat="1">
      <c r="A472" s="263" t="s">
        <v>666</v>
      </c>
      <c r="B472" s="688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J472*10100</f>
        <v>0</v>
      </c>
    </row>
    <row r="473" spans="1:19" s="432" customFormat="1">
      <c r="A473" s="265" t="s">
        <v>667</v>
      </c>
      <c r="B473" s="688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J473*26800</f>
        <v>0</v>
      </c>
    </row>
    <row r="474" spans="1:19" s="432" customFormat="1">
      <c r="A474" s="265" t="s">
        <v>668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J474*13100</f>
        <v>0</v>
      </c>
    </row>
    <row r="475" spans="1:19" s="432" customFormat="1">
      <c r="A475" s="263" t="s">
        <v>669</v>
      </c>
      <c r="B475" s="688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f>F475*40000</f>
        <v>0</v>
      </c>
      <c r="O475" s="497"/>
      <c r="P475" s="590"/>
      <c r="Q475" s="498"/>
      <c r="R475" s="495">
        <f t="shared" si="87"/>
        <v>0</v>
      </c>
      <c r="S475" s="495">
        <f>J475*7400</f>
        <v>0</v>
      </c>
    </row>
    <row r="476" spans="1:19" s="432" customFormat="1">
      <c r="A476" s="265" t="s">
        <v>670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J476*30100</f>
        <v>0</v>
      </c>
    </row>
    <row r="477" spans="1:19" s="432" customFormat="1">
      <c r="A477" s="265" t="s">
        <v>671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J477*66400</f>
        <v>0</v>
      </c>
    </row>
    <row r="478" spans="1:19" s="432" customFormat="1">
      <c r="A478" s="265" t="s">
        <v>672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7"/>
        <v>0</v>
      </c>
      <c r="S478" s="495">
        <f>J478*26800</f>
        <v>0</v>
      </c>
    </row>
    <row r="479" spans="1:19" s="432" customFormat="1">
      <c r="A479" s="265" t="s">
        <v>673</v>
      </c>
      <c r="B479" s="688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7"/>
        <v>0</v>
      </c>
      <c r="S479" s="495">
        <f>J479*41100</f>
        <v>0</v>
      </c>
    </row>
    <row r="480" spans="1:19" s="432" customFormat="1">
      <c r="A480" s="265" t="s">
        <v>674</v>
      </c>
      <c r="B480" s="688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95">
        <f>C480*1000000</f>
        <v>0</v>
      </c>
      <c r="L480" s="575"/>
      <c r="M480" s="508"/>
      <c r="N480" s="598">
        <f>F480*900000</f>
        <v>0</v>
      </c>
      <c r="O480" s="497"/>
      <c r="P480" s="590"/>
      <c r="Q480" s="498"/>
      <c r="R480" s="495">
        <f t="shared" si="87"/>
        <v>0</v>
      </c>
      <c r="S480" s="495">
        <f>J480*25900</f>
        <v>0</v>
      </c>
    </row>
    <row r="481" spans="1:19" s="432" customFormat="1">
      <c r="A481" s="265" t="s">
        <v>676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ref="R481:R512" si="89">SUM(K481:Q481)</f>
        <v>0</v>
      </c>
      <c r="S481" s="495">
        <f>J481*70800</f>
        <v>0</v>
      </c>
    </row>
    <row r="482" spans="1:19" s="432" customFormat="1">
      <c r="A482" s="265" t="s">
        <v>675</v>
      </c>
      <c r="B482" s="688"/>
      <c r="C482" s="26"/>
      <c r="D482" s="187"/>
      <c r="E482" s="187"/>
      <c r="F482" s="150"/>
      <c r="G482" s="154"/>
      <c r="H482" s="70"/>
      <c r="I482" s="103"/>
      <c r="J482" s="26">
        <f t="shared" ref="J482:J513" si="90">SUM(B482:I482)</f>
        <v>0</v>
      </c>
      <c r="K482" s="495">
        <f>C482*184000</f>
        <v>0</v>
      </c>
      <c r="L482" s="575"/>
      <c r="M482" s="508"/>
      <c r="N482" s="598">
        <f>F482*166000</f>
        <v>0</v>
      </c>
      <c r="O482" s="497"/>
      <c r="P482" s="590"/>
      <c r="Q482" s="498"/>
      <c r="R482" s="495">
        <f t="shared" si="89"/>
        <v>0</v>
      </c>
      <c r="S482" s="495">
        <f>J482*21700</f>
        <v>0</v>
      </c>
    </row>
    <row r="483" spans="1:19" s="432" customFormat="1">
      <c r="A483" s="265" t="s">
        <v>677</v>
      </c>
      <c r="B483" s="688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J483*19100</f>
        <v>0</v>
      </c>
    </row>
    <row r="484" spans="1:19" s="432" customFormat="1">
      <c r="A484" s="265" t="s">
        <v>678</v>
      </c>
      <c r="B484" s="688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J484*32200</f>
        <v>0</v>
      </c>
    </row>
    <row r="485" spans="1:19" s="432" customFormat="1">
      <c r="A485" s="265" t="s">
        <v>679</v>
      </c>
      <c r="B485" s="688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J485*45600</f>
        <v>0</v>
      </c>
    </row>
    <row r="486" spans="1:19" s="432" customFormat="1">
      <c r="A486" s="265" t="s">
        <v>680</v>
      </c>
      <c r="B486" s="688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J486*62600</f>
        <v>0</v>
      </c>
    </row>
    <row r="487" spans="1:19" s="432" customFormat="1">
      <c r="A487" s="265" t="s">
        <v>681</v>
      </c>
      <c r="B487" s="688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95">
        <v>0</v>
      </c>
      <c r="L487" s="575"/>
      <c r="M487" s="508"/>
      <c r="N487" s="598">
        <v>0</v>
      </c>
      <c r="O487" s="497"/>
      <c r="P487" s="590"/>
      <c r="Q487" s="498"/>
      <c r="R487" s="495">
        <f t="shared" si="89"/>
        <v>0</v>
      </c>
      <c r="S487" s="495">
        <f>J487*29300</f>
        <v>0</v>
      </c>
    </row>
    <row r="488" spans="1:19" s="432" customFormat="1">
      <c r="A488" s="265" t="s">
        <v>682</v>
      </c>
      <c r="B488" s="683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95">
        <v>0</v>
      </c>
      <c r="L488" s="575"/>
      <c r="M488" s="508"/>
      <c r="N488" s="598">
        <v>0</v>
      </c>
      <c r="O488" s="497"/>
      <c r="P488" s="590"/>
      <c r="Q488" s="498"/>
      <c r="R488" s="495">
        <f t="shared" si="89"/>
        <v>0</v>
      </c>
      <c r="S488" s="495">
        <f>J488*28700</f>
        <v>0</v>
      </c>
    </row>
    <row r="489" spans="1:19" s="432" customFormat="1">
      <c r="A489" s="265"/>
      <c r="B489" s="475"/>
      <c r="C489" s="26"/>
      <c r="D489" s="187"/>
      <c r="E489" s="187"/>
      <c r="F489" s="150"/>
      <c r="G489" s="154"/>
      <c r="H489" s="70"/>
      <c r="I489" s="103"/>
      <c r="J489" s="26"/>
      <c r="K489" s="495"/>
      <c r="L489" s="575"/>
      <c r="M489" s="508"/>
      <c r="N489" s="598"/>
      <c r="O489" s="497"/>
      <c r="P489" s="590"/>
      <c r="Q489" s="498"/>
      <c r="R489" s="495"/>
      <c r="S489" s="495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9">
        <f t="shared" si="91"/>
        <v>0</v>
      </c>
      <c r="L490" s="619">
        <f t="shared" si="91"/>
        <v>0</v>
      </c>
      <c r="M490" s="619">
        <f t="shared" si="91"/>
        <v>0</v>
      </c>
      <c r="N490" s="619">
        <f t="shared" si="91"/>
        <v>561000</v>
      </c>
      <c r="O490" s="619">
        <f t="shared" si="91"/>
        <v>0</v>
      </c>
      <c r="P490" s="619">
        <f t="shared" si="91"/>
        <v>0</v>
      </c>
      <c r="Q490" s="619">
        <f t="shared" si="91"/>
        <v>0</v>
      </c>
      <c r="R490" s="619">
        <f>SUM(K490:Q490)</f>
        <v>561000</v>
      </c>
      <c r="S490" s="619">
        <f>SUM(S419:S489)</f>
        <v>149800</v>
      </c>
    </row>
    <row r="491" spans="1:19" s="432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72"/>
      <c r="L491" s="575"/>
      <c r="M491" s="508"/>
      <c r="N491" s="509"/>
      <c r="O491" s="497"/>
      <c r="P491" s="590"/>
      <c r="Q491" s="498"/>
      <c r="R491" s="495"/>
      <c r="S491" s="495"/>
    </row>
    <row r="492" spans="1:19" s="432" customFormat="1" ht="16.5" customHeight="1">
      <c r="A492" s="265" t="s">
        <v>687</v>
      </c>
      <c r="B492" s="687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72">
        <f>C492*156000</f>
        <v>0</v>
      </c>
      <c r="L492" s="575"/>
      <c r="M492" s="508">
        <f>E492*156000</f>
        <v>0</v>
      </c>
      <c r="N492" s="509">
        <f>F492*124800</f>
        <v>124800</v>
      </c>
      <c r="O492" s="497"/>
      <c r="P492" s="590"/>
      <c r="Q492" s="498"/>
      <c r="R492" s="495">
        <f t="shared" ref="R492:R497" si="92">SUM(K492:Q492)</f>
        <v>124800</v>
      </c>
      <c r="S492" s="495">
        <f>J492*22320</f>
        <v>22320</v>
      </c>
    </row>
    <row r="493" spans="1:19" s="217" customFormat="1">
      <c r="A493" s="265" t="s">
        <v>689</v>
      </c>
      <c r="B493" s="688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72">
        <f>C493*44000</f>
        <v>44000</v>
      </c>
      <c r="L493" s="621"/>
      <c r="M493" s="508">
        <f>E493*44000</f>
        <v>0</v>
      </c>
      <c r="N493" s="509">
        <f>F493*35200</f>
        <v>0</v>
      </c>
      <c r="O493" s="621"/>
      <c r="P493" s="622"/>
      <c r="Q493" s="623"/>
      <c r="R493" s="495">
        <f t="shared" si="92"/>
        <v>44000</v>
      </c>
      <c r="S493" s="495">
        <f>J493*10230</f>
        <v>10230</v>
      </c>
    </row>
    <row r="494" spans="1:19" s="217" customFormat="1">
      <c r="A494" s="265" t="s">
        <v>690</v>
      </c>
      <c r="B494" s="688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72">
        <f>C494*44000</f>
        <v>0</v>
      </c>
      <c r="L494" s="621"/>
      <c r="M494" s="508">
        <f>E494*44000</f>
        <v>0</v>
      </c>
      <c r="N494" s="509">
        <f>F494*35200</f>
        <v>0</v>
      </c>
      <c r="O494" s="621"/>
      <c r="P494" s="622"/>
      <c r="Q494" s="623"/>
      <c r="R494" s="495">
        <f t="shared" si="92"/>
        <v>0</v>
      </c>
      <c r="S494" s="495">
        <f>J494*10780</f>
        <v>0</v>
      </c>
    </row>
    <row r="495" spans="1:19" s="217" customFormat="1">
      <c r="A495" s="265" t="s">
        <v>691</v>
      </c>
      <c r="B495" s="688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72">
        <f>C495*66000</f>
        <v>0</v>
      </c>
      <c r="L495" s="621"/>
      <c r="M495" s="508">
        <f>E495*66000</f>
        <v>0</v>
      </c>
      <c r="N495" s="509">
        <f>F495*52800</f>
        <v>0</v>
      </c>
      <c r="O495" s="621"/>
      <c r="P495" s="622"/>
      <c r="Q495" s="623"/>
      <c r="R495" s="495">
        <f t="shared" si="92"/>
        <v>0</v>
      </c>
      <c r="S495" s="495">
        <f>J495*14300</f>
        <v>0</v>
      </c>
    </row>
    <row r="496" spans="1:19" s="306" customFormat="1">
      <c r="A496" s="265" t="s">
        <v>692</v>
      </c>
      <c r="B496" s="683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72">
        <f>C496*36000</f>
        <v>0</v>
      </c>
      <c r="L496" s="621"/>
      <c r="M496" s="508">
        <f>E496*36000</f>
        <v>0</v>
      </c>
      <c r="N496" s="509">
        <f>F496*28800</f>
        <v>0</v>
      </c>
      <c r="O496" s="621"/>
      <c r="P496" s="622"/>
      <c r="Q496" s="623"/>
      <c r="R496" s="495">
        <f t="shared" si="92"/>
        <v>0</v>
      </c>
      <c r="S496" s="495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24">
        <f t="shared" ref="K497:Q497" si="94">SUM(K491:K496)</f>
        <v>44000</v>
      </c>
      <c r="L497" s="624">
        <f t="shared" si="94"/>
        <v>0</v>
      </c>
      <c r="M497" s="624">
        <f t="shared" si="94"/>
        <v>0</v>
      </c>
      <c r="N497" s="624">
        <f t="shared" si="94"/>
        <v>124800</v>
      </c>
      <c r="O497" s="624">
        <f t="shared" si="94"/>
        <v>0</v>
      </c>
      <c r="P497" s="624">
        <f t="shared" si="94"/>
        <v>0</v>
      </c>
      <c r="Q497" s="624">
        <f t="shared" si="94"/>
        <v>0</v>
      </c>
      <c r="R497" s="625">
        <f t="shared" si="92"/>
        <v>168800</v>
      </c>
      <c r="S497" s="626">
        <f>SUM(S491:S496)</f>
        <v>32550</v>
      </c>
    </row>
    <row r="498" spans="1:19">
      <c r="A498" s="356"/>
      <c r="D498" s="127"/>
      <c r="E498" s="128"/>
      <c r="F498" s="471"/>
      <c r="G498" s="7"/>
      <c r="H498" s="471"/>
      <c r="I498" s="690" t="s">
        <v>694</v>
      </c>
      <c r="J498" s="691"/>
      <c r="K498" s="627">
        <f>K497+K490+K417</f>
        <v>476000</v>
      </c>
      <c r="L498" s="628"/>
      <c r="M498" s="629"/>
      <c r="N498" s="629"/>
      <c r="O498" s="629"/>
      <c r="P498" s="630"/>
      <c r="Q498" s="631"/>
      <c r="R498" s="627">
        <f>R497+R490+R417</f>
        <v>1280800</v>
      </c>
      <c r="S498" s="632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601"/>
      <c r="L499" s="601"/>
      <c r="M499" s="602"/>
      <c r="N499" s="602"/>
      <c r="O499" s="603"/>
      <c r="P499" s="604"/>
      <c r="Q499" s="605"/>
      <c r="R499" s="601"/>
      <c r="S499" s="606"/>
    </row>
    <row r="500" spans="1:19" s="432" customFormat="1" ht="17.25" customHeight="1" thickBot="1">
      <c r="A500" t="s">
        <v>695</v>
      </c>
      <c r="C500" s="425"/>
      <c r="F500" s="144"/>
      <c r="J500" s="145"/>
      <c r="K500" s="633"/>
      <c r="L500" s="633"/>
      <c r="M500" s="633"/>
      <c r="N500" s="633"/>
      <c r="O500" s="556"/>
      <c r="P500" s="633"/>
      <c r="Q500" s="633"/>
      <c r="R500"/>
    </row>
    <row r="501" spans="1:19" s="432" customFormat="1">
      <c r="A501" t="s">
        <v>696</v>
      </c>
      <c r="C501" s="425"/>
      <c r="F501" s="144"/>
      <c r="J501" s="126"/>
      <c r="K501" s="634" t="s">
        <v>697</v>
      </c>
      <c r="L501" s="635" t="s">
        <v>698</v>
      </c>
      <c r="M501" s="636" t="s">
        <v>699</v>
      </c>
      <c r="N501" s="637" t="s">
        <v>700</v>
      </c>
      <c r="O501" s="638"/>
      <c r="P501" s="639" t="s">
        <v>118</v>
      </c>
      <c r="Q501" s="640"/>
      <c r="R501" s="533"/>
      <c r="S501"/>
    </row>
    <row r="502" spans="1:19" s="432" customFormat="1">
      <c r="A502"/>
      <c r="C502" s="425"/>
      <c r="F502" s="144"/>
      <c r="J502" s="126" t="s">
        <v>701</v>
      </c>
      <c r="K502" s="641">
        <f>R24+R44+R60+R84+R101+R119+R126+R132+R140+R158</f>
        <v>253906310</v>
      </c>
      <c r="L502" s="565">
        <f>R225+R235+R241+R249</f>
        <v>36542570</v>
      </c>
      <c r="M502" s="532">
        <f>R498</f>
        <v>1280800</v>
      </c>
      <c r="N502" s="642">
        <f>R262+R336</f>
        <v>14875960</v>
      </c>
      <c r="O502" s="533"/>
      <c r="P502" s="643">
        <f>SUM(K502:O502)</f>
        <v>306605640</v>
      </c>
      <c r="Q502" s="640"/>
      <c r="R502" s="533"/>
      <c r="S502"/>
    </row>
    <row r="503" spans="1:19" s="432" customFormat="1" ht="17.25" customHeight="1" thickBot="1">
      <c r="A503" t="s">
        <v>702</v>
      </c>
      <c r="C503" s="425"/>
      <c r="F503" s="144"/>
      <c r="J503" s="357" t="s">
        <v>30</v>
      </c>
      <c r="K503" s="644">
        <f>S24+S44+S60+S84+S101+S119+S126+S132+S140+S158</f>
        <v>122185664</v>
      </c>
      <c r="L503" s="645">
        <f>S225+S235+S241+S249</f>
        <v>7785900</v>
      </c>
      <c r="M503" s="646">
        <f>S498</f>
        <v>311258</v>
      </c>
      <c r="N503" s="647">
        <f>S262+S336</f>
        <v>5425840</v>
      </c>
      <c r="O503" s="648"/>
      <c r="P503" s="649">
        <f>SUM(K503:O503)</f>
        <v>135708662</v>
      </c>
      <c r="Q503" s="640"/>
      <c r="R503" s="640"/>
      <c r="S503"/>
    </row>
    <row r="504" spans="1:19" s="432" customFormat="1">
      <c r="A504" t="s">
        <v>703</v>
      </c>
      <c r="C504" s="425"/>
      <c r="F504" s="144"/>
      <c r="K504" s="495"/>
      <c r="L504" s="495"/>
      <c r="M504" s="496"/>
      <c r="N504" s="650"/>
      <c r="O504" s="573" t="s">
        <v>704</v>
      </c>
      <c r="P504" s="651" t="s">
        <v>30</v>
      </c>
      <c r="Q504" s="498"/>
      <c r="R504" s="496"/>
      <c r="S504"/>
    </row>
    <row r="505" spans="1:19" s="432" customFormat="1">
      <c r="A505"/>
      <c r="C505" s="425"/>
      <c r="F505" s="144"/>
      <c r="K505" s="495"/>
      <c r="L505" s="495"/>
      <c r="M505" s="496"/>
      <c r="N505" s="650" t="s">
        <v>705</v>
      </c>
      <c r="O505" s="574">
        <f>K502</f>
        <v>253906310</v>
      </c>
      <c r="P505" s="652">
        <f>K503</f>
        <v>122185664</v>
      </c>
      <c r="Q505" s="557"/>
      <c r="R505" s="522"/>
      <c r="S505"/>
    </row>
    <row r="506" spans="1:19" s="432" customFormat="1">
      <c r="A506" t="s">
        <v>706</v>
      </c>
      <c r="B506" s="129"/>
      <c r="C506" s="425"/>
      <c r="F506" s="144"/>
      <c r="H506" s="174"/>
      <c r="I506" s="174"/>
      <c r="J506" s="175"/>
      <c r="K506" s="495"/>
      <c r="L506" s="495"/>
      <c r="M506" s="496"/>
      <c r="N506" s="653" t="s">
        <v>707</v>
      </c>
      <c r="O506" s="654">
        <f>L502</f>
        <v>36542570</v>
      </c>
      <c r="P506" s="655">
        <f>L503</f>
        <v>7785900</v>
      </c>
      <c r="Q506" s="656"/>
      <c r="R506" s="656"/>
      <c r="S506"/>
    </row>
    <row r="507" spans="1:19" s="432" customFormat="1">
      <c r="A507" t="s">
        <v>708</v>
      </c>
      <c r="C507" s="425"/>
      <c r="F507" s="144"/>
      <c r="K507" s="495"/>
      <c r="L507" s="495"/>
      <c r="M507" s="496"/>
      <c r="N507" s="657" t="s">
        <v>709</v>
      </c>
      <c r="O507" s="621">
        <f>N502</f>
        <v>14875960</v>
      </c>
      <c r="P507" s="658">
        <f>N503</f>
        <v>5425840</v>
      </c>
      <c r="Q507" s="659"/>
      <c r="R507" s="659"/>
      <c r="S507"/>
    </row>
    <row r="508" spans="1:19" s="432" customFormat="1">
      <c r="A508" t="s">
        <v>710</v>
      </c>
      <c r="C508" s="425"/>
      <c r="F508" s="144"/>
      <c r="K508" s="495"/>
      <c r="L508" s="660"/>
      <c r="M508" s="496"/>
      <c r="N508" s="661" t="s">
        <v>699</v>
      </c>
      <c r="O508" s="598">
        <f>M502</f>
        <v>1280800</v>
      </c>
      <c r="P508" s="662">
        <f>M503</f>
        <v>311258</v>
      </c>
      <c r="Q508" s="598"/>
      <c r="R508" s="663"/>
      <c r="S508"/>
    </row>
    <row r="509" spans="1:19" s="432" customFormat="1">
      <c r="A509" t="s">
        <v>711</v>
      </c>
      <c r="C509" s="425"/>
      <c r="F509" s="171"/>
      <c r="G509" s="170"/>
      <c r="K509" s="495"/>
      <c r="L509" s="660"/>
      <c r="M509" s="496"/>
      <c r="N509" s="664"/>
      <c r="O509" s="665"/>
      <c r="P509" s="666"/>
      <c r="Q509" s="663"/>
      <c r="R509" s="667"/>
      <c r="S509"/>
    </row>
    <row r="510" spans="1:19" s="432" customFormat="1">
      <c r="A510" t="s">
        <v>712</v>
      </c>
      <c r="C510" s="425"/>
      <c r="F510" s="171"/>
      <c r="K510" s="495"/>
      <c r="L510" s="495"/>
      <c r="M510" s="496"/>
      <c r="N510" s="668" t="s">
        <v>118</v>
      </c>
      <c r="O510" s="669">
        <f>SUM(O505:O509)</f>
        <v>306605640</v>
      </c>
      <c r="P510" s="670">
        <f>SUM(P505:P509)</f>
        <v>135708662</v>
      </c>
      <c r="Q510" s="557"/>
      <c r="R510" s="496"/>
      <c r="S510"/>
    </row>
    <row r="511" spans="1:19" s="432" customFormat="1">
      <c r="A511" t="s">
        <v>713</v>
      </c>
      <c r="B511" s="393">
        <v>7</v>
      </c>
      <c r="C511" s="425"/>
      <c r="K511" s="496"/>
      <c r="L511" s="621" t="s">
        <v>709</v>
      </c>
      <c r="M511" s="496" t="s">
        <v>705</v>
      </c>
      <c r="N511" s="671" t="s">
        <v>707</v>
      </c>
      <c r="O511" s="598" t="s">
        <v>699</v>
      </c>
      <c r="P511" s="672" t="s">
        <v>10</v>
      </c>
      <c r="Q511" s="564" t="s">
        <v>714</v>
      </c>
      <c r="R511" s="432" t="s">
        <v>715</v>
      </c>
      <c r="S511" s="672"/>
    </row>
    <row r="512" spans="1:19">
      <c r="A512" t="s">
        <v>716</v>
      </c>
      <c r="B512" s="432">
        <v>1</v>
      </c>
      <c r="E512" s="212"/>
      <c r="K512" s="496" t="s">
        <v>4</v>
      </c>
      <c r="L512" s="621">
        <v>12898360</v>
      </c>
      <c r="M512" s="496">
        <v>215502510</v>
      </c>
      <c r="N512" s="673">
        <v>29033370</v>
      </c>
      <c r="O512" s="598">
        <v>1280800</v>
      </c>
      <c r="P512" s="674">
        <f t="shared" ref="P512:P517" si="95">SUM(L512:O512)</f>
        <v>258715040</v>
      </c>
      <c r="Q512" s="495">
        <v>258712759</v>
      </c>
      <c r="R512" s="210"/>
      <c r="S512" s="674"/>
    </row>
    <row r="513" spans="1:19">
      <c r="A513" t="s">
        <v>717</v>
      </c>
      <c r="K513" s="496"/>
      <c r="L513" s="621">
        <v>4661608</v>
      </c>
      <c r="M513" s="496">
        <v>101156822</v>
      </c>
      <c r="N513" s="673">
        <v>5888697</v>
      </c>
      <c r="O513" s="598">
        <v>311258</v>
      </c>
      <c r="P513" s="674">
        <f t="shared" si="95"/>
        <v>112018385</v>
      </c>
      <c r="Q513" s="495">
        <v>111947395</v>
      </c>
      <c r="R513" s="210"/>
      <c r="S513" s="674"/>
    </row>
    <row r="514" spans="1:19">
      <c r="A514" t="s">
        <v>942</v>
      </c>
      <c r="E514" s="480">
        <v>5</v>
      </c>
      <c r="K514" s="496"/>
      <c r="L514" s="621"/>
      <c r="N514" s="673"/>
      <c r="O514" s="598"/>
      <c r="P514" s="674">
        <f t="shared" si="95"/>
        <v>0</v>
      </c>
      <c r="Q514" s="495"/>
      <c r="R514" s="210"/>
      <c r="S514" s="674"/>
    </row>
    <row r="515" spans="1:19">
      <c r="A515" t="s">
        <v>943</v>
      </c>
      <c r="E515" s="480">
        <v>2</v>
      </c>
      <c r="K515" s="496"/>
      <c r="L515" s="621"/>
      <c r="N515" s="673"/>
      <c r="O515" s="598"/>
      <c r="P515" s="674">
        <f t="shared" si="95"/>
        <v>0</v>
      </c>
      <c r="Q515" s="495"/>
      <c r="R515" s="210"/>
      <c r="S515" s="674"/>
    </row>
    <row r="516" spans="1:19">
      <c r="A516" t="s">
        <v>944</v>
      </c>
      <c r="E516" s="480">
        <v>2</v>
      </c>
      <c r="K516" s="496" t="s">
        <v>6</v>
      </c>
      <c r="L516" s="621">
        <f>N502-L512-L514</f>
        <v>1977600</v>
      </c>
      <c r="M516" s="496">
        <f t="shared" ref="M516:O517" si="96">K502-M512-M514</f>
        <v>38403800</v>
      </c>
      <c r="N516" s="673">
        <f t="shared" si="96"/>
        <v>7509200</v>
      </c>
      <c r="O516" s="598">
        <f t="shared" si="96"/>
        <v>0</v>
      </c>
      <c r="P516" s="674">
        <f t="shared" si="95"/>
        <v>47890600</v>
      </c>
      <c r="Q516" s="495">
        <v>48223881</v>
      </c>
      <c r="R516" s="210"/>
      <c r="S516" s="674"/>
    </row>
    <row r="517" spans="1:19">
      <c r="A517" t="s">
        <v>945</v>
      </c>
      <c r="E517" s="480">
        <v>10</v>
      </c>
      <c r="K517" s="496"/>
      <c r="L517" s="621">
        <f>N503-L513-L515</f>
        <v>764232</v>
      </c>
      <c r="M517" s="496">
        <f t="shared" si="96"/>
        <v>21028842</v>
      </c>
      <c r="N517" s="673">
        <f t="shared" si="96"/>
        <v>1897203</v>
      </c>
      <c r="O517" s="598">
        <f t="shared" si="96"/>
        <v>0</v>
      </c>
      <c r="P517" s="674">
        <f t="shared" si="95"/>
        <v>23690277</v>
      </c>
      <c r="Q517" s="495">
        <v>23822497</v>
      </c>
      <c r="R517" s="210"/>
      <c r="S517" s="674"/>
    </row>
    <row r="518" spans="1:19">
      <c r="K518" s="496"/>
      <c r="L518" s="621"/>
      <c r="N518" s="673"/>
      <c r="O518" s="598"/>
      <c r="P518" s="674"/>
      <c r="Q518" s="495"/>
      <c r="R518"/>
      <c r="S518" s="674"/>
    </row>
    <row r="519" spans="1:19">
      <c r="K519" s="496" t="s">
        <v>719</v>
      </c>
      <c r="L519" s="621">
        <f t="shared" ref="L519:O520" si="97">L512+L514+L516</f>
        <v>14875960</v>
      </c>
      <c r="M519" s="496">
        <f t="shared" si="97"/>
        <v>253906310</v>
      </c>
      <c r="N519" s="654">
        <f t="shared" si="97"/>
        <v>36542570</v>
      </c>
      <c r="O519" s="598">
        <f t="shared" si="97"/>
        <v>1280800</v>
      </c>
      <c r="P519" s="674">
        <f>SUM(L519:O519)</f>
        <v>306605640</v>
      </c>
      <c r="Q519" s="553">
        <f>Q512+Q514+Q516</f>
        <v>306936640</v>
      </c>
      <c r="R519" s="553">
        <v>326183550</v>
      </c>
      <c r="S519" s="674"/>
    </row>
    <row r="520" spans="1:19" s="432" customFormat="1">
      <c r="A520"/>
      <c r="C520" s="425"/>
      <c r="K520" s="496" t="s">
        <v>720</v>
      </c>
      <c r="L520" s="621">
        <f t="shared" si="97"/>
        <v>5425840</v>
      </c>
      <c r="M520" s="496">
        <f t="shared" si="97"/>
        <v>122185664</v>
      </c>
      <c r="N520" s="654">
        <f t="shared" si="97"/>
        <v>7785900</v>
      </c>
      <c r="O520" s="598">
        <f t="shared" si="97"/>
        <v>311258</v>
      </c>
      <c r="P520" s="674">
        <f>SUM(L520:O520)</f>
        <v>135708662</v>
      </c>
      <c r="Q520" s="553">
        <f>Q513+Q515+Q517</f>
        <v>135769892</v>
      </c>
      <c r="R520" s="211"/>
      <c r="S520" s="674"/>
    </row>
    <row r="522" spans="1:19">
      <c r="R522" s="16" t="s">
        <v>721</v>
      </c>
      <c r="S522" s="496">
        <v>19343800</v>
      </c>
    </row>
    <row r="523" spans="1:19">
      <c r="R523" s="258" t="s">
        <v>764</v>
      </c>
      <c r="S523" s="496">
        <v>1001950</v>
      </c>
    </row>
    <row r="524" spans="1:19" ht="25.5" customHeight="1">
      <c r="R524" s="258" t="s">
        <v>723</v>
      </c>
    </row>
    <row r="525" spans="1:19">
      <c r="L525" s="659" t="s">
        <v>709</v>
      </c>
      <c r="M525" s="496" t="s">
        <v>705</v>
      </c>
      <c r="N525" s="656" t="s">
        <v>707</v>
      </c>
      <c r="O525" s="598" t="s">
        <v>724</v>
      </c>
      <c r="P525" s="498" t="s">
        <v>10</v>
      </c>
      <c r="R525" s="258" t="s">
        <v>725</v>
      </c>
    </row>
    <row r="526" spans="1:19">
      <c r="K526" s="495" t="s">
        <v>726</v>
      </c>
      <c r="L526" s="621">
        <v>11712200</v>
      </c>
      <c r="M526" s="496">
        <v>56558100</v>
      </c>
      <c r="N526" s="673">
        <v>22923290</v>
      </c>
      <c r="O526" s="598">
        <v>476000</v>
      </c>
      <c r="P526" s="495">
        <f>SUM(K526:O526)</f>
        <v>91669590</v>
      </c>
      <c r="Q526" s="495"/>
      <c r="R526" s="58" t="s">
        <v>727</v>
      </c>
      <c r="S526" s="496">
        <f>P519+S522</f>
        <v>325949440</v>
      </c>
    </row>
    <row r="527" spans="1:19">
      <c r="L527" s="621">
        <v>4079156</v>
      </c>
      <c r="M527" s="496">
        <v>22167964</v>
      </c>
      <c r="N527" s="673">
        <v>4503951</v>
      </c>
      <c r="O527" s="598">
        <v>114442</v>
      </c>
      <c r="P527" s="495">
        <f>SUM(K527:O527)</f>
        <v>30865513</v>
      </c>
      <c r="Q527" s="495"/>
      <c r="R527" s="58" t="s">
        <v>728</v>
      </c>
      <c r="S527" s="496">
        <f>Q519+S522+S523+S524+S525</f>
        <v>327282390</v>
      </c>
    </row>
    <row r="528" spans="1:19">
      <c r="K528" s="495" t="s">
        <v>729</v>
      </c>
      <c r="L528" s="621">
        <v>1186160</v>
      </c>
      <c r="M528" s="496">
        <v>158944410</v>
      </c>
      <c r="N528" s="654">
        <v>6110080</v>
      </c>
      <c r="O528" s="598">
        <v>804800</v>
      </c>
      <c r="P528" s="496">
        <f>SUM(K528:O528)</f>
        <v>167045450</v>
      </c>
      <c r="Q528" s="496"/>
      <c r="R528" t="s">
        <v>730</v>
      </c>
      <c r="S528" s="496">
        <f>R519-S526</f>
        <v>234110</v>
      </c>
    </row>
    <row r="529" spans="1:19">
      <c r="L529" s="621">
        <v>582452</v>
      </c>
      <c r="M529" s="496">
        <v>78988858</v>
      </c>
      <c r="N529" s="654">
        <v>1384746</v>
      </c>
      <c r="O529" s="598">
        <v>196816</v>
      </c>
      <c r="P529" s="496">
        <f>SUM(K529:O529)</f>
        <v>81152872</v>
      </c>
      <c r="Q529" s="496"/>
      <c r="R529" s="675"/>
      <c r="S529" s="675"/>
    </row>
    <row r="530" spans="1:19">
      <c r="L530" s="496"/>
      <c r="N530" s="497"/>
      <c r="O530" s="496"/>
      <c r="Q530" s="496"/>
    </row>
    <row r="531" spans="1:19" s="496" customFormat="1">
      <c r="A531"/>
      <c r="B531" s="432"/>
      <c r="C531" s="425"/>
      <c r="D531" s="432"/>
      <c r="E531" s="432"/>
      <c r="F531" s="432"/>
      <c r="G531" s="432"/>
      <c r="H531" s="432"/>
      <c r="I531" s="432"/>
      <c r="J531" s="432"/>
      <c r="K531" s="495"/>
      <c r="L531" s="659">
        <f t="shared" ref="L531:O532" si="98">L526+L528</f>
        <v>12898360</v>
      </c>
      <c r="M531" s="496">
        <f t="shared" si="98"/>
        <v>215502510</v>
      </c>
      <c r="N531" s="656">
        <f t="shared" si="98"/>
        <v>29033370</v>
      </c>
      <c r="O531" s="497">
        <f t="shared" si="98"/>
        <v>1280800</v>
      </c>
      <c r="P531" s="496">
        <f>SUM(K531:O531)</f>
        <v>258715040</v>
      </c>
    </row>
    <row r="532" spans="1:19" s="496" customFormat="1">
      <c r="A532"/>
      <c r="B532" s="432"/>
      <c r="C532" s="425"/>
      <c r="D532" s="432"/>
      <c r="E532" s="432"/>
      <c r="F532" s="432"/>
      <c r="G532" s="432"/>
      <c r="H532" s="432"/>
      <c r="I532" s="432"/>
      <c r="J532" s="432"/>
      <c r="K532" s="495"/>
      <c r="L532" s="659">
        <f t="shared" si="98"/>
        <v>4661608</v>
      </c>
      <c r="M532" s="496">
        <f t="shared" si="98"/>
        <v>101156822</v>
      </c>
      <c r="N532" s="656">
        <f t="shared" si="98"/>
        <v>5888697</v>
      </c>
      <c r="O532" s="497">
        <f t="shared" si="98"/>
        <v>311258</v>
      </c>
      <c r="P532" s="496">
        <f>SUM(K532:O532)</f>
        <v>112018385</v>
      </c>
    </row>
    <row r="534" spans="1:19">
      <c r="R534" s="496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86:M86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5" zoomScale="82" zoomScaleNormal="82" workbookViewId="0">
      <selection activeCell="AK37" sqref="AK37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2" customWidth="1"/>
    <col min="57" max="58" width="9.625" style="432" bestFit="1" customWidth="1"/>
    <col min="59" max="59" width="7.5" style="432" customWidth="1"/>
  </cols>
  <sheetData>
    <row r="1" spans="1:59">
      <c r="BF1" s="431"/>
    </row>
    <row r="2" spans="1:59" ht="12.75" customHeight="1">
      <c r="C2" s="420"/>
      <c r="BF2" s="426"/>
    </row>
    <row r="3" spans="1:59" hidden="1">
      <c r="C3" s="421"/>
      <c r="D3" s="432"/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3"/>
    </row>
    <row r="4" spans="1:59" s="147" customFormat="1" hidden="1">
      <c r="A4" s="59"/>
      <c r="B4" s="450"/>
      <c r="C4" s="422"/>
      <c r="D4" s="424"/>
      <c r="E4" s="701" t="s">
        <v>766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  <c r="AA4" s="702"/>
      <c r="AB4" s="702"/>
      <c r="AC4" s="703"/>
      <c r="AD4" s="480"/>
      <c r="AE4" s="480"/>
      <c r="AF4" s="480"/>
      <c r="AG4" s="480"/>
      <c r="AH4" s="480"/>
      <c r="AI4" s="480"/>
      <c r="AJ4" s="480"/>
      <c r="AK4" s="480"/>
      <c r="AL4" s="480"/>
      <c r="AM4" s="480"/>
      <c r="AN4" s="480"/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0"/>
      <c r="AZ4" s="480"/>
      <c r="BA4" s="480"/>
      <c r="BB4" s="480"/>
      <c r="BC4" s="480"/>
      <c r="BD4" s="480"/>
      <c r="BE4" s="480"/>
      <c r="BF4" s="426"/>
      <c r="BG4" s="434"/>
    </row>
    <row r="5" spans="1:59" ht="126" customHeight="1">
      <c r="E5" s="704"/>
      <c r="F5" s="705"/>
      <c r="G5" s="705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691"/>
      <c r="W5" s="691"/>
      <c r="X5" s="691"/>
      <c r="Y5" s="691"/>
      <c r="Z5" s="691"/>
      <c r="AA5" s="691"/>
      <c r="AB5" s="691"/>
      <c r="AC5" s="706"/>
      <c r="AD5" s="480"/>
      <c r="AE5" s="480"/>
      <c r="AF5" s="480"/>
      <c r="AG5" s="480"/>
      <c r="AH5" s="480"/>
      <c r="AI5" s="480"/>
      <c r="AJ5" s="480"/>
      <c r="AK5" s="481"/>
      <c r="AL5" s="481"/>
      <c r="AM5" s="481"/>
      <c r="AN5" s="481"/>
      <c r="AO5" s="481"/>
      <c r="AP5" s="481"/>
      <c r="AQ5" s="481"/>
      <c r="AR5" s="481"/>
      <c r="AS5" s="481"/>
      <c r="AT5" s="481"/>
      <c r="AU5" s="481"/>
      <c r="AV5" s="481"/>
      <c r="AW5" s="481"/>
      <c r="AX5" s="481"/>
      <c r="AY5" s="481"/>
      <c r="AZ5" s="481"/>
      <c r="BA5" s="481"/>
      <c r="BB5" s="481"/>
      <c r="BC5" s="481"/>
      <c r="BD5" s="481"/>
      <c r="BE5" s="481"/>
      <c r="BF5" s="468" t="s">
        <v>947</v>
      </c>
      <c r="BG5" s="434"/>
    </row>
    <row r="6" spans="1:59">
      <c r="D6" s="712" t="s">
        <v>4</v>
      </c>
      <c r="E6" s="713" t="s">
        <v>12</v>
      </c>
      <c r="F6" s="685"/>
      <c r="G6" s="685"/>
      <c r="H6" s="685"/>
      <c r="I6" s="698"/>
      <c r="J6" s="713" t="s">
        <v>17</v>
      </c>
      <c r="K6" s="685"/>
      <c r="L6" s="685"/>
      <c r="M6" s="685"/>
      <c r="N6" s="685"/>
      <c r="O6" s="685"/>
      <c r="P6" s="685"/>
      <c r="Q6" s="685"/>
      <c r="R6" s="685"/>
      <c r="S6" s="685"/>
      <c r="T6" s="685"/>
      <c r="U6" s="685"/>
      <c r="V6" s="698"/>
      <c r="W6" s="713" t="s">
        <v>948</v>
      </c>
      <c r="X6" s="685"/>
      <c r="Y6" s="685"/>
      <c r="Z6" s="685"/>
      <c r="AA6" s="685"/>
      <c r="AB6" s="685"/>
      <c r="AC6" s="698"/>
      <c r="AD6" s="682" t="s">
        <v>0</v>
      </c>
      <c r="AE6" s="685"/>
      <c r="AF6" s="685"/>
      <c r="AG6" s="685"/>
      <c r="AH6" s="685"/>
      <c r="AI6" s="685"/>
      <c r="AJ6" s="698"/>
      <c r="AK6" s="700" t="s">
        <v>2</v>
      </c>
      <c r="AL6" s="685"/>
      <c r="AM6" s="685"/>
      <c r="AN6" s="698"/>
      <c r="AO6" s="694" t="s">
        <v>7</v>
      </c>
      <c r="AP6" s="685"/>
      <c r="AQ6" s="685"/>
      <c r="AR6" s="698"/>
      <c r="AS6" s="682" t="s">
        <v>13</v>
      </c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98"/>
      <c r="BE6" s="477" t="s">
        <v>1018</v>
      </c>
      <c r="BF6" s="679" t="s">
        <v>1016</v>
      </c>
      <c r="BG6" s="434"/>
    </row>
    <row r="7" spans="1:59" ht="60.75" customHeight="1">
      <c r="D7" s="688"/>
      <c r="E7" s="717" t="s">
        <v>949</v>
      </c>
      <c r="F7" s="685"/>
      <c r="G7" s="685"/>
      <c r="H7" s="685"/>
      <c r="I7" s="698"/>
      <c r="J7" s="717" t="s">
        <v>950</v>
      </c>
      <c r="K7" s="685"/>
      <c r="L7" s="685"/>
      <c r="M7" s="685"/>
      <c r="N7" s="685"/>
      <c r="O7" s="685"/>
      <c r="P7" s="685"/>
      <c r="Q7" s="685"/>
      <c r="R7" s="685"/>
      <c r="S7" s="685"/>
      <c r="T7" s="685"/>
      <c r="U7" s="685"/>
      <c r="V7" s="698"/>
      <c r="W7" s="718" t="s">
        <v>951</v>
      </c>
      <c r="X7" s="708"/>
      <c r="Y7" s="708"/>
      <c r="Z7" s="708"/>
      <c r="AA7" s="708"/>
      <c r="AB7" s="708"/>
      <c r="AC7" s="711"/>
      <c r="AD7" s="699" t="s">
        <v>951</v>
      </c>
      <c r="AE7" s="685"/>
      <c r="AF7" s="685"/>
      <c r="AG7" s="685"/>
      <c r="AH7" s="685"/>
      <c r="AI7" s="685"/>
      <c r="AJ7" s="698"/>
      <c r="AK7" s="709" t="s">
        <v>952</v>
      </c>
      <c r="AL7" s="685"/>
      <c r="AM7" s="685"/>
      <c r="AN7" s="698"/>
      <c r="AO7" s="710" t="s">
        <v>953</v>
      </c>
      <c r="AP7" s="708"/>
      <c r="AQ7" s="708"/>
      <c r="AR7" s="711"/>
      <c r="AS7" s="707" t="s">
        <v>954</v>
      </c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447" t="s">
        <v>955</v>
      </c>
      <c r="BF7" s="680" t="s">
        <v>956</v>
      </c>
      <c r="BG7" s="434"/>
    </row>
    <row r="8" spans="1:59">
      <c r="A8" s="446" t="s">
        <v>21</v>
      </c>
      <c r="B8" s="100"/>
      <c r="C8" s="446"/>
      <c r="D8" s="683"/>
      <c r="E8" s="449" t="s">
        <v>957</v>
      </c>
      <c r="F8" s="449" t="s">
        <v>958</v>
      </c>
      <c r="G8" s="449" t="s">
        <v>959</v>
      </c>
      <c r="H8" s="449" t="s">
        <v>960</v>
      </c>
      <c r="I8" s="449" t="s">
        <v>961</v>
      </c>
      <c r="J8" s="453" t="s">
        <v>962</v>
      </c>
      <c r="K8" s="453" t="s">
        <v>963</v>
      </c>
      <c r="L8" s="453" t="s">
        <v>964</v>
      </c>
      <c r="M8" s="453" t="s">
        <v>965</v>
      </c>
      <c r="N8" s="453" t="s">
        <v>966</v>
      </c>
      <c r="O8" s="453" t="s">
        <v>967</v>
      </c>
      <c r="P8" s="453" t="s">
        <v>968</v>
      </c>
      <c r="Q8" s="449" t="s">
        <v>969</v>
      </c>
      <c r="R8" s="453" t="s">
        <v>970</v>
      </c>
      <c r="S8" s="453" t="s">
        <v>971</v>
      </c>
      <c r="T8" s="453" t="s">
        <v>972</v>
      </c>
      <c r="U8" s="453" t="s">
        <v>973</v>
      </c>
      <c r="V8" s="453" t="s">
        <v>974</v>
      </c>
      <c r="W8" s="430" t="s">
        <v>975</v>
      </c>
      <c r="X8" s="430" t="s">
        <v>976</v>
      </c>
      <c r="Y8" s="430" t="s">
        <v>977</v>
      </c>
      <c r="Z8" s="430" t="s">
        <v>978</v>
      </c>
      <c r="AA8" s="430" t="s">
        <v>979</v>
      </c>
      <c r="AB8" s="430" t="s">
        <v>980</v>
      </c>
      <c r="AC8" s="430" t="s">
        <v>981</v>
      </c>
      <c r="AD8" s="466" t="s">
        <v>960</v>
      </c>
      <c r="AE8" s="466" t="s">
        <v>961</v>
      </c>
      <c r="AF8" s="466" t="s">
        <v>982</v>
      </c>
      <c r="AG8" s="466" t="s">
        <v>983</v>
      </c>
      <c r="AH8" s="466" t="s">
        <v>984</v>
      </c>
      <c r="AI8" s="466" t="s">
        <v>985</v>
      </c>
      <c r="AJ8" s="466" t="s">
        <v>986</v>
      </c>
      <c r="AK8" s="465" t="s">
        <v>987</v>
      </c>
      <c r="AL8" s="465" t="s">
        <v>988</v>
      </c>
      <c r="AM8" s="465" t="s">
        <v>989</v>
      </c>
      <c r="AN8" s="465" t="s">
        <v>990</v>
      </c>
      <c r="AO8" s="449" t="s">
        <v>990</v>
      </c>
      <c r="AP8" s="449" t="s">
        <v>991</v>
      </c>
      <c r="AQ8" s="449" t="s">
        <v>958</v>
      </c>
      <c r="AR8" s="449" t="s">
        <v>959</v>
      </c>
      <c r="AS8" s="449" t="s">
        <v>992</v>
      </c>
      <c r="AT8" s="449" t="s">
        <v>993</v>
      </c>
      <c r="AU8" s="449" t="s">
        <v>994</v>
      </c>
      <c r="AV8" s="449" t="s">
        <v>995</v>
      </c>
      <c r="AW8" s="449" t="s">
        <v>996</v>
      </c>
      <c r="AX8" s="449" t="s">
        <v>997</v>
      </c>
      <c r="AY8" s="449" t="s">
        <v>998</v>
      </c>
      <c r="AZ8" s="449" t="s">
        <v>999</v>
      </c>
      <c r="BA8" s="449" t="s">
        <v>1000</v>
      </c>
      <c r="BB8" s="449" t="s">
        <v>1001</v>
      </c>
      <c r="BC8" s="449" t="s">
        <v>1002</v>
      </c>
      <c r="BD8" s="449" t="s">
        <v>1003</v>
      </c>
      <c r="BE8" s="477" t="s">
        <v>1004</v>
      </c>
      <c r="BF8" s="681" t="s">
        <v>1017</v>
      </c>
      <c r="BG8" s="448"/>
    </row>
    <row r="9" spans="1:59">
      <c r="A9" s="484" t="s">
        <v>1005</v>
      </c>
      <c r="B9" s="485"/>
      <c r="C9" s="484"/>
      <c r="D9" s="486" t="s">
        <v>1006</v>
      </c>
      <c r="E9" s="487">
        <v>0</v>
      </c>
      <c r="F9" s="487">
        <v>0</v>
      </c>
      <c r="G9" s="487">
        <v>0</v>
      </c>
      <c r="H9" s="487">
        <v>24</v>
      </c>
      <c r="I9" s="487">
        <v>0</v>
      </c>
      <c r="J9" s="488">
        <v>0</v>
      </c>
      <c r="K9" s="488">
        <v>11</v>
      </c>
      <c r="L9" s="488">
        <v>0</v>
      </c>
      <c r="M9" s="488">
        <v>0</v>
      </c>
      <c r="N9" s="488">
        <v>104</v>
      </c>
      <c r="O9" s="488">
        <v>9</v>
      </c>
      <c r="P9" s="488">
        <v>18</v>
      </c>
      <c r="Q9" s="487">
        <v>100</v>
      </c>
      <c r="R9" s="488">
        <v>50</v>
      </c>
      <c r="S9" s="488">
        <v>104</v>
      </c>
      <c r="T9" s="488">
        <v>93</v>
      </c>
      <c r="U9" s="488">
        <v>312</v>
      </c>
      <c r="V9" s="488">
        <v>153</v>
      </c>
      <c r="W9" s="489">
        <v>0</v>
      </c>
      <c r="X9" s="489">
        <v>0</v>
      </c>
      <c r="Y9" s="489">
        <v>1</v>
      </c>
      <c r="Z9" s="489">
        <v>2</v>
      </c>
      <c r="AA9" s="489">
        <v>0</v>
      </c>
      <c r="AB9" s="489">
        <v>0</v>
      </c>
      <c r="AC9" s="489">
        <v>3</v>
      </c>
      <c r="AD9" s="490">
        <v>0</v>
      </c>
      <c r="AE9" s="490">
        <v>0</v>
      </c>
      <c r="AF9" s="490">
        <v>0</v>
      </c>
      <c r="AG9" s="490">
        <v>0</v>
      </c>
      <c r="AH9" s="490">
        <v>0</v>
      </c>
      <c r="AI9" s="490">
        <v>0</v>
      </c>
      <c r="AJ9" s="490">
        <v>1</v>
      </c>
      <c r="AK9" s="491">
        <v>0</v>
      </c>
      <c r="AL9" s="491">
        <v>0</v>
      </c>
      <c r="AM9" s="491">
        <v>5</v>
      </c>
      <c r="AN9" s="491">
        <v>7</v>
      </c>
      <c r="AO9" s="487">
        <v>1</v>
      </c>
      <c r="AP9" s="487">
        <v>1</v>
      </c>
      <c r="AQ9" s="487">
        <v>0</v>
      </c>
      <c r="AR9" s="487">
        <v>0</v>
      </c>
      <c r="AS9" s="487">
        <v>773</v>
      </c>
      <c r="AT9" s="487">
        <v>217</v>
      </c>
      <c r="AU9" s="487">
        <v>0</v>
      </c>
      <c r="AV9" s="487">
        <v>46</v>
      </c>
      <c r="AW9" s="487">
        <v>0</v>
      </c>
      <c r="AX9" s="487">
        <v>670</v>
      </c>
      <c r="AY9" s="487">
        <v>43</v>
      </c>
      <c r="AZ9" s="487">
        <v>216</v>
      </c>
      <c r="BA9" s="487">
        <v>135</v>
      </c>
      <c r="BB9" s="487">
        <v>419</v>
      </c>
      <c r="BC9" s="487">
        <v>268</v>
      </c>
      <c r="BD9" s="487">
        <v>917</v>
      </c>
      <c r="BE9" s="492">
        <v>2</v>
      </c>
      <c r="BF9" s="681">
        <v>1</v>
      </c>
      <c r="BG9" s="493" t="s">
        <v>10</v>
      </c>
    </row>
    <row r="10" spans="1:59" ht="15" customHeight="1">
      <c r="A10" s="278" t="s">
        <v>32</v>
      </c>
      <c r="B10" s="449" t="s">
        <v>1004</v>
      </c>
      <c r="C10" s="435" t="s">
        <v>769</v>
      </c>
      <c r="D10" s="436">
        <v>75</v>
      </c>
      <c r="E10" s="436"/>
      <c r="F10" s="436"/>
      <c r="G10" s="436"/>
      <c r="H10" s="436"/>
      <c r="I10" s="436"/>
      <c r="J10" s="436"/>
      <c r="K10" s="436"/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300"/>
      <c r="W10" s="300"/>
      <c r="X10" s="300"/>
      <c r="Y10" s="300"/>
      <c r="Z10" s="300"/>
      <c r="AA10" s="300"/>
      <c r="AB10" s="300"/>
      <c r="AC10" s="292"/>
      <c r="AD10" s="292"/>
      <c r="AE10" s="292"/>
      <c r="AF10" s="292"/>
      <c r="AG10" s="292"/>
      <c r="AH10" s="292"/>
      <c r="AI10" s="292"/>
      <c r="AJ10" s="292"/>
      <c r="AK10" s="292"/>
      <c r="AL10" s="292"/>
      <c r="AM10" s="292"/>
      <c r="AN10" s="292"/>
      <c r="AO10" s="292"/>
      <c r="AP10" s="292"/>
      <c r="AQ10" s="292"/>
      <c r="AR10" s="292"/>
      <c r="AS10" s="292"/>
      <c r="AT10" s="292"/>
      <c r="AU10" s="292"/>
      <c r="AV10" s="292"/>
      <c r="AW10" s="292"/>
      <c r="AX10" s="292"/>
      <c r="AY10" s="292"/>
      <c r="AZ10" s="292"/>
      <c r="BA10" s="292"/>
      <c r="BB10" s="292"/>
      <c r="BC10" s="292"/>
      <c r="BD10" s="292"/>
      <c r="BE10" s="369">
        <v>2</v>
      </c>
      <c r="BF10" s="369"/>
      <c r="BG10" s="476">
        <f t="shared" ref="BG10:BG27" si="0">SUM(D10:BF10)</f>
        <v>77</v>
      </c>
    </row>
    <row r="11" spans="1:59" ht="15" customHeight="1">
      <c r="A11" s="478" t="s">
        <v>34</v>
      </c>
      <c r="B11" s="449" t="s">
        <v>1004</v>
      </c>
      <c r="C11" s="435" t="s">
        <v>770</v>
      </c>
      <c r="D11" s="438">
        <v>5</v>
      </c>
      <c r="E11" s="438"/>
      <c r="F11" s="438"/>
      <c r="G11" s="438"/>
      <c r="H11" s="438"/>
      <c r="I11" s="438"/>
      <c r="J11" s="438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300"/>
      <c r="W11" s="300"/>
      <c r="X11" s="300"/>
      <c r="Y11" s="300"/>
      <c r="Z11" s="300"/>
      <c r="AA11" s="300"/>
      <c r="AB11" s="300"/>
      <c r="AC11" s="292"/>
      <c r="AD11" s="292"/>
      <c r="AE11" s="292"/>
      <c r="AF11" s="292"/>
      <c r="AG11" s="292"/>
      <c r="AH11" s="292"/>
      <c r="AI11" s="292"/>
      <c r="AJ11" s="292"/>
      <c r="AK11" s="292"/>
      <c r="AL11" s="292"/>
      <c r="AM11" s="292"/>
      <c r="AN11" s="292"/>
      <c r="AO11" s="292"/>
      <c r="AP11" s="292"/>
      <c r="AQ11" s="292"/>
      <c r="AR11" s="292"/>
      <c r="AS11" s="292"/>
      <c r="AT11" s="292"/>
      <c r="AU11" s="292"/>
      <c r="AV11" s="292"/>
      <c r="AW11" s="292"/>
      <c r="AX11" s="292"/>
      <c r="AY11" s="292"/>
      <c r="AZ11" s="292"/>
      <c r="BA11" s="292"/>
      <c r="BB11" s="292"/>
      <c r="BC11" s="292"/>
      <c r="BD11" s="292"/>
      <c r="BE11" s="292"/>
      <c r="BF11" s="437"/>
      <c r="BG11" s="476">
        <f t="shared" si="0"/>
        <v>5</v>
      </c>
    </row>
    <row r="12" spans="1:59" ht="15" customHeight="1">
      <c r="A12" s="478" t="s">
        <v>36</v>
      </c>
      <c r="B12" s="449" t="s">
        <v>1004</v>
      </c>
      <c r="C12" s="435" t="s">
        <v>771</v>
      </c>
      <c r="D12" s="438">
        <v>5</v>
      </c>
      <c r="E12" s="438"/>
      <c r="F12" s="438"/>
      <c r="G12" s="438"/>
      <c r="H12" s="438"/>
      <c r="I12" s="438"/>
      <c r="J12" s="438"/>
      <c r="K12" s="438"/>
      <c r="L12" s="438"/>
      <c r="M12" s="438"/>
      <c r="N12" s="438"/>
      <c r="O12" s="438"/>
      <c r="P12" s="438"/>
      <c r="Q12" s="438"/>
      <c r="R12" s="438"/>
      <c r="S12" s="438"/>
      <c r="T12" s="438"/>
      <c r="U12" s="438"/>
      <c r="V12" s="300"/>
      <c r="W12" s="300"/>
      <c r="X12" s="300"/>
      <c r="Y12" s="300"/>
      <c r="Z12" s="300"/>
      <c r="AA12" s="300"/>
      <c r="AB12" s="300"/>
      <c r="AC12" s="292"/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2"/>
      <c r="AU12" s="292"/>
      <c r="AV12" s="292"/>
      <c r="AW12" s="292"/>
      <c r="AX12" s="292"/>
      <c r="AY12" s="292"/>
      <c r="AZ12" s="292"/>
      <c r="BA12" s="292"/>
      <c r="BB12" s="292"/>
      <c r="BC12" s="292"/>
      <c r="BD12" s="292"/>
      <c r="BE12" s="292"/>
      <c r="BF12" s="437"/>
      <c r="BG12" s="476">
        <f t="shared" si="0"/>
        <v>5</v>
      </c>
    </row>
    <row r="13" spans="1:59" ht="15" customHeight="1">
      <c r="A13" s="478" t="s">
        <v>38</v>
      </c>
      <c r="B13" s="449" t="s">
        <v>1004</v>
      </c>
      <c r="C13" s="435" t="s">
        <v>772</v>
      </c>
      <c r="D13" s="438"/>
      <c r="E13" s="292"/>
      <c r="F13" s="292"/>
      <c r="G13" s="292"/>
      <c r="H13" s="719">
        <v>24</v>
      </c>
      <c r="I13" s="292"/>
      <c r="J13" s="292"/>
      <c r="K13" s="292"/>
      <c r="L13" s="292"/>
      <c r="M13" s="292"/>
      <c r="N13" s="292"/>
      <c r="O13" s="292"/>
      <c r="P13" s="292"/>
      <c r="Q13" s="292"/>
      <c r="R13" s="292"/>
      <c r="S13" s="292"/>
      <c r="T13" s="292"/>
      <c r="U13" s="292"/>
      <c r="V13" s="300"/>
      <c r="W13" s="300"/>
      <c r="X13" s="300"/>
      <c r="Y13" s="300"/>
      <c r="Z13" s="300"/>
      <c r="AA13" s="300"/>
      <c r="AB13" s="300"/>
      <c r="AC13" s="292"/>
      <c r="AD13" s="292"/>
      <c r="AE13" s="292"/>
      <c r="AF13" s="292"/>
      <c r="AG13" s="292"/>
      <c r="AH13" s="292"/>
      <c r="AI13" s="292"/>
      <c r="AJ13" s="292"/>
      <c r="AK13" s="292"/>
      <c r="AL13" s="292"/>
      <c r="AM13" s="292"/>
      <c r="AN13" s="292"/>
      <c r="AO13" s="292"/>
      <c r="AP13" s="292"/>
      <c r="AQ13" s="292"/>
      <c r="AR13" s="292"/>
      <c r="AS13" s="292"/>
      <c r="AT13" s="292"/>
      <c r="AU13" s="292"/>
      <c r="AV13" s="292"/>
      <c r="AW13" s="292"/>
      <c r="AX13" s="292"/>
      <c r="AY13" s="292"/>
      <c r="AZ13" s="292"/>
      <c r="BA13" s="292"/>
      <c r="BB13" s="292"/>
      <c r="BC13" s="292"/>
      <c r="BD13" s="292"/>
      <c r="BE13" s="292"/>
      <c r="BF13" s="437"/>
      <c r="BG13" s="476">
        <f t="shared" si="0"/>
        <v>24</v>
      </c>
    </row>
    <row r="14" spans="1:59" ht="15" customHeight="1">
      <c r="A14" s="278" t="s">
        <v>41</v>
      </c>
      <c r="B14" s="449" t="s">
        <v>1004</v>
      </c>
      <c r="C14" s="435" t="s">
        <v>773</v>
      </c>
      <c r="D14" s="436">
        <v>6</v>
      </c>
      <c r="E14" s="436"/>
      <c r="F14" s="436"/>
      <c r="G14" s="436"/>
      <c r="H14" s="436"/>
      <c r="I14" s="436"/>
      <c r="J14" s="436"/>
      <c r="K14" s="436"/>
      <c r="L14" s="436"/>
      <c r="M14" s="436"/>
      <c r="N14" s="436"/>
      <c r="O14" s="436"/>
      <c r="P14" s="436"/>
      <c r="Q14" s="436"/>
      <c r="R14" s="436"/>
      <c r="S14" s="436"/>
      <c r="T14" s="436"/>
      <c r="U14" s="436"/>
      <c r="V14" s="439"/>
      <c r="W14" s="439"/>
      <c r="X14" s="439"/>
      <c r="Y14" s="439"/>
      <c r="Z14" s="439"/>
      <c r="AA14" s="439"/>
      <c r="AB14" s="439"/>
      <c r="AC14" s="440"/>
      <c r="AD14" s="440"/>
      <c r="AE14" s="440"/>
      <c r="AF14" s="440"/>
      <c r="AG14" s="440"/>
      <c r="AH14" s="440"/>
      <c r="AI14" s="440"/>
      <c r="AJ14" s="440"/>
      <c r="AK14" s="440"/>
      <c r="AL14" s="440"/>
      <c r="AM14" s="440"/>
      <c r="AN14" s="440"/>
      <c r="AO14" s="440"/>
      <c r="AP14" s="440"/>
      <c r="AQ14" s="440"/>
      <c r="AR14" s="440"/>
      <c r="AS14" s="440"/>
      <c r="AT14" s="440"/>
      <c r="AU14" s="440"/>
      <c r="AV14" s="440"/>
      <c r="AW14" s="440"/>
      <c r="AX14" s="440"/>
      <c r="AY14" s="440"/>
      <c r="AZ14" s="440"/>
      <c r="BA14" s="440"/>
      <c r="BB14" s="440"/>
      <c r="BC14" s="440"/>
      <c r="BD14" s="440"/>
      <c r="BE14" s="440"/>
      <c r="BF14" s="441"/>
      <c r="BG14" s="476">
        <f t="shared" si="0"/>
        <v>6</v>
      </c>
    </row>
    <row r="15" spans="1:59" ht="15" customHeight="1">
      <c r="A15" s="694" t="s">
        <v>1007</v>
      </c>
      <c r="B15" s="429" t="s">
        <v>962</v>
      </c>
      <c r="C15" s="435" t="s">
        <v>776</v>
      </c>
      <c r="D15" s="436">
        <v>1</v>
      </c>
      <c r="E15" s="436"/>
      <c r="F15" s="436"/>
      <c r="G15" s="436"/>
      <c r="H15" s="436"/>
      <c r="I15" s="436"/>
      <c r="J15" s="436"/>
      <c r="K15" s="436"/>
      <c r="L15" s="436"/>
      <c r="M15" s="436"/>
      <c r="N15" s="436"/>
      <c r="O15" s="436"/>
      <c r="P15" s="436"/>
      <c r="Q15" s="436"/>
      <c r="R15" s="436"/>
      <c r="S15" s="436"/>
      <c r="T15" s="436"/>
      <c r="U15" s="436"/>
      <c r="V15" s="439"/>
      <c r="W15" s="439"/>
      <c r="X15" s="439"/>
      <c r="Y15" s="439"/>
      <c r="Z15" s="439"/>
      <c r="AA15" s="439"/>
      <c r="AB15" s="439"/>
      <c r="AC15" s="440"/>
      <c r="AD15" s="440"/>
      <c r="AE15" s="440"/>
      <c r="AF15" s="440"/>
      <c r="AG15" s="440"/>
      <c r="AH15" s="440"/>
      <c r="AI15" s="440"/>
      <c r="AJ15" s="440"/>
      <c r="AK15" s="440"/>
      <c r="AL15" s="440"/>
      <c r="AM15" s="440"/>
      <c r="AN15" s="440"/>
      <c r="AO15" s="440"/>
      <c r="AP15" s="440"/>
      <c r="AQ15" s="440"/>
      <c r="AR15" s="440"/>
      <c r="AS15" s="440"/>
      <c r="AT15" s="440"/>
      <c r="AU15" s="440"/>
      <c r="AV15" s="440"/>
      <c r="AW15" s="440"/>
      <c r="AX15" s="440"/>
      <c r="AY15" s="440"/>
      <c r="AZ15" s="440"/>
      <c r="BA15" s="440"/>
      <c r="BB15" s="440"/>
      <c r="BC15" s="440"/>
      <c r="BD15" s="440"/>
      <c r="BE15" s="440"/>
      <c r="BF15" s="442"/>
      <c r="BG15" s="476">
        <f t="shared" si="0"/>
        <v>1</v>
      </c>
    </row>
    <row r="16" spans="1:59" ht="15" customHeight="1">
      <c r="A16" s="688"/>
      <c r="B16" s="429" t="s">
        <v>963</v>
      </c>
      <c r="C16" s="435" t="s">
        <v>777</v>
      </c>
      <c r="D16" s="436">
        <v>3</v>
      </c>
      <c r="E16" s="436"/>
      <c r="F16" s="436"/>
      <c r="G16" s="436"/>
      <c r="H16" s="436"/>
      <c r="I16" s="436"/>
      <c r="J16" s="436"/>
      <c r="K16" s="436"/>
      <c r="L16" s="436"/>
      <c r="M16" s="436"/>
      <c r="N16" s="436"/>
      <c r="O16" s="436"/>
      <c r="P16" s="436"/>
      <c r="Q16" s="436"/>
      <c r="R16" s="436"/>
      <c r="S16" s="436"/>
      <c r="T16" s="436"/>
      <c r="U16" s="436"/>
      <c r="V16" s="439"/>
      <c r="W16" s="439"/>
      <c r="X16" s="439"/>
      <c r="Y16" s="439"/>
      <c r="Z16" s="439"/>
      <c r="AA16" s="439"/>
      <c r="AB16" s="439"/>
      <c r="AC16" s="440"/>
      <c r="AD16" s="440"/>
      <c r="AE16" s="440"/>
      <c r="AF16" s="440"/>
      <c r="AG16" s="440"/>
      <c r="AH16" s="440"/>
      <c r="AI16" s="440"/>
      <c r="AJ16" s="440"/>
      <c r="AK16" s="440"/>
      <c r="AL16" s="440"/>
      <c r="AM16" s="440"/>
      <c r="AN16" s="440"/>
      <c r="AO16" s="440"/>
      <c r="AP16" s="440"/>
      <c r="AQ16" s="440"/>
      <c r="AR16" s="440"/>
      <c r="AS16" s="440"/>
      <c r="AT16" s="440"/>
      <c r="AU16" s="440"/>
      <c r="AV16" s="440"/>
      <c r="AW16" s="440"/>
      <c r="AX16" s="440"/>
      <c r="AY16" s="440"/>
      <c r="AZ16" s="440"/>
      <c r="BA16" s="440"/>
      <c r="BB16" s="440"/>
      <c r="BC16" s="440"/>
      <c r="BD16" s="440"/>
      <c r="BE16" s="440"/>
      <c r="BF16" s="442"/>
      <c r="BG16" s="476">
        <f t="shared" si="0"/>
        <v>3</v>
      </c>
    </row>
    <row r="17" spans="1:59" ht="15" customHeight="1">
      <c r="A17" s="688"/>
      <c r="B17" s="429" t="s">
        <v>964</v>
      </c>
      <c r="C17" s="435" t="s">
        <v>778</v>
      </c>
      <c r="D17" s="436">
        <v>8</v>
      </c>
      <c r="E17" s="436"/>
      <c r="F17" s="436"/>
      <c r="G17" s="436"/>
      <c r="H17" s="436"/>
      <c r="I17" s="436"/>
      <c r="J17" s="436"/>
      <c r="K17" s="436"/>
      <c r="L17" s="436"/>
      <c r="M17" s="436"/>
      <c r="N17" s="436"/>
      <c r="O17" s="436"/>
      <c r="P17" s="436"/>
      <c r="Q17" s="436"/>
      <c r="R17" s="436"/>
      <c r="S17" s="436"/>
      <c r="T17" s="436"/>
      <c r="U17" s="436"/>
      <c r="V17" s="439"/>
      <c r="W17" s="439"/>
      <c r="X17" s="439"/>
      <c r="Y17" s="439"/>
      <c r="Z17" s="439"/>
      <c r="AA17" s="439"/>
      <c r="AB17" s="439"/>
      <c r="AC17" s="440"/>
      <c r="AD17" s="440"/>
      <c r="AE17" s="440"/>
      <c r="AF17" s="440"/>
      <c r="AG17" s="440"/>
      <c r="AH17" s="440"/>
      <c r="AI17" s="440"/>
      <c r="AJ17" s="440"/>
      <c r="AK17" s="440"/>
      <c r="AL17" s="440"/>
      <c r="AM17" s="440"/>
      <c r="AN17" s="440"/>
      <c r="AO17" s="440"/>
      <c r="AP17" s="440"/>
      <c r="AQ17" s="440"/>
      <c r="AR17" s="440"/>
      <c r="AS17" s="440"/>
      <c r="AT17" s="440"/>
      <c r="AU17" s="440"/>
      <c r="AV17" s="440"/>
      <c r="AW17" s="440"/>
      <c r="AX17" s="440"/>
      <c r="AY17" s="440"/>
      <c r="AZ17" s="440"/>
      <c r="BA17" s="440"/>
      <c r="BB17" s="440"/>
      <c r="BC17" s="440"/>
      <c r="BD17" s="440"/>
      <c r="BE17" s="440"/>
      <c r="BF17" s="442"/>
      <c r="BG17" s="476">
        <f t="shared" si="0"/>
        <v>8</v>
      </c>
    </row>
    <row r="18" spans="1:59" ht="15" customHeight="1">
      <c r="A18" s="688"/>
      <c r="B18" s="291" t="s">
        <v>965</v>
      </c>
      <c r="C18" s="435" t="s">
        <v>781</v>
      </c>
      <c r="D18" s="436">
        <v>1</v>
      </c>
      <c r="E18" s="436"/>
      <c r="F18" s="436"/>
      <c r="G18" s="436"/>
      <c r="H18" s="436"/>
      <c r="I18" s="436"/>
      <c r="J18" s="436"/>
      <c r="K18" s="436"/>
      <c r="L18" s="436"/>
      <c r="M18" s="436"/>
      <c r="N18" s="436"/>
      <c r="O18" s="436"/>
      <c r="P18" s="436"/>
      <c r="Q18" s="436"/>
      <c r="R18" s="436"/>
      <c r="S18" s="436"/>
      <c r="T18" s="436"/>
      <c r="U18" s="436"/>
      <c r="V18" s="439"/>
      <c r="W18" s="439"/>
      <c r="X18" s="439"/>
      <c r="Y18" s="439"/>
      <c r="Z18" s="720">
        <v>2</v>
      </c>
      <c r="AA18" s="439"/>
      <c r="AB18" s="440"/>
      <c r="AC18" s="440"/>
      <c r="AD18" s="440"/>
      <c r="AE18" s="440"/>
      <c r="AF18" s="440"/>
      <c r="AG18" s="440"/>
      <c r="AH18" s="440"/>
      <c r="AI18" s="440"/>
      <c r="AJ18" s="440"/>
      <c r="AK18" s="440"/>
      <c r="AL18" s="440"/>
      <c r="AM18" s="440"/>
      <c r="AN18" s="440"/>
      <c r="AO18" s="440"/>
      <c r="AP18" s="440"/>
      <c r="AQ18" s="440"/>
      <c r="AR18" s="440"/>
      <c r="AS18" s="440"/>
      <c r="AT18" s="440"/>
      <c r="AU18" s="440"/>
      <c r="AV18" s="440"/>
      <c r="AW18" s="440"/>
      <c r="AX18" s="440"/>
      <c r="AY18" s="440"/>
      <c r="AZ18" s="440"/>
      <c r="BA18" s="440"/>
      <c r="BB18" s="440"/>
      <c r="BC18" s="440"/>
      <c r="BD18" s="440"/>
      <c r="BE18" s="440"/>
      <c r="BF18" s="441"/>
      <c r="BG18" s="476">
        <f t="shared" si="0"/>
        <v>3</v>
      </c>
    </row>
    <row r="19" spans="1:59" ht="15" customHeight="1">
      <c r="A19" s="688"/>
      <c r="B19" s="291" t="s">
        <v>966</v>
      </c>
      <c r="C19" s="435" t="s">
        <v>782</v>
      </c>
      <c r="D19" s="436">
        <v>2</v>
      </c>
      <c r="E19" s="436"/>
      <c r="F19" s="436"/>
      <c r="G19" s="436"/>
      <c r="H19" s="436"/>
      <c r="I19" s="436"/>
      <c r="J19" s="436"/>
      <c r="K19" s="436"/>
      <c r="L19" s="436"/>
      <c r="M19" s="436"/>
      <c r="N19" s="436"/>
      <c r="O19" s="436"/>
      <c r="P19" s="436"/>
      <c r="Q19" s="436"/>
      <c r="R19" s="436"/>
      <c r="S19" s="436"/>
      <c r="T19" s="436"/>
      <c r="U19" s="436"/>
      <c r="V19" s="439"/>
      <c r="W19" s="439"/>
      <c r="X19" s="439"/>
      <c r="Y19" s="439"/>
      <c r="Z19" s="439"/>
      <c r="AA19" s="439"/>
      <c r="AB19" s="439"/>
      <c r="AC19" s="440"/>
      <c r="AD19" s="440"/>
      <c r="AE19" s="440"/>
      <c r="AF19" s="440"/>
      <c r="AG19" s="440"/>
      <c r="AH19" s="440"/>
      <c r="AI19" s="440"/>
      <c r="AJ19" s="440"/>
      <c r="AK19" s="440"/>
      <c r="AL19" s="440"/>
      <c r="AM19" s="440"/>
      <c r="AN19" s="440"/>
      <c r="AO19" s="440"/>
      <c r="AP19" s="440"/>
      <c r="AQ19" s="440"/>
      <c r="AR19" s="440"/>
      <c r="AS19" s="440"/>
      <c r="AT19" s="440"/>
      <c r="AU19" s="440"/>
      <c r="AV19" s="440"/>
      <c r="AW19" s="440"/>
      <c r="AX19" s="440"/>
      <c r="AY19" s="440"/>
      <c r="AZ19" s="440"/>
      <c r="BA19" s="440"/>
      <c r="BB19" s="440"/>
      <c r="BC19" s="440"/>
      <c r="BD19" s="440"/>
      <c r="BE19" s="440"/>
      <c r="BF19" s="441"/>
      <c r="BG19" s="476">
        <f t="shared" si="0"/>
        <v>2</v>
      </c>
    </row>
    <row r="20" spans="1:59" ht="15" customHeight="1">
      <c r="A20" s="688"/>
      <c r="B20" s="291" t="s">
        <v>967</v>
      </c>
      <c r="C20" s="435" t="s">
        <v>780</v>
      </c>
      <c r="D20" s="436">
        <v>2</v>
      </c>
      <c r="E20" s="436"/>
      <c r="F20" s="436"/>
      <c r="G20" s="436"/>
      <c r="H20" s="436"/>
      <c r="I20" s="436"/>
      <c r="J20" s="436"/>
      <c r="K20" s="436"/>
      <c r="L20" s="436"/>
      <c r="M20" s="436"/>
      <c r="N20" s="436"/>
      <c r="O20" s="436"/>
      <c r="P20" s="436"/>
      <c r="Q20" s="436"/>
      <c r="R20" s="436"/>
      <c r="S20" s="436"/>
      <c r="T20" s="436"/>
      <c r="U20" s="436"/>
      <c r="V20" s="439"/>
      <c r="W20" s="439"/>
      <c r="X20" s="439"/>
      <c r="Y20" s="720">
        <v>1</v>
      </c>
      <c r="Z20" s="439"/>
      <c r="AA20" s="439"/>
      <c r="AB20" s="440"/>
      <c r="AC20" s="440"/>
      <c r="AD20" s="440"/>
      <c r="AE20" s="440"/>
      <c r="AF20" s="440"/>
      <c r="AG20" s="440"/>
      <c r="AH20" s="440"/>
      <c r="AI20" s="440"/>
      <c r="AJ20" s="440"/>
      <c r="AK20" s="440"/>
      <c r="AL20" s="440"/>
      <c r="AM20" s="440"/>
      <c r="AN20" s="440"/>
      <c r="AO20" s="440"/>
      <c r="AP20" s="440"/>
      <c r="AQ20" s="440"/>
      <c r="AR20" s="440"/>
      <c r="AS20" s="440"/>
      <c r="AT20" s="440"/>
      <c r="AU20" s="440"/>
      <c r="AV20" s="440"/>
      <c r="AW20" s="440"/>
      <c r="AX20" s="440"/>
      <c r="AY20" s="440"/>
      <c r="AZ20" s="440"/>
      <c r="BA20" s="440"/>
      <c r="BB20" s="440"/>
      <c r="BC20" s="440"/>
      <c r="BD20" s="440"/>
      <c r="BE20" s="440"/>
      <c r="BF20" s="441"/>
      <c r="BG20" s="476">
        <f t="shared" si="0"/>
        <v>3</v>
      </c>
    </row>
    <row r="21" spans="1:59" ht="15" customHeight="1">
      <c r="A21" s="683"/>
      <c r="B21" s="483" t="s">
        <v>968</v>
      </c>
      <c r="C21" s="435" t="s">
        <v>783</v>
      </c>
      <c r="D21" s="436">
        <v>9</v>
      </c>
      <c r="E21" s="436"/>
      <c r="F21" s="436"/>
      <c r="G21" s="436"/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6"/>
      <c r="U21" s="436"/>
      <c r="V21" s="439"/>
      <c r="W21" s="440"/>
      <c r="X21" s="440"/>
      <c r="Y21" s="440"/>
      <c r="Z21" s="440"/>
      <c r="AA21" s="440"/>
      <c r="AB21" s="439"/>
      <c r="AC21" s="720">
        <v>3</v>
      </c>
      <c r="AD21" s="440"/>
      <c r="AE21" s="440"/>
      <c r="AF21" s="440"/>
      <c r="AG21" s="440"/>
      <c r="AH21" s="440"/>
      <c r="AI21" s="440"/>
      <c r="AJ21" s="720">
        <v>1</v>
      </c>
      <c r="AK21" s="440"/>
      <c r="AL21" s="440"/>
      <c r="AM21" s="440"/>
      <c r="AN21" s="440"/>
      <c r="AO21" s="440"/>
      <c r="AP21" s="440"/>
      <c r="AQ21" s="440"/>
      <c r="AR21" s="440"/>
      <c r="AS21" s="440"/>
      <c r="AT21" s="440"/>
      <c r="AU21" s="440"/>
      <c r="AV21" s="440"/>
      <c r="AW21" s="440"/>
      <c r="AX21" s="440"/>
      <c r="AY21" s="440"/>
      <c r="AZ21" s="440"/>
      <c r="BA21" s="440"/>
      <c r="BB21" s="440"/>
      <c r="BC21" s="440"/>
      <c r="BD21" s="440"/>
      <c r="BE21" s="440"/>
      <c r="BF21" s="441"/>
      <c r="BG21" s="476">
        <f t="shared" si="0"/>
        <v>13</v>
      </c>
    </row>
    <row r="22" spans="1:59" ht="15" customHeight="1">
      <c r="A22" s="694" t="s">
        <v>1008</v>
      </c>
      <c r="B22" s="451" t="s">
        <v>1009</v>
      </c>
      <c r="C22" s="435" t="s">
        <v>774</v>
      </c>
      <c r="D22" s="436"/>
      <c r="E22" s="436"/>
      <c r="F22" s="436"/>
      <c r="G22" s="436"/>
      <c r="H22" s="436"/>
      <c r="I22" s="436"/>
      <c r="J22" s="436"/>
      <c r="K22" s="436"/>
      <c r="L22" s="436"/>
      <c r="M22" s="436"/>
      <c r="N22" s="436"/>
      <c r="O22" s="436"/>
      <c r="P22" s="436"/>
      <c r="Q22" s="436"/>
      <c r="R22" s="436"/>
      <c r="S22" s="436"/>
      <c r="T22" s="436"/>
      <c r="U22" s="436"/>
      <c r="V22" s="439"/>
      <c r="W22" s="439"/>
      <c r="X22" s="439"/>
      <c r="Y22" s="439"/>
      <c r="Z22" s="439"/>
      <c r="AA22" s="439"/>
      <c r="AB22" s="439"/>
      <c r="AC22" s="440"/>
      <c r="AD22" s="440"/>
      <c r="AE22" s="440"/>
      <c r="AF22" s="440"/>
      <c r="AG22" s="440"/>
      <c r="AH22" s="440"/>
      <c r="AI22" s="440"/>
      <c r="AJ22" s="440"/>
      <c r="AK22" s="440"/>
      <c r="AL22" s="440"/>
      <c r="AM22" s="440"/>
      <c r="AN22" s="440"/>
      <c r="AO22" s="440"/>
      <c r="AP22" s="440"/>
      <c r="AQ22" s="440"/>
      <c r="AR22" s="440"/>
      <c r="AS22" s="440"/>
      <c r="AT22" s="440"/>
      <c r="AU22" s="440"/>
      <c r="AV22" s="440"/>
      <c r="AW22" s="440"/>
      <c r="AX22" s="440"/>
      <c r="AY22" s="440"/>
      <c r="AZ22" s="440"/>
      <c r="BA22" s="440"/>
      <c r="BB22" s="440"/>
      <c r="BC22" s="440"/>
      <c r="BD22" s="440"/>
      <c r="BE22" s="440"/>
      <c r="BF22" s="441"/>
      <c r="BG22" s="476">
        <f t="shared" si="0"/>
        <v>0</v>
      </c>
    </row>
    <row r="23" spans="1:59" ht="15" customHeight="1">
      <c r="A23" s="688"/>
      <c r="B23" s="291" t="s">
        <v>957</v>
      </c>
      <c r="C23" s="435" t="s">
        <v>1010</v>
      </c>
      <c r="D23" s="436"/>
      <c r="E23" s="436"/>
      <c r="F23" s="436"/>
      <c r="G23" s="436"/>
      <c r="H23" s="436"/>
      <c r="I23" s="436"/>
      <c r="J23" s="436"/>
      <c r="K23" s="436"/>
      <c r="L23" s="436"/>
      <c r="M23" s="436"/>
      <c r="N23" s="436"/>
      <c r="O23" s="436"/>
      <c r="P23" s="436"/>
      <c r="Q23" s="436"/>
      <c r="R23" s="436"/>
      <c r="S23" s="436"/>
      <c r="T23" s="436"/>
      <c r="U23" s="436"/>
      <c r="V23" s="439"/>
      <c r="W23" s="439"/>
      <c r="X23" s="439"/>
      <c r="Y23" s="439"/>
      <c r="Z23" s="439"/>
      <c r="AA23" s="439"/>
      <c r="AB23" s="439"/>
      <c r="AC23" s="440"/>
      <c r="AD23" s="440"/>
      <c r="AE23" s="440"/>
      <c r="AF23" s="440"/>
      <c r="AG23" s="440"/>
      <c r="AH23" s="440"/>
      <c r="AI23" s="440"/>
      <c r="AJ23" s="440"/>
      <c r="AK23" s="440"/>
      <c r="AL23" s="440"/>
      <c r="AM23" s="440"/>
      <c r="AN23" s="440"/>
      <c r="AO23" s="440"/>
      <c r="AP23" s="440"/>
      <c r="AQ23" s="440"/>
      <c r="AR23" s="440"/>
      <c r="AS23" s="440"/>
      <c r="AT23" s="440"/>
      <c r="AU23" s="440"/>
      <c r="AV23" s="440"/>
      <c r="AW23" s="440"/>
      <c r="AX23" s="440"/>
      <c r="AY23" s="440"/>
      <c r="AZ23" s="440"/>
      <c r="BA23" s="440"/>
      <c r="BB23" s="440"/>
      <c r="BC23" s="440"/>
      <c r="BD23" s="440"/>
      <c r="BE23" s="440"/>
      <c r="BF23" s="441"/>
      <c r="BG23" s="476">
        <f t="shared" si="0"/>
        <v>0</v>
      </c>
    </row>
    <row r="24" spans="1:59" ht="15" customHeight="1">
      <c r="A24" s="688"/>
      <c r="B24" s="291" t="s">
        <v>958</v>
      </c>
      <c r="C24" s="435" t="s">
        <v>1011</v>
      </c>
      <c r="D24" s="436"/>
      <c r="E24" s="436"/>
      <c r="F24" s="436"/>
      <c r="G24" s="436"/>
      <c r="H24" s="436"/>
      <c r="I24" s="436"/>
      <c r="J24" s="436"/>
      <c r="K24" s="436"/>
      <c r="L24" s="436"/>
      <c r="M24" s="436"/>
      <c r="N24" s="436"/>
      <c r="O24" s="436"/>
      <c r="P24" s="436"/>
      <c r="Q24" s="436"/>
      <c r="R24" s="436"/>
      <c r="S24" s="436"/>
      <c r="T24" s="436"/>
      <c r="U24" s="436"/>
      <c r="V24" s="439"/>
      <c r="W24" s="439"/>
      <c r="X24" s="439"/>
      <c r="Y24" s="439"/>
      <c r="Z24" s="439"/>
      <c r="AA24" s="439"/>
      <c r="AB24" s="439"/>
      <c r="AC24" s="440"/>
      <c r="AD24" s="440"/>
      <c r="AE24" s="440"/>
      <c r="AF24" s="440"/>
      <c r="AG24" s="440"/>
      <c r="AH24" s="440"/>
      <c r="AI24" s="440"/>
      <c r="AJ24" s="440"/>
      <c r="AK24" s="440"/>
      <c r="AL24" s="440"/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40"/>
      <c r="AX24" s="440"/>
      <c r="AY24" s="440"/>
      <c r="AZ24" s="440"/>
      <c r="BA24" s="440"/>
      <c r="BB24" s="440"/>
      <c r="BC24" s="440"/>
      <c r="BD24" s="440"/>
      <c r="BE24" s="440"/>
      <c r="BF24" s="441"/>
      <c r="BG24" s="476">
        <f t="shared" si="0"/>
        <v>0</v>
      </c>
    </row>
    <row r="25" spans="1:59" ht="15" customHeight="1">
      <c r="A25" s="683"/>
      <c r="B25" s="483" t="s">
        <v>959</v>
      </c>
      <c r="C25" s="435" t="s">
        <v>1012</v>
      </c>
      <c r="D25" s="436"/>
      <c r="E25" s="436"/>
      <c r="F25" s="436"/>
      <c r="G25" s="436"/>
      <c r="H25" s="436"/>
      <c r="I25" s="436"/>
      <c r="J25" s="436"/>
      <c r="K25" s="436"/>
      <c r="L25" s="436"/>
      <c r="M25" s="436"/>
      <c r="N25" s="436"/>
      <c r="O25" s="436"/>
      <c r="P25" s="436"/>
      <c r="Q25" s="436"/>
      <c r="R25" s="436"/>
      <c r="S25" s="436"/>
      <c r="T25" s="436"/>
      <c r="U25" s="436"/>
      <c r="V25" s="439"/>
      <c r="W25" s="439"/>
      <c r="X25" s="439"/>
      <c r="Y25" s="439"/>
      <c r="Z25" s="439"/>
      <c r="AA25" s="439"/>
      <c r="AB25" s="439"/>
      <c r="AC25" s="440"/>
      <c r="AD25" s="440"/>
      <c r="AE25" s="440"/>
      <c r="AF25" s="440"/>
      <c r="AG25" s="440"/>
      <c r="AH25" s="440"/>
      <c r="AI25" s="440"/>
      <c r="AJ25" s="440"/>
      <c r="AK25" s="440"/>
      <c r="AL25" s="440"/>
      <c r="AM25" s="440"/>
      <c r="AN25" s="440"/>
      <c r="AO25" s="440"/>
      <c r="AP25" s="440"/>
      <c r="AQ25" s="440"/>
      <c r="AR25" s="440"/>
      <c r="AS25" s="440"/>
      <c r="AT25" s="440"/>
      <c r="AU25" s="440"/>
      <c r="AV25" s="440"/>
      <c r="AW25" s="440"/>
      <c r="AX25" s="440"/>
      <c r="AY25" s="440"/>
      <c r="AZ25" s="440"/>
      <c r="BA25" s="440"/>
      <c r="BB25" s="440"/>
      <c r="BC25" s="440"/>
      <c r="BD25" s="440"/>
      <c r="BE25" s="440"/>
      <c r="BF25" s="441"/>
      <c r="BG25" s="476">
        <f t="shared" si="0"/>
        <v>0</v>
      </c>
    </row>
    <row r="26" spans="1:59" s="427" customFormat="1" ht="15" customHeight="1">
      <c r="A26" s="445" t="s">
        <v>1013</v>
      </c>
      <c r="B26" s="445" t="s">
        <v>1004</v>
      </c>
      <c r="C26" s="443" t="s">
        <v>1014</v>
      </c>
      <c r="D26" s="444">
        <v>4</v>
      </c>
      <c r="E26" s="444"/>
      <c r="F26" s="444"/>
      <c r="G26" s="444"/>
      <c r="H26" s="444"/>
      <c r="I26" s="444"/>
      <c r="J26" s="444"/>
      <c r="K26" s="444"/>
      <c r="L26" s="444"/>
      <c r="M26" s="444"/>
      <c r="N26" s="444"/>
      <c r="O26" s="444"/>
      <c r="P26" s="444"/>
      <c r="Q26" s="444"/>
      <c r="R26" s="444"/>
      <c r="S26" s="444"/>
      <c r="T26" s="444"/>
      <c r="U26" s="444"/>
      <c r="V26" s="444"/>
      <c r="W26" s="444"/>
      <c r="X26" s="444"/>
      <c r="Y26" s="444"/>
      <c r="Z26" s="444"/>
      <c r="AA26" s="444"/>
      <c r="AB26" s="444"/>
      <c r="AC26" s="444"/>
      <c r="AD26" s="444"/>
      <c r="AE26" s="444"/>
      <c r="AF26" s="444"/>
      <c r="AG26" s="444"/>
      <c r="AH26" s="444"/>
      <c r="AI26" s="444"/>
      <c r="AJ26" s="444"/>
      <c r="AK26" s="444"/>
      <c r="AL26" s="444"/>
      <c r="AM26" s="444"/>
      <c r="AN26" s="444"/>
      <c r="AO26" s="444"/>
      <c r="AP26" s="444"/>
      <c r="AQ26" s="444"/>
      <c r="AR26" s="444"/>
      <c r="AS26" s="444"/>
      <c r="AT26" s="444"/>
      <c r="AU26" s="444"/>
      <c r="AV26" s="444"/>
      <c r="AW26" s="444"/>
      <c r="AX26" s="444"/>
      <c r="AY26" s="444"/>
      <c r="AZ26" s="444"/>
      <c r="BA26" s="444"/>
      <c r="BB26" s="444"/>
      <c r="BC26" s="444"/>
      <c r="BD26" s="444"/>
      <c r="BE26" s="444"/>
      <c r="BF26" s="444"/>
      <c r="BG26" s="445">
        <f t="shared" si="0"/>
        <v>4</v>
      </c>
    </row>
    <row r="27" spans="1:59" ht="15" customHeight="1">
      <c r="A27" s="418" t="s">
        <v>1015</v>
      </c>
      <c r="B27" s="449" t="s">
        <v>1004</v>
      </c>
      <c r="C27" s="435" t="s">
        <v>779</v>
      </c>
      <c r="D27" s="436">
        <v>30</v>
      </c>
      <c r="E27" s="436"/>
      <c r="F27" s="436"/>
      <c r="G27" s="436"/>
      <c r="H27" s="436"/>
      <c r="I27" s="436"/>
      <c r="J27" s="436"/>
      <c r="K27" s="436"/>
      <c r="L27" s="436"/>
      <c r="M27" s="436"/>
      <c r="N27" s="436"/>
      <c r="O27" s="436"/>
      <c r="P27" s="440"/>
      <c r="Q27" s="436"/>
      <c r="R27" s="436"/>
      <c r="S27" s="436"/>
      <c r="T27" s="436"/>
      <c r="U27" s="436"/>
      <c r="V27" s="439"/>
      <c r="W27" s="439"/>
      <c r="X27" s="439"/>
      <c r="Y27" s="439"/>
      <c r="Z27" s="439"/>
      <c r="AA27" s="439"/>
      <c r="AB27" s="439"/>
      <c r="AC27" s="440"/>
      <c r="AD27" s="440"/>
      <c r="AE27" s="440"/>
      <c r="AF27" s="440"/>
      <c r="AG27" s="440"/>
      <c r="AH27" s="440"/>
      <c r="AI27" s="440"/>
      <c r="AJ27" s="440"/>
      <c r="AK27" s="440"/>
      <c r="AL27" s="440"/>
      <c r="AM27" s="440"/>
      <c r="AN27" s="440"/>
      <c r="AO27" s="440"/>
      <c r="AP27" s="440"/>
      <c r="AQ27" s="440"/>
      <c r="AR27" s="440"/>
      <c r="AS27" s="440"/>
      <c r="AT27" s="440"/>
      <c r="AU27" s="440"/>
      <c r="AV27" s="440"/>
      <c r="AW27" s="440"/>
      <c r="AX27" s="440"/>
      <c r="AY27" s="440"/>
      <c r="AZ27" s="440"/>
      <c r="BA27" s="440"/>
      <c r="BB27" s="440"/>
      <c r="BC27" s="440"/>
      <c r="BD27" s="440"/>
      <c r="BE27" s="440"/>
      <c r="BF27" s="442"/>
      <c r="BG27" s="476">
        <f t="shared" si="0"/>
        <v>30</v>
      </c>
    </row>
    <row r="28" spans="1:59" s="16" customFormat="1" ht="15" customHeight="1">
      <c r="A28" s="317" t="s">
        <v>54</v>
      </c>
      <c r="B28" s="452"/>
      <c r="C28" s="423"/>
      <c r="D28" s="467">
        <f t="shared" ref="D28:AI28" si="1">SUM(D10:D27)</f>
        <v>151</v>
      </c>
      <c r="E28" s="467">
        <f t="shared" si="1"/>
        <v>0</v>
      </c>
      <c r="F28" s="467">
        <f t="shared" si="1"/>
        <v>0</v>
      </c>
      <c r="G28" s="467">
        <f t="shared" si="1"/>
        <v>0</v>
      </c>
      <c r="H28" s="467">
        <f t="shared" si="1"/>
        <v>24</v>
      </c>
      <c r="I28" s="467">
        <f t="shared" si="1"/>
        <v>0</v>
      </c>
      <c r="J28" s="467">
        <f t="shared" si="1"/>
        <v>0</v>
      </c>
      <c r="K28" s="467">
        <f t="shared" si="1"/>
        <v>0</v>
      </c>
      <c r="L28" s="467">
        <f t="shared" si="1"/>
        <v>0</v>
      </c>
      <c r="M28" s="467">
        <f t="shared" si="1"/>
        <v>0</v>
      </c>
      <c r="N28" s="467">
        <f t="shared" si="1"/>
        <v>0</v>
      </c>
      <c r="O28" s="467">
        <f t="shared" si="1"/>
        <v>0</v>
      </c>
      <c r="P28" s="467">
        <f t="shared" si="1"/>
        <v>0</v>
      </c>
      <c r="Q28" s="467">
        <f t="shared" si="1"/>
        <v>0</v>
      </c>
      <c r="R28" s="467">
        <f t="shared" si="1"/>
        <v>0</v>
      </c>
      <c r="S28" s="467">
        <f t="shared" si="1"/>
        <v>0</v>
      </c>
      <c r="T28" s="467">
        <f t="shared" si="1"/>
        <v>0</v>
      </c>
      <c r="U28" s="467">
        <f t="shared" si="1"/>
        <v>0</v>
      </c>
      <c r="V28" s="467">
        <f t="shared" si="1"/>
        <v>0</v>
      </c>
      <c r="W28" s="467">
        <f t="shared" si="1"/>
        <v>0</v>
      </c>
      <c r="X28" s="467">
        <f t="shared" si="1"/>
        <v>0</v>
      </c>
      <c r="Y28" s="467">
        <f t="shared" si="1"/>
        <v>1</v>
      </c>
      <c r="Z28" s="467">
        <f t="shared" si="1"/>
        <v>2</v>
      </c>
      <c r="AA28" s="467">
        <f t="shared" si="1"/>
        <v>0</v>
      </c>
      <c r="AB28" s="467">
        <f t="shared" si="1"/>
        <v>0</v>
      </c>
      <c r="AC28" s="467">
        <f t="shared" si="1"/>
        <v>3</v>
      </c>
      <c r="AD28" s="467">
        <f t="shared" si="1"/>
        <v>0</v>
      </c>
      <c r="AE28" s="467">
        <f t="shared" si="1"/>
        <v>0</v>
      </c>
      <c r="AF28" s="467">
        <f t="shared" si="1"/>
        <v>0</v>
      </c>
      <c r="AG28" s="467">
        <f t="shared" si="1"/>
        <v>0</v>
      </c>
      <c r="AH28" s="467">
        <f t="shared" si="1"/>
        <v>0</v>
      </c>
      <c r="AI28" s="467">
        <f t="shared" si="1"/>
        <v>0</v>
      </c>
      <c r="AJ28" s="467">
        <f t="shared" ref="AJ28:BO28" si="2">SUM(AJ10:AJ27)</f>
        <v>1</v>
      </c>
      <c r="AK28" s="467">
        <f t="shared" si="2"/>
        <v>0</v>
      </c>
      <c r="AL28" s="467">
        <f t="shared" si="2"/>
        <v>0</v>
      </c>
      <c r="AM28" s="467">
        <f t="shared" si="2"/>
        <v>0</v>
      </c>
      <c r="AN28" s="467">
        <f t="shared" si="2"/>
        <v>0</v>
      </c>
      <c r="AO28" s="467">
        <f t="shared" si="2"/>
        <v>0</v>
      </c>
      <c r="AP28" s="467">
        <f t="shared" si="2"/>
        <v>0</v>
      </c>
      <c r="AQ28" s="467">
        <f t="shared" si="2"/>
        <v>0</v>
      </c>
      <c r="AR28" s="467">
        <f t="shared" si="2"/>
        <v>0</v>
      </c>
      <c r="AS28" s="467">
        <f t="shared" si="2"/>
        <v>0</v>
      </c>
      <c r="AT28" s="467">
        <f t="shared" si="2"/>
        <v>0</v>
      </c>
      <c r="AU28" s="467">
        <f t="shared" si="2"/>
        <v>0</v>
      </c>
      <c r="AV28" s="467">
        <f t="shared" si="2"/>
        <v>0</v>
      </c>
      <c r="AW28" s="467">
        <f t="shared" si="2"/>
        <v>0</v>
      </c>
      <c r="AX28" s="467">
        <f t="shared" si="2"/>
        <v>0</v>
      </c>
      <c r="AY28" s="467">
        <f t="shared" si="2"/>
        <v>0</v>
      </c>
      <c r="AZ28" s="467">
        <f t="shared" si="2"/>
        <v>0</v>
      </c>
      <c r="BA28" s="467">
        <f t="shared" si="2"/>
        <v>0</v>
      </c>
      <c r="BB28" s="467">
        <f t="shared" si="2"/>
        <v>0</v>
      </c>
      <c r="BC28" s="467">
        <f t="shared" si="2"/>
        <v>0</v>
      </c>
      <c r="BD28" s="467">
        <f t="shared" si="2"/>
        <v>0</v>
      </c>
      <c r="BE28" s="467">
        <f t="shared" si="2"/>
        <v>2</v>
      </c>
      <c r="BF28" s="467">
        <f t="shared" si="2"/>
        <v>0</v>
      </c>
      <c r="BG28" s="454">
        <f t="shared" si="2"/>
        <v>184</v>
      </c>
    </row>
    <row r="29" spans="1:59" s="16" customFormat="1" ht="15" customHeight="1">
      <c r="A29" s="723"/>
      <c r="B29" s="724"/>
      <c r="C29" s="725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  <c r="O29" s="726"/>
      <c r="P29" s="726"/>
      <c r="Q29" s="726"/>
      <c r="R29" s="726"/>
      <c r="S29" s="726"/>
      <c r="T29" s="726"/>
      <c r="U29" s="726"/>
      <c r="V29" s="726"/>
      <c r="W29" s="726"/>
      <c r="X29" s="726"/>
      <c r="Y29" s="726"/>
      <c r="Z29" s="726"/>
      <c r="AA29" s="726"/>
      <c r="AB29" s="726"/>
      <c r="AC29" s="726"/>
      <c r="AD29" s="726"/>
      <c r="AE29" s="726"/>
      <c r="AF29" s="726"/>
      <c r="AG29" s="726"/>
      <c r="AH29" s="726"/>
      <c r="AI29" s="726"/>
      <c r="AJ29" s="726"/>
      <c r="AK29" s="726"/>
      <c r="AL29" s="726"/>
      <c r="AM29" s="726"/>
      <c r="AN29" s="726"/>
      <c r="AO29" s="726"/>
      <c r="AP29" s="726"/>
      <c r="AQ29" s="726"/>
      <c r="AR29" s="726"/>
      <c r="AS29" s="726"/>
      <c r="AT29" s="726"/>
      <c r="AU29" s="726"/>
      <c r="AV29" s="726"/>
      <c r="AW29" s="726"/>
      <c r="AX29" s="726"/>
      <c r="AY29" s="726"/>
      <c r="AZ29" s="726"/>
      <c r="BA29" s="726"/>
      <c r="BB29" s="726"/>
      <c r="BC29" s="726"/>
      <c r="BD29" s="726"/>
      <c r="BE29" s="726"/>
      <c r="BF29" s="726"/>
      <c r="BG29" s="726"/>
    </row>
    <row r="30" spans="1:59" ht="15" customHeight="1">
      <c r="A30" s="714" t="s">
        <v>56</v>
      </c>
      <c r="B30" s="456" t="s">
        <v>987</v>
      </c>
      <c r="C30" s="457" t="s">
        <v>784</v>
      </c>
      <c r="D30" s="458">
        <v>2</v>
      </c>
      <c r="E30" s="458"/>
      <c r="F30" s="458"/>
      <c r="G30" s="458"/>
      <c r="H30" s="458"/>
      <c r="I30" s="458"/>
      <c r="J30" s="458"/>
      <c r="K30" s="458"/>
      <c r="L30" s="458"/>
      <c r="M30" s="458"/>
      <c r="N30" s="458"/>
      <c r="O30" s="458"/>
      <c r="P30" s="458"/>
      <c r="Q30" s="458"/>
      <c r="R30" s="458"/>
      <c r="S30" s="458"/>
      <c r="T30" s="458"/>
      <c r="U30" s="458"/>
      <c r="V30" s="459"/>
      <c r="W30" s="459"/>
      <c r="X30" s="459"/>
      <c r="Y30" s="459"/>
      <c r="Z30" s="459"/>
      <c r="AA30" s="459"/>
      <c r="AB30" s="459"/>
      <c r="AC30" s="460"/>
      <c r="AD30" s="460"/>
      <c r="AE30" s="460"/>
      <c r="AF30" s="460"/>
      <c r="AG30" s="460"/>
      <c r="AH30" s="460"/>
      <c r="AI30" s="460"/>
      <c r="AJ30" s="460"/>
      <c r="AK30" s="460"/>
      <c r="AL30" s="460"/>
      <c r="AM30" s="460"/>
      <c r="AN30" s="460"/>
      <c r="AO30" s="721">
        <v>1</v>
      </c>
      <c r="AP30" s="460"/>
      <c r="AQ30" s="460"/>
      <c r="AR30" s="460"/>
      <c r="AS30" s="460"/>
      <c r="AT30" s="460"/>
      <c r="AU30" s="460"/>
      <c r="AV30" s="460"/>
      <c r="AW30" s="460"/>
      <c r="AX30" s="460"/>
      <c r="AY30" s="460"/>
      <c r="AZ30" s="460"/>
      <c r="BA30" s="460"/>
      <c r="BB30" s="460"/>
      <c r="BC30" s="460"/>
      <c r="BD30" s="460"/>
      <c r="BE30" s="461"/>
      <c r="BF30" s="461"/>
      <c r="BG30" s="462">
        <f t="shared" ref="BG30:BG46" si="3">SUM(D30:BF30)</f>
        <v>3</v>
      </c>
    </row>
    <row r="31" spans="1:59" ht="15" customHeight="1">
      <c r="A31" s="715"/>
      <c r="B31" s="456" t="s">
        <v>988</v>
      </c>
      <c r="C31" s="457" t="s">
        <v>785</v>
      </c>
      <c r="D31" s="458">
        <v>6</v>
      </c>
      <c r="E31" s="458"/>
      <c r="F31" s="458"/>
      <c r="G31" s="458"/>
      <c r="H31" s="458"/>
      <c r="I31" s="458"/>
      <c r="J31" s="458"/>
      <c r="K31" s="458"/>
      <c r="L31" s="458"/>
      <c r="M31" s="458"/>
      <c r="N31" s="458"/>
      <c r="O31" s="458"/>
      <c r="P31" s="458"/>
      <c r="Q31" s="458"/>
      <c r="R31" s="458"/>
      <c r="S31" s="458"/>
      <c r="T31" s="458"/>
      <c r="U31" s="458"/>
      <c r="V31" s="459"/>
      <c r="W31" s="459"/>
      <c r="X31" s="459"/>
      <c r="Y31" s="459"/>
      <c r="Z31" s="459"/>
      <c r="AA31" s="459"/>
      <c r="AB31" s="459"/>
      <c r="AC31" s="460"/>
      <c r="AD31" s="460"/>
      <c r="AE31" s="460"/>
      <c r="AF31" s="460"/>
      <c r="AG31" s="460"/>
      <c r="AH31" s="460"/>
      <c r="AI31" s="460"/>
      <c r="AJ31" s="460"/>
      <c r="AK31" s="460"/>
      <c r="AL31" s="460"/>
      <c r="AM31" s="460"/>
      <c r="AN31" s="460"/>
      <c r="AO31" s="460"/>
      <c r="AP31" s="721">
        <v>1</v>
      </c>
      <c r="AQ31" s="460"/>
      <c r="AR31" s="460"/>
      <c r="AS31" s="460"/>
      <c r="AT31" s="460"/>
      <c r="AU31" s="460"/>
      <c r="AV31" s="460"/>
      <c r="AW31" s="460"/>
      <c r="AX31" s="460"/>
      <c r="AY31" s="460"/>
      <c r="AZ31" s="460"/>
      <c r="BA31" s="460"/>
      <c r="BB31" s="460"/>
      <c r="BC31" s="460"/>
      <c r="BD31" s="460"/>
      <c r="BE31" s="461"/>
      <c r="BF31" s="461"/>
      <c r="BG31" s="462">
        <f t="shared" si="3"/>
        <v>7</v>
      </c>
    </row>
    <row r="32" spans="1:59" ht="15" customHeight="1">
      <c r="A32" s="715"/>
      <c r="B32" s="456" t="s">
        <v>989</v>
      </c>
      <c r="C32" s="457" t="s">
        <v>786</v>
      </c>
      <c r="D32" s="458">
        <v>1</v>
      </c>
      <c r="E32" s="458"/>
      <c r="F32" s="458"/>
      <c r="G32" s="458"/>
      <c r="H32" s="458"/>
      <c r="I32" s="458"/>
      <c r="J32" s="458"/>
      <c r="K32" s="458"/>
      <c r="L32" s="458"/>
      <c r="M32" s="458"/>
      <c r="N32" s="458"/>
      <c r="O32" s="458"/>
      <c r="P32" s="458"/>
      <c r="Q32" s="458"/>
      <c r="R32" s="458"/>
      <c r="S32" s="458"/>
      <c r="T32" s="458"/>
      <c r="U32" s="458"/>
      <c r="V32" s="459"/>
      <c r="W32" s="459"/>
      <c r="X32" s="459"/>
      <c r="Y32" s="459"/>
      <c r="Z32" s="459"/>
      <c r="AA32" s="459"/>
      <c r="AB32" s="459"/>
      <c r="AC32" s="460"/>
      <c r="AD32" s="460"/>
      <c r="AE32" s="460"/>
      <c r="AF32" s="460"/>
      <c r="AG32" s="460"/>
      <c r="AH32" s="460"/>
      <c r="AI32" s="460"/>
      <c r="AJ32" s="460"/>
      <c r="AK32" s="460"/>
      <c r="AL32" s="460"/>
      <c r="AM32" s="721">
        <v>5</v>
      </c>
      <c r="AN32" s="460"/>
      <c r="AO32" s="460"/>
      <c r="AP32" s="460"/>
      <c r="AQ32" s="460"/>
      <c r="AR32" s="460"/>
      <c r="AS32" s="460"/>
      <c r="AT32" s="460"/>
      <c r="AU32" s="460"/>
      <c r="AV32" s="460"/>
      <c r="AW32" s="460"/>
      <c r="AX32" s="460"/>
      <c r="AY32" s="460"/>
      <c r="AZ32" s="460"/>
      <c r="BA32" s="460"/>
      <c r="BB32" s="460"/>
      <c r="BC32" s="460"/>
      <c r="BD32" s="460"/>
      <c r="BE32" s="461"/>
      <c r="BF32" s="461"/>
      <c r="BG32" s="462">
        <f t="shared" si="3"/>
        <v>6</v>
      </c>
    </row>
    <row r="33" spans="1:59" ht="15" customHeight="1">
      <c r="A33" s="716"/>
      <c r="B33" s="456" t="s">
        <v>990</v>
      </c>
      <c r="C33" s="457" t="s">
        <v>787</v>
      </c>
      <c r="D33" s="458">
        <v>6</v>
      </c>
      <c r="E33" s="458"/>
      <c r="F33" s="458"/>
      <c r="G33" s="458"/>
      <c r="H33" s="458"/>
      <c r="I33" s="458"/>
      <c r="J33" s="458"/>
      <c r="K33" s="458"/>
      <c r="L33" s="458"/>
      <c r="M33" s="458"/>
      <c r="N33" s="458"/>
      <c r="O33" s="458"/>
      <c r="P33" s="458"/>
      <c r="Q33" s="458"/>
      <c r="R33" s="458"/>
      <c r="S33" s="458"/>
      <c r="T33" s="458"/>
      <c r="U33" s="458"/>
      <c r="V33" s="459"/>
      <c r="W33" s="459"/>
      <c r="X33" s="459"/>
      <c r="Y33" s="459"/>
      <c r="Z33" s="459"/>
      <c r="AA33" s="459"/>
      <c r="AB33" s="459"/>
      <c r="AC33" s="460"/>
      <c r="AD33" s="460"/>
      <c r="AE33" s="460"/>
      <c r="AF33" s="460"/>
      <c r="AG33" s="460"/>
      <c r="AH33" s="460"/>
      <c r="AI33" s="460"/>
      <c r="AJ33" s="460"/>
      <c r="AK33" s="460"/>
      <c r="AL33" s="460"/>
      <c r="AM33" s="460"/>
      <c r="AN33" s="721">
        <v>7</v>
      </c>
      <c r="AO33" s="460"/>
      <c r="AP33" s="460"/>
      <c r="AQ33" s="460"/>
      <c r="AR33" s="460"/>
      <c r="AS33" s="460"/>
      <c r="AT33" s="460"/>
      <c r="AU33" s="460"/>
      <c r="AV33" s="460"/>
      <c r="AW33" s="460"/>
      <c r="AX33" s="460"/>
      <c r="AY33" s="460"/>
      <c r="AZ33" s="460"/>
      <c r="BA33" s="460"/>
      <c r="BB33" s="460"/>
      <c r="BC33" s="460"/>
      <c r="BD33" s="460"/>
      <c r="BE33" s="461"/>
      <c r="BF33" s="461"/>
      <c r="BG33" s="462">
        <f t="shared" si="3"/>
        <v>13</v>
      </c>
    </row>
    <row r="34" spans="1:59" ht="15" customHeight="1">
      <c r="A34" s="455" t="s">
        <v>61</v>
      </c>
      <c r="B34" s="456" t="s">
        <v>1006</v>
      </c>
      <c r="C34" s="457" t="s">
        <v>788</v>
      </c>
      <c r="D34" s="458">
        <v>44</v>
      </c>
      <c r="E34" s="458"/>
      <c r="F34" s="458"/>
      <c r="G34" s="458"/>
      <c r="H34" s="458"/>
      <c r="I34" s="458"/>
      <c r="J34" s="458"/>
      <c r="K34" s="458"/>
      <c r="L34" s="458"/>
      <c r="M34" s="458"/>
      <c r="N34" s="458"/>
      <c r="O34" s="458"/>
      <c r="P34" s="458"/>
      <c r="Q34" s="458"/>
      <c r="R34" s="458"/>
      <c r="S34" s="458"/>
      <c r="T34" s="458"/>
      <c r="U34" s="458"/>
      <c r="V34" s="721">
        <v>153</v>
      </c>
      <c r="W34" s="459"/>
      <c r="X34" s="459"/>
      <c r="Y34" s="459"/>
      <c r="Z34" s="459"/>
      <c r="AA34" s="459"/>
      <c r="AB34" s="459"/>
      <c r="AC34" s="460"/>
      <c r="AD34" s="460"/>
      <c r="AE34" s="460"/>
      <c r="AF34" s="460"/>
      <c r="AG34" s="460"/>
      <c r="AH34" s="460"/>
      <c r="AI34" s="460"/>
      <c r="AJ34" s="460"/>
      <c r="AK34" s="460"/>
      <c r="AL34" s="460"/>
      <c r="AM34" s="460"/>
      <c r="AN34" s="460"/>
      <c r="AO34" s="460"/>
      <c r="AP34" s="460"/>
      <c r="AQ34" s="460"/>
      <c r="AR34" s="460"/>
      <c r="AS34" s="460"/>
      <c r="AT34" s="460"/>
      <c r="AU34" s="460"/>
      <c r="AV34" s="460"/>
      <c r="AW34" s="460"/>
      <c r="AX34" s="460"/>
      <c r="AY34" s="460"/>
      <c r="AZ34" s="460"/>
      <c r="BA34" s="460"/>
      <c r="BB34" s="460"/>
      <c r="BC34" s="460"/>
      <c r="BD34" s="721">
        <v>917</v>
      </c>
      <c r="BE34" s="461"/>
      <c r="BF34" s="461"/>
      <c r="BG34" s="462">
        <f t="shared" si="3"/>
        <v>1114</v>
      </c>
    </row>
    <row r="35" spans="1:59" ht="15" customHeight="1">
      <c r="A35" s="455" t="s">
        <v>63</v>
      </c>
      <c r="B35" s="456" t="s">
        <v>1006</v>
      </c>
      <c r="C35" s="457" t="s">
        <v>789</v>
      </c>
      <c r="D35" s="458">
        <v>58</v>
      </c>
      <c r="E35" s="458"/>
      <c r="F35" s="458"/>
      <c r="G35" s="458"/>
      <c r="H35" s="458"/>
      <c r="I35" s="458"/>
      <c r="J35" s="458"/>
      <c r="K35" s="458"/>
      <c r="L35" s="458"/>
      <c r="M35" s="458"/>
      <c r="N35" s="458"/>
      <c r="O35" s="458"/>
      <c r="P35" s="458"/>
      <c r="Q35" s="458"/>
      <c r="R35" s="458"/>
      <c r="S35" s="458"/>
      <c r="T35" s="458"/>
      <c r="U35" s="721">
        <v>312</v>
      </c>
      <c r="V35" s="459"/>
      <c r="W35" s="459"/>
      <c r="X35" s="459"/>
      <c r="Y35" s="459"/>
      <c r="Z35" s="459"/>
      <c r="AA35" s="459"/>
      <c r="AB35" s="459"/>
      <c r="AC35" s="460"/>
      <c r="AD35" s="460"/>
      <c r="AE35" s="460"/>
      <c r="AF35" s="460"/>
      <c r="AG35" s="460"/>
      <c r="AH35" s="460"/>
      <c r="AI35" s="460"/>
      <c r="AJ35" s="460"/>
      <c r="AK35" s="460"/>
      <c r="AL35" s="460"/>
      <c r="AM35" s="460"/>
      <c r="AN35" s="460"/>
      <c r="AO35" s="460"/>
      <c r="AP35" s="460"/>
      <c r="AQ35" s="460"/>
      <c r="AR35" s="460"/>
      <c r="AS35" s="721">
        <v>773</v>
      </c>
      <c r="AT35" s="460"/>
      <c r="AU35" s="460"/>
      <c r="AV35" s="460"/>
      <c r="AW35" s="460"/>
      <c r="AX35" s="460"/>
      <c r="AY35" s="460"/>
      <c r="AZ35" s="460"/>
      <c r="BA35" s="460"/>
      <c r="BB35" s="460"/>
      <c r="BC35" s="460"/>
      <c r="BD35" s="460"/>
      <c r="BE35" s="461"/>
      <c r="BF35" s="461"/>
      <c r="BG35" s="462">
        <f t="shared" si="3"/>
        <v>1143</v>
      </c>
    </row>
    <row r="36" spans="1:59" ht="15" customHeight="1">
      <c r="A36" s="455" t="s">
        <v>65</v>
      </c>
      <c r="B36" s="456" t="s">
        <v>1006</v>
      </c>
      <c r="C36" s="457" t="s">
        <v>790</v>
      </c>
      <c r="D36" s="458">
        <v>31</v>
      </c>
      <c r="E36" s="458"/>
      <c r="F36" s="458"/>
      <c r="G36" s="458"/>
      <c r="H36" s="458"/>
      <c r="I36" s="458"/>
      <c r="J36" s="458"/>
      <c r="K36" s="458"/>
      <c r="L36" s="458"/>
      <c r="M36" s="458"/>
      <c r="N36" s="458"/>
      <c r="O36" s="458"/>
      <c r="P36" s="458"/>
      <c r="Q36" s="458"/>
      <c r="R36" s="458"/>
      <c r="S36" s="721">
        <v>104</v>
      </c>
      <c r="T36" s="458"/>
      <c r="U36" s="458"/>
      <c r="V36" s="459"/>
      <c r="W36" s="459"/>
      <c r="X36" s="459"/>
      <c r="Y36" s="459"/>
      <c r="Z36" s="459"/>
      <c r="AA36" s="459"/>
      <c r="AB36" s="459"/>
      <c r="AC36" s="460"/>
      <c r="AD36" s="460"/>
      <c r="AE36" s="460"/>
      <c r="AF36" s="460"/>
      <c r="AG36" s="460"/>
      <c r="AH36" s="460"/>
      <c r="AI36" s="460"/>
      <c r="AJ36" s="460"/>
      <c r="AK36" s="460"/>
      <c r="AL36" s="460"/>
      <c r="AM36" s="460"/>
      <c r="AN36" s="460"/>
      <c r="AO36" s="460"/>
      <c r="AP36" s="460"/>
      <c r="AQ36" s="460"/>
      <c r="AR36" s="460"/>
      <c r="AS36" s="460"/>
      <c r="AT36" s="460"/>
      <c r="AU36" s="727"/>
      <c r="AV36" s="460"/>
      <c r="AW36" s="460"/>
      <c r="AX36" s="721">
        <v>670</v>
      </c>
      <c r="AY36" s="460"/>
      <c r="AZ36" s="460"/>
      <c r="BA36" s="460"/>
      <c r="BB36" s="460"/>
      <c r="BC36" s="460"/>
      <c r="BD36" s="460"/>
      <c r="BE36" s="461"/>
      <c r="BF36" s="461"/>
      <c r="BG36" s="462">
        <f t="shared" si="3"/>
        <v>805</v>
      </c>
    </row>
    <row r="37" spans="1:59" ht="15" customHeight="1">
      <c r="A37" s="455" t="s">
        <v>67</v>
      </c>
      <c r="B37" s="456" t="s">
        <v>1006</v>
      </c>
      <c r="C37" s="457" t="s">
        <v>791</v>
      </c>
      <c r="D37" s="458">
        <v>15</v>
      </c>
      <c r="E37" s="458"/>
      <c r="F37" s="458"/>
      <c r="G37" s="458"/>
      <c r="H37" s="458"/>
      <c r="I37" s="458"/>
      <c r="J37" s="458"/>
      <c r="K37" s="458"/>
      <c r="L37" s="458"/>
      <c r="M37" s="458"/>
      <c r="N37" s="458"/>
      <c r="O37" s="458"/>
      <c r="P37" s="458"/>
      <c r="Q37" s="458"/>
      <c r="R37" s="458"/>
      <c r="S37" s="458"/>
      <c r="T37" s="721">
        <v>93</v>
      </c>
      <c r="U37" s="458"/>
      <c r="V37" s="459"/>
      <c r="W37" s="459"/>
      <c r="X37" s="459"/>
      <c r="Y37" s="459"/>
      <c r="Z37" s="459"/>
      <c r="AA37" s="459"/>
      <c r="AB37" s="459"/>
      <c r="AC37" s="460"/>
      <c r="AD37" s="460"/>
      <c r="AE37" s="460"/>
      <c r="AF37" s="460"/>
      <c r="AG37" s="460"/>
      <c r="AH37" s="460"/>
      <c r="AI37" s="460"/>
      <c r="AJ37" s="460"/>
      <c r="AK37" s="460"/>
      <c r="AL37" s="460"/>
      <c r="AM37" s="460"/>
      <c r="AN37" s="460"/>
      <c r="AO37" s="460"/>
      <c r="AP37" s="460"/>
      <c r="AQ37" s="460"/>
      <c r="AR37" s="460"/>
      <c r="AS37" s="460"/>
      <c r="AT37" s="460"/>
      <c r="AU37" s="460"/>
      <c r="AV37" s="460"/>
      <c r="AW37" s="460"/>
      <c r="AX37" s="460"/>
      <c r="AY37" s="727"/>
      <c r="AZ37" s="721">
        <v>216</v>
      </c>
      <c r="BA37" s="460"/>
      <c r="BB37" s="460"/>
      <c r="BC37" s="460"/>
      <c r="BD37" s="460"/>
      <c r="BE37" s="461"/>
      <c r="BF37" s="461"/>
      <c r="BG37" s="462">
        <f t="shared" si="3"/>
        <v>324</v>
      </c>
    </row>
    <row r="38" spans="1:59" ht="15" customHeight="1">
      <c r="A38" s="455" t="s">
        <v>69</v>
      </c>
      <c r="B38" s="456" t="s">
        <v>1006</v>
      </c>
      <c r="C38" s="457" t="s">
        <v>792</v>
      </c>
      <c r="D38" s="458">
        <v>11</v>
      </c>
      <c r="E38" s="458"/>
      <c r="F38" s="458"/>
      <c r="G38" s="458"/>
      <c r="H38" s="458"/>
      <c r="I38" s="458"/>
      <c r="J38" s="458"/>
      <c r="K38" s="458"/>
      <c r="L38" s="458"/>
      <c r="M38" s="458"/>
      <c r="N38" s="458"/>
      <c r="O38" s="458"/>
      <c r="P38" s="458"/>
      <c r="Q38" s="721">
        <v>100</v>
      </c>
      <c r="R38" s="458"/>
      <c r="S38" s="458"/>
      <c r="T38" s="458"/>
      <c r="U38" s="458"/>
      <c r="V38" s="459"/>
      <c r="W38" s="459"/>
      <c r="X38" s="459"/>
      <c r="Y38" s="459"/>
      <c r="Z38" s="459"/>
      <c r="AA38" s="459"/>
      <c r="AB38" s="459"/>
      <c r="AC38" s="460"/>
      <c r="AD38" s="460"/>
      <c r="AE38" s="460"/>
      <c r="AF38" s="460"/>
      <c r="AG38" s="460"/>
      <c r="AH38" s="460"/>
      <c r="AI38" s="460"/>
      <c r="AJ38" s="460"/>
      <c r="AK38" s="460"/>
      <c r="AL38" s="460"/>
      <c r="AM38" s="460"/>
      <c r="AN38" s="460"/>
      <c r="AO38" s="460"/>
      <c r="AP38" s="460"/>
      <c r="AQ38" s="460"/>
      <c r="AR38" s="460"/>
      <c r="AS38" s="460"/>
      <c r="AT38" s="460"/>
      <c r="AU38" s="460"/>
      <c r="AV38" s="727"/>
      <c r="AW38" s="460"/>
      <c r="AX38" s="727"/>
      <c r="AY38" s="460"/>
      <c r="AZ38" s="460"/>
      <c r="BA38" s="460"/>
      <c r="BB38" s="460"/>
      <c r="BC38" s="721">
        <v>268</v>
      </c>
      <c r="BD38" s="460"/>
      <c r="BE38" s="461"/>
      <c r="BF38" s="461"/>
      <c r="BG38" s="462">
        <f t="shared" si="3"/>
        <v>379</v>
      </c>
    </row>
    <row r="39" spans="1:59" ht="15" customHeight="1">
      <c r="A39" s="455" t="s">
        <v>71</v>
      </c>
      <c r="B39" s="456" t="s">
        <v>1006</v>
      </c>
      <c r="C39" s="457" t="s">
        <v>793</v>
      </c>
      <c r="D39" s="458">
        <v>27</v>
      </c>
      <c r="E39" s="458"/>
      <c r="F39" s="458"/>
      <c r="G39" s="458"/>
      <c r="H39" s="458"/>
      <c r="I39" s="458"/>
      <c r="J39" s="458"/>
      <c r="K39" s="458"/>
      <c r="L39" s="458"/>
      <c r="M39" s="727"/>
      <c r="N39" s="721">
        <v>104</v>
      </c>
      <c r="O39" s="458"/>
      <c r="P39" s="458"/>
      <c r="Q39" s="458"/>
      <c r="R39" s="458"/>
      <c r="S39" s="458"/>
      <c r="T39" s="458"/>
      <c r="U39" s="458"/>
      <c r="V39" s="459"/>
      <c r="W39" s="459"/>
      <c r="X39" s="459"/>
      <c r="Y39" s="459"/>
      <c r="Z39" s="459"/>
      <c r="AA39" s="459"/>
      <c r="AB39" s="459"/>
      <c r="AC39" s="460"/>
      <c r="AD39" s="460"/>
      <c r="AE39" s="460"/>
      <c r="AF39" s="460"/>
      <c r="AG39" s="460"/>
      <c r="AH39" s="460"/>
      <c r="AI39" s="460"/>
      <c r="AJ39" s="460"/>
      <c r="AK39" s="460"/>
      <c r="AL39" s="460"/>
      <c r="AM39" s="460"/>
      <c r="AN39" s="460"/>
      <c r="AO39" s="460"/>
      <c r="AP39" s="460"/>
      <c r="AQ39" s="460"/>
      <c r="AR39" s="460"/>
      <c r="AS39" s="460"/>
      <c r="AT39" s="460"/>
      <c r="AU39" s="460"/>
      <c r="AV39" s="460"/>
      <c r="AW39" s="727"/>
      <c r="AX39" s="460"/>
      <c r="AY39" s="460"/>
      <c r="AZ39" s="460"/>
      <c r="BA39" s="460"/>
      <c r="BB39" s="721">
        <v>419</v>
      </c>
      <c r="BC39" s="460"/>
      <c r="BD39" s="460"/>
      <c r="BE39" s="461"/>
      <c r="BF39" s="461"/>
      <c r="BG39" s="462">
        <f t="shared" si="3"/>
        <v>550</v>
      </c>
    </row>
    <row r="40" spans="1:59" ht="15" customHeight="1">
      <c r="A40" s="455" t="s">
        <v>73</v>
      </c>
      <c r="B40" s="456" t="s">
        <v>1006</v>
      </c>
      <c r="C40" s="457" t="s">
        <v>794</v>
      </c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458"/>
      <c r="O40" s="458"/>
      <c r="P40" s="458"/>
      <c r="Q40" s="458"/>
      <c r="R40" s="458"/>
      <c r="S40" s="458"/>
      <c r="T40" s="458"/>
      <c r="U40" s="458"/>
      <c r="V40" s="459"/>
      <c r="W40" s="459"/>
      <c r="X40" s="459"/>
      <c r="Y40" s="459"/>
      <c r="Z40" s="459"/>
      <c r="AA40" s="459"/>
      <c r="AB40" s="459"/>
      <c r="AC40" s="460"/>
      <c r="AD40" s="460"/>
      <c r="AE40" s="460"/>
      <c r="AF40" s="460"/>
      <c r="AG40" s="460"/>
      <c r="AH40" s="460"/>
      <c r="AI40" s="460"/>
      <c r="AJ40" s="460"/>
      <c r="AK40" s="460"/>
      <c r="AL40" s="460"/>
      <c r="AM40" s="460"/>
      <c r="AN40" s="460"/>
      <c r="AO40" s="460"/>
      <c r="AP40" s="460"/>
      <c r="AQ40" s="460"/>
      <c r="AR40" s="460"/>
      <c r="AS40" s="460"/>
      <c r="AT40" s="460"/>
      <c r="AU40" s="460"/>
      <c r="AV40" s="460"/>
      <c r="AW40" s="460"/>
      <c r="AX40" s="460"/>
      <c r="AY40" s="460"/>
      <c r="AZ40" s="460"/>
      <c r="BA40" s="460"/>
      <c r="BB40" s="460"/>
      <c r="BC40" s="460"/>
      <c r="BD40" s="460"/>
      <c r="BE40" s="461"/>
      <c r="BF40" s="461"/>
      <c r="BG40" s="462">
        <f t="shared" si="3"/>
        <v>0</v>
      </c>
    </row>
    <row r="41" spans="1:59" ht="15" customHeight="1">
      <c r="A41" s="455" t="s">
        <v>75</v>
      </c>
      <c r="B41" s="456" t="s">
        <v>1006</v>
      </c>
      <c r="C41" s="457" t="s">
        <v>795</v>
      </c>
      <c r="D41" s="458">
        <v>7</v>
      </c>
      <c r="E41" s="458"/>
      <c r="F41" s="458"/>
      <c r="G41" s="458"/>
      <c r="H41" s="458"/>
      <c r="I41" s="458"/>
      <c r="J41" s="458"/>
      <c r="K41" s="458"/>
      <c r="L41" s="458"/>
      <c r="M41" s="458"/>
      <c r="N41" s="458"/>
      <c r="O41" s="721">
        <v>9</v>
      </c>
      <c r="P41" s="458"/>
      <c r="Q41" s="458"/>
      <c r="R41" s="458"/>
      <c r="S41" s="458"/>
      <c r="T41" s="458"/>
      <c r="U41" s="458"/>
      <c r="V41" s="459"/>
      <c r="W41" s="459"/>
      <c r="X41" s="459"/>
      <c r="Y41" s="459"/>
      <c r="Z41" s="459"/>
      <c r="AA41" s="459"/>
      <c r="AB41" s="459"/>
      <c r="AC41" s="460"/>
      <c r="AD41" s="460"/>
      <c r="AE41" s="460"/>
      <c r="AF41" s="460"/>
      <c r="AG41" s="460"/>
      <c r="AH41" s="460"/>
      <c r="AI41" s="460"/>
      <c r="AJ41" s="460"/>
      <c r="AK41" s="460"/>
      <c r="AL41" s="460"/>
      <c r="AM41" s="460"/>
      <c r="AN41" s="460"/>
      <c r="AO41" s="460"/>
      <c r="AP41" s="460"/>
      <c r="AQ41" s="460"/>
      <c r="AR41" s="460"/>
      <c r="AS41" s="460"/>
      <c r="AT41" s="460"/>
      <c r="AU41" s="460"/>
      <c r="AV41" s="460"/>
      <c r="AW41" s="460"/>
      <c r="AX41" s="460"/>
      <c r="AY41" s="721">
        <v>43</v>
      </c>
      <c r="AZ41" s="460"/>
      <c r="BA41" s="460"/>
      <c r="BB41" s="460"/>
      <c r="BC41" s="460"/>
      <c r="BD41" s="727"/>
      <c r="BE41" s="461"/>
      <c r="BF41" s="461"/>
      <c r="BG41" s="462">
        <f t="shared" si="3"/>
        <v>59</v>
      </c>
    </row>
    <row r="42" spans="1:59" ht="15" customHeight="1">
      <c r="A42" s="455" t="s">
        <v>77</v>
      </c>
      <c r="B42" s="456" t="s">
        <v>1006</v>
      </c>
      <c r="C42" s="457" t="s">
        <v>796</v>
      </c>
      <c r="D42" s="458">
        <v>6</v>
      </c>
      <c r="E42" s="458"/>
      <c r="F42" s="458"/>
      <c r="G42" s="458"/>
      <c r="H42" s="458"/>
      <c r="I42" s="458"/>
      <c r="J42" s="458"/>
      <c r="K42" s="458"/>
      <c r="L42" s="458"/>
      <c r="M42" s="458"/>
      <c r="N42" s="458"/>
      <c r="O42" s="458"/>
      <c r="P42" s="458"/>
      <c r="Q42" s="458"/>
      <c r="R42" s="721">
        <v>50</v>
      </c>
      <c r="S42" s="458"/>
      <c r="T42" s="458"/>
      <c r="U42" s="458"/>
      <c r="V42" s="459"/>
      <c r="W42" s="459"/>
      <c r="X42" s="459"/>
      <c r="Y42" s="459"/>
      <c r="Z42" s="459"/>
      <c r="AA42" s="459"/>
      <c r="AB42" s="459"/>
      <c r="AC42" s="460"/>
      <c r="AD42" s="460"/>
      <c r="AE42" s="460"/>
      <c r="AF42" s="460"/>
      <c r="AG42" s="460"/>
      <c r="AH42" s="460"/>
      <c r="AI42" s="460"/>
      <c r="AJ42" s="460"/>
      <c r="AK42" s="460"/>
      <c r="AL42" s="460"/>
      <c r="AM42" s="460"/>
      <c r="AN42" s="460"/>
      <c r="AO42" s="460"/>
      <c r="AP42" s="460"/>
      <c r="AQ42" s="460"/>
      <c r="AR42" s="460"/>
      <c r="AS42" s="460"/>
      <c r="AT42" s="460"/>
      <c r="AU42" s="460"/>
      <c r="AV42" s="460"/>
      <c r="AW42" s="460"/>
      <c r="AX42" s="460"/>
      <c r="AY42" s="460"/>
      <c r="AZ42" s="460"/>
      <c r="BA42" s="721">
        <v>135</v>
      </c>
      <c r="BB42" s="460"/>
      <c r="BC42" s="460"/>
      <c r="BD42" s="460"/>
      <c r="BE42" s="461"/>
      <c r="BF42" s="461"/>
      <c r="BG42" s="462">
        <f t="shared" si="3"/>
        <v>191</v>
      </c>
    </row>
    <row r="43" spans="1:59" ht="15" customHeight="1">
      <c r="A43" s="455" t="s">
        <v>79</v>
      </c>
      <c r="B43" s="456" t="s">
        <v>1006</v>
      </c>
      <c r="C43" s="457" t="s">
        <v>797</v>
      </c>
      <c r="D43" s="458">
        <v>5</v>
      </c>
      <c r="E43" s="458"/>
      <c r="F43" s="458"/>
      <c r="G43" s="458"/>
      <c r="H43" s="458"/>
      <c r="I43" s="458"/>
      <c r="J43" s="458"/>
      <c r="K43" s="721">
        <v>11</v>
      </c>
      <c r="L43" s="458"/>
      <c r="M43" s="458"/>
      <c r="N43" s="458"/>
      <c r="O43" s="458"/>
      <c r="P43" s="458"/>
      <c r="Q43" s="458"/>
      <c r="R43" s="458"/>
      <c r="S43" s="458"/>
      <c r="T43" s="458"/>
      <c r="U43" s="458"/>
      <c r="V43" s="459"/>
      <c r="W43" s="459"/>
      <c r="X43" s="459"/>
      <c r="Y43" s="459"/>
      <c r="Z43" s="459"/>
      <c r="AA43" s="459"/>
      <c r="AB43" s="459"/>
      <c r="AC43" s="460"/>
      <c r="AD43" s="460"/>
      <c r="AE43" s="460"/>
      <c r="AF43" s="460"/>
      <c r="AG43" s="460"/>
      <c r="AH43" s="460"/>
      <c r="AI43" s="460"/>
      <c r="AJ43" s="460"/>
      <c r="AK43" s="460"/>
      <c r="AL43" s="460"/>
      <c r="AM43" s="460"/>
      <c r="AN43" s="460"/>
      <c r="AO43" s="460"/>
      <c r="AP43" s="460"/>
      <c r="AQ43" s="460"/>
      <c r="AR43" s="460"/>
      <c r="AS43" s="460"/>
      <c r="AT43" s="460"/>
      <c r="AU43" s="460"/>
      <c r="AV43" s="721">
        <v>46</v>
      </c>
      <c r="AW43" s="460"/>
      <c r="AX43" s="460"/>
      <c r="AY43" s="460"/>
      <c r="AZ43" s="727"/>
      <c r="BA43" s="460"/>
      <c r="BB43" s="460"/>
      <c r="BC43" s="460"/>
      <c r="BD43" s="460"/>
      <c r="BE43" s="461"/>
      <c r="BF43" s="461"/>
      <c r="BG43" s="462">
        <f t="shared" si="3"/>
        <v>62</v>
      </c>
    </row>
    <row r="44" spans="1:59" ht="15" customHeight="1">
      <c r="A44" s="455" t="s">
        <v>81</v>
      </c>
      <c r="B44" s="456" t="s">
        <v>1006</v>
      </c>
      <c r="C44" s="457" t="s">
        <v>80</v>
      </c>
      <c r="D44" s="458"/>
      <c r="E44" s="458"/>
      <c r="F44" s="458"/>
      <c r="G44" s="458"/>
      <c r="H44" s="458"/>
      <c r="I44" s="458"/>
      <c r="J44" s="458"/>
      <c r="K44" s="458"/>
      <c r="L44" s="458"/>
      <c r="M44" s="458"/>
      <c r="N44" s="458"/>
      <c r="O44" s="458"/>
      <c r="P44" s="458"/>
      <c r="Q44" s="458"/>
      <c r="R44" s="458"/>
      <c r="S44" s="458"/>
      <c r="T44" s="458"/>
      <c r="U44" s="458"/>
      <c r="V44" s="459"/>
      <c r="W44" s="459"/>
      <c r="X44" s="459"/>
      <c r="Y44" s="459"/>
      <c r="Z44" s="459"/>
      <c r="AA44" s="459"/>
      <c r="AB44" s="459"/>
      <c r="AC44" s="460"/>
      <c r="AD44" s="460"/>
      <c r="AE44" s="460"/>
      <c r="AF44" s="460"/>
      <c r="AG44" s="460"/>
      <c r="AH44" s="460"/>
      <c r="AI44" s="460"/>
      <c r="AJ44" s="460"/>
      <c r="AK44" s="460"/>
      <c r="AL44" s="460"/>
      <c r="AM44" s="460"/>
      <c r="AN44" s="460"/>
      <c r="AO44" s="460"/>
      <c r="AP44" s="460"/>
      <c r="AQ44" s="460"/>
      <c r="AR44" s="460"/>
      <c r="AS44" s="460"/>
      <c r="AT44" s="460"/>
      <c r="AU44" s="460"/>
      <c r="AV44" s="460"/>
      <c r="AW44" s="460"/>
      <c r="AX44" s="460"/>
      <c r="AY44" s="460"/>
      <c r="AZ44" s="460"/>
      <c r="BA44" s="460"/>
      <c r="BB44" s="460"/>
      <c r="BC44" s="460"/>
      <c r="BD44" s="460"/>
      <c r="BE44" s="461"/>
      <c r="BF44" s="461"/>
      <c r="BG44" s="462">
        <f t="shared" si="3"/>
        <v>0</v>
      </c>
    </row>
    <row r="45" spans="1:59" ht="15" customHeight="1">
      <c r="A45" s="455" t="s">
        <v>83</v>
      </c>
      <c r="B45" s="456" t="s">
        <v>1006</v>
      </c>
      <c r="C45" s="457" t="s">
        <v>798</v>
      </c>
      <c r="D45" s="458">
        <v>11</v>
      </c>
      <c r="E45" s="458"/>
      <c r="F45" s="458"/>
      <c r="G45" s="458"/>
      <c r="H45" s="458"/>
      <c r="I45" s="458"/>
      <c r="J45" s="458"/>
      <c r="K45" s="458"/>
      <c r="L45" s="458"/>
      <c r="M45" s="458"/>
      <c r="N45" s="458"/>
      <c r="O45" s="458"/>
      <c r="P45" s="721">
        <v>18</v>
      </c>
      <c r="Q45" s="458"/>
      <c r="R45" s="458"/>
      <c r="S45" s="458"/>
      <c r="T45" s="458"/>
      <c r="U45" s="458"/>
      <c r="V45" s="459"/>
      <c r="W45" s="459"/>
      <c r="X45" s="459"/>
      <c r="Y45" s="459"/>
      <c r="Z45" s="459"/>
      <c r="AA45" s="459"/>
      <c r="AB45" s="459"/>
      <c r="AC45" s="460"/>
      <c r="AD45" s="460"/>
      <c r="AE45" s="460"/>
      <c r="AF45" s="460"/>
      <c r="AG45" s="460"/>
      <c r="AH45" s="460"/>
      <c r="AI45" s="460"/>
      <c r="AJ45" s="460"/>
      <c r="AK45" s="460"/>
      <c r="AL45" s="460"/>
      <c r="AM45" s="460"/>
      <c r="AN45" s="460"/>
      <c r="AO45" s="460"/>
      <c r="AP45" s="460"/>
      <c r="AQ45" s="460"/>
      <c r="AR45" s="460"/>
      <c r="AS45" s="460"/>
      <c r="AT45" s="721">
        <v>217</v>
      </c>
      <c r="AU45" s="460"/>
      <c r="AV45" s="460"/>
      <c r="AW45" s="460"/>
      <c r="AX45" s="460"/>
      <c r="AY45" s="460"/>
      <c r="AZ45" s="460"/>
      <c r="BA45" s="460"/>
      <c r="BB45" s="460"/>
      <c r="BC45" s="460"/>
      <c r="BD45" s="460"/>
      <c r="BE45" s="461"/>
      <c r="BF45" s="461"/>
      <c r="BG45" s="462">
        <f t="shared" si="3"/>
        <v>246</v>
      </c>
    </row>
    <row r="46" spans="1:59" ht="15" customHeight="1">
      <c r="A46" s="455" t="s">
        <v>85</v>
      </c>
      <c r="B46" s="456" t="s">
        <v>1006</v>
      </c>
      <c r="C46" s="457" t="s">
        <v>799</v>
      </c>
      <c r="D46" s="458">
        <v>1</v>
      </c>
      <c r="E46" s="458"/>
      <c r="F46" s="458"/>
      <c r="G46" s="458"/>
      <c r="H46" s="458"/>
      <c r="I46" s="458"/>
      <c r="J46" s="458"/>
      <c r="K46" s="458"/>
      <c r="L46" s="458"/>
      <c r="M46" s="458"/>
      <c r="N46" s="458"/>
      <c r="O46" s="458"/>
      <c r="P46" s="458"/>
      <c r="Q46" s="458"/>
      <c r="R46" s="458"/>
      <c r="S46" s="458"/>
      <c r="T46" s="458"/>
      <c r="U46" s="458"/>
      <c r="V46" s="459"/>
      <c r="W46" s="459"/>
      <c r="X46" s="459"/>
      <c r="Y46" s="459"/>
      <c r="Z46" s="459"/>
      <c r="AA46" s="459"/>
      <c r="AB46" s="459"/>
      <c r="AC46" s="460"/>
      <c r="AD46" s="460"/>
      <c r="AE46" s="460"/>
      <c r="AF46" s="460"/>
      <c r="AG46" s="460"/>
      <c r="AH46" s="460"/>
      <c r="AI46" s="460"/>
      <c r="AJ46" s="460"/>
      <c r="AK46" s="460"/>
      <c r="AL46" s="460"/>
      <c r="AM46" s="460"/>
      <c r="AN46" s="460"/>
      <c r="AO46" s="460"/>
      <c r="AP46" s="460"/>
      <c r="AQ46" s="460"/>
      <c r="AR46" s="460"/>
      <c r="AS46" s="460"/>
      <c r="AT46" s="460"/>
      <c r="AU46" s="460"/>
      <c r="AV46" s="460"/>
      <c r="AW46" s="460"/>
      <c r="AX46" s="460"/>
      <c r="AY46" s="460"/>
      <c r="AZ46" s="460"/>
      <c r="BA46" s="460"/>
      <c r="BB46" s="460"/>
      <c r="BC46" s="460"/>
      <c r="BD46" s="460"/>
      <c r="BE46" s="461"/>
      <c r="BF46" s="461"/>
      <c r="BG46" s="462">
        <f t="shared" si="3"/>
        <v>1</v>
      </c>
    </row>
    <row r="47" spans="1:59" ht="15" customHeight="1">
      <c r="A47" s="317" t="s">
        <v>86</v>
      </c>
      <c r="B47" s="463"/>
      <c r="C47" s="464"/>
      <c r="D47" s="722">
        <f t="shared" ref="D47:AI47" si="4">SUM(D34:D46)</f>
        <v>216</v>
      </c>
      <c r="E47" s="722">
        <f t="shared" si="4"/>
        <v>0</v>
      </c>
      <c r="F47" s="722">
        <f t="shared" si="4"/>
        <v>0</v>
      </c>
      <c r="G47" s="722">
        <f t="shared" si="4"/>
        <v>0</v>
      </c>
      <c r="H47" s="722">
        <f t="shared" si="4"/>
        <v>0</v>
      </c>
      <c r="I47" s="722">
        <f t="shared" si="4"/>
        <v>0</v>
      </c>
      <c r="J47" s="722">
        <f t="shared" si="4"/>
        <v>0</v>
      </c>
      <c r="K47" s="722">
        <f t="shared" si="4"/>
        <v>11</v>
      </c>
      <c r="L47" s="722">
        <f t="shared" si="4"/>
        <v>0</v>
      </c>
      <c r="M47" s="722">
        <f t="shared" si="4"/>
        <v>0</v>
      </c>
      <c r="N47" s="722">
        <f t="shared" si="4"/>
        <v>104</v>
      </c>
      <c r="O47" s="722">
        <f t="shared" si="4"/>
        <v>9</v>
      </c>
      <c r="P47" s="722">
        <f t="shared" si="4"/>
        <v>18</v>
      </c>
      <c r="Q47" s="722">
        <f t="shared" si="4"/>
        <v>100</v>
      </c>
      <c r="R47" s="722">
        <f t="shared" si="4"/>
        <v>50</v>
      </c>
      <c r="S47" s="722">
        <f t="shared" si="4"/>
        <v>104</v>
      </c>
      <c r="T47" s="722">
        <f t="shared" si="4"/>
        <v>93</v>
      </c>
      <c r="U47" s="722">
        <f t="shared" si="4"/>
        <v>312</v>
      </c>
      <c r="V47" s="722">
        <f t="shared" si="4"/>
        <v>153</v>
      </c>
      <c r="W47" s="722">
        <f t="shared" si="4"/>
        <v>0</v>
      </c>
      <c r="X47" s="722">
        <f t="shared" si="4"/>
        <v>0</v>
      </c>
      <c r="Y47" s="722">
        <f t="shared" si="4"/>
        <v>0</v>
      </c>
      <c r="Z47" s="722">
        <f t="shared" si="4"/>
        <v>0</v>
      </c>
      <c r="AA47" s="722">
        <f t="shared" si="4"/>
        <v>0</v>
      </c>
      <c r="AB47" s="722">
        <f t="shared" si="4"/>
        <v>0</v>
      </c>
      <c r="AC47" s="722">
        <f t="shared" si="4"/>
        <v>0</v>
      </c>
      <c r="AD47" s="722">
        <f t="shared" si="4"/>
        <v>0</v>
      </c>
      <c r="AE47" s="722">
        <f t="shared" si="4"/>
        <v>0</v>
      </c>
      <c r="AF47" s="722">
        <f t="shared" si="4"/>
        <v>0</v>
      </c>
      <c r="AG47" s="722">
        <f t="shared" si="4"/>
        <v>0</v>
      </c>
      <c r="AH47" s="722">
        <f t="shared" si="4"/>
        <v>0</v>
      </c>
      <c r="AI47" s="722">
        <f t="shared" si="4"/>
        <v>0</v>
      </c>
      <c r="AJ47" s="722">
        <f t="shared" ref="AJ47:BO47" si="5">SUM(AJ34:AJ46)</f>
        <v>0</v>
      </c>
      <c r="AK47" s="722">
        <f t="shared" si="5"/>
        <v>0</v>
      </c>
      <c r="AL47" s="722">
        <f t="shared" si="5"/>
        <v>0</v>
      </c>
      <c r="AM47" s="722">
        <f t="shared" si="5"/>
        <v>0</v>
      </c>
      <c r="AN47" s="722">
        <f t="shared" si="5"/>
        <v>0</v>
      </c>
      <c r="AO47" s="722">
        <f t="shared" si="5"/>
        <v>0</v>
      </c>
      <c r="AP47" s="722">
        <f t="shared" si="5"/>
        <v>0</v>
      </c>
      <c r="AQ47" s="722">
        <f t="shared" si="5"/>
        <v>0</v>
      </c>
      <c r="AR47" s="722">
        <f t="shared" si="5"/>
        <v>0</v>
      </c>
      <c r="AS47" s="722">
        <f t="shared" si="5"/>
        <v>773</v>
      </c>
      <c r="AT47" s="722">
        <f t="shared" si="5"/>
        <v>217</v>
      </c>
      <c r="AU47" s="722">
        <f t="shared" si="5"/>
        <v>0</v>
      </c>
      <c r="AV47" s="722">
        <f t="shared" si="5"/>
        <v>46</v>
      </c>
      <c r="AW47" s="722">
        <f t="shared" si="5"/>
        <v>0</v>
      </c>
      <c r="AX47" s="722">
        <f t="shared" si="5"/>
        <v>670</v>
      </c>
      <c r="AY47" s="722">
        <f t="shared" si="5"/>
        <v>43</v>
      </c>
      <c r="AZ47" s="722">
        <f t="shared" si="5"/>
        <v>216</v>
      </c>
      <c r="BA47" s="722">
        <f t="shared" si="5"/>
        <v>135</v>
      </c>
      <c r="BB47" s="722">
        <f t="shared" si="5"/>
        <v>419</v>
      </c>
      <c r="BC47" s="722">
        <f t="shared" si="5"/>
        <v>268</v>
      </c>
      <c r="BD47" s="722">
        <f t="shared" si="5"/>
        <v>917</v>
      </c>
      <c r="BE47" s="722">
        <f t="shared" si="5"/>
        <v>0</v>
      </c>
      <c r="BF47" s="722">
        <f t="shared" si="5"/>
        <v>0</v>
      </c>
      <c r="BG47" s="722">
        <f t="shared" si="5"/>
        <v>4874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2026-05-23T07:07:00Z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