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50" yWindow="0" windowWidth="30570" windowHeight="15480" tabRatio="500" firstSheet="0" activeTab="4" autoFilterDateGrouping="1"/>
  </bookViews>
  <sheets>
    <sheet xmlns:r="http://schemas.openxmlformats.org/officeDocument/2006/relationships" name="상품코드_1월" sheetId="1" state="visible" r:id="rId1"/>
    <sheet xmlns:r="http://schemas.openxmlformats.org/officeDocument/2006/relationships" name="상품코드_2월" sheetId="2" state="visible" r:id="rId2"/>
    <sheet xmlns:r="http://schemas.openxmlformats.org/officeDocument/2006/relationships" name="상품코드_3월 " sheetId="3" state="visible" r:id="rId3"/>
    <sheet xmlns:r="http://schemas.openxmlformats.org/officeDocument/2006/relationships" name="상품코드_4월 " sheetId="4" state="visible" r:id="rId4"/>
    <sheet xmlns:r="http://schemas.openxmlformats.org/officeDocument/2006/relationships" name="변경내역" sheetId="5" state="visible" r:id="rId5"/>
    <sheet xmlns:r="http://schemas.openxmlformats.org/officeDocument/2006/relationships" name="상품코드_4월-NEW1" sheetId="6" state="visible" r:id="rId6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_-* #,##0_-;\-* #,##0_-;_-* \-_-;_-@_-"/>
    <numFmt numFmtId="165" formatCode="_-\₩* #,##0_-;&quot;-₩&quot;* #,##0_-;_-\₩* \-_-;_-@_-"/>
    <numFmt numFmtId="166" formatCode="_-* #,##0_-;\-* #,##0_-;_-* &quot;-&quot;_-;_-@_-"/>
  </numFmts>
  <fonts count="97">
    <font>
      <name val="맑은 고딕"/>
      <charset val="129"/>
      <family val="2"/>
      <color rgb="FF000000"/>
      <sz val="11"/>
    </font>
    <font>
      <name val="맑은 고딕"/>
      <charset val="129"/>
      <family val="3"/>
      <color rgb="FF000000"/>
      <sz val="11"/>
    </font>
    <font>
      <name val="맑은 고딕"/>
      <charset val="129"/>
      <family val="2"/>
      <color rgb="FFFF0000"/>
      <sz val="11"/>
    </font>
    <font>
      <name val="맑은 고딕"/>
      <charset val="129"/>
      <family val="3"/>
      <b val="1"/>
      <color rgb="FF7030A0"/>
      <sz val="9"/>
    </font>
    <font>
      <name val="맑은 고딕"/>
      <charset val="129"/>
      <family val="2"/>
      <color rgb="FFCC00FF"/>
      <sz val="11"/>
    </font>
    <font>
      <name val="맑은 고딕"/>
      <charset val="129"/>
      <family val="3"/>
      <b val="1"/>
      <color rgb="FF00B050"/>
      <sz val="10"/>
    </font>
    <font>
      <name val="맑은 고딕"/>
      <charset val="129"/>
      <family val="3"/>
      <b val="1"/>
      <color rgb="FF00B0F0"/>
      <sz val="10"/>
    </font>
    <font>
      <name val="맑은 고딕"/>
      <charset val="129"/>
      <family val="3"/>
      <b val="1"/>
      <color rgb="FF002060"/>
      <sz val="10"/>
    </font>
    <font>
      <name val="맑은 고딕"/>
      <charset val="129"/>
      <family val="3"/>
      <b val="1"/>
      <color rgb="FF7030A0"/>
      <sz val="10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b val="1"/>
      <color rgb="FF00B050"/>
      <sz val="9"/>
    </font>
    <font>
      <name val="맑은 고딕"/>
      <charset val="129"/>
      <family val="3"/>
      <b val="1"/>
      <color rgb="FF00B0F0"/>
      <sz val="9"/>
    </font>
    <font>
      <name val="맑은 고딕"/>
      <charset val="129"/>
      <family val="3"/>
      <b val="1"/>
      <color rgb="FF002060"/>
      <sz val="9"/>
    </font>
    <font>
      <name val="맑은 고딕"/>
      <charset val="129"/>
      <family val="3"/>
      <color rgb="FF555555"/>
      <sz val="9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2"/>
      <color rgb="FF000000"/>
      <sz val="10"/>
    </font>
    <font>
      <name val="맑은 고딕"/>
      <charset val="129"/>
      <family val="3"/>
      <b val="1"/>
      <color rgb="FF00B050"/>
      <sz val="11"/>
    </font>
    <font>
      <name val="맑은 고딕"/>
      <charset val="129"/>
      <family val="3"/>
      <b val="1"/>
      <color rgb="FF00B0F0"/>
      <sz val="11"/>
    </font>
    <font>
      <name val="맑은 고딕"/>
      <charset val="129"/>
      <family val="3"/>
      <b val="1"/>
      <color rgb="FF002060"/>
      <sz val="11"/>
    </font>
    <font>
      <name val="맑은 고딕"/>
      <charset val="129"/>
      <family val="3"/>
      <color rgb="FF7030A0"/>
      <sz val="11"/>
    </font>
    <font>
      <name val="맑은 고딕"/>
      <charset val="129"/>
      <family val="3"/>
      <color rgb="FF00B0F0"/>
      <sz val="11"/>
    </font>
    <font>
      <name val="맑은 고딕"/>
      <charset val="129"/>
      <family val="3"/>
      <b val="1"/>
      <color rgb="FF7030A0"/>
      <sz val="11"/>
    </font>
    <font>
      <name val="맑은 고딕"/>
      <charset val="129"/>
      <family val="3"/>
      <b val="1"/>
      <color rgb="FFC00000"/>
      <sz val="10"/>
    </font>
    <font>
      <name val="맑은 고딕"/>
      <charset val="129"/>
      <family val="3"/>
      <b val="1"/>
      <color rgb="FFC00000"/>
      <sz val="11"/>
    </font>
    <font>
      <name val="맑은 고딕"/>
      <charset val="129"/>
      <family val="3"/>
      <color rgb="FFFF0000"/>
      <sz val="11"/>
    </font>
    <font>
      <name val="맑은 고딕"/>
      <charset val="129"/>
      <family val="3"/>
      <color rgb="FF000000"/>
      <sz val="9"/>
    </font>
    <font>
      <name val="맑은 고딕"/>
      <charset val="129"/>
      <family val="3"/>
      <color rgb="FF00B050"/>
      <sz val="11"/>
    </font>
    <font>
      <name val="맑은 고딕"/>
      <charset val="129"/>
      <family val="3"/>
      <b val="1"/>
      <color rgb="FFCC00FF"/>
      <sz val="10"/>
    </font>
    <font>
      <name val="맑은 고딕"/>
      <charset val="129"/>
      <family val="3"/>
      <b val="1"/>
      <color rgb="FF555555"/>
      <sz val="9"/>
    </font>
    <font>
      <name val="맑은 고딕"/>
      <charset val="129"/>
      <family val="3"/>
      <color rgb="FF7030A0"/>
      <sz val="9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b val="1"/>
      <color rgb="FF000000"/>
      <sz val="9"/>
    </font>
    <font>
      <name val="맑은 고딕"/>
      <charset val="129"/>
      <family val="2"/>
      <color rgb="FF00B050"/>
      <sz val="11"/>
    </font>
    <font>
      <name val="맑은 고딕"/>
      <charset val="129"/>
      <family val="2"/>
      <color rgb="FF00B0F0"/>
      <sz val="11"/>
    </font>
    <font>
      <name val="맑은 고딕"/>
      <charset val="129"/>
      <family val="2"/>
      <color rgb="FF7030A0"/>
      <sz val="11"/>
    </font>
    <font>
      <name val="맑은 고딕"/>
      <charset val="129"/>
      <family val="3"/>
      <color rgb="FF1C1C1C"/>
      <sz val="9"/>
    </font>
    <font>
      <name val="맑은 고딕"/>
      <charset val="129"/>
      <family val="3"/>
      <color rgb="FF000000"/>
      <sz val="10"/>
    </font>
    <font>
      <name val="맑은 고딕"/>
      <charset val="129"/>
      <family val="3"/>
      <color rgb="FF555555"/>
      <sz val="11"/>
    </font>
    <font>
      <name val="맑은 고딕"/>
      <charset val="129"/>
      <family val="2"/>
      <color rgb="FF000000"/>
      <sz val="8"/>
    </font>
    <font>
      <name val="맑은 고딕"/>
      <charset val="129"/>
      <family val="3"/>
      <color rgb="FF000000"/>
      <sz val="8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color rgb="FFFF0000"/>
      <sz val="9"/>
    </font>
    <font>
      <name val="맑은 고딕"/>
      <charset val="129"/>
      <family val="3"/>
      <color rgb="FF00B050"/>
      <sz val="9"/>
    </font>
    <font>
      <name val="맑은 고딕"/>
      <charset val="129"/>
      <family val="3"/>
      <color rgb="FF00B0F0"/>
      <sz val="9"/>
    </font>
    <font>
      <name val="맑은 고딕"/>
      <charset val="129"/>
      <family val="2"/>
      <color rgb="FF000000"/>
      <sz val="9"/>
    </font>
    <font>
      <name val="맑은 고딕"/>
      <charset val="129"/>
      <family val="2"/>
      <color rgb="FF7030A0"/>
      <sz val="9"/>
    </font>
    <font>
      <name val="맑은 고딕"/>
      <charset val="129"/>
      <family val="2"/>
      <color rgb="FF7030A0"/>
      <sz val="10"/>
    </font>
    <font>
      <name val="맑은 고딕"/>
      <charset val="129"/>
      <family val="3"/>
      <color rgb="FF7030A0"/>
      <sz val="10"/>
    </font>
    <font>
      <name val="맑은 고딕"/>
      <charset val="129"/>
      <family val="2"/>
      <color rgb="FF002060"/>
      <sz val="11"/>
    </font>
    <font>
      <name val="맑은 고딕"/>
      <charset val="129"/>
      <family val="2"/>
      <color rgb="FF0070C0"/>
      <sz val="11"/>
    </font>
    <font>
      <name val="맑은 고딕"/>
      <charset val="129"/>
      <family val="3"/>
      <b val="1"/>
      <color rgb="FF0070C0"/>
      <sz val="11"/>
    </font>
    <font>
      <name val="맑은 고딕"/>
      <charset val="129"/>
      <family val="3"/>
      <color rgb="FF0070C0"/>
      <sz val="11"/>
    </font>
    <font>
      <name val="맑은 고딕"/>
      <charset val="129"/>
      <family val="2"/>
      <color rgb="FF000000"/>
      <sz val="11"/>
    </font>
    <font>
      <name val="맑은 고딕"/>
      <charset val="129"/>
      <family val="2"/>
      <sz val="8"/>
    </font>
    <font>
      <name val="맑은 고딕"/>
      <charset val="129"/>
      <family val="3"/>
      <b val="1"/>
      <color theme="5" tint="-0.249977111117893"/>
      <sz val="10"/>
    </font>
    <font>
      <name val="맑은 고딕"/>
      <charset val="129"/>
      <family val="3"/>
      <b val="1"/>
      <color theme="5" tint="-0.249977111117893"/>
      <sz val="9"/>
    </font>
    <font>
      <name val="맑은 고딕"/>
      <charset val="129"/>
      <family val="3"/>
      <color theme="5" tint="-0.249977111117893"/>
      <sz val="11"/>
    </font>
    <font>
      <name val="맑은 고딕"/>
      <charset val="129"/>
      <family val="3"/>
      <b val="1"/>
      <color theme="5" tint="-0.249977111117893"/>
      <sz val="11"/>
    </font>
    <font>
      <name val="맑은 고딕"/>
      <charset val="129"/>
      <family val="3"/>
      <color theme="5" tint="-0.249977111117893"/>
      <sz val="9"/>
    </font>
    <font>
      <name val="맑은 고딕"/>
      <charset val="129"/>
      <family val="3"/>
      <b val="1"/>
      <color theme="7" tint="-0.499984740745262"/>
      <sz val="11"/>
    </font>
    <font>
      <name val="맑은 고딕"/>
      <charset val="129"/>
      <family val="3"/>
      <b val="1"/>
      <color theme="7" tint="-0.499984740745262"/>
      <sz val="10"/>
    </font>
    <font>
      <name val="맑은 고딕"/>
      <charset val="129"/>
      <family val="3"/>
      <b val="1"/>
      <color theme="1"/>
      <sz val="11"/>
    </font>
    <font>
      <name val="맑은 고딕"/>
      <charset val="129"/>
      <family val="3"/>
      <color theme="1"/>
      <sz val="10"/>
    </font>
    <font>
      <name val="맑은 고딕"/>
      <charset val="129"/>
      <family val="2"/>
      <color theme="1"/>
      <sz val="10"/>
    </font>
    <font>
      <name val="맑은 고딕"/>
      <charset val="129"/>
      <family val="3"/>
      <color theme="1"/>
      <sz val="9"/>
    </font>
    <font>
      <name val="맑은 고딕"/>
      <charset val="129"/>
      <family val="3"/>
      <color theme="1"/>
      <sz val="11"/>
    </font>
    <font>
      <name val="맑은 고딕"/>
      <charset val="129"/>
      <family val="3"/>
      <color rgb="FF000000"/>
      <sz val="10"/>
      <scheme val="major"/>
    </font>
    <font>
      <name val="맑은 고딕"/>
      <charset val="129"/>
      <family val="2"/>
      <color rgb="FFFF0000"/>
      <sz val="10"/>
    </font>
    <font>
      <name val="맑은 고딕"/>
      <charset val="129"/>
      <family val="3"/>
      <color rgb="FFFF0000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2"/>
      <color theme="1"/>
      <sz val="11"/>
    </font>
    <font>
      <name val="맑은 고딕"/>
      <charset val="129"/>
      <family val="3"/>
      <color theme="5"/>
      <sz val="11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2"/>
      <b val="1"/>
      <color rgb="FF7030A0"/>
      <sz val="11"/>
    </font>
    <font>
      <name val="맑은 고딕"/>
      <charset val="129"/>
      <family val="2"/>
      <b val="1"/>
      <color rgb="FF00B050"/>
      <sz val="11"/>
    </font>
    <font>
      <name val="맑은 고딕"/>
      <charset val="129"/>
      <family val="2"/>
      <b val="1"/>
      <color rgb="FF00B0F0"/>
      <sz val="11"/>
    </font>
    <font>
      <name val="맑은 고딕"/>
      <charset val="129"/>
      <family val="2"/>
      <sz val="10"/>
    </font>
    <font>
      <name val="맑은 고딕"/>
      <charset val="129"/>
      <family val="3"/>
      <sz val="11"/>
    </font>
    <font>
      <name val="맑은 고딕"/>
      <charset val="129"/>
      <family val="2"/>
      <color rgb="FF7030A0"/>
      <sz val="8"/>
    </font>
    <font>
      <name val="맑은 고딕"/>
      <charset val="129"/>
      <family val="3"/>
      <color rgb="FF0070C0"/>
      <sz val="10"/>
    </font>
    <font>
      <name val="맑은 고딕"/>
      <charset val="129"/>
      <family val="3"/>
      <b val="1"/>
      <color theme="0"/>
      <sz val="11"/>
    </font>
    <font>
      <name val="맑은 고딕"/>
      <charset val="129"/>
      <family val="3"/>
      <b val="1"/>
      <sz val="10"/>
    </font>
    <font>
      <name val="맑은 고딕"/>
      <charset val="129"/>
      <family val="3"/>
      <b val="1"/>
      <color theme="1"/>
      <sz val="9"/>
    </font>
    <font>
      <name val="맑은 고딕"/>
      <charset val="129"/>
      <family val="3"/>
      <b val="1"/>
      <sz val="9"/>
    </font>
    <font>
      <name val="맑은 고딕"/>
      <charset val="129"/>
      <family val="3"/>
      <b val="1"/>
      <color rgb="FF0070C0"/>
      <sz val="9"/>
    </font>
    <font>
      <name val="맑은 고딕"/>
      <charset val="129"/>
      <family val="2"/>
      <color rgb="FF002060"/>
      <sz val="9"/>
    </font>
    <font>
      <name val="맑은 고딕"/>
      <charset val="129"/>
      <family val="3"/>
      <color rgb="FFFF0000"/>
      <sz val="9"/>
    </font>
    <font>
      <name val="맑은 고딕"/>
      <charset val="129"/>
      <family val="3"/>
      <b val="1"/>
      <color rgb="FF7030A0"/>
      <sz val="8"/>
    </font>
    <font>
      <name val="맑은 고딕"/>
      <charset val="129"/>
      <family val="3"/>
      <color rgb="FF00B050"/>
      <sz val="10"/>
    </font>
    <font>
      <name val="맑은 고딕"/>
      <charset val="129"/>
      <family val="3"/>
      <color rgb="FF00B0F0"/>
      <sz val="10"/>
    </font>
    <font>
      <name val="맑은 고딕"/>
      <charset val="129"/>
      <family val="2"/>
      <color rgb="FF9C0006"/>
      <sz val="11"/>
      <scheme val="minor"/>
    </font>
    <font>
      <name val="맑은 고딕"/>
      <charset val="129"/>
      <family val="3"/>
      <color rgb="FF222222"/>
      <sz val="10"/>
    </font>
    <font>
      <name val="맑은 고딕"/>
      <charset val="129"/>
      <family val="3"/>
      <color rgb="FF222222"/>
      <sz val="9"/>
    </font>
    <font>
      <name val="맑은 고딕"/>
      <charset val="129"/>
      <family val="3"/>
      <color rgb="FF9C0006"/>
      <sz val="9"/>
      <scheme val="minor"/>
    </font>
    <font>
      <name val="맑은 고딕"/>
      <charset val="129"/>
      <family val="2"/>
      <color rgb="FF9C0006"/>
      <sz val="9"/>
      <scheme val="minor"/>
    </font>
    <font>
      <name val="맑은 고딕"/>
      <charset val="129"/>
      <family val="3"/>
      <b val="1"/>
      <color rgb="FF274E13"/>
      <sz val="9"/>
    </font>
    <font>
      <name val="맑은 고딕"/>
      <charset val="129"/>
      <family val="3"/>
      <b val="1"/>
      <color rgb="FF990000"/>
      <sz val="9"/>
    </font>
  </fonts>
  <fills count="25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DEEBF7"/>
        <bgColor rgb="FFCC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0"/>
        <bgColor rgb="FFCCFFFF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9900"/>
      </patternFill>
    </fill>
    <fill>
      <patternFill patternType="solid">
        <fgColor rgb="FFFFFF00"/>
        <bgColor rgb="FFFF9900"/>
      </patternFill>
    </fill>
    <fill>
      <patternFill patternType="solid">
        <fgColor rgb="FF7030A0"/>
        <bgColor indexed="64"/>
      </patternFill>
    </fill>
    <fill>
      <patternFill patternType="solid">
        <fgColor rgb="FFFFC7CE"/>
      </patternFill>
    </fill>
    <fill>
      <patternFill patternType="solid">
        <fgColor rgb="FFFFFF00"/>
      </patternFill>
    </fill>
    <fill>
      <patternFill patternType="solid">
        <fgColor rgb="FFFF0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2CC"/>
        <bgColor rgb="FFFFFFCC"/>
      </patternFill>
    </fill>
    <fill>
      <patternFill patternType="solid">
        <fgColor rgb="FFFFF2CC"/>
        <bgColor indexed="64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CE5CD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5">
    <xf numFmtId="0" fontId="52" fillId="0" borderId="0" applyAlignment="1">
      <alignment vertical="center"/>
    </xf>
    <xf numFmtId="164" fontId="52" fillId="0" borderId="0" applyAlignment="1">
      <alignment vertical="center"/>
    </xf>
    <xf numFmtId="0" fontId="52" fillId="8" borderId="22" applyAlignment="1">
      <alignment vertical="center"/>
    </xf>
    <xf numFmtId="41" fontId="52" fillId="0" borderId="0" applyAlignment="1">
      <alignment vertical="center"/>
    </xf>
    <xf numFmtId="0" fontId="90" fillId="14" borderId="0" applyAlignment="1">
      <alignment vertical="center"/>
    </xf>
  </cellStyleXfs>
  <cellXfs count="96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64" fontId="0" fillId="0" borderId="0" applyAlignment="1" pivotButton="0" quotePrefix="0" xfId="1">
      <alignment vertical="center"/>
    </xf>
    <xf numFmtId="165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 wrapText="1"/>
    </xf>
    <xf numFmtId="0" fontId="12" fillId="0" borderId="3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/>
    </xf>
    <xf numFmtId="9" fontId="3" fillId="0" borderId="0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center" vertical="center"/>
    </xf>
    <xf numFmtId="164" fontId="0" fillId="0" borderId="0" applyAlignment="1" pivotButton="0" quotePrefix="0" xfId="1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15" fillId="0" borderId="7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21" fillId="2" borderId="3" applyAlignment="1" pivotButton="0" quotePrefix="0" xfId="0">
      <alignment horizontal="center" vertical="center"/>
    </xf>
    <xf numFmtId="0" fontId="16" fillId="0" borderId="7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/>
    </xf>
    <xf numFmtId="0" fontId="19" fillId="0" borderId="7" applyAlignment="1" pivotButton="0" quotePrefix="0" xfId="0">
      <alignment horizontal="center" vertical="center"/>
    </xf>
    <xf numFmtId="0" fontId="21" fillId="0" borderId="7" applyAlignment="1" pivotButton="0" quotePrefix="0" xfId="0">
      <alignment horizontal="center" vertical="center"/>
    </xf>
    <xf numFmtId="0" fontId="23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vertical="center"/>
    </xf>
    <xf numFmtId="0" fontId="15" fillId="2" borderId="3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9" fontId="3" fillId="0" borderId="3" applyAlignment="1" pivotButton="0" quotePrefix="0" xfId="0">
      <alignment horizontal="center" vertical="center" wrapText="1"/>
    </xf>
    <xf numFmtId="0" fontId="1" fillId="0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0" fontId="14" fillId="0" borderId="13" applyAlignment="1" pivotButton="0" quotePrefix="0" xfId="0">
      <alignment horizontal="center" vertical="center"/>
    </xf>
    <xf numFmtId="0" fontId="27" fillId="0" borderId="3" applyAlignment="1" pivotButton="0" quotePrefix="0" xfId="0">
      <alignment vertical="center"/>
    </xf>
    <xf numFmtId="0" fontId="21" fillId="0" borderId="8" applyAlignment="1" pivotButton="0" quotePrefix="0" xfId="0">
      <alignment horizontal="center" vertical="center"/>
    </xf>
    <xf numFmtId="0" fontId="19" fillId="0" borderId="8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0" fillId="0" borderId="3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8" fillId="0" borderId="3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 vertical="center" wrapText="1"/>
    </xf>
    <xf numFmtId="0" fontId="29" fillId="0" borderId="12" applyAlignment="1" pivotButton="0" quotePrefix="0" xfId="0">
      <alignment horizontal="center" vertical="center" wrapText="1"/>
    </xf>
    <xf numFmtId="0" fontId="30" fillId="0" borderId="3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center"/>
    </xf>
    <xf numFmtId="0" fontId="25" fillId="0" borderId="2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/>
    </xf>
    <xf numFmtId="0" fontId="31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9" fontId="8" fillId="0" borderId="14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3" fillId="0" borderId="14" applyAlignment="1" pivotButton="0" quotePrefix="0" xfId="0">
      <alignment horizontal="center" vertical="center" wrapText="1"/>
    </xf>
    <xf numFmtId="0" fontId="14" fillId="0" borderId="14" applyAlignment="1" pivotButton="0" quotePrefix="0" xfId="0">
      <alignment horizontal="center" vertical="center"/>
    </xf>
    <xf numFmtId="0" fontId="15" fillId="0" borderId="3" applyAlignment="1" pivotButton="0" quotePrefix="0" xfId="0">
      <alignment vertical="center"/>
    </xf>
    <xf numFmtId="0" fontId="34" fillId="0" borderId="3" applyAlignment="1" pivotButton="0" quotePrefix="0" xfId="0">
      <alignment horizontal="center" vertical="center"/>
    </xf>
    <xf numFmtId="0" fontId="22" fillId="0" borderId="3" applyAlignment="1" pivotButton="0" quotePrefix="0" xfId="0">
      <alignment vertical="center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35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3" fillId="0" borderId="3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 wrapText="1"/>
    </xf>
    <xf numFmtId="0" fontId="37" fillId="0" borderId="6" applyAlignment="1" pivotButton="0" quotePrefix="0" xfId="0">
      <alignment horizontal="center" vertical="center" wrapText="1"/>
    </xf>
    <xf numFmtId="0" fontId="38" fillId="0" borderId="3" applyAlignment="1" pivotButton="0" quotePrefix="0" xfId="0">
      <alignment vertical="center" wrapText="1"/>
    </xf>
    <xf numFmtId="0" fontId="39" fillId="0" borderId="4" applyAlignment="1" pivotButton="0" quotePrefix="0" xfId="0">
      <alignment vertical="center"/>
    </xf>
    <xf numFmtId="0" fontId="10" fillId="0" borderId="14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 wrapText="1"/>
    </xf>
    <xf numFmtId="0" fontId="29" fillId="0" borderId="4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  <xf numFmtId="0" fontId="0" fillId="0" borderId="4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42" fillId="0" borderId="0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8" fillId="0" borderId="3" applyAlignment="1" pivotButton="0" quotePrefix="0" xfId="0">
      <alignment vertical="center"/>
    </xf>
    <xf numFmtId="0" fontId="45" fillId="0" borderId="4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4" fillId="0" borderId="4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/>
    </xf>
    <xf numFmtId="0" fontId="5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164" fontId="14" fillId="3" borderId="7" applyAlignment="1" pivotButton="0" quotePrefix="0" xfId="1">
      <alignment vertical="center"/>
    </xf>
    <xf numFmtId="165" fontId="14" fillId="3" borderId="2" applyAlignment="1" pivotButton="0" quotePrefix="0" xfId="0">
      <alignment vertical="center"/>
    </xf>
    <xf numFmtId="0" fontId="14" fillId="0" borderId="0" applyAlignment="1" pivotButton="0" quotePrefix="0" xfId="0">
      <alignment horizontal="left" vertical="center"/>
    </xf>
    <xf numFmtId="0" fontId="5" fillId="0" borderId="3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0" fontId="21" fillId="0" borderId="4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 wrapText="1"/>
    </xf>
    <xf numFmtId="0" fontId="46" fillId="0" borderId="7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/>
    </xf>
    <xf numFmtId="0" fontId="36" fillId="0" borderId="3" applyAlignment="1" pivotButton="0" quotePrefix="0" xfId="0">
      <alignment vertical="center"/>
    </xf>
    <xf numFmtId="0" fontId="47" fillId="0" borderId="3" applyAlignment="1" pivotButton="0" quotePrefix="0" xfId="0">
      <alignment vertical="center"/>
    </xf>
    <xf numFmtId="0" fontId="6" fillId="0" borderId="3" applyAlignment="1" pivotButton="0" quotePrefix="0" xfId="0">
      <alignment horizontal="center" vertical="center" wrapText="1"/>
    </xf>
    <xf numFmtId="0" fontId="6" fillId="0" borderId="7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5" fillId="0" borderId="15" applyAlignment="1" pivotButton="0" quotePrefix="0" xfId="0">
      <alignment vertical="center"/>
    </xf>
    <xf numFmtId="0" fontId="0" fillId="0" borderId="11" applyAlignment="1" pivotButton="0" quotePrefix="0" xfId="0">
      <alignment horizontal="center" vertical="center"/>
    </xf>
    <xf numFmtId="164" fontId="14" fillId="3" borderId="2" applyAlignment="1" pivotButton="0" quotePrefix="0" xfId="1">
      <alignment vertical="center"/>
    </xf>
    <xf numFmtId="164" fontId="14" fillId="3" borderId="2" applyAlignment="1" pivotButton="0" quotePrefix="0" xfId="0">
      <alignment vertical="center"/>
    </xf>
    <xf numFmtId="0" fontId="0" fillId="0" borderId="6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vertical="center" wrapText="1"/>
    </xf>
    <xf numFmtId="164" fontId="14" fillId="4" borderId="7" applyAlignment="1" pivotButton="0" quotePrefix="0" xfId="1">
      <alignment vertical="center"/>
    </xf>
    <xf numFmtId="0" fontId="0" fillId="0" borderId="15" applyAlignment="1" pivotButton="0" quotePrefix="0" xfId="0">
      <alignment horizontal="center" vertical="center"/>
    </xf>
    <xf numFmtId="0" fontId="45" fillId="0" borderId="14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0" fontId="45" fillId="0" borderId="8" applyAlignment="1" pivotButton="0" quotePrefix="0" xfId="0">
      <alignment horizontal="left" vertical="center"/>
    </xf>
    <xf numFmtId="0" fontId="25" fillId="0" borderId="8" applyAlignment="1" pivotButton="0" quotePrefix="0" xfId="0">
      <alignment horizontal="left" vertical="center"/>
    </xf>
    <xf numFmtId="0" fontId="29" fillId="0" borderId="8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9" fillId="0" borderId="1" applyAlignment="1" pivotButton="0" quotePrefix="0" xfId="0">
      <alignment horizontal="left" vertical="center"/>
    </xf>
    <xf numFmtId="0" fontId="44" fillId="0" borderId="3" applyAlignment="1" pivotButton="0" quotePrefix="0" xfId="0">
      <alignment horizontal="left" vertical="center"/>
    </xf>
    <xf numFmtId="0" fontId="28" fillId="0" borderId="3" applyAlignment="1" pivotButton="0" quotePrefix="0" xfId="0">
      <alignment vertical="center" wrapText="1"/>
    </xf>
    <xf numFmtId="0" fontId="41" fillId="0" borderId="3" applyAlignment="1" pivotButton="0" quotePrefix="0" xfId="0">
      <alignment horizontal="left" vertical="center"/>
    </xf>
    <xf numFmtId="165" fontId="30" fillId="0" borderId="0" applyAlignment="1" pivotButton="0" quotePrefix="0" xfId="0">
      <alignment vertical="center"/>
    </xf>
    <xf numFmtId="165" fontId="30" fillId="0" borderId="0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44" fillId="0" borderId="3" applyAlignment="1" pivotButton="0" quotePrefix="0" xfId="0">
      <alignment vertical="center"/>
    </xf>
    <xf numFmtId="0" fontId="48" fillId="0" borderId="0" applyAlignment="1" pivotButton="0" quotePrefix="0" xfId="0">
      <alignment horizontal="center" vertical="center"/>
    </xf>
    <xf numFmtId="0" fontId="49" fillId="0" borderId="0" applyAlignment="1" pivotButton="0" quotePrefix="0" xfId="0">
      <alignment horizontal="center" vertical="center"/>
    </xf>
    <xf numFmtId="164" fontId="50" fillId="0" borderId="0" applyAlignment="1" pivotButton="0" quotePrefix="0" xfId="1">
      <alignment vertical="center"/>
    </xf>
    <xf numFmtId="165" fontId="30" fillId="0" borderId="17" applyAlignment="1" pivotButton="0" quotePrefix="0" xfId="0">
      <alignment horizontal="center" vertical="center"/>
    </xf>
    <xf numFmtId="165" fontId="0" fillId="0" borderId="15" applyAlignment="1" pivotButton="0" quotePrefix="0" xfId="0">
      <alignment vertical="center"/>
    </xf>
    <xf numFmtId="165" fontId="0" fillId="0" borderId="14" applyAlignment="1" pivotButton="0" quotePrefix="0" xfId="0">
      <alignment vertical="center"/>
    </xf>
    <xf numFmtId="165" fontId="32" fillId="0" borderId="15" applyAlignment="1" pivotButton="0" quotePrefix="0" xfId="0">
      <alignment vertical="center"/>
    </xf>
    <xf numFmtId="165" fontId="26" fillId="0" borderId="0" applyAlignment="1" pivotButton="0" quotePrefix="0" xfId="0">
      <alignment vertical="center"/>
    </xf>
    <xf numFmtId="165" fontId="26" fillId="0" borderId="14" applyAlignment="1" pivotButton="0" quotePrefix="0" xfId="0">
      <alignment vertical="center"/>
    </xf>
    <xf numFmtId="165" fontId="32" fillId="0" borderId="0" applyAlignment="1" pivotButton="0" quotePrefix="0" xfId="0">
      <alignment vertical="center"/>
    </xf>
    <xf numFmtId="164" fontId="32" fillId="0" borderId="0" applyAlignment="1" pivotButton="0" quotePrefix="0" xfId="1">
      <alignment vertical="center"/>
    </xf>
    <xf numFmtId="165" fontId="49" fillId="0" borderId="15" applyAlignment="1" pivotButton="0" quotePrefix="0" xfId="0">
      <alignment vertical="center"/>
    </xf>
    <xf numFmtId="165" fontId="51" fillId="0" borderId="0" applyAlignment="1" pivotButton="0" quotePrefix="0" xfId="0">
      <alignment vertical="center"/>
    </xf>
    <xf numFmtId="165" fontId="51" fillId="0" borderId="14" applyAlignment="1" pivotButton="0" quotePrefix="0" xfId="0">
      <alignment vertical="center"/>
    </xf>
    <xf numFmtId="165" fontId="49" fillId="0" borderId="0" applyAlignment="1" pivotButton="0" quotePrefix="0" xfId="0">
      <alignment vertical="center"/>
    </xf>
    <xf numFmtId="165" fontId="2" fillId="0" borderId="15" applyAlignment="1" pivotButton="0" quotePrefix="0" xfId="0">
      <alignment vertical="center"/>
    </xf>
    <xf numFmtId="165" fontId="24" fillId="0" borderId="14" applyAlignment="1" pivotButton="0" quotePrefix="0" xfId="0">
      <alignment vertical="center"/>
    </xf>
    <xf numFmtId="165" fontId="2" fillId="0" borderId="0" applyAlignment="1" pivotButton="0" quotePrefix="0" xfId="0">
      <alignment vertical="center"/>
    </xf>
    <xf numFmtId="164" fontId="2" fillId="0" borderId="0" applyAlignment="1" pivotButton="0" quotePrefix="0" xfId="1">
      <alignment vertical="center"/>
    </xf>
    <xf numFmtId="165" fontId="14" fillId="0" borderId="7" applyAlignment="1" pivotButton="0" quotePrefix="0" xfId="0">
      <alignment vertical="center"/>
    </xf>
    <xf numFmtId="165" fontId="40" fillId="0" borderId="0" applyAlignment="1" pivotButton="0" quotePrefix="0" xfId="0">
      <alignment vertical="center"/>
    </xf>
    <xf numFmtId="0" fontId="3" fillId="2" borderId="7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5" fontId="0" fillId="0" borderId="0" applyAlignment="1" pivotButton="0" quotePrefix="0" xfId="0">
      <alignment vertical="center" wrapText="1"/>
    </xf>
    <xf numFmtId="165" fontId="0" fillId="0" borderId="0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 wrapText="1"/>
    </xf>
    <xf numFmtId="9" fontId="55" fillId="0" borderId="0" applyAlignment="1" pivotButton="0" quotePrefix="0" xfId="0">
      <alignment horizontal="center" vertical="center" wrapText="1"/>
    </xf>
    <xf numFmtId="0" fontId="56" fillId="0" borderId="3" applyAlignment="1" pivotButton="0" quotePrefix="0" xfId="0">
      <alignment horizontal="center" vertical="center"/>
    </xf>
    <xf numFmtId="0" fontId="57" fillId="0" borderId="7" applyAlignment="1" pivotButton="0" quotePrefix="0" xfId="0">
      <alignment horizontal="center" vertical="center"/>
    </xf>
    <xf numFmtId="0" fontId="57" fillId="0" borderId="3" applyAlignment="1" pivotButton="0" quotePrefix="0" xfId="0">
      <alignment horizontal="center" vertical="center"/>
    </xf>
    <xf numFmtId="0" fontId="58" fillId="0" borderId="0" applyAlignment="1" pivotButton="0" quotePrefix="0" xfId="0">
      <alignment horizontal="center" vertical="center" wrapText="1"/>
    </xf>
    <xf numFmtId="0" fontId="55" fillId="0" borderId="3" applyAlignment="1" pivotButton="0" quotePrefix="0" xfId="0">
      <alignment horizontal="center" vertical="center" wrapText="1"/>
    </xf>
    <xf numFmtId="0" fontId="54" fillId="0" borderId="10" applyAlignment="1" pivotButton="0" quotePrefix="0" xfId="0">
      <alignment horizontal="center" vertical="center"/>
    </xf>
    <xf numFmtId="0" fontId="58" fillId="0" borderId="12" applyAlignment="1" pivotButton="0" quotePrefix="0" xfId="0">
      <alignment horizontal="center" vertical="center" wrapText="1"/>
    </xf>
    <xf numFmtId="0" fontId="56" fillId="0" borderId="1" applyAlignment="1" pivotButton="0" quotePrefix="0" xfId="0">
      <alignment horizontal="center" vertical="center"/>
    </xf>
    <xf numFmtId="9" fontId="54" fillId="0" borderId="14" applyAlignment="1" pivotButton="0" quotePrefix="0" xfId="0">
      <alignment horizontal="center" vertical="center"/>
    </xf>
    <xf numFmtId="0" fontId="55" fillId="0" borderId="5" applyAlignment="1" pivotButton="0" quotePrefix="0" xfId="0">
      <alignment horizontal="center" vertical="center" wrapText="1"/>
    </xf>
    <xf numFmtId="0" fontId="55" fillId="0" borderId="14" applyAlignment="1" pivotButton="0" quotePrefix="0" xfId="0">
      <alignment horizontal="center" vertical="center" wrapText="1"/>
    </xf>
    <xf numFmtId="0" fontId="54" fillId="0" borderId="3" applyAlignment="1" pivotButton="0" quotePrefix="0" xfId="0">
      <alignment horizontal="center" vertical="center"/>
    </xf>
    <xf numFmtId="0" fontId="55" fillId="0" borderId="3" applyAlignment="1" pivotButton="0" quotePrefix="0" xfId="0">
      <alignment vertical="center" wrapText="1"/>
    </xf>
    <xf numFmtId="0" fontId="55" fillId="0" borderId="1" applyAlignment="1" pivotButton="0" quotePrefix="0" xfId="0">
      <alignment horizontal="center" vertical="center"/>
    </xf>
    <xf numFmtId="0" fontId="54" fillId="0" borderId="1" applyAlignment="1" pivotButton="0" quotePrefix="0" xfId="0">
      <alignment horizontal="center" vertical="center"/>
    </xf>
    <xf numFmtId="165" fontId="57" fillId="0" borderId="0" applyAlignment="1" pivotButton="0" quotePrefix="0" xfId="0">
      <alignment vertical="center"/>
    </xf>
    <xf numFmtId="0" fontId="15" fillId="0" borderId="8" applyAlignment="1" pivotButton="0" quotePrefix="0" xfId="0">
      <alignment horizontal="left" vertical="center"/>
    </xf>
    <xf numFmtId="0" fontId="14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1" fillId="5" borderId="3" applyAlignment="1" pivotButton="0" quotePrefix="0" xfId="0">
      <alignment horizontal="center" vertical="center"/>
    </xf>
    <xf numFmtId="0" fontId="21" fillId="6" borderId="3" applyAlignment="1" pivotButton="0" quotePrefix="0" xfId="0">
      <alignment horizontal="center" vertical="center"/>
    </xf>
    <xf numFmtId="0" fontId="59" fillId="0" borderId="0" applyAlignment="1" pivotButton="0" quotePrefix="0" xfId="0">
      <alignment horizontal="center" vertical="center"/>
    </xf>
    <xf numFmtId="0" fontId="60" fillId="0" borderId="0" applyAlignment="1" pivotButton="0" quotePrefix="0" xfId="0">
      <alignment horizontal="center" vertical="center"/>
    </xf>
    <xf numFmtId="0" fontId="61" fillId="0" borderId="3" applyAlignment="1" pivotButton="0" quotePrefix="0" xfId="0">
      <alignment horizontal="center" vertical="center"/>
    </xf>
    <xf numFmtId="164" fontId="0" fillId="0" borderId="7" applyAlignment="1" pivotButton="0" quotePrefix="0" xfId="1">
      <alignment horizontal="center" vertical="center"/>
    </xf>
    <xf numFmtId="165" fontId="0" fillId="0" borderId="9" applyAlignment="1" pivotButton="0" quotePrefix="0" xfId="0">
      <alignment horizontal="center" vertical="center"/>
    </xf>
    <xf numFmtId="165" fontId="0" fillId="0" borderId="9" applyAlignment="1" pivotButton="0" quotePrefix="0" xfId="0">
      <alignment vertical="center"/>
    </xf>
    <xf numFmtId="0" fontId="63" fillId="0" borderId="9" applyAlignment="1" pivotButton="0" quotePrefix="0" xfId="0">
      <alignment horizontal="center" vertical="center"/>
    </xf>
    <xf numFmtId="0" fontId="66" fillId="0" borderId="3" applyAlignment="1" pivotButton="0" quotePrefix="0" xfId="0">
      <alignment horizontal="center" vertical="center"/>
    </xf>
    <xf numFmtId="0" fontId="8" fillId="0" borderId="3" applyAlignment="1" pivotButton="0" quotePrefix="0" xfId="0">
      <alignment horizontal="left" vertical="center"/>
    </xf>
    <xf numFmtId="164" fontId="0" fillId="9" borderId="22" applyAlignment="1" pivotButton="0" quotePrefix="0" xfId="2">
      <alignment vertical="center"/>
    </xf>
    <xf numFmtId="164" fontId="30" fillId="0" borderId="0" applyAlignment="1" pivotButton="0" quotePrefix="0" xfId="1">
      <alignment horizontal="center" vertical="center"/>
    </xf>
    <xf numFmtId="0" fontId="63" fillId="0" borderId="3" applyAlignment="1" pivotButton="0" quotePrefix="0" xfId="0">
      <alignment horizontal="left" vertical="center"/>
    </xf>
    <xf numFmtId="0" fontId="68" fillId="0" borderId="3" applyAlignment="1" pivotButton="0" quotePrefix="0" xfId="0">
      <alignment vertical="center"/>
    </xf>
    <xf numFmtId="0" fontId="18" fillId="9" borderId="3" applyAlignment="1" pivotButton="0" quotePrefix="0" xfId="0">
      <alignment horizontal="center" vertical="center"/>
    </xf>
    <xf numFmtId="0" fontId="21" fillId="9" borderId="3" applyAlignment="1" pivotButton="0" quotePrefix="0" xfId="0">
      <alignment horizontal="center" vertical="center"/>
    </xf>
    <xf numFmtId="0" fontId="34" fillId="9" borderId="3" applyAlignment="1" pivotButton="0" quotePrefix="0" xfId="0">
      <alignment horizontal="center" vertical="center"/>
    </xf>
    <xf numFmtId="0" fontId="2" fillId="9" borderId="3" applyAlignment="1" pivotButton="0" quotePrefix="0" xfId="0">
      <alignment horizontal="center" vertical="center"/>
    </xf>
    <xf numFmtId="0" fontId="61" fillId="9" borderId="3" applyAlignment="1" pivotButton="0" quotePrefix="0" xfId="0">
      <alignment horizontal="center" vertical="center"/>
    </xf>
    <xf numFmtId="0" fontId="17" fillId="9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57" fillId="9" borderId="3" applyAlignment="1" pivotButton="0" quotePrefix="0" xfId="0">
      <alignment horizontal="center" vertical="center"/>
    </xf>
    <xf numFmtId="0" fontId="14" fillId="9" borderId="3" applyAlignment="1" pivotButton="0" quotePrefix="0" xfId="0">
      <alignment horizontal="center" vertical="center"/>
    </xf>
    <xf numFmtId="0" fontId="30" fillId="6" borderId="3" applyAlignment="1" pivotButton="0" quotePrefix="0" xfId="0">
      <alignment horizontal="center" vertical="center"/>
    </xf>
    <xf numFmtId="0" fontId="61" fillId="6" borderId="3" applyAlignment="1" pivotButton="0" quotePrefix="0" xfId="0">
      <alignment horizontal="center" vertical="center"/>
    </xf>
    <xf numFmtId="0" fontId="14" fillId="6" borderId="3" applyAlignment="1" pivotButton="0" quotePrefix="0" xfId="0">
      <alignment horizontal="center" vertical="center"/>
    </xf>
    <xf numFmtId="0" fontId="0" fillId="9" borderId="3" applyAlignment="1" pivotButton="0" quotePrefix="0" xfId="0">
      <alignment horizontal="center" vertical="center"/>
    </xf>
    <xf numFmtId="0" fontId="30" fillId="9" borderId="3" applyAlignment="1" pivotButton="0" quotePrefix="0" xfId="0">
      <alignment horizontal="center" vertical="center"/>
    </xf>
    <xf numFmtId="0" fontId="1" fillId="9" borderId="3" applyAlignment="1" pivotButton="0" quotePrefix="0" xfId="0">
      <alignment horizontal="center" vertical="center"/>
    </xf>
    <xf numFmtId="0" fontId="14" fillId="9" borderId="0" applyAlignment="1" pivotButton="0" quotePrefix="0" xfId="0">
      <alignment vertical="center"/>
    </xf>
    <xf numFmtId="0" fontId="14" fillId="9" borderId="0" applyAlignment="1" pivotButton="0" quotePrefix="0" xfId="0">
      <alignment horizontal="center" vertical="center"/>
    </xf>
    <xf numFmtId="0" fontId="8" fillId="9" borderId="10" applyAlignment="1" pivotButton="0" quotePrefix="0" xfId="0">
      <alignment horizontal="center" vertical="center"/>
    </xf>
    <xf numFmtId="0" fontId="9" fillId="9" borderId="5" applyAlignment="1" pivotButton="0" quotePrefix="0" xfId="0">
      <alignment horizontal="center" vertical="center"/>
    </xf>
    <xf numFmtId="164" fontId="14" fillId="11" borderId="0" applyAlignment="1" pivotButton="0" quotePrefix="0" xfId="1">
      <alignment vertical="center"/>
    </xf>
    <xf numFmtId="165" fontId="14" fillId="11" borderId="0" applyAlignment="1" pivotButton="0" quotePrefix="0" xfId="0">
      <alignment vertical="center"/>
    </xf>
    <xf numFmtId="165" fontId="57" fillId="11" borderId="0" applyAlignment="1" pivotButton="0" quotePrefix="0" xfId="0">
      <alignment vertical="center"/>
    </xf>
    <xf numFmtId="165" fontId="14" fillId="11" borderId="0" applyAlignment="1" pivotButton="0" quotePrefix="0" xfId="0">
      <alignment horizontal="center" vertical="center"/>
    </xf>
    <xf numFmtId="164" fontId="14" fillId="11" borderId="0" applyAlignment="1" pivotButton="0" quotePrefix="0" xfId="0">
      <alignment vertical="center"/>
    </xf>
    <xf numFmtId="164" fontId="14" fillId="0" borderId="0" applyAlignment="1" pivotButton="0" quotePrefix="0" xfId="1">
      <alignment vertical="center"/>
    </xf>
    <xf numFmtId="164" fontId="70" fillId="0" borderId="0" applyAlignment="1" pivotButton="0" quotePrefix="0" xfId="1">
      <alignment vertical="center"/>
    </xf>
    <xf numFmtId="0" fontId="16" fillId="6" borderId="3" applyAlignment="1" pivotButton="0" quotePrefix="0" xfId="0">
      <alignment horizontal="center" vertical="center"/>
    </xf>
    <xf numFmtId="0" fontId="17" fillId="6" borderId="3" applyAlignment="1" pivotButton="0" quotePrefix="0" xfId="0">
      <alignment horizontal="center" vertical="center"/>
    </xf>
    <xf numFmtId="0" fontId="40" fillId="9" borderId="3" applyAlignment="1" pivotButton="0" quotePrefix="0" xfId="0">
      <alignment horizontal="center" vertical="center"/>
    </xf>
    <xf numFmtId="0" fontId="40" fillId="9" borderId="7" applyAlignment="1" pivotButton="0" quotePrefix="0" xfId="0">
      <alignment horizontal="center" vertical="center"/>
    </xf>
    <xf numFmtId="0" fontId="33" fillId="9" borderId="3" applyAlignment="1" pivotButton="0" quotePrefix="0" xfId="0">
      <alignment horizontal="center" vertical="center"/>
    </xf>
    <xf numFmtId="0" fontId="64" fillId="0" borderId="1" applyAlignment="1" pivotButton="0" quotePrefix="0" xfId="0">
      <alignment horizontal="left" vertical="center"/>
    </xf>
    <xf numFmtId="0" fontId="65" fillId="9" borderId="3" applyAlignment="1" pivotButton="0" quotePrefix="0" xfId="0">
      <alignment horizontal="center" vertical="center"/>
    </xf>
    <xf numFmtId="0" fontId="61" fillId="9" borderId="3" applyAlignment="1" pivotButton="0" quotePrefix="0" xfId="0">
      <alignment horizontal="center" vertical="center" wrapText="1"/>
    </xf>
    <xf numFmtId="0" fontId="61" fillId="9" borderId="7" applyAlignment="1" pivotButton="0" quotePrefix="0" xfId="0">
      <alignment horizontal="center" vertical="center"/>
    </xf>
    <xf numFmtId="165" fontId="32" fillId="0" borderId="0" applyAlignment="1" pivotButton="0" quotePrefix="0" xfId="0">
      <alignment horizontal="center" vertical="center"/>
    </xf>
    <xf numFmtId="165" fontId="26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vertical="center"/>
    </xf>
    <xf numFmtId="3" fontId="14" fillId="0" borderId="0" applyAlignment="1" pivotButton="0" quotePrefix="0" xfId="0">
      <alignment vertical="center"/>
    </xf>
    <xf numFmtId="164" fontId="34" fillId="0" borderId="0" applyAlignment="1" pivotButton="0" quotePrefix="0" xfId="1">
      <alignment vertical="center"/>
    </xf>
    <xf numFmtId="165" fontId="71" fillId="0" borderId="0" applyAlignment="1" pivotButton="0" quotePrefix="0" xfId="0">
      <alignment vertical="center"/>
    </xf>
    <xf numFmtId="0" fontId="33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72" fillId="0" borderId="1" applyAlignment="1" pivotButton="0" quotePrefix="0" xfId="0">
      <alignment horizontal="center" vertical="center"/>
    </xf>
    <xf numFmtId="0" fontId="72" fillId="0" borderId="7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1" fillId="0" borderId="0" applyAlignment="1" pivotButton="0" quotePrefix="0" xfId="0">
      <alignment horizontal="center" vertical="center"/>
    </xf>
    <xf numFmtId="165" fontId="34" fillId="0" borderId="0" applyAlignment="1" pivotButton="0" quotePrefix="0" xfId="0">
      <alignment vertical="center"/>
    </xf>
    <xf numFmtId="165" fontId="34" fillId="0" borderId="0" applyAlignment="1" pivotButton="0" quotePrefix="0" xfId="0">
      <alignment vertical="center" wrapText="1"/>
    </xf>
    <xf numFmtId="165" fontId="34" fillId="0" borderId="9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4" fontId="21" fillId="3" borderId="7" applyAlignment="1" pivotButton="0" quotePrefix="0" xfId="1">
      <alignment vertical="center"/>
    </xf>
    <xf numFmtId="165" fontId="21" fillId="11" borderId="0" applyAlignment="1" pivotButton="0" quotePrefix="0" xfId="0">
      <alignment vertical="center"/>
    </xf>
    <xf numFmtId="165" fontId="21" fillId="0" borderId="0" applyAlignment="1" pivotButton="0" quotePrefix="0" xfId="0">
      <alignment vertical="center"/>
    </xf>
    <xf numFmtId="165" fontId="19" fillId="0" borderId="0" applyAlignment="1" pivotButton="0" quotePrefix="0" xfId="0">
      <alignment vertical="center"/>
    </xf>
    <xf numFmtId="164" fontId="21" fillId="0" borderId="0" applyAlignment="1" pivotButton="0" quotePrefix="0" xfId="1">
      <alignment vertical="center"/>
    </xf>
    <xf numFmtId="165" fontId="34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center" vertical="center"/>
    </xf>
    <xf numFmtId="165" fontId="33" fillId="0" borderId="0" applyAlignment="1" pivotButton="0" quotePrefix="0" xfId="0">
      <alignment vertical="center"/>
    </xf>
    <xf numFmtId="164" fontId="0" fillId="9" borderId="0" applyAlignment="1" pivotButton="0" quotePrefix="0" xfId="1">
      <alignment vertical="center"/>
    </xf>
    <xf numFmtId="0" fontId="19" fillId="9" borderId="7" applyAlignment="1" pivotButton="0" quotePrefix="0" xfId="0">
      <alignment horizontal="center" vertical="center"/>
    </xf>
    <xf numFmtId="164" fontId="0" fillId="9" borderId="3" applyAlignment="1" pivotButton="0" quotePrefix="0" xfId="1">
      <alignment vertical="center"/>
    </xf>
    <xf numFmtId="164" fontId="0" fillId="0" borderId="3" applyAlignment="1" pivotButton="0" quotePrefix="0" xfId="1">
      <alignment vertical="center"/>
    </xf>
    <xf numFmtId="0" fontId="46" fillId="0" borderId="3" applyAlignment="1" pivotButton="0" quotePrefix="0" xfId="0">
      <alignment horizontal="center" vertical="center"/>
    </xf>
    <xf numFmtId="165" fontId="33" fillId="0" borderId="0" applyAlignment="1" pivotButton="0" quotePrefix="0" xfId="0">
      <alignment horizontal="center" vertical="center"/>
    </xf>
    <xf numFmtId="164" fontId="26" fillId="0" borderId="0" applyAlignment="1" pivotButton="0" quotePrefix="0" xfId="1">
      <alignment vertical="center"/>
    </xf>
    <xf numFmtId="164" fontId="26" fillId="0" borderId="0" applyAlignment="1" pivotButton="0" quotePrefix="0" xfId="1">
      <alignment horizontal="center" vertical="center"/>
    </xf>
    <xf numFmtId="164" fontId="16" fillId="0" borderId="0" applyAlignment="1" pivotButton="0" quotePrefix="0" xfId="1">
      <alignment horizontal="center" vertical="center"/>
    </xf>
    <xf numFmtId="164" fontId="16" fillId="3" borderId="7" applyAlignment="1" pivotButton="0" quotePrefix="0" xfId="1">
      <alignment vertical="center"/>
    </xf>
    <xf numFmtId="164" fontId="16" fillId="4" borderId="7" applyAlignment="1" pivotButton="0" quotePrefix="0" xfId="1">
      <alignment vertical="center"/>
    </xf>
    <xf numFmtId="165" fontId="20" fillId="0" borderId="0" applyAlignment="1" pivotButton="0" quotePrefix="0" xfId="0">
      <alignment vertical="center"/>
    </xf>
    <xf numFmtId="165" fontId="17" fillId="0" borderId="0" applyAlignment="1" pivotButton="0" quotePrefix="0" xfId="0">
      <alignment vertical="center"/>
    </xf>
    <xf numFmtId="165" fontId="17" fillId="0" borderId="0" applyAlignment="1" pivotButton="0" quotePrefix="0" xfId="0">
      <alignment horizontal="center" vertical="center"/>
    </xf>
    <xf numFmtId="164" fontId="20" fillId="0" borderId="0" applyAlignment="1" pivotButton="0" quotePrefix="0" xfId="1">
      <alignment vertical="center"/>
    </xf>
    <xf numFmtId="164" fontId="17" fillId="3" borderId="7" applyAlignment="1" pivotButton="0" quotePrefix="0" xfId="1">
      <alignment vertical="center"/>
    </xf>
    <xf numFmtId="164" fontId="75" fillId="3" borderId="7" applyAlignment="1" pivotButton="0" quotePrefix="0" xfId="1">
      <alignment vertical="center"/>
    </xf>
    <xf numFmtId="164" fontId="73" fillId="0" borderId="0" applyAlignment="1" pivotButton="0" quotePrefix="0" xfId="1">
      <alignment vertical="center"/>
    </xf>
    <xf numFmtId="0" fontId="76" fillId="0" borderId="3" applyAlignment="1" pivotButton="0" quotePrefix="0" xfId="0">
      <alignment horizontal="left" vertical="center"/>
    </xf>
    <xf numFmtId="0" fontId="77" fillId="0" borderId="0" applyAlignment="1" pivotButton="0" quotePrefix="0" xfId="0">
      <alignment vertical="center"/>
    </xf>
    <xf numFmtId="0" fontId="8" fillId="0" borderId="3" applyAlignment="1" pivotButton="0" quotePrefix="0" xfId="0">
      <alignment vertical="center" wrapText="1"/>
    </xf>
    <xf numFmtId="0" fontId="3" fillId="0" borderId="14" applyAlignment="1" pivotButton="0" quotePrefix="0" xfId="0">
      <alignment horizontal="left" vertical="center"/>
    </xf>
    <xf numFmtId="0" fontId="14" fillId="9" borderId="7" applyAlignment="1" pivotButton="0" quotePrefix="0" xfId="0">
      <alignment horizontal="center" vertical="center"/>
    </xf>
    <xf numFmtId="0" fontId="61" fillId="9" borderId="1" applyAlignment="1" pivotButton="0" quotePrefix="0" xfId="0">
      <alignment horizontal="center" vertical="center"/>
    </xf>
    <xf numFmtId="0" fontId="14" fillId="9" borderId="3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 wrapText="1"/>
    </xf>
    <xf numFmtId="165" fontId="20" fillId="0" borderId="0" applyAlignment="1" pivotButton="0" quotePrefix="0" xfId="0">
      <alignment horizontal="center" vertical="center"/>
    </xf>
    <xf numFmtId="165" fontId="33" fillId="0" borderId="9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 wrapText="1"/>
    </xf>
    <xf numFmtId="164" fontId="16" fillId="11" borderId="0" applyAlignment="1" pivotButton="0" quotePrefix="0" xfId="1">
      <alignment vertical="center"/>
    </xf>
    <xf numFmtId="164" fontId="21" fillId="11" borderId="0" applyAlignment="1" pivotButton="0" quotePrefix="0" xfId="1">
      <alignment vertical="center"/>
    </xf>
    <xf numFmtId="0" fontId="3" fillId="0" borderId="15" applyAlignment="1" pivotButton="0" quotePrefix="0" xfId="0">
      <alignment horizontal="center" vertical="center" wrapText="1"/>
    </xf>
    <xf numFmtId="0" fontId="34" fillId="0" borderId="6" applyAlignment="1" pivotButton="0" quotePrefix="0" xfId="0">
      <alignment horizontal="center" vertical="center"/>
    </xf>
    <xf numFmtId="0" fontId="19" fillId="9" borderId="3" applyAlignment="1" pivotButton="0" quotePrefix="0" xfId="0">
      <alignment horizontal="center" vertical="center"/>
    </xf>
    <xf numFmtId="0" fontId="16" fillId="9" borderId="7" applyAlignment="1" pivotButton="0" quotePrefix="0" xfId="0">
      <alignment horizontal="center" vertical="center"/>
    </xf>
    <xf numFmtId="0" fontId="17" fillId="9" borderId="7" applyAlignment="1" pivotButton="0" quotePrefix="0" xfId="0">
      <alignment horizontal="center" vertical="center"/>
    </xf>
    <xf numFmtId="0" fontId="57" fillId="9" borderId="7" applyAlignment="1" pivotButton="0" quotePrefix="0" xfId="0">
      <alignment horizontal="center" vertical="center"/>
    </xf>
    <xf numFmtId="0" fontId="21" fillId="9" borderId="7" applyAlignment="1" pivotButton="0" quotePrefix="0" xfId="0">
      <alignment horizontal="center" vertical="center"/>
    </xf>
    <xf numFmtId="0" fontId="21" fillId="6" borderId="7" applyAlignment="1" pivotButton="0" quotePrefix="0" xfId="0">
      <alignment horizontal="center" vertical="center"/>
    </xf>
    <xf numFmtId="0" fontId="57" fillId="6" borderId="3" applyAlignment="1" pivotButton="0" quotePrefix="0" xfId="0">
      <alignment horizontal="center" vertical="center"/>
    </xf>
    <xf numFmtId="0" fontId="19" fillId="6" borderId="3" applyAlignment="1" pivotButton="0" quotePrefix="0" xfId="0">
      <alignment horizontal="center" vertical="center"/>
    </xf>
    <xf numFmtId="0" fontId="24" fillId="9" borderId="3" applyAlignment="1" pivotButton="0" quotePrefix="0" xfId="0">
      <alignment horizontal="center" vertical="center"/>
    </xf>
    <xf numFmtId="0" fontId="16" fillId="9" borderId="8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21" fillId="9" borderId="8" applyAlignment="1" pivotButton="0" quotePrefix="0" xfId="0">
      <alignment horizontal="center" vertical="center"/>
    </xf>
    <xf numFmtId="0" fontId="19" fillId="9" borderId="8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57" fillId="9" borderId="1" applyAlignment="1" pivotButton="0" quotePrefix="0" xfId="0">
      <alignment horizontal="center" vertical="center"/>
    </xf>
    <xf numFmtId="0" fontId="17" fillId="9" borderId="3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7" fillId="9" borderId="3" applyAlignment="1" pivotButton="0" quotePrefix="0" xfId="0">
      <alignment vertical="center" wrapText="1"/>
    </xf>
    <xf numFmtId="0" fontId="57" fillId="9" borderId="3" applyAlignment="1" pivotButton="0" quotePrefix="0" xfId="0">
      <alignment horizontal="center" vertical="center" wrapText="1"/>
    </xf>
    <xf numFmtId="0" fontId="40" fillId="6" borderId="3" applyAlignment="1" pivotButton="0" quotePrefix="0" xfId="0">
      <alignment horizontal="center" vertical="center"/>
    </xf>
    <xf numFmtId="0" fontId="56" fillId="9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/>
    </xf>
    <xf numFmtId="0" fontId="6" fillId="9" borderId="1" applyAlignment="1" pivotButton="0" quotePrefix="0" xfId="0">
      <alignment vertical="center"/>
    </xf>
    <xf numFmtId="165" fontId="21" fillId="0" borderId="9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34" fillId="6" borderId="3" applyAlignment="1" pivotButton="0" quotePrefix="0" xfId="0">
      <alignment horizontal="center" vertical="center"/>
    </xf>
    <xf numFmtId="0" fontId="30" fillId="2" borderId="3" applyAlignment="1" pivotButton="0" quotePrefix="0" xfId="0">
      <alignment horizontal="center" vertical="center"/>
    </xf>
    <xf numFmtId="0" fontId="78" fillId="0" borderId="1" applyAlignment="1" pivotButton="0" quotePrefix="0" xfId="0">
      <alignment horizontal="left" vertical="center"/>
    </xf>
    <xf numFmtId="0" fontId="79" fillId="9" borderId="3" applyAlignment="1" pivotButton="0" quotePrefix="0" xfId="0">
      <alignment vertical="center"/>
    </xf>
    <xf numFmtId="0" fontId="79" fillId="9" borderId="3" applyAlignment="1" pivotButton="0" quotePrefix="0" xfId="0">
      <alignment vertical="center" wrapText="1"/>
    </xf>
    <xf numFmtId="0" fontId="79" fillId="0" borderId="3" applyAlignment="1" pivotButton="0" quotePrefix="0" xfId="0">
      <alignment vertical="center"/>
    </xf>
    <xf numFmtId="0" fontId="41" fillId="0" borderId="3" applyAlignment="1" pivotButton="0" quotePrefix="0" xfId="0">
      <alignment horizontal="center" vertical="center"/>
    </xf>
    <xf numFmtId="0" fontId="41" fillId="0" borderId="3" applyAlignment="1" pivotButton="0" quotePrefix="0" xfId="0">
      <alignment vertical="center"/>
    </xf>
    <xf numFmtId="165" fontId="19" fillId="0" borderId="15" applyAlignment="1" pivotButton="0" quotePrefix="0" xfId="0">
      <alignment vertical="center"/>
    </xf>
    <xf numFmtId="165" fontId="19" fillId="0" borderId="14" applyAlignment="1" pivotButton="0" quotePrefix="0" xfId="0">
      <alignment vertical="center"/>
    </xf>
    <xf numFmtId="164" fontId="70" fillId="9" borderId="3" applyAlignment="1" pivotButton="0" quotePrefix="0" xfId="1">
      <alignment vertical="center"/>
    </xf>
    <xf numFmtId="164" fontId="70" fillId="9" borderId="0" applyAlignment="1" pivotButton="0" quotePrefix="0" xfId="1">
      <alignment vertical="center"/>
    </xf>
    <xf numFmtId="164" fontId="70" fillId="0" borderId="0" applyAlignment="1" pivotButton="0" quotePrefix="0" xfId="1">
      <alignment horizontal="center" vertical="center"/>
    </xf>
    <xf numFmtId="164" fontId="65" fillId="0" borderId="0" applyAlignment="1" pivotButton="0" quotePrefix="0" xfId="1">
      <alignment vertical="center"/>
    </xf>
    <xf numFmtId="0" fontId="25" fillId="0" borderId="5" applyAlignment="1" pivotButton="0" quotePrefix="0" xfId="0">
      <alignment horizontal="center" vertical="center" wrapText="1"/>
    </xf>
    <xf numFmtId="0" fontId="16" fillId="0" borderId="3" applyAlignment="1" pivotButton="0" quotePrefix="0" xfId="0">
      <alignment horizontal="center" vertical="center" wrapText="1"/>
    </xf>
    <xf numFmtId="165" fontId="81" fillId="0" borderId="9" applyAlignment="1" pivotButton="0" quotePrefix="0" xfId="0">
      <alignment vertical="center"/>
    </xf>
    <xf numFmtId="165" fontId="9" fillId="0" borderId="2" applyAlignment="1" pivotButton="0" quotePrefix="0" xfId="0">
      <alignment vertical="center"/>
    </xf>
    <xf numFmtId="0" fontId="31" fillId="0" borderId="7" applyAlignment="1" pivotButton="0" quotePrefix="0" xfId="0">
      <alignment vertical="center" wrapText="1"/>
    </xf>
    <xf numFmtId="0" fontId="31" fillId="0" borderId="7" applyAlignment="1" pivotButton="0" quotePrefix="0" xfId="0">
      <alignment vertical="center"/>
    </xf>
    <xf numFmtId="0" fontId="3" fillId="0" borderId="7" applyAlignment="1" pivotButton="0" quotePrefix="0" xfId="0">
      <alignment vertical="center" wrapText="1"/>
    </xf>
    <xf numFmtId="0" fontId="3" fillId="0" borderId="7" applyAlignment="1" pivotButton="0" quotePrefix="0" xfId="0">
      <alignment vertical="center"/>
    </xf>
    <xf numFmtId="0" fontId="25" fillId="0" borderId="3" applyAlignment="1" pivotButton="0" quotePrefix="0" xfId="0">
      <alignment horizontal="center" vertical="center"/>
    </xf>
    <xf numFmtId="0" fontId="31" fillId="0" borderId="3" applyAlignment="1" pivotButton="0" quotePrefix="0" xfId="0">
      <alignment vertical="center"/>
    </xf>
    <xf numFmtId="0" fontId="31" fillId="0" borderId="3" applyAlignment="1" pivotButton="0" quotePrefix="0" xfId="0">
      <alignment horizontal="center" vertical="center"/>
    </xf>
    <xf numFmtId="0" fontId="82" fillId="0" borderId="3" applyAlignment="1" pivotButton="0" quotePrefix="0" xfId="0">
      <alignment horizontal="center" vertical="center"/>
    </xf>
    <xf numFmtId="0" fontId="31" fillId="0" borderId="7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1" fillId="0" borderId="1" applyAlignment="1" pivotButton="0" quotePrefix="0" xfId="0">
      <alignment horizontal="center" vertical="center"/>
    </xf>
    <xf numFmtId="0" fontId="31" fillId="0" borderId="2" applyAlignment="1" pivotButton="0" quotePrefix="0" xfId="0">
      <alignment horizontal="center" vertical="center" wrapText="1"/>
    </xf>
    <xf numFmtId="0" fontId="82" fillId="0" borderId="7" applyAlignment="1" pivotButton="0" quotePrefix="0" xfId="0">
      <alignment horizontal="center" vertical="center"/>
    </xf>
    <xf numFmtId="0" fontId="82" fillId="0" borderId="7" applyAlignment="1" pivotButton="0" quotePrefix="0" xfId="0">
      <alignment horizontal="center" vertical="center" wrapText="1"/>
    </xf>
    <xf numFmtId="0" fontId="83" fillId="0" borderId="7" applyAlignment="1" pivotButton="0" quotePrefix="0" xfId="0">
      <alignment vertical="center" wrapText="1"/>
    </xf>
    <xf numFmtId="0" fontId="83" fillId="0" borderId="6" applyAlignment="1" pivotButton="0" quotePrefix="0" xfId="0">
      <alignment vertical="center" wrapText="1"/>
    </xf>
    <xf numFmtId="0" fontId="83" fillId="0" borderId="3" applyAlignment="1" pivotButton="0" quotePrefix="0" xfId="0">
      <alignment vertical="center" wrapText="1"/>
    </xf>
    <xf numFmtId="0" fontId="83" fillId="0" borderId="7" applyAlignment="1" pivotButton="0" quotePrefix="0" xfId="0">
      <alignment vertical="center"/>
    </xf>
    <xf numFmtId="0" fontId="83" fillId="0" borderId="3" applyAlignment="1" pivotButton="0" quotePrefix="0" xfId="0">
      <alignment vertical="center"/>
    </xf>
    <xf numFmtId="0" fontId="10" fillId="0" borderId="2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9" fillId="0" borderId="4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0" fillId="0" borderId="3" applyAlignment="1" pivotButton="0" quotePrefix="0" xfId="0">
      <alignment vertical="center" wrapText="1"/>
    </xf>
    <xf numFmtId="0" fontId="25" fillId="0" borderId="4" applyAlignment="1" pivotButton="0" quotePrefix="0" xfId="0">
      <alignment horizontal="center" vertical="center"/>
    </xf>
    <xf numFmtId="0" fontId="11" fillId="9" borderId="3" applyAlignment="1" pivotButton="0" quotePrefix="0" xfId="0">
      <alignment horizontal="center" vertical="center"/>
    </xf>
    <xf numFmtId="0" fontId="29" fillId="0" borderId="3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3" fillId="9" borderId="3" applyAlignment="1" pivotButton="0" quotePrefix="0" xfId="0">
      <alignment vertical="center"/>
    </xf>
    <xf numFmtId="0" fontId="3" fillId="0" borderId="3" applyAlignment="1" pivotButton="0" quotePrefix="0" xfId="0">
      <alignment horizontal="left" vertical="center" wrapText="1"/>
    </xf>
    <xf numFmtId="0" fontId="10" fillId="9" borderId="3" applyAlignment="1" pivotButton="0" quotePrefix="0" xfId="0">
      <alignment horizontal="center" vertical="center"/>
    </xf>
    <xf numFmtId="0" fontId="11" fillId="0" borderId="1" applyAlignment="1" pivotButton="0" quotePrefix="0" xfId="0">
      <alignment vertical="center"/>
    </xf>
    <xf numFmtId="0" fontId="10" fillId="0" borderId="6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center" vertical="center"/>
    </xf>
    <xf numFmtId="0" fontId="84" fillId="0" borderId="1" applyAlignment="1" pivotButton="0" quotePrefix="0" xfId="0">
      <alignment horizontal="center" vertical="center"/>
    </xf>
    <xf numFmtId="0" fontId="65" fillId="9" borderId="0" applyAlignment="1" pivotButton="0" quotePrefix="0" xfId="0">
      <alignment horizontal="center" vertical="center"/>
    </xf>
    <xf numFmtId="0" fontId="82" fillId="0" borderId="1" applyAlignment="1" pivotButton="0" quotePrefix="0" xfId="0">
      <alignment horizontal="center" vertical="center"/>
    </xf>
    <xf numFmtId="165" fontId="51" fillId="0" borderId="0" applyAlignment="1" pivotButton="0" quotePrefix="0" xfId="0">
      <alignment horizontal="center" vertical="center"/>
    </xf>
    <xf numFmtId="0" fontId="51" fillId="0" borderId="0" applyAlignment="1" pivotButton="0" quotePrefix="0" xfId="0">
      <alignment vertical="center"/>
    </xf>
    <xf numFmtId="0" fontId="65" fillId="0" borderId="3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8" fillId="0" borderId="13" applyAlignment="1" pivotButton="0" quotePrefix="0" xfId="0">
      <alignment horizontal="left" vertical="center"/>
    </xf>
    <xf numFmtId="0" fontId="67" fillId="0" borderId="0" applyAlignment="1" pivotButton="0" quotePrefix="0" xfId="0">
      <alignment horizontal="center" vertical="center"/>
    </xf>
    <xf numFmtId="0" fontId="82" fillId="0" borderId="4" applyAlignment="1" pivotButton="0" quotePrefix="0" xfId="0">
      <alignment horizontal="center" vertical="center"/>
    </xf>
    <xf numFmtId="0" fontId="82" fillId="0" borderId="8" applyAlignment="1" pivotButton="0" quotePrefix="0" xfId="0">
      <alignment horizontal="center" vertical="center"/>
    </xf>
    <xf numFmtId="165" fontId="19" fillId="0" borderId="9" applyAlignment="1" pivotButton="0" quotePrefix="0" xfId="0">
      <alignment horizontal="center" vertical="center"/>
    </xf>
    <xf numFmtId="165" fontId="30" fillId="0" borderId="9" applyAlignment="1" pivotButton="0" quotePrefix="0" xfId="0">
      <alignment horizontal="center" vertical="center"/>
    </xf>
    <xf numFmtId="164" fontId="16" fillId="0" borderId="0" applyAlignment="1" pivotButton="0" quotePrefix="0" xfId="1">
      <alignment vertical="center"/>
    </xf>
    <xf numFmtId="0" fontId="23" fillId="9" borderId="3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21" fillId="9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center" vertical="center"/>
    </xf>
    <xf numFmtId="164" fontId="61" fillId="9" borderId="10" applyAlignment="1" pivotButton="0" quotePrefix="0" xfId="1">
      <alignment vertical="center"/>
    </xf>
    <xf numFmtId="165" fontId="14" fillId="0" borderId="10" applyAlignment="1" pivotButton="0" quotePrefix="0" xfId="0">
      <alignment vertical="center"/>
    </xf>
    <xf numFmtId="164" fontId="14" fillId="0" borderId="12" applyAlignment="1" pivotButton="0" quotePrefix="0" xfId="1">
      <alignment vertical="center"/>
    </xf>
    <xf numFmtId="165" fontId="30" fillId="0" borderId="12" applyAlignment="1" pivotButton="0" quotePrefix="0" xfId="0">
      <alignment horizontal="center" vertical="center"/>
    </xf>
    <xf numFmtId="165" fontId="0" fillId="0" borderId="12" applyAlignment="1" pivotButton="0" quotePrefix="0" xfId="0">
      <alignment vertical="center"/>
    </xf>
    <xf numFmtId="164" fontId="16" fillId="9" borderId="10" applyAlignment="1" pivotButton="0" quotePrefix="0" xfId="1">
      <alignment vertical="center"/>
    </xf>
    <xf numFmtId="164" fontId="16" fillId="0" borderId="12" applyAlignment="1" pivotButton="0" quotePrefix="0" xfId="1">
      <alignment vertical="center"/>
    </xf>
    <xf numFmtId="164" fontId="17" fillId="9" borderId="10" applyAlignment="1" pivotButton="0" quotePrefix="0" xfId="1">
      <alignment vertical="center"/>
    </xf>
    <xf numFmtId="164" fontId="17" fillId="0" borderId="12" applyAlignment="1" pivotButton="0" quotePrefix="0" xfId="1">
      <alignment vertical="center"/>
    </xf>
    <xf numFmtId="164" fontId="21" fillId="9" borderId="10" applyAlignment="1" pivotButton="0" quotePrefix="0" xfId="1">
      <alignment vertical="center"/>
    </xf>
    <xf numFmtId="164" fontId="21" fillId="0" borderId="12" applyAlignment="1" pivotButton="0" quotePrefix="0" xfId="1">
      <alignment vertical="center"/>
    </xf>
    <xf numFmtId="164" fontId="30" fillId="9" borderId="10" applyAlignment="1" pivotButton="0" quotePrefix="0" xfId="1">
      <alignment vertical="center"/>
    </xf>
    <xf numFmtId="0" fontId="23" fillId="0" borderId="2" applyAlignment="1" pivotButton="0" quotePrefix="0" xfId="0">
      <alignment horizontal="center" vertical="center"/>
    </xf>
    <xf numFmtId="0" fontId="22" fillId="10" borderId="3" applyAlignment="1" pivotButton="0" quotePrefix="0" xfId="0">
      <alignment horizontal="center" vertical="center"/>
    </xf>
    <xf numFmtId="0" fontId="9" fillId="10" borderId="9" applyAlignment="1" pivotButton="0" quotePrefix="0" xfId="0">
      <alignment horizontal="center" vertical="center"/>
    </xf>
    <xf numFmtId="0" fontId="14" fillId="10" borderId="7" applyAlignment="1" pivotButton="0" quotePrefix="0" xfId="0">
      <alignment horizontal="center" vertical="center"/>
    </xf>
    <xf numFmtId="0" fontId="23" fillId="10" borderId="3" applyAlignment="1" pivotButton="0" quotePrefix="0" xfId="0">
      <alignment horizontal="center" vertical="center"/>
    </xf>
    <xf numFmtId="164" fontId="14" fillId="10" borderId="7" applyAlignment="1" pivotButton="0" quotePrefix="0" xfId="1">
      <alignment vertical="center"/>
    </xf>
    <xf numFmtId="164" fontId="74" fillId="10" borderId="7" applyAlignment="1" pivotButton="0" quotePrefix="0" xfId="1">
      <alignment vertical="center"/>
    </xf>
    <xf numFmtId="164" fontId="17" fillId="10" borderId="7" applyAlignment="1" pivotButton="0" quotePrefix="0" xfId="1">
      <alignment vertical="center"/>
    </xf>
    <xf numFmtId="164" fontId="21" fillId="10" borderId="7" applyAlignment="1" pivotButton="0" quotePrefix="0" xfId="1">
      <alignment vertical="center"/>
    </xf>
    <xf numFmtId="165" fontId="14" fillId="10" borderId="9" applyAlignment="1" pivotButton="0" quotePrefix="0" xfId="0">
      <alignment vertical="center"/>
    </xf>
    <xf numFmtId="165" fontId="14" fillId="10" borderId="2" applyAlignment="1" pivotButton="0" quotePrefix="0" xfId="0">
      <alignment vertical="center"/>
    </xf>
    <xf numFmtId="0" fontId="14" fillId="10" borderId="9" applyAlignment="1" pivotButton="0" quotePrefix="0" xfId="0">
      <alignment horizontal="center" vertical="center"/>
    </xf>
    <xf numFmtId="0" fontId="14" fillId="10" borderId="3" applyAlignment="1" pivotButton="0" quotePrefix="0" xfId="0">
      <alignment horizontal="center" vertical="center"/>
    </xf>
    <xf numFmtId="0" fontId="16" fillId="10" borderId="3" applyAlignment="1" pivotButton="0" quotePrefix="0" xfId="0">
      <alignment horizontal="center" vertical="center"/>
    </xf>
    <xf numFmtId="0" fontId="17" fillId="10" borderId="3" applyAlignment="1" pivotButton="0" quotePrefix="0" xfId="0">
      <alignment horizontal="center" vertical="center"/>
    </xf>
    <xf numFmtId="0" fontId="21" fillId="10" borderId="3" applyAlignment="1" pivotButton="0" quotePrefix="0" xfId="0">
      <alignment horizontal="center" vertical="center"/>
    </xf>
    <xf numFmtId="165" fontId="9" fillId="10" borderId="9" applyAlignment="1" pivotButton="0" quotePrefix="0" xfId="0">
      <alignment vertical="center"/>
    </xf>
    <xf numFmtId="0" fontId="22" fillId="10" borderId="3" applyAlignment="1" pivotButton="0" quotePrefix="0" xfId="0">
      <alignment vertical="center"/>
    </xf>
    <xf numFmtId="164" fontId="16" fillId="10" borderId="7" applyAlignment="1" pivotButton="0" quotePrefix="0" xfId="1">
      <alignment vertical="center"/>
    </xf>
    <xf numFmtId="164" fontId="14" fillId="10" borderId="0" applyAlignment="1" pivotButton="0" quotePrefix="0" xfId="1">
      <alignment vertical="center"/>
    </xf>
    <xf numFmtId="164" fontId="14" fillId="9" borderId="0" applyAlignment="1" pivotButton="0" quotePrefix="0" xfId="1">
      <alignment vertical="center"/>
    </xf>
    <xf numFmtId="164" fontId="16" fillId="9" borderId="0" applyAlignment="1" pivotButton="0" quotePrefix="0" xfId="1">
      <alignment vertical="center"/>
    </xf>
    <xf numFmtId="164" fontId="17" fillId="9" borderId="0" applyAlignment="1" pivotButton="0" quotePrefix="0" xfId="1">
      <alignment vertical="center"/>
    </xf>
    <xf numFmtId="164" fontId="21" fillId="9" borderId="0" applyAlignment="1" pivotButton="0" quotePrefix="0" xfId="1">
      <alignment vertical="center"/>
    </xf>
    <xf numFmtId="165" fontId="14" fillId="9" borderId="0" applyAlignment="1" pivotButton="0" quotePrefix="0" xfId="0">
      <alignment vertical="center"/>
    </xf>
    <xf numFmtId="164" fontId="17" fillId="0" borderId="0" applyAlignment="1" pivotButton="0" quotePrefix="0" xfId="1">
      <alignment vertical="center"/>
    </xf>
    <xf numFmtId="165" fontId="14" fillId="0" borderId="0" applyAlignment="1" pivotButton="0" quotePrefix="0" xfId="0">
      <alignment vertical="center"/>
    </xf>
    <xf numFmtId="164" fontId="73" fillId="10" borderId="7" applyAlignment="1" pivotButton="0" quotePrefix="0" xfId="1">
      <alignment vertical="center"/>
    </xf>
    <xf numFmtId="164" fontId="74" fillId="0" borderId="0" applyAlignment="1" pivotButton="0" quotePrefix="0" xfId="1">
      <alignment vertical="center"/>
    </xf>
    <xf numFmtId="0" fontId="25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right" vertical="center"/>
    </xf>
    <xf numFmtId="0" fontId="41" fillId="0" borderId="0" applyAlignment="1" pivotButton="0" quotePrefix="0" xfId="0">
      <alignment horizontal="center" vertical="center"/>
    </xf>
    <xf numFmtId="0" fontId="41" fillId="0" borderId="0" applyAlignment="1" pivotButton="0" quotePrefix="0" xfId="0">
      <alignment vertical="center"/>
    </xf>
    <xf numFmtId="0" fontId="3" fillId="0" borderId="12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65" fillId="0" borderId="2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0" fontId="7" fillId="9" borderId="0" applyAlignment="1" pivotButton="0" quotePrefix="0" xfId="0">
      <alignment horizontal="center" vertical="center"/>
    </xf>
    <xf numFmtId="0" fontId="54" fillId="9" borderId="0" applyAlignment="1" pivotButton="0" quotePrefix="0" xfId="0">
      <alignment horizontal="center" vertical="center"/>
    </xf>
    <xf numFmtId="0" fontId="8" fillId="9" borderId="0" applyAlignment="1" pivotButton="0" quotePrefix="0" xfId="0">
      <alignment horizontal="center" vertical="center"/>
    </xf>
    <xf numFmtId="0" fontId="9" fillId="9" borderId="4" applyAlignment="1" pivotButton="0" quotePrefix="0" xfId="0">
      <alignment horizontal="center" vertical="center"/>
    </xf>
    <xf numFmtId="164" fontId="17" fillId="11" borderId="0" applyAlignment="1" pivotButton="0" quotePrefix="0" xfId="1">
      <alignment vertical="center"/>
    </xf>
    <xf numFmtId="165" fontId="57" fillId="5" borderId="9" applyAlignment="1" pivotButton="0" quotePrefix="0" xfId="0">
      <alignment horizontal="center" vertical="center"/>
    </xf>
    <xf numFmtId="165" fontId="57" fillId="5" borderId="0" applyAlignment="1" pivotButton="0" quotePrefix="0" xfId="0">
      <alignment vertical="center"/>
    </xf>
    <xf numFmtId="165" fontId="57" fillId="5" borderId="0" applyAlignment="1" pivotButton="0" quotePrefix="0" xfId="0">
      <alignment horizontal="center" vertical="center"/>
    </xf>
    <xf numFmtId="165" fontId="21" fillId="5" borderId="0" applyAlignment="1" pivotButton="0" quotePrefix="0" xfId="0">
      <alignment horizontal="center" vertical="center"/>
    </xf>
    <xf numFmtId="165" fontId="21" fillId="5" borderId="0" applyAlignment="1" pivotButton="0" quotePrefix="0" xfId="0">
      <alignment vertical="center"/>
    </xf>
    <xf numFmtId="0" fontId="6" fillId="9" borderId="1" applyAlignment="1" pivotButton="0" quotePrefix="0" xfId="0">
      <alignment horizontal="center" vertical="center"/>
    </xf>
    <xf numFmtId="0" fontId="72" fillId="9" borderId="6" applyAlignment="1" pivotButton="0" quotePrefix="0" xfId="0">
      <alignment horizontal="center" vertical="center"/>
    </xf>
    <xf numFmtId="0" fontId="72" fillId="9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165" fontId="50" fillId="5" borderId="0" applyAlignment="1" pivotButton="0" quotePrefix="0" xfId="0">
      <alignment vertical="center"/>
    </xf>
    <xf numFmtId="0" fontId="28" fillId="9" borderId="0" applyAlignment="1" pivotButton="0" quotePrefix="0" xfId="0">
      <alignment vertical="center" wrapText="1"/>
    </xf>
    <xf numFmtId="164" fontId="30" fillId="9" borderId="0" applyAlignment="1" pivotButton="0" quotePrefix="0" xfId="1">
      <alignment vertical="center"/>
    </xf>
    <xf numFmtId="165" fontId="30" fillId="9" borderId="0" applyAlignment="1" pivotButton="0" quotePrefix="0" xfId="0">
      <alignment vertical="center"/>
    </xf>
    <xf numFmtId="165" fontId="21" fillId="9" borderId="0" applyAlignment="1" pivotButton="0" quotePrefix="0" xfId="0">
      <alignment vertical="center"/>
    </xf>
    <xf numFmtId="165" fontId="57" fillId="9" borderId="0" applyAlignment="1" pivotButton="0" quotePrefix="0" xfId="0">
      <alignment vertical="center"/>
    </xf>
    <xf numFmtId="165" fontId="30" fillId="9" borderId="0" applyAlignment="1" pivotButton="0" quotePrefix="0" xfId="0">
      <alignment horizontal="center" vertical="center"/>
    </xf>
    <xf numFmtId="164" fontId="14" fillId="9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4" fillId="0" borderId="14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9" fontId="3" fillId="9" borderId="0" applyAlignment="1" pivotButton="0" quotePrefix="0" xfId="0">
      <alignment horizontal="center" vertical="center" wrapText="1"/>
    </xf>
    <xf numFmtId="0" fontId="82" fillId="10" borderId="4" applyAlignment="1" pivotButton="0" quotePrefix="0" xfId="0">
      <alignment horizontal="center" vertical="center"/>
    </xf>
    <xf numFmtId="0" fontId="72" fillId="10" borderId="3" applyAlignment="1" pivotButton="0" quotePrefix="0" xfId="0">
      <alignment vertical="center"/>
    </xf>
    <xf numFmtId="0" fontId="68" fillId="0" borderId="1" applyAlignment="1" pivotButton="0" quotePrefix="0" xfId="0">
      <alignment vertical="center"/>
    </xf>
    <xf numFmtId="0" fontId="69" fillId="10" borderId="3" applyAlignment="1" pivotButton="0" quotePrefix="0" xfId="0">
      <alignment vertical="center"/>
    </xf>
    <xf numFmtId="164" fontId="61" fillId="12" borderId="9" applyAlignment="1" pivotButton="0" quotePrefix="0" xfId="1">
      <alignment vertical="center"/>
    </xf>
    <xf numFmtId="164" fontId="61" fillId="12" borderId="2" applyAlignment="1" pivotButton="0" quotePrefix="0" xfId="1">
      <alignment vertical="center"/>
    </xf>
    <xf numFmtId="164" fontId="61" fillId="12" borderId="2" applyAlignment="1" pivotButton="0" quotePrefix="0" xfId="0">
      <alignment vertical="center"/>
    </xf>
    <xf numFmtId="164" fontId="19" fillId="13" borderId="0" applyAlignment="1" pivotButton="0" quotePrefix="0" xfId="1">
      <alignment vertical="center"/>
    </xf>
    <xf numFmtId="165" fontId="19" fillId="13" borderId="0" applyAlignment="1" pivotButton="0" quotePrefix="0" xfId="0">
      <alignment vertical="center"/>
    </xf>
    <xf numFmtId="165" fontId="21" fillId="13" borderId="0" applyAlignment="1" pivotButton="0" quotePrefix="0" xfId="0">
      <alignment vertical="center"/>
    </xf>
    <xf numFmtId="165" fontId="19" fillId="13" borderId="0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 wrapText="1"/>
    </xf>
    <xf numFmtId="0" fontId="9" fillId="10" borderId="0" applyAlignment="1" pivotButton="0" quotePrefix="0" xfId="0">
      <alignment horizontal="left" vertical="center"/>
    </xf>
    <xf numFmtId="0" fontId="0" fillId="10" borderId="0" applyAlignment="1" pivotButton="0" quotePrefix="0" xfId="0">
      <alignment horizontal="center" vertical="center"/>
    </xf>
    <xf numFmtId="0" fontId="79" fillId="0" borderId="0" applyAlignment="1" pivotButton="0" quotePrefix="0" xfId="0">
      <alignment vertical="center"/>
    </xf>
    <xf numFmtId="164" fontId="80" fillId="13" borderId="0" applyAlignment="1" pivotButton="0" quotePrefix="0" xfId="1">
      <alignment vertical="center"/>
    </xf>
    <xf numFmtId="164" fontId="80" fillId="13" borderId="0" applyAlignment="1" pivotButton="0" quotePrefix="0" xfId="0">
      <alignment vertical="center"/>
    </xf>
    <xf numFmtId="0" fontId="30" fillId="0" borderId="0" applyAlignment="1" pivotButton="0" quotePrefix="0" xfId="0">
      <alignment horizontal="center" vertical="center"/>
    </xf>
    <xf numFmtId="164" fontId="61" fillId="0" borderId="16" applyAlignment="1" pivotButton="0" quotePrefix="0" xfId="1">
      <alignment horizontal="center" vertical="center"/>
    </xf>
    <xf numFmtId="164" fontId="61" fillId="0" borderId="23" applyAlignment="1" pivotButton="0" quotePrefix="0" xfId="1">
      <alignment horizontal="center" vertical="center"/>
    </xf>
    <xf numFmtId="164" fontId="61" fillId="0" borderId="19" applyAlignment="1" pivotButton="0" quotePrefix="0" xfId="1">
      <alignment vertical="center"/>
    </xf>
    <xf numFmtId="164" fontId="16" fillId="0" borderId="17" applyAlignment="1" pivotButton="0" quotePrefix="0" xfId="1">
      <alignment horizontal="center" vertical="center"/>
    </xf>
    <xf numFmtId="164" fontId="16" fillId="0" borderId="20" applyAlignment="1" pivotButton="0" quotePrefix="0" xfId="1">
      <alignment vertical="center"/>
    </xf>
    <xf numFmtId="165" fontId="21" fillId="0" borderId="17" applyAlignment="1" pivotButton="0" quotePrefix="0" xfId="0">
      <alignment horizontal="center" vertical="center"/>
    </xf>
    <xf numFmtId="165" fontId="21" fillId="0" borderId="20" applyAlignment="1" pivotButton="0" quotePrefix="0" xfId="0">
      <alignment vertical="center"/>
    </xf>
    <xf numFmtId="165" fontId="50" fillId="0" borderId="17" applyAlignment="1" pivotButton="0" quotePrefix="0" xfId="0">
      <alignment horizontal="center" vertical="center"/>
    </xf>
    <xf numFmtId="165" fontId="65" fillId="0" borderId="0" applyAlignment="1" pivotButton="0" quotePrefix="0" xfId="0">
      <alignment vertical="center"/>
    </xf>
    <xf numFmtId="165" fontId="24" fillId="0" borderId="0" applyAlignment="1" pivotButton="0" quotePrefix="0" xfId="0">
      <alignment vertical="center"/>
    </xf>
    <xf numFmtId="0" fontId="17" fillId="0" borderId="1" applyAlignment="1" pivotButton="0" quotePrefix="0" xfId="0">
      <alignment horizontal="center" vertical="center" wrapText="1"/>
    </xf>
    <xf numFmtId="0" fontId="31" fillId="0" borderId="3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0" fontId="69" fillId="0" borderId="7" applyAlignment="1" pivotButton="0" quotePrefix="0" xfId="0">
      <alignment horizontal="left" vertical="center"/>
    </xf>
    <xf numFmtId="0" fontId="69" fillId="0" borderId="3" applyAlignment="1" pivotButton="0" quotePrefix="0" xfId="0">
      <alignment vertical="center"/>
    </xf>
    <xf numFmtId="0" fontId="2" fillId="0" borderId="4" applyAlignment="1" pivotButton="0" quotePrefix="0" xfId="0">
      <alignment horizontal="center" vertical="center"/>
    </xf>
    <xf numFmtId="165" fontId="70" fillId="0" borderId="0" applyAlignment="1" pivotButton="0" quotePrefix="0" xfId="0">
      <alignment vertical="center"/>
    </xf>
    <xf numFmtId="0" fontId="16" fillId="0" borderId="2" applyAlignment="1" pivotButton="0" quotePrefix="0" xfId="0">
      <alignment horizontal="center" vertical="center" wrapText="1"/>
    </xf>
    <xf numFmtId="0" fontId="40" fillId="0" borderId="3" applyAlignment="1" pivotButton="0" quotePrefix="0" xfId="0">
      <alignment horizontal="center" vertical="center"/>
    </xf>
    <xf numFmtId="164" fontId="21" fillId="10" borderId="0" applyAlignment="1" pivotButton="0" quotePrefix="0" xfId="1">
      <alignment vertical="center"/>
    </xf>
    <xf numFmtId="0" fontId="14" fillId="1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/>
    </xf>
    <xf numFmtId="0" fontId="3" fillId="0" borderId="7" applyAlignment="1" pivotButton="0" quotePrefix="0" xfId="0">
      <alignment horizontal="left" vertical="center"/>
    </xf>
    <xf numFmtId="0" fontId="3" fillId="9" borderId="3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 vertical="center" wrapText="1"/>
    </xf>
    <xf numFmtId="0" fontId="85" fillId="0" borderId="0" applyAlignment="1" pivotButton="0" quotePrefix="0" xfId="0">
      <alignment horizontal="center" vertical="center"/>
    </xf>
    <xf numFmtId="0" fontId="82" fillId="0" borderId="3" applyAlignment="1" pivotButton="0" quotePrefix="0" xfId="0">
      <alignment horizontal="center" vertical="center" wrapText="1"/>
    </xf>
    <xf numFmtId="0" fontId="83" fillId="0" borderId="7" applyAlignment="1" pivotButton="0" quotePrefix="0" xfId="0">
      <alignment horizontal="center" vertical="center" wrapText="1"/>
    </xf>
    <xf numFmtId="165" fontId="8" fillId="0" borderId="9" applyAlignment="1" pivotButton="0" quotePrefix="0" xfId="0">
      <alignment horizontal="center" vertical="center"/>
    </xf>
    <xf numFmtId="166" fontId="21" fillId="0" borderId="0" applyAlignment="1" pivotButton="0" quotePrefix="0" xfId="3">
      <alignment vertical="center"/>
    </xf>
    <xf numFmtId="166" fontId="21" fillId="0" borderId="0" applyAlignment="1" pivotButton="0" quotePrefix="0" xfId="3">
      <alignment vertical="center"/>
    </xf>
    <xf numFmtId="0" fontId="86" fillId="0" borderId="0" applyAlignment="1" pivotButton="0" quotePrefix="0" xfId="0">
      <alignment horizontal="center" vertical="center"/>
    </xf>
    <xf numFmtId="0" fontId="41" fillId="0" borderId="3" applyAlignment="1" pivotButton="0" quotePrefix="0" xfId="0">
      <alignment horizontal="center" vertical="center" wrapText="1"/>
    </xf>
    <xf numFmtId="0" fontId="82" fillId="0" borderId="1" applyAlignment="1" pivotButton="0" quotePrefix="0" xfId="0">
      <alignment horizontal="center" vertical="center" wrapText="1"/>
    </xf>
    <xf numFmtId="0" fontId="87" fillId="0" borderId="3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41" fillId="0" borderId="7" applyAlignment="1" pivotButton="0" quotePrefix="0" xfId="0">
      <alignment horizontal="left" vertical="center"/>
    </xf>
    <xf numFmtId="0" fontId="21" fillId="9" borderId="3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/>
    </xf>
    <xf numFmtId="0" fontId="10" fillId="0" borderId="13" applyAlignment="1" pivotButton="0" quotePrefix="0" xfId="0">
      <alignment horizontal="center" vertical="center"/>
    </xf>
    <xf numFmtId="0" fontId="10" fillId="0" borderId="3" applyAlignment="1" pivotButton="0" quotePrefix="0" xfId="0">
      <alignment horizontal="right" vertical="center" wrapText="1"/>
    </xf>
    <xf numFmtId="0" fontId="42" fillId="0" borderId="3" applyAlignment="1" pivotButton="0" quotePrefix="0" xfId="0">
      <alignment horizontal="center" vertical="center"/>
    </xf>
    <xf numFmtId="0" fontId="30" fillId="9" borderId="7" applyAlignment="1" pivotButton="0" quotePrefix="0" xfId="0">
      <alignment horizontal="center" vertical="center"/>
    </xf>
    <xf numFmtId="0" fontId="29" fillId="0" borderId="3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31" fillId="0" borderId="1" applyAlignment="1" pivotButton="0" quotePrefix="0" xfId="0">
      <alignment vertical="center"/>
    </xf>
    <xf numFmtId="0" fontId="14" fillId="0" borderId="15" applyAlignment="1" pivotButton="0" quotePrefix="0" xfId="0">
      <alignment horizontal="center" vertical="center"/>
    </xf>
    <xf numFmtId="0" fontId="72" fillId="9" borderId="3" applyAlignment="1" pivotButton="0" quotePrefix="0" xfId="0">
      <alignment vertical="center"/>
    </xf>
    <xf numFmtId="0" fontId="82" fillId="9" borderId="4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 wrapText="1"/>
    </xf>
    <xf numFmtId="165" fontId="65" fillId="0" borderId="0" applyAlignment="1" pivotButton="0" quotePrefix="0" xfId="0">
      <alignment horizontal="center" vertical="center"/>
    </xf>
    <xf numFmtId="0" fontId="24" fillId="9" borderId="7" applyAlignment="1" pivotButton="0" quotePrefix="0" xfId="0">
      <alignment horizontal="center" vertical="center"/>
    </xf>
    <xf numFmtId="0" fontId="41" fillId="0" borderId="7" applyAlignment="1" pivotButton="0" quotePrefix="0" xfId="0">
      <alignment horizontal="center" vertical="center" wrapText="1"/>
    </xf>
    <xf numFmtId="0" fontId="86" fillId="0" borderId="0" applyAlignment="1" pivotButton="0" quotePrefix="0" xfId="0">
      <alignment horizontal="center" vertical="center" wrapText="1"/>
    </xf>
    <xf numFmtId="0" fontId="86" fillId="0" borderId="4" applyAlignment="1" pivotButton="0" quotePrefix="0" xfId="0">
      <alignment horizontal="center" vertical="center"/>
    </xf>
    <xf numFmtId="0" fontId="86" fillId="0" borderId="7" applyAlignment="1" pivotButton="0" quotePrefix="0" xfId="0">
      <alignment horizontal="center" vertical="center" wrapText="1"/>
    </xf>
    <xf numFmtId="0" fontId="8" fillId="0" borderId="9" applyAlignment="1" pivotButton="0" quotePrefix="0" xfId="0">
      <alignment horizontal="center" vertical="center"/>
    </xf>
    <xf numFmtId="164" fontId="0" fillId="0" borderId="3" applyAlignment="1" pivotButton="0" quotePrefix="0" xfId="1">
      <alignment horizontal="center" vertical="center"/>
    </xf>
    <xf numFmtId="165" fontId="21" fillId="0" borderId="3" applyAlignment="1" pivotButton="0" quotePrefix="0" xfId="0">
      <alignment horizontal="center" vertical="center"/>
    </xf>
    <xf numFmtId="165" fontId="0" fillId="0" borderId="3" applyAlignment="1" pivotButton="0" quotePrefix="0" xfId="0">
      <alignment horizontal="center" vertical="center"/>
    </xf>
    <xf numFmtId="165" fontId="0" fillId="0" borderId="3" applyAlignment="1" pivotButton="0" quotePrefix="0" xfId="0">
      <alignment vertical="center"/>
    </xf>
    <xf numFmtId="0" fontId="11" fillId="0" borderId="8" applyAlignment="1" pivotButton="0" quotePrefix="0" xfId="0">
      <alignment vertical="center" wrapText="1"/>
    </xf>
    <xf numFmtId="0" fontId="11" fillId="0" borderId="8" applyAlignment="1" pivotButton="0" quotePrefix="0" xfId="0">
      <alignment horizontal="center" vertical="center" wrapText="1"/>
    </xf>
    <xf numFmtId="0" fontId="3" fillId="0" borderId="11" applyAlignment="1" pivotButton="0" quotePrefix="0" xfId="0">
      <alignment horizontal="center" vertical="center" wrapText="1"/>
    </xf>
    <xf numFmtId="0" fontId="56" fillId="0" borderId="8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54" fillId="0" borderId="9" applyAlignment="1" pivotButton="0" quotePrefix="0" xfId="0">
      <alignment horizontal="center" vertical="center"/>
    </xf>
    <xf numFmtId="164" fontId="0" fillId="0" borderId="9" applyAlignment="1" pivotButton="0" quotePrefix="0" xfId="1">
      <alignment horizontal="center" vertical="center"/>
    </xf>
    <xf numFmtId="0" fontId="88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vertical="center"/>
    </xf>
    <xf numFmtId="165" fontId="57" fillId="0" borderId="9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165" fontId="89" fillId="0" borderId="0" applyAlignment="1" pivotButton="0" quotePrefix="0" xfId="0">
      <alignment horizontal="center" vertical="center"/>
    </xf>
    <xf numFmtId="164" fontId="6" fillId="0" borderId="0" applyAlignment="1" pivotButton="0" quotePrefix="0" xfId="1">
      <alignment horizontal="center" vertical="center"/>
    </xf>
    <xf numFmtId="0" fontId="83" fillId="0" borderId="11" applyAlignment="1" pivotButton="0" quotePrefix="0" xfId="0">
      <alignment horizontal="center" vertical="center" wrapText="1"/>
    </xf>
    <xf numFmtId="165" fontId="70" fillId="0" borderId="0" applyAlignment="1" pivotButton="0" quotePrefix="0" xfId="0">
      <alignment horizontal="center" vertical="center"/>
    </xf>
    <xf numFmtId="165" fontId="0" fillId="0" borderId="14" applyAlignment="1" pivotButton="0" quotePrefix="0" xfId="0">
      <alignment horizontal="center" vertical="center"/>
    </xf>
    <xf numFmtId="165" fontId="30" fillId="0" borderId="18" applyAlignment="1" pivotButton="0" quotePrefix="0" xfId="0">
      <alignment horizontal="center" vertical="center"/>
    </xf>
    <xf numFmtId="165" fontId="50" fillId="0" borderId="0" applyAlignment="1" pivotButton="0" quotePrefix="0" xfId="0">
      <alignment horizontal="center" vertical="center"/>
    </xf>
    <xf numFmtId="165" fontId="69" fillId="0" borderId="21" applyAlignment="1" pivotButton="0" quotePrefix="0" xfId="0">
      <alignment horizontal="center" vertical="center"/>
    </xf>
    <xf numFmtId="165" fontId="50" fillId="0" borderId="20" applyAlignment="1" pivotButton="0" quotePrefix="0" xfId="0">
      <alignment vertical="center"/>
    </xf>
    <xf numFmtId="165" fontId="30" fillId="0" borderId="20" applyAlignment="1" pivotButton="0" quotePrefix="0" xfId="0">
      <alignment vertical="center"/>
    </xf>
    <xf numFmtId="165" fontId="69" fillId="0" borderId="24" applyAlignment="1" pivotButton="0" quotePrefix="0" xfId="0">
      <alignment vertical="center"/>
    </xf>
    <xf numFmtId="0" fontId="11" fillId="0" borderId="6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center"/>
    </xf>
    <xf numFmtId="0" fontId="11" fillId="0" borderId="0" applyAlignment="1" pivotButton="0" quotePrefix="0" xfId="0">
      <alignment horizontal="right" vertical="center"/>
    </xf>
    <xf numFmtId="0" fontId="11" fillId="0" borderId="2" applyAlignment="1" pivotButton="0" quotePrefix="0" xfId="0">
      <alignment horizontal="center" vertical="center"/>
    </xf>
    <xf numFmtId="0" fontId="43" fillId="0" borderId="0" applyAlignment="1" pivotButton="0" quotePrefix="0" xfId="0">
      <alignment horizontal="right" vertical="center"/>
    </xf>
    <xf numFmtId="164" fontId="61" fillId="3" borderId="7" applyAlignment="1" pivotButton="0" quotePrefix="0" xfId="1">
      <alignment vertical="center"/>
    </xf>
    <xf numFmtId="0" fontId="17" fillId="0" borderId="0" applyAlignment="1" pivotButton="0" quotePrefix="0" xfId="0">
      <alignment horizontal="center" vertical="center"/>
    </xf>
    <xf numFmtId="164" fontId="24" fillId="0" borderId="0" applyAlignment="1" pivotButton="0" quotePrefix="0" xfId="1">
      <alignment vertical="center"/>
    </xf>
    <xf numFmtId="165" fontId="24" fillId="0" borderId="0" applyAlignment="1" pivotButton="0" quotePrefix="0" xfId="0">
      <alignment horizontal="center" vertical="center"/>
    </xf>
    <xf numFmtId="0" fontId="11" fillId="0" borderId="2" applyAlignment="1" pivotButton="0" quotePrefix="0" xfId="0">
      <alignment horizontal="right" vertical="center" wrapText="1"/>
    </xf>
    <xf numFmtId="0" fontId="43" fillId="0" borderId="3" applyAlignment="1" pivotButton="0" quotePrefix="0" xfId="0">
      <alignment horizontal="center" vertical="center"/>
    </xf>
    <xf numFmtId="0" fontId="11" fillId="0" borderId="3" applyAlignment="1" pivotButton="0" quotePrefix="0" xfId="0">
      <alignment horizontal="right" vertical="center" wrapText="1"/>
    </xf>
    <xf numFmtId="0" fontId="6" fillId="9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left" vertical="center"/>
    </xf>
    <xf numFmtId="0" fontId="82" fillId="0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22" fillId="10" borderId="3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vertical="center"/>
    </xf>
    <xf numFmtId="0" fontId="31" fillId="0" borderId="0" applyAlignment="1" pivotButton="0" quotePrefix="0" xfId="0">
      <alignment horizontal="center" vertical="center"/>
    </xf>
    <xf numFmtId="0" fontId="17" fillId="0" borderId="12" applyAlignment="1" pivotButton="0" quotePrefix="0" xfId="0">
      <alignment horizontal="center" vertical="center"/>
    </xf>
    <xf numFmtId="0" fontId="91" fillId="0" borderId="0" applyAlignment="1" pivotButton="0" quotePrefix="0" xfId="0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8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left" vertical="center"/>
    </xf>
    <xf numFmtId="0" fontId="82" fillId="9" borderId="7" applyAlignment="1" pivotButton="0" quotePrefix="0" xfId="0">
      <alignment horizontal="center" vertical="center"/>
    </xf>
    <xf numFmtId="0" fontId="29" fillId="9" borderId="3" applyAlignment="1" pivotButton="0" quotePrefix="0" xfId="0">
      <alignment horizontal="center" vertical="center"/>
    </xf>
    <xf numFmtId="0" fontId="31" fillId="9" borderId="7" applyAlignment="1" pivotButton="0" quotePrefix="0" xfId="0">
      <alignment horizontal="center" vertical="center"/>
    </xf>
    <xf numFmtId="0" fontId="10" fillId="9" borderId="7" applyAlignment="1" pivotButton="0" quotePrefix="0" xfId="0">
      <alignment horizontal="center" vertical="center"/>
    </xf>
    <xf numFmtId="0" fontId="11" fillId="9" borderId="7" applyAlignment="1" pivotButton="0" quotePrefix="0" xfId="0">
      <alignment horizontal="center" vertical="center"/>
    </xf>
    <xf numFmtId="0" fontId="29" fillId="9" borderId="7" applyAlignment="1" pivotButton="0" quotePrefix="0" xfId="0">
      <alignment horizontal="center" vertical="center"/>
    </xf>
    <xf numFmtId="0" fontId="3" fillId="9" borderId="7" applyAlignment="1" pivotButton="0" quotePrefix="0" xfId="0">
      <alignment horizontal="center" vertical="center"/>
    </xf>
    <xf numFmtId="0" fontId="93" fillId="14" borderId="0" applyAlignment="1" pivotButton="0" quotePrefix="0" xfId="4">
      <alignment vertical="center"/>
    </xf>
    <xf numFmtId="0" fontId="93" fillId="14" borderId="7" applyAlignment="1" pivotButton="0" quotePrefix="0" xfId="4">
      <alignment horizontal="center" vertical="center"/>
    </xf>
    <xf numFmtId="0" fontId="93" fillId="14" borderId="3" applyAlignment="1" pivotButton="0" quotePrefix="0" xfId="4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5" fillId="0" borderId="8" applyAlignment="1" pivotButton="0" quotePrefix="0" xfId="0">
      <alignment horizontal="center" vertical="center"/>
    </xf>
    <xf numFmtId="0" fontId="25" fillId="0" borderId="8" applyAlignment="1" pivotButton="0" quotePrefix="0" xfId="0">
      <alignment horizontal="center" vertical="center" wrapText="1"/>
    </xf>
    <xf numFmtId="0" fontId="31" fillId="0" borderId="3" applyAlignment="1" pivotButton="0" quotePrefix="0" xfId="0">
      <alignment horizontal="center" vertical="center"/>
    </xf>
    <xf numFmtId="0" fontId="14" fillId="0" borderId="12" applyAlignment="1" pivotButton="0" quotePrefix="0" xfId="0">
      <alignment horizontal="center" vertical="center"/>
    </xf>
    <xf numFmtId="0" fontId="91" fillId="0" borderId="3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 wrapText="1"/>
    </xf>
    <xf numFmtId="0" fontId="64" fillId="0" borderId="1" applyAlignment="1" pivotButton="0" quotePrefix="0" xfId="0">
      <alignment horizontal="center" vertical="center"/>
    </xf>
    <xf numFmtId="0" fontId="25" fillId="10" borderId="9" applyAlignment="1" pivotButton="0" quotePrefix="0" xfId="0">
      <alignment horizontal="center" vertical="center"/>
    </xf>
    <xf numFmtId="0" fontId="36" fillId="0" borderId="3" applyAlignment="1" pivotButton="0" quotePrefix="0" xfId="0">
      <alignment horizontal="center" vertical="center"/>
    </xf>
    <xf numFmtId="0" fontId="31" fillId="10" borderId="3" applyAlignment="1" pivotButton="0" quotePrefix="0" xfId="0">
      <alignment horizontal="center" vertical="center"/>
    </xf>
    <xf numFmtId="0" fontId="82" fillId="0" borderId="25" applyAlignment="1" pivotButton="0" quotePrefix="0" xfId="0">
      <alignment horizontal="center" vertical="center"/>
    </xf>
    <xf numFmtId="0" fontId="91" fillId="0" borderId="25" applyAlignment="1" pivotButton="0" quotePrefix="0" xfId="0">
      <alignment horizontal="center" vertical="center"/>
    </xf>
    <xf numFmtId="0" fontId="25" fillId="0" borderId="25" applyAlignment="1" pivotButton="0" quotePrefix="0" xfId="0">
      <alignment horizontal="left" vertical="center"/>
    </xf>
    <xf numFmtId="0" fontId="82" fillId="9" borderId="25" applyAlignment="1" pivotButton="0" quotePrefix="0" xfId="0">
      <alignment horizontal="center" vertical="center"/>
    </xf>
    <xf numFmtId="0" fontId="10" fillId="9" borderId="25" applyAlignment="1" pivotButton="0" quotePrefix="0" xfId="0">
      <alignment horizontal="center" vertical="center"/>
    </xf>
    <xf numFmtId="0" fontId="11" fillId="9" borderId="25" applyAlignment="1" pivotButton="0" quotePrefix="0" xfId="0">
      <alignment horizontal="center" vertical="center"/>
    </xf>
    <xf numFmtId="0" fontId="3" fillId="9" borderId="25" applyAlignment="1" pivotButton="0" quotePrefix="0" xfId="0">
      <alignment horizontal="center" vertical="center"/>
    </xf>
    <xf numFmtId="0" fontId="31" fillId="0" borderId="25" applyAlignment="1" pivotButton="0" quotePrefix="0" xfId="0">
      <alignment horizontal="center" vertical="center"/>
    </xf>
    <xf numFmtId="0" fontId="40" fillId="15" borderId="25" applyAlignment="1" pivotButton="0" quotePrefix="0" xfId="0">
      <alignment horizontal="center" vertical="center"/>
    </xf>
    <xf numFmtId="0" fontId="40" fillId="15" borderId="25" applyAlignment="1" pivotButton="0" quotePrefix="0" xfId="0">
      <alignment horizontal="left" vertical="center"/>
    </xf>
    <xf numFmtId="0" fontId="0" fillId="16" borderId="8" applyAlignment="1" pivotButton="0" quotePrefix="0" xfId="0">
      <alignment horizontal="center" vertical="center"/>
    </xf>
    <xf numFmtId="0" fontId="64" fillId="0" borderId="8" applyAlignment="1" pivotButton="0" quotePrefix="0" xfId="0">
      <alignment horizontal="center" vertical="center"/>
    </xf>
    <xf numFmtId="0" fontId="31" fillId="10" borderId="7" applyAlignment="1" pivotButton="0" quotePrefix="0" xfId="0">
      <alignment horizontal="center" vertical="center"/>
    </xf>
    <xf numFmtId="0" fontId="94" fillId="14" borderId="25" applyAlignment="1" pivotButton="0" quotePrefix="0" xfId="4">
      <alignment horizontal="center" vertical="center"/>
    </xf>
    <xf numFmtId="0" fontId="41" fillId="0" borderId="0" applyAlignment="1" pivotButton="0" quotePrefix="0" xfId="0">
      <alignment horizontal="center" vertical="center" wrapText="1"/>
    </xf>
    <xf numFmtId="164" fontId="17" fillId="0" borderId="9" applyAlignment="1" pivotButton="0" quotePrefix="0" xfId="1">
      <alignment horizontal="center" vertical="center"/>
    </xf>
    <xf numFmtId="164" fontId="17" fillId="0" borderId="0" applyAlignment="1" pivotButton="0" quotePrefix="0" xfId="1">
      <alignment horizontal="center" vertical="center"/>
    </xf>
    <xf numFmtId="0" fontId="83" fillId="0" borderId="1" applyAlignment="1" pivotButton="0" quotePrefix="0" xfId="0">
      <alignment horizontal="center" vertical="center" wrapText="1"/>
    </xf>
    <xf numFmtId="0" fontId="83" fillId="0" borderId="8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10" fillId="0" borderId="4" applyAlignment="1" pivotButton="0" quotePrefix="0" xfId="0">
      <alignment horizontal="center" vertical="center"/>
    </xf>
    <xf numFmtId="0" fontId="83" fillId="0" borderId="4" applyAlignment="1" pivotButton="0" quotePrefix="0" xfId="0">
      <alignment horizontal="center" vertical="center" wrapText="1"/>
    </xf>
    <xf numFmtId="0" fontId="83" fillId="0" borderId="1" applyAlignment="1" pivotButton="0" quotePrefix="0" xfId="0">
      <alignment horizontal="center" vertical="center"/>
    </xf>
    <xf numFmtId="0" fontId="83" fillId="0" borderId="4" applyAlignment="1" pivotButton="0" quotePrefix="0" xfId="0">
      <alignment horizontal="center" vertical="center"/>
    </xf>
    <xf numFmtId="0" fontId="83" fillId="0" borderId="8" applyAlignment="1" pivotButton="0" quotePrefix="0" xfId="0">
      <alignment horizontal="center" vertical="center"/>
    </xf>
    <xf numFmtId="0" fontId="82" fillId="0" borderId="1" applyAlignment="1" pivotButton="0" quotePrefix="0" xfId="0">
      <alignment horizontal="center" vertical="center" wrapText="1"/>
    </xf>
    <xf numFmtId="0" fontId="82" fillId="0" borderId="4" applyAlignment="1" pivotButton="0" quotePrefix="0" xfId="0">
      <alignment horizontal="center" vertical="center" wrapText="1"/>
    </xf>
    <xf numFmtId="0" fontId="82" fillId="0" borderId="8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1" fillId="0" borderId="1" applyAlignment="1" pivotButton="0" quotePrefix="0" xfId="0">
      <alignment horizontal="center" vertical="center"/>
    </xf>
    <xf numFmtId="0" fontId="31" fillId="0" borderId="4" applyAlignment="1" pivotButton="0" quotePrefix="0" xfId="0">
      <alignment horizontal="center" vertical="center"/>
    </xf>
    <xf numFmtId="0" fontId="31" fillId="0" borderId="8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82" fillId="0" borderId="1" applyAlignment="1" pivotButton="0" quotePrefix="0" xfId="0">
      <alignment horizontal="center" vertical="center"/>
    </xf>
    <xf numFmtId="0" fontId="82" fillId="0" borderId="8" applyAlignment="1" pivotButton="0" quotePrefix="0" xfId="0">
      <alignment horizontal="center" vertical="center"/>
    </xf>
    <xf numFmtId="0" fontId="31" fillId="0" borderId="1" applyAlignment="1" pivotButton="0" quotePrefix="0" xfId="0">
      <alignment horizontal="center" vertical="center" wrapText="1"/>
    </xf>
    <xf numFmtId="0" fontId="31" fillId="0" borderId="8" applyAlignment="1" pivotButton="0" quotePrefix="0" xfId="0">
      <alignment horizontal="center" vertical="center" wrapText="1"/>
    </xf>
    <xf numFmtId="0" fontId="31" fillId="0" borderId="4" applyAlignment="1" pivotButton="0" quotePrefix="0" xfId="0">
      <alignment horizontal="center" vertical="center" wrapText="1"/>
    </xf>
    <xf numFmtId="0" fontId="25" fillId="0" borderId="11" applyAlignment="1" pivotButton="0" quotePrefix="0" xfId="0">
      <alignment horizontal="center" vertical="center"/>
    </xf>
    <xf numFmtId="0" fontId="25" fillId="0" borderId="12" applyAlignment="1" pivotButton="0" quotePrefix="0" xfId="0">
      <alignment horizontal="center" vertical="center"/>
    </xf>
    <xf numFmtId="0" fontId="31" fillId="0" borderId="3" applyAlignment="1" pivotButton="0" quotePrefix="0" xfId="0">
      <alignment horizontal="center" vertical="center"/>
    </xf>
    <xf numFmtId="0" fontId="82" fillId="0" borderId="3" applyAlignment="1" pivotButton="0" quotePrefix="0" xfId="0">
      <alignment horizontal="center" vertical="center"/>
    </xf>
    <xf numFmtId="0" fontId="92" fillId="0" borderId="7" applyAlignment="1" pivotButton="0" quotePrefix="0" xfId="0">
      <alignment horizontal="center" vertical="center"/>
    </xf>
    <xf numFmtId="0" fontId="92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/>
    </xf>
    <xf numFmtId="0" fontId="11" fillId="0" borderId="9" applyAlignment="1" pivotButton="0" quotePrefix="0" xfId="0">
      <alignment horizontal="center" vertical="center"/>
    </xf>
    <xf numFmtId="0" fontId="82" fillId="16" borderId="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0" fillId="16" borderId="2" applyAlignment="1" pivotButton="0" quotePrefix="0" xfId="0">
      <alignment horizontal="center" vertical="center"/>
    </xf>
    <xf numFmtId="0" fontId="92" fillId="16" borderId="7" applyAlignment="1" pivotButton="0" quotePrefix="0" xfId="0">
      <alignment horizontal="center" vertical="center" wrapText="1"/>
    </xf>
    <xf numFmtId="0" fontId="31" fillId="0" borderId="7" applyAlignment="1" pivotButton="0" quotePrefix="0" xfId="0">
      <alignment horizontal="center" vertical="center"/>
    </xf>
    <xf numFmtId="0" fontId="64" fillId="0" borderId="7" applyAlignment="1" pivotButton="0" quotePrefix="0" xfId="0">
      <alignment horizontal="center" vertical="center"/>
    </xf>
    <xf numFmtId="0" fontId="25" fillId="0" borderId="11" applyAlignment="1" pivotButton="0" quotePrefix="0" xfId="0">
      <alignment horizontal="center" vertical="center" wrapText="1"/>
    </xf>
    <xf numFmtId="0" fontId="25" fillId="0" borderId="12" applyAlignment="1" pivotButton="0" quotePrefix="0" xfId="0">
      <alignment horizontal="center" vertical="center" wrapText="1"/>
    </xf>
    <xf numFmtId="0" fontId="25" fillId="0" borderId="13" applyAlignment="1" pivotButton="0" quotePrefix="0" xfId="0">
      <alignment horizontal="center" vertical="center"/>
    </xf>
    <xf numFmtId="0" fontId="82" fillId="0" borderId="26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28" applyAlignment="1" pivotButton="0" quotePrefix="0" xfId="0">
      <alignment horizontal="center" vertical="center"/>
    </xf>
    <xf numFmtId="0" fontId="11" fillId="0" borderId="6" applyAlignment="1" pivotButton="0" quotePrefix="0" xfId="0">
      <alignment horizontal="center" vertical="center" wrapText="1"/>
    </xf>
    <xf numFmtId="0" fontId="11" fillId="0" borderId="10" applyAlignment="1" pivotButton="0" quotePrefix="0" xfId="0">
      <alignment horizontal="center" vertical="center" wrapText="1"/>
    </xf>
    <xf numFmtId="0" fontId="17" fillId="0" borderId="10" applyAlignment="1" pivotButton="0" quotePrefix="0" xfId="0">
      <alignment horizontal="center" vertical="center"/>
    </xf>
    <xf numFmtId="0" fontId="17" fillId="0" borderId="5" applyAlignment="1" pivotButton="0" quotePrefix="0" xfId="0">
      <alignment horizontal="center" vertical="center"/>
    </xf>
    <xf numFmtId="0" fontId="17" fillId="0" borderId="15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0" borderId="12" applyAlignment="1" pivotButton="0" quotePrefix="0" xfId="0">
      <alignment horizontal="center" vertical="center"/>
    </xf>
    <xf numFmtId="0" fontId="17" fillId="0" borderId="14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/>
    </xf>
    <xf numFmtId="0" fontId="25" fillId="0" borderId="6" applyAlignment="1" pivotButton="0" quotePrefix="0" xfId="0">
      <alignment horizontal="center" vertical="center"/>
    </xf>
    <xf numFmtId="0" fontId="25" fillId="0" borderId="15" applyAlignment="1" pivotButton="0" quotePrefix="0" xfId="0">
      <alignment horizontal="center" vertical="center"/>
    </xf>
    <xf numFmtId="0" fontId="25" fillId="0" borderId="8" applyAlignment="1" pivotButton="0" quotePrefix="0" xfId="0">
      <alignment horizontal="center" vertical="center"/>
    </xf>
    <xf numFmtId="0" fontId="64" fillId="0" borderId="11" applyAlignment="1" pivotButton="0" quotePrefix="0" xfId="0">
      <alignment horizontal="center" vertical="center"/>
    </xf>
    <xf numFmtId="0" fontId="64" fillId="0" borderId="12" applyAlignment="1" pivotButton="0" quotePrefix="0" xfId="0">
      <alignment horizontal="center" vertical="center"/>
    </xf>
    <xf numFmtId="0" fontId="64" fillId="0" borderId="13" applyAlignment="1" pivotButton="0" quotePrefix="0" xfId="0">
      <alignment horizontal="center" vertical="center"/>
    </xf>
    <xf numFmtId="0" fontId="9" fillId="17" borderId="0" applyAlignment="1" pivotButton="0" quotePrefix="0" xfId="0">
      <alignment horizontal="left" vertical="center"/>
    </xf>
    <xf numFmtId="0" fontId="36" fillId="17" borderId="0" applyAlignment="1" pivotButton="0" quotePrefix="0" xfId="0">
      <alignment horizontal="center" vertical="center"/>
    </xf>
    <xf numFmtId="0" fontId="25" fillId="17" borderId="11" applyAlignment="1" pivotButton="0" quotePrefix="0" xfId="0">
      <alignment horizontal="center" vertical="center"/>
    </xf>
    <xf numFmtId="0" fontId="91" fillId="17" borderId="3" applyAlignment="1" pivotButton="0" quotePrefix="0" xfId="0">
      <alignment horizontal="center" vertical="center"/>
    </xf>
    <xf numFmtId="0" fontId="36" fillId="17" borderId="3" applyAlignment="1" pivotButton="0" quotePrefix="0" xfId="0">
      <alignment horizontal="center" vertical="center"/>
    </xf>
    <xf numFmtId="0" fontId="11" fillId="17" borderId="8" applyAlignment="1" pivotButton="0" quotePrefix="0" xfId="0">
      <alignment horizontal="center" vertical="center"/>
    </xf>
    <xf numFmtId="0" fontId="64" fillId="17" borderId="8" applyAlignment="1" pivotButton="0" quotePrefix="0" xfId="0">
      <alignment horizontal="center" vertical="center"/>
    </xf>
    <xf numFmtId="0" fontId="0" fillId="17" borderId="8" applyAlignment="1" pivotButton="0" quotePrefix="0" xfId="0">
      <alignment horizontal="center" vertical="center"/>
    </xf>
    <xf numFmtId="0" fontId="82" fillId="17" borderId="3" applyAlignment="1" pivotButton="0" quotePrefix="0" xfId="0">
      <alignment horizontal="center" vertical="center"/>
    </xf>
    <xf numFmtId="0" fontId="14" fillId="17" borderId="12" applyAlignment="1" pivotButton="0" quotePrefix="0" xfId="0">
      <alignment horizontal="center" vertical="center"/>
    </xf>
    <xf numFmtId="0" fontId="96" fillId="18" borderId="25" applyAlignment="1" pivotButton="0" quotePrefix="0" xfId="0">
      <alignment horizontal="center" vertical="center"/>
    </xf>
    <xf numFmtId="0" fontId="95" fillId="19" borderId="25" applyAlignment="1" pivotButton="0" quotePrefix="0" xfId="0">
      <alignment horizontal="center" vertical="center"/>
    </xf>
    <xf numFmtId="0" fontId="95" fillId="19" borderId="7" applyAlignment="1" pivotButton="0" quotePrefix="0" xfId="0">
      <alignment horizontal="center" vertical="center"/>
    </xf>
    <xf numFmtId="0" fontId="82" fillId="20" borderId="3" applyAlignment="1" pivotButton="0" quotePrefix="0" xfId="0">
      <alignment horizontal="center" vertical="center" wrapText="1"/>
    </xf>
    <xf numFmtId="0" fontId="64" fillId="21" borderId="8" applyAlignment="1" pivotButton="0" quotePrefix="0" xfId="0">
      <alignment horizontal="center" vertical="center" wrapText="1"/>
    </xf>
    <xf numFmtId="0" fontId="3" fillId="20" borderId="3" applyAlignment="1" pivotButton="0" quotePrefix="0" xfId="0">
      <alignment horizontal="center" vertical="center" wrapText="1"/>
    </xf>
    <xf numFmtId="0" fontId="0" fillId="0" borderId="0" pivotButton="0" quotePrefix="0" xfId="0"/>
    <xf numFmtId="164" fontId="0" fillId="0" borderId="0" applyAlignment="1" pivotButton="0" quotePrefix="0" xfId="1">
      <alignment vertical="center"/>
    </xf>
    <xf numFmtId="165" fontId="0" fillId="0" borderId="0" applyAlignment="1" pivotButton="0" quotePrefix="0" xfId="0">
      <alignment vertical="center"/>
    </xf>
    <xf numFmtId="165" fontId="34" fillId="0" borderId="0" applyAlignment="1" pivotButton="0" quotePrefix="0" xfId="0">
      <alignment vertical="center"/>
    </xf>
    <xf numFmtId="165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1">
      <alignment vertical="center" wrapText="1"/>
    </xf>
    <xf numFmtId="165" fontId="0" fillId="0" borderId="0" applyAlignment="1" pivotButton="0" quotePrefix="0" xfId="0">
      <alignment vertical="center" wrapText="1"/>
    </xf>
    <xf numFmtId="165" fontId="34" fillId="0" borderId="0" applyAlignment="1" pivotButton="0" quotePrefix="0" xfId="0">
      <alignment vertical="center" wrapText="1"/>
    </xf>
    <xf numFmtId="165" fontId="0" fillId="0" borderId="0" applyAlignment="1" pivotButton="0" quotePrefix="0" xfId="0">
      <alignment horizontal="center" vertical="center" wrapText="1"/>
    </xf>
    <xf numFmtId="164" fontId="0" fillId="0" borderId="7" applyAlignment="1" pivotButton="0" quotePrefix="0" xfId="1">
      <alignment horizontal="center" vertical="center"/>
    </xf>
    <xf numFmtId="164" fontId="17" fillId="0" borderId="9" applyAlignment="1" pivotButton="0" quotePrefix="0" xfId="1">
      <alignment horizontal="center" vertical="center"/>
    </xf>
    <xf numFmtId="0" fontId="0" fillId="0" borderId="9" pivotButton="0" quotePrefix="0" xfId="0"/>
    <xf numFmtId="165" fontId="21" fillId="0" borderId="9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 vertical="center"/>
    </xf>
    <xf numFmtId="164" fontId="70" fillId="9" borderId="3" applyAlignment="1" pivotButton="0" quotePrefix="0" xfId="1">
      <alignment vertical="center"/>
    </xf>
    <xf numFmtId="164" fontId="32" fillId="0" borderId="0" applyAlignment="1" pivotButton="0" quotePrefix="0" xfId="1">
      <alignment vertical="center"/>
    </xf>
    <xf numFmtId="165" fontId="20" fillId="0" borderId="0" applyAlignment="1" pivotButton="0" quotePrefix="0" xfId="0">
      <alignment vertical="center"/>
    </xf>
    <xf numFmtId="165" fontId="21" fillId="0" borderId="0" applyAlignment="1" pivotButton="0" quotePrefix="0" xfId="0">
      <alignment vertical="center"/>
    </xf>
    <xf numFmtId="165" fontId="19" fillId="0" borderId="0" applyAlignment="1" pivotButton="0" quotePrefix="0" xfId="0">
      <alignment horizontal="center" vertical="center"/>
    </xf>
    <xf numFmtId="164" fontId="0" fillId="9" borderId="3" applyAlignment="1" pivotButton="0" quotePrefix="0" xfId="1">
      <alignment vertical="center"/>
    </xf>
    <xf numFmtId="0" fontId="0" fillId="0" borderId="4" pivotButton="0" quotePrefix="0" xfId="0"/>
    <xf numFmtId="0" fontId="0" fillId="0" borderId="8" pivotButton="0" quotePrefix="0" xfId="0"/>
    <xf numFmtId="164" fontId="0" fillId="0" borderId="3" applyAlignment="1" pivotButton="0" quotePrefix="0" xfId="1">
      <alignment vertical="center"/>
    </xf>
    <xf numFmtId="164" fontId="14" fillId="10" borderId="7" applyAlignment="1" pivotButton="0" quotePrefix="0" xfId="1">
      <alignment vertical="center"/>
    </xf>
    <xf numFmtId="164" fontId="74" fillId="10" borderId="7" applyAlignment="1" pivotButton="0" quotePrefix="0" xfId="1">
      <alignment vertical="center"/>
    </xf>
    <xf numFmtId="164" fontId="17" fillId="10" borderId="7" applyAlignment="1" pivotButton="0" quotePrefix="0" xfId="1">
      <alignment vertical="center"/>
    </xf>
    <xf numFmtId="164" fontId="21" fillId="10" borderId="7" applyAlignment="1" pivotButton="0" quotePrefix="0" xfId="1">
      <alignment vertical="center"/>
    </xf>
    <xf numFmtId="165" fontId="14" fillId="10" borderId="9" applyAlignment="1" pivotButton="0" quotePrefix="0" xfId="0">
      <alignment vertical="center"/>
    </xf>
    <xf numFmtId="165" fontId="14" fillId="10" borderId="2" applyAlignment="1" pivotButton="0" quotePrefix="0" xfId="0">
      <alignment vertical="center"/>
    </xf>
    <xf numFmtId="164" fontId="73" fillId="0" borderId="0" applyAlignment="1" pivotButton="0" quotePrefix="0" xfId="1">
      <alignment vertical="center"/>
    </xf>
    <xf numFmtId="165" fontId="17" fillId="0" borderId="0" applyAlignment="1" pivotButton="0" quotePrefix="0" xfId="0">
      <alignment vertical="center"/>
    </xf>
    <xf numFmtId="165" fontId="57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5" fontId="34" fillId="0" borderId="0" applyAlignment="1" pivotButton="0" quotePrefix="0" xfId="0">
      <alignment horizontal="center" vertical="center"/>
    </xf>
    <xf numFmtId="165" fontId="9" fillId="10" borderId="9" applyAlignment="1" pivotButton="0" quotePrefix="0" xfId="0">
      <alignment vertical="center"/>
    </xf>
    <xf numFmtId="164" fontId="2" fillId="0" borderId="0" applyAlignment="1" pivotButton="0" quotePrefix="0" xfId="1">
      <alignment vertical="center"/>
    </xf>
    <xf numFmtId="164" fontId="26" fillId="0" borderId="0" applyAlignment="1" pivotButton="0" quotePrefix="0" xfId="1">
      <alignment vertical="center"/>
    </xf>
    <xf numFmtId="164" fontId="16" fillId="10" borderId="7" applyAlignment="1" pivotButton="0" quotePrefix="0" xfId="1">
      <alignment vertical="center"/>
    </xf>
    <xf numFmtId="164" fontId="70" fillId="9" borderId="0" applyAlignment="1" pivotButton="0" quotePrefix="0" xfId="1">
      <alignment vertical="center"/>
    </xf>
    <xf numFmtId="164" fontId="0" fillId="9" borderId="0" applyAlignment="1" pivotButton="0" quotePrefix="0" xfId="1">
      <alignment vertical="center"/>
    </xf>
    <xf numFmtId="165" fontId="30" fillId="0" borderId="9" applyAlignment="1" pivotButton="0" quotePrefix="0" xfId="0">
      <alignment horizontal="center" vertical="center"/>
    </xf>
    <xf numFmtId="165" fontId="0" fillId="0" borderId="9" applyAlignment="1" pivotButton="0" quotePrefix="0" xfId="0">
      <alignment vertical="center"/>
    </xf>
    <xf numFmtId="165" fontId="21" fillId="0" borderId="0" applyAlignment="1" pivotButton="0" quotePrefix="0" xfId="0">
      <alignment horizontal="center" vertical="center"/>
    </xf>
    <xf numFmtId="165" fontId="30" fillId="0" borderId="0" applyAlignment="1" pivotButton="0" quotePrefix="0" xfId="0">
      <alignment horizontal="center" vertical="center"/>
    </xf>
    <xf numFmtId="164" fontId="61" fillId="9" borderId="10" applyAlignment="1" pivotButton="0" quotePrefix="0" xfId="1">
      <alignment vertical="center"/>
    </xf>
    <xf numFmtId="164" fontId="16" fillId="9" borderId="10" applyAlignment="1" pivotButton="0" quotePrefix="0" xfId="1">
      <alignment vertical="center"/>
    </xf>
    <xf numFmtId="164" fontId="17" fillId="9" borderId="10" applyAlignment="1" pivotButton="0" quotePrefix="0" xfId="1">
      <alignment vertical="center"/>
    </xf>
    <xf numFmtId="164" fontId="21" fillId="9" borderId="10" applyAlignment="1" pivotButton="0" quotePrefix="0" xfId="1">
      <alignment vertical="center"/>
    </xf>
    <xf numFmtId="164" fontId="30" fillId="9" borderId="10" applyAlignment="1" pivotButton="0" quotePrefix="0" xfId="1">
      <alignment vertical="center"/>
    </xf>
    <xf numFmtId="165" fontId="14" fillId="0" borderId="10" applyAlignment="1" pivotButton="0" quotePrefix="0" xfId="0">
      <alignment vertical="center"/>
    </xf>
    <xf numFmtId="164" fontId="14" fillId="0" borderId="12" applyAlignment="1" pivotButton="0" quotePrefix="0" xfId="1">
      <alignment vertical="center"/>
    </xf>
    <xf numFmtId="164" fontId="16" fillId="0" borderId="12" applyAlignment="1" pivotButton="0" quotePrefix="0" xfId="1">
      <alignment vertical="center"/>
    </xf>
    <xf numFmtId="164" fontId="17" fillId="0" borderId="12" applyAlignment="1" pivotButton="0" quotePrefix="0" xfId="1">
      <alignment vertical="center"/>
    </xf>
    <xf numFmtId="164" fontId="21" fillId="0" borderId="12" applyAlignment="1" pivotButton="0" quotePrefix="0" xfId="1">
      <alignment vertical="center"/>
    </xf>
    <xf numFmtId="165" fontId="30" fillId="0" borderId="12" applyAlignment="1" pivotButton="0" quotePrefix="0" xfId="0">
      <alignment horizontal="center" vertical="center"/>
    </xf>
    <xf numFmtId="165" fontId="0" fillId="0" borderId="12" applyAlignment="1" pivotButton="0" quotePrefix="0" xfId="0">
      <alignment vertical="center"/>
    </xf>
    <xf numFmtId="164" fontId="14" fillId="9" borderId="0" applyAlignment="1" pivotButton="0" quotePrefix="0" xfId="1">
      <alignment vertical="center"/>
    </xf>
    <xf numFmtId="164" fontId="16" fillId="9" borderId="0" applyAlignment="1" pivotButton="0" quotePrefix="0" xfId="1">
      <alignment vertical="center"/>
    </xf>
    <xf numFmtId="164" fontId="17" fillId="9" borderId="0" applyAlignment="1" pivotButton="0" quotePrefix="0" xfId="1">
      <alignment vertical="center"/>
    </xf>
    <xf numFmtId="164" fontId="21" fillId="9" borderId="0" applyAlignment="1" pivotButton="0" quotePrefix="0" xfId="1">
      <alignment vertical="center"/>
    </xf>
    <xf numFmtId="165" fontId="14" fillId="9" borderId="0" applyAlignment="1" pivotButton="0" quotePrefix="0" xfId="0">
      <alignment vertical="center"/>
    </xf>
    <xf numFmtId="164" fontId="70" fillId="0" borderId="0" applyAlignment="1" pivotButton="0" quotePrefix="0" xfId="1">
      <alignment vertical="center"/>
    </xf>
    <xf numFmtId="164" fontId="73" fillId="10" borderId="7" applyAlignment="1" pivotButton="0" quotePrefix="0" xfId="1">
      <alignment vertical="center"/>
    </xf>
    <xf numFmtId="164" fontId="14" fillId="0" borderId="0" applyAlignment="1" pivotButton="0" quotePrefix="0" xfId="1">
      <alignment vertical="center"/>
    </xf>
    <xf numFmtId="164" fontId="16" fillId="0" borderId="0" applyAlignment="1" pivotButton="0" quotePrefix="0" xfId="1">
      <alignment vertical="center"/>
    </xf>
    <xf numFmtId="164" fontId="17" fillId="0" borderId="0" applyAlignment="1" pivotButton="0" quotePrefix="0" xfId="1">
      <alignment vertical="center"/>
    </xf>
    <xf numFmtId="164" fontId="21" fillId="0" borderId="0" applyAlignment="1" pivotButton="0" quotePrefix="0" xfId="1">
      <alignment vertical="center"/>
    </xf>
    <xf numFmtId="165" fontId="14" fillId="0" borderId="0" applyAlignment="1" pivotButton="0" quotePrefix="0" xfId="0">
      <alignment vertical="center"/>
    </xf>
    <xf numFmtId="164" fontId="0" fillId="0" borderId="3" applyAlignment="1" pivotButton="0" quotePrefix="0" xfId="1">
      <alignment horizontal="center" vertical="center"/>
    </xf>
    <xf numFmtId="165" fontId="21" fillId="0" borderId="3" applyAlignment="1" pivotButton="0" quotePrefix="0" xfId="0">
      <alignment horizontal="center" vertical="center"/>
    </xf>
    <xf numFmtId="165" fontId="0" fillId="0" borderId="3" applyAlignment="1" pivotButton="0" quotePrefix="0" xfId="0">
      <alignment horizontal="center" vertical="center"/>
    </xf>
    <xf numFmtId="165" fontId="0" fillId="0" borderId="3" applyAlignment="1" pivotButton="0" quotePrefix="0" xfId="0">
      <alignment vertical="center"/>
    </xf>
    <xf numFmtId="164" fontId="74" fillId="0" borderId="0" applyAlignment="1" pivotButton="0" quotePrefix="0" xfId="1">
      <alignment vertical="center"/>
    </xf>
    <xf numFmtId="165" fontId="19" fillId="0" borderId="9" applyAlignment="1" pivotButton="0" quotePrefix="0" xfId="0">
      <alignment horizontal="center" vertical="center"/>
    </xf>
    <xf numFmtId="164" fontId="0" fillId="0" borderId="0" applyAlignment="1" pivotButton="0" quotePrefix="0" xfId="1">
      <alignment horizontal="center" vertical="center"/>
    </xf>
    <xf numFmtId="164" fontId="16" fillId="0" borderId="0" applyAlignment="1" pivotButton="0" quotePrefix="0" xfId="1">
      <alignment horizontal="center" vertical="center"/>
    </xf>
    <xf numFmtId="165" fontId="17" fillId="0" borderId="0" applyAlignment="1" pivotButton="0" quotePrefix="0" xfId="0">
      <alignment horizontal="center" vertical="center"/>
    </xf>
    <xf numFmtId="164" fontId="34" fillId="0" borderId="0" applyAlignment="1" pivotButton="0" quotePrefix="0" xfId="1">
      <alignment vertical="center"/>
    </xf>
    <xf numFmtId="164" fontId="0" fillId="0" borderId="9" applyAlignment="1" pivotButton="0" quotePrefix="0" xfId="1">
      <alignment horizontal="center" vertical="center"/>
    </xf>
    <xf numFmtId="165" fontId="8" fillId="0" borderId="9" applyAlignment="1" pivotButton="0" quotePrefix="0" xfId="0">
      <alignment horizontal="center" vertical="center"/>
    </xf>
    <xf numFmtId="164" fontId="26" fillId="0" borderId="0" applyAlignment="1" pivotButton="0" quotePrefix="0" xfId="1">
      <alignment horizontal="center" vertical="center"/>
    </xf>
    <xf numFmtId="164" fontId="70" fillId="0" borderId="0" applyAlignment="1" pivotButton="0" quotePrefix="0" xfId="1">
      <alignment horizontal="center" vertical="center"/>
    </xf>
    <xf numFmtId="164" fontId="65" fillId="0" borderId="0" applyAlignment="1" pivotButton="0" quotePrefix="0" xfId="1">
      <alignment vertical="center"/>
    </xf>
    <xf numFmtId="165" fontId="65" fillId="0" borderId="0" applyAlignment="1" pivotButton="0" quotePrefix="0" xfId="0">
      <alignment horizontal="center" vertical="center"/>
    </xf>
    <xf numFmtId="165" fontId="65" fillId="0" borderId="0" applyAlignment="1" pivotButton="0" quotePrefix="0" xfId="0">
      <alignment vertical="center"/>
    </xf>
    <xf numFmtId="164" fontId="20" fillId="0" borderId="0" applyAlignment="1" pivotButton="0" quotePrefix="0" xfId="1">
      <alignment vertical="center"/>
    </xf>
    <xf numFmtId="164" fontId="14" fillId="3" borderId="7" applyAlignment="1" pivotButton="0" quotePrefix="0" xfId="1">
      <alignment vertical="center"/>
    </xf>
    <xf numFmtId="164" fontId="16" fillId="3" borderId="7" applyAlignment="1" pivotButton="0" quotePrefix="0" xfId="1">
      <alignment vertical="center"/>
    </xf>
    <xf numFmtId="164" fontId="17" fillId="3" borderId="7" applyAlignment="1" pivotButton="0" quotePrefix="0" xfId="1">
      <alignment vertical="center"/>
    </xf>
    <xf numFmtId="164" fontId="21" fillId="3" borderId="7" applyAlignment="1" pivotButton="0" quotePrefix="0" xfId="1">
      <alignment vertical="center"/>
    </xf>
    <xf numFmtId="165" fontId="14" fillId="3" borderId="2" applyAlignment="1" pivotButton="0" quotePrefix="0" xfId="0">
      <alignment vertical="center"/>
    </xf>
    <xf numFmtId="164" fontId="14" fillId="11" borderId="0" applyAlignment="1" pivotButton="0" quotePrefix="0" xfId="1">
      <alignment vertical="center"/>
    </xf>
    <xf numFmtId="164" fontId="16" fillId="11" borderId="0" applyAlignment="1" pivotButton="0" quotePrefix="0" xfId="1">
      <alignment vertical="center"/>
    </xf>
    <xf numFmtId="164" fontId="17" fillId="11" borderId="0" applyAlignment="1" pivotButton="0" quotePrefix="0" xfId="1">
      <alignment vertical="center"/>
    </xf>
    <xf numFmtId="164" fontId="21" fillId="11" borderId="0" applyAlignment="1" pivotButton="0" quotePrefix="0" xfId="1">
      <alignment vertical="center"/>
    </xf>
    <xf numFmtId="165" fontId="14" fillId="11" borderId="0" applyAlignment="1" pivotButton="0" quotePrefix="0" xfId="0">
      <alignment vertical="center"/>
    </xf>
    <xf numFmtId="165" fontId="33" fillId="0" borderId="9" applyAlignment="1" pivotButton="0" quotePrefix="0" xfId="0">
      <alignment horizontal="center" vertical="center"/>
    </xf>
    <xf numFmtId="165" fontId="57" fillId="5" borderId="9" applyAlignment="1" pivotButton="0" quotePrefix="0" xfId="0">
      <alignment horizontal="center" vertical="center"/>
    </xf>
    <xf numFmtId="165" fontId="34" fillId="0" borderId="9" applyAlignment="1" pivotButton="0" quotePrefix="0" xfId="0">
      <alignment horizontal="center" vertical="center"/>
    </xf>
    <xf numFmtId="165" fontId="33" fillId="0" borderId="0" applyAlignment="1" pivotButton="0" quotePrefix="0" xfId="0">
      <alignment vertical="center"/>
    </xf>
    <xf numFmtId="165" fontId="57" fillId="5" borderId="0" applyAlignment="1" pivotButton="0" quotePrefix="0" xfId="0">
      <alignment vertical="center"/>
    </xf>
    <xf numFmtId="164" fontId="17" fillId="0" borderId="0" applyAlignment="1" pivotButton="0" quotePrefix="0" xfId="1">
      <alignment horizontal="center" vertical="center"/>
    </xf>
    <xf numFmtId="165" fontId="21" fillId="5" borderId="0" applyAlignment="1" pivotButton="0" quotePrefix="0" xfId="0">
      <alignment horizontal="center" vertical="center"/>
    </xf>
    <xf numFmtId="165" fontId="21" fillId="5" borderId="0" applyAlignment="1" pivotButton="0" quotePrefix="0" xfId="0">
      <alignment vertical="center"/>
    </xf>
    <xf numFmtId="164" fontId="75" fillId="3" borderId="7" applyAlignment="1" pivotButton="0" quotePrefix="0" xfId="1">
      <alignment vertical="center"/>
    </xf>
    <xf numFmtId="164" fontId="6" fillId="0" borderId="0" applyAlignment="1" pivotButton="0" quotePrefix="0" xfId="1">
      <alignment horizontal="center" vertical="center"/>
    </xf>
    <xf numFmtId="165" fontId="89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165" fontId="33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vertical="center"/>
    </xf>
    <xf numFmtId="164" fontId="14" fillId="3" borderId="2" applyAlignment="1" pivotButton="0" quotePrefix="0" xfId="1">
      <alignment vertical="center"/>
    </xf>
    <xf numFmtId="164" fontId="14" fillId="3" borderId="2" applyAlignment="1" pivotButton="0" quotePrefix="0" xfId="0">
      <alignment vertical="center"/>
    </xf>
    <xf numFmtId="164" fontId="30" fillId="9" borderId="0" applyAlignment="1" pivotButton="0" quotePrefix="0" xfId="1">
      <alignment vertical="center"/>
    </xf>
    <xf numFmtId="165" fontId="30" fillId="9" borderId="0" applyAlignment="1" pivotButton="0" quotePrefix="0" xfId="0">
      <alignment vertical="center"/>
    </xf>
    <xf numFmtId="165" fontId="21" fillId="9" borderId="0" applyAlignment="1" pivotButton="0" quotePrefix="0" xfId="0">
      <alignment vertical="center"/>
    </xf>
    <xf numFmtId="165" fontId="57" fillId="9" borderId="0" applyAlignment="1" pivotButton="0" quotePrefix="0" xfId="0">
      <alignment vertical="center"/>
    </xf>
    <xf numFmtId="165" fontId="30" fillId="9" borderId="0" applyAlignment="1" pivotButton="0" quotePrefix="0" xfId="0">
      <alignment horizontal="center" vertical="center"/>
    </xf>
    <xf numFmtId="164" fontId="14" fillId="9" borderId="0" applyAlignment="1" pivotButton="0" quotePrefix="0" xfId="0">
      <alignment vertical="center"/>
    </xf>
    <xf numFmtId="165" fontId="57" fillId="0" borderId="9" applyAlignment="1" pivotButton="0" quotePrefix="0" xfId="0">
      <alignment horizontal="center" vertical="center"/>
    </xf>
    <xf numFmtId="165" fontId="0" fillId="0" borderId="2" applyAlignment="1" pivotButton="0" quotePrefix="0" xfId="0">
      <alignment vertical="center"/>
    </xf>
    <xf numFmtId="164" fontId="14" fillId="11" borderId="0" applyAlignment="1" pivotButton="0" quotePrefix="0" xfId="0">
      <alignment vertical="center"/>
    </xf>
    <xf numFmtId="164" fontId="14" fillId="4" borderId="7" applyAlignment="1" pivotButton="0" quotePrefix="0" xfId="1">
      <alignment vertical="center"/>
    </xf>
    <xf numFmtId="0" fontId="83" fillId="0" borderId="3" applyAlignment="1" pivotButton="0" quotePrefix="0" xfId="0">
      <alignment horizontal="center" vertical="center" wrapText="1"/>
    </xf>
    <xf numFmtId="166" fontId="21" fillId="0" borderId="0" applyAlignment="1" pivotButton="0" quotePrefix="0" xfId="3">
      <alignment vertical="center"/>
    </xf>
    <xf numFmtId="165" fontId="1" fillId="0" borderId="0" applyAlignment="1" pivotButton="0" quotePrefix="0" xfId="0">
      <alignment horizontal="center" vertical="center"/>
    </xf>
    <xf numFmtId="0" fontId="83" fillId="0" borderId="3" applyAlignment="1" pivotButton="0" quotePrefix="0" xfId="0">
      <alignment horizontal="center" vertical="center"/>
    </xf>
    <xf numFmtId="164" fontId="0" fillId="9" borderId="22" applyAlignment="1" pivotButton="0" quotePrefix="0" xfId="2">
      <alignment vertical="center"/>
    </xf>
    <xf numFmtId="164" fontId="16" fillId="4" borderId="7" applyAlignment="1" pivotButton="0" quotePrefix="0" xfId="1">
      <alignment vertical="center"/>
    </xf>
    <xf numFmtId="165" fontId="21" fillId="11" borderId="0" applyAlignment="1" pivotButton="0" quotePrefix="0" xfId="0">
      <alignment vertical="center"/>
    </xf>
    <xf numFmtId="165" fontId="57" fillId="11" borderId="0" applyAlignment="1" pivotButton="0" quotePrefix="0" xfId="0">
      <alignment vertical="center"/>
    </xf>
    <xf numFmtId="165" fontId="14" fillId="11" borderId="0" applyAlignment="1" pivotButton="0" quotePrefix="0" xfId="0">
      <alignment horizontal="center" vertical="center"/>
    </xf>
    <xf numFmtId="165" fontId="57" fillId="5" borderId="0" applyAlignment="1" pivotButton="0" quotePrefix="0" xfId="0">
      <alignment horizontal="center" vertical="center"/>
    </xf>
    <xf numFmtId="164" fontId="14" fillId="10" borderId="0" applyAlignment="1" pivotButton="0" quotePrefix="0" xfId="1">
      <alignment vertical="center"/>
    </xf>
    <xf numFmtId="164" fontId="21" fillId="10" borderId="0" applyAlignment="1" pivotButton="0" quotePrefix="0" xfId="1">
      <alignment vertical="center"/>
    </xf>
    <xf numFmtId="165" fontId="51" fillId="0" borderId="0" applyAlignment="1" pivotButton="0" quotePrefix="0" xfId="0">
      <alignment vertical="center"/>
    </xf>
    <xf numFmtId="165" fontId="50" fillId="5" borderId="0" applyAlignment="1" pivotButton="0" quotePrefix="0" xfId="0">
      <alignment vertical="center"/>
    </xf>
    <xf numFmtId="165" fontId="51" fillId="0" borderId="0" applyAlignment="1" pivotButton="0" quotePrefix="0" xfId="0">
      <alignment horizontal="center" vertical="center"/>
    </xf>
    <xf numFmtId="164" fontId="61" fillId="12" borderId="9" applyAlignment="1" pivotButton="0" quotePrefix="0" xfId="1">
      <alignment vertical="center"/>
    </xf>
    <xf numFmtId="164" fontId="61" fillId="12" borderId="2" applyAlignment="1" pivotButton="0" quotePrefix="0" xfId="1">
      <alignment vertical="center"/>
    </xf>
    <xf numFmtId="164" fontId="61" fillId="12" borderId="2" applyAlignment="1" pivotButton="0" quotePrefix="0" xfId="0">
      <alignment vertical="center"/>
    </xf>
    <xf numFmtId="164" fontId="80" fillId="13" borderId="0" applyAlignment="1" pivotButton="0" quotePrefix="0" xfId="1">
      <alignment vertical="center"/>
    </xf>
    <xf numFmtId="164" fontId="19" fillId="13" borderId="0" applyAlignment="1" pivotButton="0" quotePrefix="0" xfId="1">
      <alignment vertical="center"/>
    </xf>
    <xf numFmtId="165" fontId="19" fillId="13" borderId="0" applyAlignment="1" pivotButton="0" quotePrefix="0" xfId="0">
      <alignment vertical="center"/>
    </xf>
    <xf numFmtId="165" fontId="21" fillId="13" borderId="0" applyAlignment="1" pivotButton="0" quotePrefix="0" xfId="0">
      <alignment vertical="center"/>
    </xf>
    <xf numFmtId="165" fontId="19" fillId="13" borderId="0" applyAlignment="1" pivotButton="0" quotePrefix="0" xfId="0">
      <alignment horizontal="center" vertical="center"/>
    </xf>
    <xf numFmtId="164" fontId="80" fillId="13" borderId="0" applyAlignment="1" pivotButton="0" quotePrefix="0" xfId="0">
      <alignment vertical="center"/>
    </xf>
    <xf numFmtId="164" fontId="50" fillId="0" borderId="0" applyAlignment="1" pivotButton="0" quotePrefix="0" xfId="1">
      <alignment vertical="center"/>
    </xf>
    <xf numFmtId="164" fontId="61" fillId="0" borderId="16" applyAlignment="1" pivotButton="0" quotePrefix="0" xfId="1">
      <alignment horizontal="center" vertical="center"/>
    </xf>
    <xf numFmtId="164" fontId="16" fillId="0" borderId="17" applyAlignment="1" pivotButton="0" quotePrefix="0" xfId="1">
      <alignment horizontal="center" vertical="center"/>
    </xf>
    <xf numFmtId="165" fontId="21" fillId="0" borderId="17" applyAlignment="1" pivotButton="0" quotePrefix="0" xfId="0">
      <alignment horizontal="center" vertical="center"/>
    </xf>
    <xf numFmtId="165" fontId="50" fillId="0" borderId="17" applyAlignment="1" pivotButton="0" quotePrefix="0" xfId="0">
      <alignment horizontal="center" vertical="center"/>
    </xf>
    <xf numFmtId="165" fontId="30" fillId="0" borderId="17" applyAlignment="1" pivotButton="0" quotePrefix="0" xfId="0">
      <alignment horizontal="center" vertical="center"/>
    </xf>
    <xf numFmtId="165" fontId="30" fillId="0" borderId="18" applyAlignment="1" pivotButton="0" quotePrefix="0" xfId="0">
      <alignment horizontal="center" vertical="center"/>
    </xf>
    <xf numFmtId="165" fontId="30" fillId="0" borderId="0" applyAlignment="1" pivotButton="0" quotePrefix="0" xfId="0">
      <alignment vertical="center"/>
    </xf>
    <xf numFmtId="164" fontId="61" fillId="0" borderId="23" applyAlignment="1" pivotButton="0" quotePrefix="0" xfId="1">
      <alignment horizontal="center" vertical="center"/>
    </xf>
    <xf numFmtId="165" fontId="50" fillId="0" borderId="0" applyAlignment="1" pivotButton="0" quotePrefix="0" xfId="0">
      <alignment horizontal="center" vertical="center"/>
    </xf>
    <xf numFmtId="165" fontId="69" fillId="0" borderId="21" applyAlignment="1" pivotButton="0" quotePrefix="0" xfId="0">
      <alignment horizontal="center" vertical="center"/>
    </xf>
    <xf numFmtId="164" fontId="61" fillId="0" borderId="19" applyAlignment="1" pivotButton="0" quotePrefix="0" xfId="1">
      <alignment vertical="center"/>
    </xf>
    <xf numFmtId="164" fontId="16" fillId="0" borderId="20" applyAlignment="1" pivotButton="0" quotePrefix="0" xfId="1">
      <alignment vertical="center"/>
    </xf>
    <xf numFmtId="165" fontId="21" fillId="0" borderId="20" applyAlignment="1" pivotButton="0" quotePrefix="0" xfId="0">
      <alignment vertical="center"/>
    </xf>
    <xf numFmtId="165" fontId="50" fillId="0" borderId="20" applyAlignment="1" pivotButton="0" quotePrefix="0" xfId="0">
      <alignment vertical="center"/>
    </xf>
    <xf numFmtId="165" fontId="30" fillId="0" borderId="20" applyAlignment="1" pivotButton="0" quotePrefix="0" xfId="0">
      <alignment vertical="center"/>
    </xf>
    <xf numFmtId="165" fontId="69" fillId="0" borderId="24" applyAlignment="1" pivotButton="0" quotePrefix="0" xfId="0">
      <alignment vertical="center"/>
    </xf>
    <xf numFmtId="165" fontId="0" fillId="0" borderId="15" applyAlignment="1" pivotButton="0" quotePrefix="0" xfId="0">
      <alignment vertical="center"/>
    </xf>
    <xf numFmtId="165" fontId="0" fillId="0" borderId="14" applyAlignment="1" pivotButton="0" quotePrefix="0" xfId="0">
      <alignment horizontal="center" vertical="center"/>
    </xf>
    <xf numFmtId="165" fontId="0" fillId="0" borderId="14" applyAlignment="1" pivotButton="0" quotePrefix="0" xfId="0">
      <alignment vertical="center"/>
    </xf>
    <xf numFmtId="165" fontId="32" fillId="0" borderId="15" applyAlignment="1" pivotButton="0" quotePrefix="0" xfId="0">
      <alignment vertical="center"/>
    </xf>
    <xf numFmtId="165" fontId="26" fillId="0" borderId="0" applyAlignment="1" pivotButton="0" quotePrefix="0" xfId="0">
      <alignment vertical="center"/>
    </xf>
    <xf numFmtId="165" fontId="26" fillId="0" borderId="14" applyAlignment="1" pivotButton="0" quotePrefix="0" xfId="0">
      <alignment vertical="center"/>
    </xf>
    <xf numFmtId="165" fontId="32" fillId="0" borderId="0" applyAlignment="1" pivotButton="0" quotePrefix="0" xfId="0">
      <alignment vertical="center"/>
    </xf>
    <xf numFmtId="165" fontId="49" fillId="0" borderId="15" applyAlignment="1" pivotButton="0" quotePrefix="0" xfId="0">
      <alignment vertical="center"/>
    </xf>
    <xf numFmtId="165" fontId="51" fillId="0" borderId="14" applyAlignment="1" pivotButton="0" quotePrefix="0" xfId="0">
      <alignment vertical="center"/>
    </xf>
    <xf numFmtId="165" fontId="49" fillId="0" borderId="0" applyAlignment="1" pivotButton="0" quotePrefix="0" xfId="0">
      <alignment vertical="center"/>
    </xf>
    <xf numFmtId="164" fontId="30" fillId="0" borderId="0" applyAlignment="1" pivotButton="0" quotePrefix="0" xfId="1">
      <alignment horizontal="center" vertical="center"/>
    </xf>
    <xf numFmtId="165" fontId="19" fillId="0" borderId="15" applyAlignment="1" pivotButton="0" quotePrefix="0" xfId="0">
      <alignment vertical="center"/>
    </xf>
    <xf numFmtId="165" fontId="19" fillId="0" borderId="14" applyAlignment="1" pivotButton="0" quotePrefix="0" xfId="0">
      <alignment vertical="center"/>
    </xf>
    <xf numFmtId="165" fontId="2" fillId="0" borderId="0" applyAlignment="1" pivotButton="0" quotePrefix="0" xfId="0">
      <alignment vertical="center"/>
    </xf>
    <xf numFmtId="165" fontId="2" fillId="0" borderId="15" applyAlignment="1" pivotButton="0" quotePrefix="0" xfId="0">
      <alignment vertical="center"/>
    </xf>
    <xf numFmtId="165" fontId="24" fillId="0" borderId="0" applyAlignment="1" pivotButton="0" quotePrefix="0" xfId="0">
      <alignment vertical="center"/>
    </xf>
    <xf numFmtId="165" fontId="24" fillId="0" borderId="14" applyAlignment="1" pivotButton="0" quotePrefix="0" xfId="0">
      <alignment vertical="center"/>
    </xf>
    <xf numFmtId="165" fontId="40" fillId="0" borderId="0" applyAlignment="1" pivotButton="0" quotePrefix="0" xfId="0">
      <alignment vertical="center"/>
    </xf>
    <xf numFmtId="165" fontId="14" fillId="0" borderId="7" applyAlignment="1" pivotButton="0" quotePrefix="0" xfId="0">
      <alignment vertical="center"/>
    </xf>
    <xf numFmtId="165" fontId="81" fillId="0" borderId="9" applyAlignment="1" pivotButton="0" quotePrefix="0" xfId="0">
      <alignment vertical="center"/>
    </xf>
    <xf numFmtId="165" fontId="9" fillId="0" borderId="2" applyAlignment="1" pivotButton="0" quotePrefix="0" xfId="0">
      <alignment vertical="center"/>
    </xf>
    <xf numFmtId="165" fontId="32" fillId="0" borderId="0" applyAlignment="1" pivotButton="0" quotePrefix="0" xfId="0">
      <alignment horizontal="center" vertical="center"/>
    </xf>
    <xf numFmtId="165" fontId="70" fillId="0" borderId="0" applyAlignment="1" pivotButton="0" quotePrefix="0" xfId="0">
      <alignment horizontal="center" vertical="center"/>
    </xf>
    <xf numFmtId="165" fontId="26" fillId="0" borderId="0" applyAlignment="1" pivotButton="0" quotePrefix="0" xfId="0">
      <alignment horizontal="center" vertical="center"/>
    </xf>
    <xf numFmtId="165" fontId="71" fillId="0" borderId="0" applyAlignment="1" pivotButton="0" quotePrefix="0" xfId="0">
      <alignment vertical="center"/>
    </xf>
    <xf numFmtId="165" fontId="70" fillId="0" borderId="0" applyAlignment="1" pivotButton="0" quotePrefix="0" xfId="0">
      <alignment vertical="center"/>
    </xf>
    <xf numFmtId="164" fontId="24" fillId="0" borderId="0" applyAlignment="1" pivotButton="0" quotePrefix="0" xfId="1">
      <alignment vertical="center"/>
    </xf>
    <xf numFmtId="165" fontId="24" fillId="0" borderId="0" applyAlignment="1" pivotButton="0" quotePrefix="0" xfId="0">
      <alignment horizontal="center" vertical="center"/>
    </xf>
    <xf numFmtId="164" fontId="61" fillId="3" borderId="7" applyAlignment="1" pivotButton="0" quotePrefix="0" xfId="1">
      <alignment vertical="center"/>
    </xf>
    <xf numFmtId="0" fontId="0" fillId="0" borderId="10" pivotButton="0" quotePrefix="0" xfId="0"/>
    <xf numFmtId="0" fontId="0" fillId="0" borderId="5" pivotButton="0" quotePrefix="0" xfId="0"/>
    <xf numFmtId="0" fontId="0" fillId="0" borderId="15" pivotButton="0" quotePrefix="0" xfId="0"/>
    <xf numFmtId="0" fontId="0" fillId="0" borderId="14" pivotButton="0" quotePrefix="0" xfId="0"/>
    <xf numFmtId="0" fontId="0" fillId="0" borderId="2" pivotButton="0" quotePrefix="0" xfId="0"/>
    <xf numFmtId="0" fontId="82" fillId="16" borderId="3" applyAlignment="1" pivotButton="0" quotePrefix="0" xfId="0">
      <alignment horizontal="center" vertical="center"/>
    </xf>
    <xf numFmtId="0" fontId="82" fillId="24" borderId="3" applyAlignment="1" pivotButton="0" quotePrefix="0" xfId="0">
      <alignment horizontal="center" vertical="center" wrapText="1"/>
    </xf>
    <xf numFmtId="0" fontId="92" fillId="0" borderId="3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64" fillId="0" borderId="3" applyAlignment="1" pivotButton="0" quotePrefix="0" xfId="0">
      <alignment horizontal="center" vertical="center"/>
    </xf>
    <xf numFmtId="0" fontId="92" fillId="16" borderId="3" applyAlignment="1" pivotButton="0" quotePrefix="0" xfId="0">
      <alignment horizontal="center" vertical="center" wrapText="1"/>
    </xf>
    <xf numFmtId="0" fontId="64" fillId="24" borderId="8" applyAlignment="1" pivotButton="0" quotePrefix="0" xfId="0">
      <alignment horizontal="center" vertical="center" wrapText="1"/>
    </xf>
    <xf numFmtId="0" fontId="3" fillId="24" borderId="3" applyAlignment="1" pivotButton="0" quotePrefix="0" xfId="0">
      <alignment horizontal="center" vertical="center" wrapText="1"/>
    </xf>
    <xf numFmtId="0" fontId="95" fillId="23" borderId="7" applyAlignment="1" pivotButton="0" quotePrefix="0" xfId="0">
      <alignment horizontal="center" vertical="center"/>
    </xf>
    <xf numFmtId="0" fontId="82" fillId="0" borderId="29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0" fontId="96" fillId="22" borderId="25" applyAlignment="1" pivotButton="0" quotePrefix="0" xfId="0">
      <alignment horizontal="center" vertical="center"/>
    </xf>
    <xf numFmtId="0" fontId="95" fillId="23" borderId="25" applyAlignment="1" pivotButton="0" quotePrefix="0" xfId="0">
      <alignment horizontal="center" vertical="center"/>
    </xf>
  </cellXfs>
  <cellStyles count="5">
    <cellStyle name="표준" xfId="0" builtinId="0"/>
    <cellStyle name="Excel Built-in Comma [0]" xfId="1"/>
    <cellStyle name="메모" xfId="2" builtinId="10"/>
    <cellStyle name="쉼표 [0]" xfId="3" builtinId="6"/>
    <cellStyle name="나쁨" xfId="4" builtinId="27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C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7030A0"/>
      <rgbColor rgb="FFFFFFCC"/>
      <rgbColor rgb="FFDEEB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Codex</author>
  </authors>
  <commentList>
    <comment ref="AJ21" authorId="0" shapeId="0">
      <text>
        <t>수정값: 1
사유: P0000BLA / P cafe24 판매수 1. 1:1 가정으로 P0000BIF / CO 행에 반영</t>
      </text>
    </comment>
    <comment ref="AU35" authorId="0" shapeId="0">
      <text>
        <t>삭제/이동됨: 기존값 670
사유: P00000VM CY는 올리브하드이며 cafe24 판매수 0</t>
      </text>
    </comment>
    <comment ref="AX35" authorId="0" shapeId="0">
      <text>
        <t>수정값: 670
사유: P00000VM DB는 데저트하드이며 cafe24 판매수 670
이동 원본: AU34</t>
      </text>
    </comment>
    <comment ref="AY36" authorId="0" shapeId="0">
      <text>
        <t>삭제/이동됨: 기존값 216
사유: P00000VM DC는 바닐라하드이며 cafe24 판매수 43</t>
      </text>
    </comment>
    <comment ref="AZ36" authorId="0" shapeId="0">
      <text>
        <t>수정값: 216
사유: P00000VM DD는 라벤더하드이며 cafe24 판매수 216
이동 원본: AY35</t>
      </text>
    </comment>
    <comment ref="AV37" authorId="0" shapeId="0">
      <text>
        <t>삭제/이동됨: 기존값 1
사유: P00000VM CZ는 아쥴렌하드이며 cafe24 판매수 46</t>
      </text>
    </comment>
    <comment ref="AX37" authorId="0" shapeId="0">
      <text>
        <t>삭제/이동됨: 기존값 268
사유: P00000VM DB는 데저트하드이며 이 행은 로즈퓨어하드</t>
      </text>
    </comment>
    <comment ref="BC37" authorId="0" shapeId="0">
      <text>
        <t>수정값: 268
사유: P00000VM DG는 로즈퓨어하드이며 cafe24 판매수 268
이동 원본: AX36</t>
      </text>
    </comment>
    <comment ref="M38" authorId="0" shapeId="0">
      <text>
        <t>삭제/이동됨: 기존값 104
사유: P00000QD CL은 올리브하드이며 cafe24 판매수 0</t>
      </text>
    </comment>
    <comment ref="N38" authorId="0" shapeId="0">
      <text>
        <t>수정값: 104
사유: P00000QD CM은 맨니피코하드이며 cafe24 판매수 104
이동 원본: M37</t>
      </text>
    </comment>
    <comment ref="AW38" authorId="0" shapeId="0">
      <text>
        <t>삭제/이동됨: 기존값 419
사유: P00000VM DA는 아프리콧하드이며 cafe24 판매수 0</t>
      </text>
    </comment>
    <comment ref="BB38" authorId="0" shapeId="0">
      <text>
        <t>수정값: 419
사유: P00000VM DF는 맨니피코하드이며 cafe24 판매수 419
이동 원본: AW37</t>
      </text>
    </comment>
    <comment ref="AY40" authorId="0" shapeId="0">
      <text>
        <t>수정값: 43
사유: P00000VM DC는 바닐라하드이며 cafe24 판매수 43
이동 원본: BD39</t>
      </text>
    </comment>
    <comment ref="BD40" authorId="0" shapeId="0">
      <text>
        <t>삭제/이동됨: 기존값 43
사유: P00000VM DH는 핑키니하드이며 이 행은 바닐라하드</t>
      </text>
    </comment>
    <comment ref="AV42" authorId="0" shapeId="0">
      <text>
        <t>수정값: 46
사유: P00000VM CZ는 아쥴렌하드이며 cafe24 판매수 46
이동 원본: AZ41</t>
      </text>
    </comment>
    <comment ref="AZ42" authorId="0" shapeId="0">
      <text>
        <t>삭제/이동됨: 기존값 46
사유: P00000VM DD는 라벤더하드이며 이 행은 아쥴렌하드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24"/>
  <sheetViews>
    <sheetView zoomScale="86" zoomScaleNormal="86" workbookViewId="0">
      <pane xSplit="2" ySplit="6" topLeftCell="D79" activePane="bottomRight" state="frozen"/>
      <selection pane="topRight" activeCell="C1" sqref="C1"/>
      <selection pane="bottomLeft" activeCell="A7" sqref="A7"/>
      <selection pane="bottomRight" activeCell="S349" sqref="S349"/>
    </sheetView>
  </sheetViews>
  <sheetFormatPr baseColWidth="8" defaultRowHeight="16.5"/>
  <cols>
    <col width="17.125" customWidth="1" style="754" min="1" max="1"/>
    <col width="9" customWidth="1" style="638" min="2" max="2"/>
    <col width="9" customWidth="1" style="628" min="3" max="3"/>
    <col width="9.75" customWidth="1" style="638" min="4" max="4"/>
    <col width="12.375" customWidth="1" style="638" min="5" max="5"/>
    <col width="10.375" customWidth="1" style="638" min="6" max="6"/>
    <col width="10" customWidth="1" style="638" min="7" max="7"/>
    <col width="9.25" customWidth="1" style="638" min="8" max="8"/>
    <col width="9" customWidth="1" style="638" min="9" max="9"/>
    <col width="7.5" customWidth="1" style="638" min="10" max="10"/>
    <col width="14" customWidth="1" style="755" min="11" max="12"/>
    <col width="14" customWidth="1" style="756" min="13" max="14"/>
    <col width="14" customWidth="1" style="757" min="15" max="15"/>
    <col width="14" customWidth="1" style="756" min="16" max="16"/>
    <col width="15.25" customWidth="1" style="758" min="17" max="17"/>
    <col width="16.25" customWidth="1" style="756" min="18" max="18"/>
    <col width="16.125" customWidth="1" style="756" min="19" max="19"/>
    <col width="8.375" customWidth="1" style="754" min="20" max="1003"/>
  </cols>
  <sheetData>
    <row r="1">
      <c r="F1" s="381" t="inlineStr">
        <is>
          <t>P0000BLA</t>
        </is>
      </c>
      <c r="G1" s="546" t="inlineStr">
        <is>
          <t>지사비즈4종</t>
        </is>
      </c>
    </row>
    <row r="2" ht="24" customHeight="1" s="754">
      <c r="A2" s="6" t="n"/>
      <c r="F2" s="20" t="inlineStr">
        <is>
          <t>P00000ZC</t>
        </is>
      </c>
      <c r="G2" s="7" t="inlineStr">
        <is>
          <t>컵비즈왁스묶음(4종)</t>
        </is>
      </c>
    </row>
    <row r="3">
      <c r="A3" s="8" t="n"/>
      <c r="C3" s="638" t="inlineStr">
        <is>
          <t>도매</t>
        </is>
      </c>
      <c r="D3" s="9" t="inlineStr">
        <is>
          <t>인증살롱</t>
        </is>
      </c>
      <c r="E3" s="10" t="inlineStr">
        <is>
          <t>마스터</t>
        </is>
      </c>
      <c r="F3" s="7" t="inlineStr">
        <is>
          <t>P00000YZ</t>
        </is>
      </c>
      <c r="G3" s="7" t="inlineStr">
        <is>
          <t>컵비즈세트</t>
        </is>
      </c>
      <c r="H3" s="12" t="inlineStr">
        <is>
          <t>할인+증정</t>
        </is>
      </c>
      <c r="I3" s="7" t="n"/>
      <c r="J3" s="639" t="inlineStr">
        <is>
          <t>합계</t>
        </is>
      </c>
    </row>
    <row r="4" customFormat="1" s="185">
      <c r="B4" s="186" t="n"/>
      <c r="C4" s="187" t="n"/>
      <c r="D4" s="388" t="inlineStr">
        <is>
          <t>P00000VS</t>
        </is>
      </c>
      <c r="E4" s="15" t="inlineStr">
        <is>
          <t>P00000QE</t>
        </is>
      </c>
      <c r="F4" s="20" t="inlineStr">
        <is>
          <t>P00000VM</t>
        </is>
      </c>
      <c r="G4" s="378" t="inlineStr">
        <is>
          <t>묶음할인15%</t>
        </is>
      </c>
      <c r="H4" s="20" t="inlineStr">
        <is>
          <t>P0000BET</t>
        </is>
      </c>
      <c r="I4" s="7" t="n"/>
      <c r="J4" s="17" t="n"/>
      <c r="K4" s="759" t="n"/>
      <c r="L4" s="759" t="n"/>
      <c r="M4" s="760" t="n"/>
      <c r="N4" s="760" t="n"/>
      <c r="O4" s="761" t="n"/>
      <c r="P4" s="760" t="n"/>
      <c r="Q4" s="762" t="n"/>
      <c r="R4" s="760" t="n"/>
      <c r="S4" s="760" t="n"/>
    </row>
    <row r="5" ht="24" customHeight="1" s="754">
      <c r="C5" s="18" t="n"/>
      <c r="D5" s="389" t="inlineStr">
        <is>
          <t>P00000VR</t>
        </is>
      </c>
      <c r="E5" s="19" t="inlineStr">
        <is>
          <t>P00000QD</t>
        </is>
      </c>
      <c r="F5" s="20" t="inlineStr">
        <is>
          <t>P00000YS</t>
        </is>
      </c>
      <c r="G5" s="21" t="inlineStr">
        <is>
          <t>스타터키트</t>
        </is>
      </c>
      <c r="H5" s="575" t="inlineStr">
        <is>
          <t>비즈2종묶음+선샤인증정</t>
        </is>
      </c>
      <c r="I5" s="630" t="n"/>
      <c r="J5" s="640" t="n"/>
    </row>
    <row r="6" ht="24" customHeight="1" s="754">
      <c r="A6" s="24" t="inlineStr">
        <is>
          <t>하드왁스</t>
        </is>
      </c>
      <c r="C6" s="25" t="n"/>
      <c r="D6" s="19" t="n"/>
      <c r="E6" s="19" t="inlineStr">
        <is>
          <t>P0000BLR</t>
        </is>
      </c>
      <c r="F6" s="184" t="inlineStr">
        <is>
          <t>P00000YU</t>
        </is>
      </c>
      <c r="G6" s="26" t="inlineStr">
        <is>
          <t>바디스타터키트</t>
        </is>
      </c>
      <c r="H6" s="194" t="n"/>
      <c r="I6" s="26" t="n"/>
      <c r="J6" s="27" t="n"/>
      <c r="K6" s="763" t="inlineStr">
        <is>
          <t>도매</t>
        </is>
      </c>
      <c r="L6" s="764" t="inlineStr">
        <is>
          <t>인증살롱/마스터</t>
        </is>
      </c>
      <c r="M6" s="765" t="n"/>
      <c r="N6" s="766" t="inlineStr">
        <is>
          <t xml:space="preserve">할인 </t>
        </is>
      </c>
      <c r="O6" s="766" t="inlineStr">
        <is>
          <t>세트할인</t>
        </is>
      </c>
      <c r="P6" s="766" t="inlineStr">
        <is>
          <t>할인+증정</t>
        </is>
      </c>
      <c r="Q6" s="766" t="inlineStr">
        <is>
          <t>세트묶음할인</t>
        </is>
      </c>
      <c r="R6" s="767" t="inlineStr">
        <is>
          <t>품목별합계</t>
        </is>
      </c>
      <c r="S6" s="767" t="inlineStr">
        <is>
          <t>원가</t>
        </is>
      </c>
    </row>
    <row r="7">
      <c r="A7" s="29" t="inlineStr">
        <is>
          <t>아이브로우</t>
        </is>
      </c>
      <c r="B7" s="381" t="inlineStr">
        <is>
          <t>P00000HT</t>
        </is>
      </c>
      <c r="C7" s="263" t="n">
        <v>80</v>
      </c>
      <c r="D7" s="235" t="n"/>
      <c r="E7" s="234" t="n">
        <v>24</v>
      </c>
      <c r="F7" s="230" t="n">
        <v>1</v>
      </c>
      <c r="G7" s="322" t="n"/>
      <c r="H7" s="236" t="n"/>
      <c r="I7" s="322" t="n"/>
      <c r="J7" s="35">
        <f>C7+D7+E7+F7+G7+I7+H7</f>
        <v/>
      </c>
      <c r="K7" s="768" t="n">
        <v>2102700</v>
      </c>
      <c r="L7" s="769">
        <f>D7*19200</f>
        <v/>
      </c>
      <c r="M7" s="770">
        <f>E7*19200</f>
        <v/>
      </c>
      <c r="N7" s="771" t="n"/>
      <c r="O7" s="771">
        <f>F7*21040</f>
        <v/>
      </c>
      <c r="P7" s="771" t="n"/>
      <c r="Q7" s="772" t="n"/>
      <c r="R7" s="756">
        <f>SUM(K7:Q7)</f>
        <v/>
      </c>
      <c r="S7" s="756">
        <f>(C7+D7+E7+F7+I7+H7+G7)*8655</f>
        <v/>
      </c>
    </row>
    <row r="8">
      <c r="A8" s="29" t="inlineStr">
        <is>
          <t>하이브리드</t>
        </is>
      </c>
      <c r="B8" s="715" t="inlineStr">
        <is>
          <t>P00000BV</t>
        </is>
      </c>
      <c r="C8" s="310" t="n">
        <v>7</v>
      </c>
      <c r="D8" s="235" t="n"/>
      <c r="E8" s="234" t="n"/>
      <c r="F8" s="322" t="n"/>
      <c r="G8" s="322" t="n"/>
      <c r="H8" s="236" t="n"/>
      <c r="I8" s="322" t="n"/>
      <c r="J8" s="35">
        <f>C8+D8+E8+F8+G8+I8+H8</f>
        <v/>
      </c>
      <c r="K8" s="768">
        <f>C8*26300</f>
        <v/>
      </c>
      <c r="L8" s="769">
        <f>D8*19200</f>
        <v/>
      </c>
      <c r="M8" s="770">
        <f>E8*19200</f>
        <v/>
      </c>
      <c r="N8" s="771" t="n"/>
      <c r="O8" s="771">
        <f>F8*20000</f>
        <v/>
      </c>
      <c r="P8" s="771" t="n"/>
      <c r="Q8" s="772" t="n"/>
      <c r="R8" s="756">
        <f>SUM(K8:Q8)</f>
        <v/>
      </c>
      <c r="S8" s="756">
        <f>(C8+D8+E8+F8+I8+H8+G8)*8926</f>
        <v/>
      </c>
    </row>
    <row r="9">
      <c r="A9" s="29" t="inlineStr">
        <is>
          <t>화이트</t>
        </is>
      </c>
      <c r="B9" s="715" t="inlineStr">
        <is>
          <t>P00000CB</t>
        </is>
      </c>
      <c r="C9" s="310" t="n">
        <v>5</v>
      </c>
      <c r="D9" s="235" t="n"/>
      <c r="E9" s="234" t="n"/>
      <c r="F9" s="322" t="n"/>
      <c r="G9" s="322" t="n"/>
      <c r="H9" s="236" t="n"/>
      <c r="I9" s="322" t="n"/>
      <c r="J9" s="35">
        <f>C9+D9+E9+F9+G9+I9+H9</f>
        <v/>
      </c>
      <c r="K9" s="768">
        <f>C9*26300</f>
        <v/>
      </c>
      <c r="L9" s="769">
        <f>D9*19200</f>
        <v/>
      </c>
      <c r="M9" s="770">
        <f>E9*19200</f>
        <v/>
      </c>
      <c r="N9" s="771" t="n"/>
      <c r="O9" s="771">
        <f>F9*20000</f>
        <v/>
      </c>
      <c r="P9" s="771" t="n"/>
      <c r="Q9" s="772" t="n"/>
      <c r="R9" s="756">
        <f>SUM(K9:Q9)</f>
        <v/>
      </c>
      <c r="S9" s="756">
        <f>(C9+D9+E9+F9+I9+H9+G9)*8926</f>
        <v/>
      </c>
    </row>
    <row r="10">
      <c r="A10" s="29" t="inlineStr">
        <is>
          <t>슈퍼베리</t>
        </is>
      </c>
      <c r="B10" s="715" t="inlineStr">
        <is>
          <t>P00000BX</t>
        </is>
      </c>
      <c r="C10" s="310" t="n">
        <v>2</v>
      </c>
      <c r="D10" s="235" t="n"/>
      <c r="E10" s="234" t="n"/>
      <c r="F10" s="322" t="n"/>
      <c r="G10" s="322" t="n"/>
      <c r="H10" s="236" t="n"/>
      <c r="I10" s="322" t="n"/>
      <c r="J10" s="35">
        <f>C10+D10+E10+F10+G10+I10+H10</f>
        <v/>
      </c>
      <c r="K10" s="768">
        <f>C10*26300</f>
        <v/>
      </c>
      <c r="L10" s="769">
        <f>D10*19200</f>
        <v/>
      </c>
      <c r="M10" s="770">
        <f>E10*19200</f>
        <v/>
      </c>
      <c r="N10" s="771" t="n"/>
      <c r="O10" s="771">
        <f>F10*20000</f>
        <v/>
      </c>
      <c r="P10" s="771" t="n"/>
      <c r="Q10" s="772" t="n"/>
      <c r="R10" s="756">
        <f>SUM(K10:Q10)</f>
        <v/>
      </c>
      <c r="S10" s="756">
        <f>(C10+D10+E10+F10+I10+H10+G10)*8926</f>
        <v/>
      </c>
    </row>
    <row r="11">
      <c r="A11" s="29" t="inlineStr">
        <is>
          <t>루비500g</t>
        </is>
      </c>
      <c r="B11" s="715" t="n"/>
      <c r="C11" s="310" t="n"/>
      <c r="D11" s="235" t="n"/>
      <c r="E11" s="234" t="n"/>
      <c r="F11" s="215" t="n"/>
      <c r="G11" s="230" t="n"/>
      <c r="H11" s="236" t="n"/>
      <c r="I11" s="322" t="n"/>
      <c r="J11" s="35">
        <f>C11+D11+E11+F11+G11+I11+H11</f>
        <v/>
      </c>
      <c r="K11" s="768">
        <f>C11*26300</f>
        <v/>
      </c>
      <c r="L11" s="769">
        <f>D11*19200</f>
        <v/>
      </c>
      <c r="M11" s="770">
        <f>E11*19200</f>
        <v/>
      </c>
      <c r="N11" s="771" t="n"/>
      <c r="O11" s="771">
        <f>F11*20000</f>
        <v/>
      </c>
      <c r="P11" s="771" t="n"/>
      <c r="Q11" s="772" t="n"/>
      <c r="R11" s="756">
        <f>SUM(K11:Q11)</f>
        <v/>
      </c>
      <c r="S11" s="756">
        <f>(C11+D11+E11+G11+F11+I11+H11)*7042</f>
        <v/>
      </c>
    </row>
    <row r="12">
      <c r="A12" s="29" t="inlineStr">
        <is>
          <t>맨니하이브리드</t>
        </is>
      </c>
      <c r="B12" s="381" t="inlineStr">
        <is>
          <t>P00000XE</t>
        </is>
      </c>
      <c r="C12" s="263" t="n">
        <v>12</v>
      </c>
      <c r="D12" s="323" t="n"/>
      <c r="E12" s="324" t="n"/>
      <c r="F12" s="289" t="n"/>
      <c r="G12" s="289" t="n"/>
      <c r="H12" s="325" t="n"/>
      <c r="I12" s="289" t="n"/>
      <c r="J12" s="35">
        <f>C12+D12+E12+F12+G12+I12+H12</f>
        <v/>
      </c>
      <c r="K12" s="768">
        <f>C12*26300</f>
        <v/>
      </c>
      <c r="L12" s="769" t="n"/>
      <c r="M12" s="770" t="n"/>
      <c r="N12" s="771" t="n"/>
      <c r="O12" s="771">
        <f>F12*20000</f>
        <v/>
      </c>
      <c r="P12" s="771" t="n"/>
      <c r="Q12" s="772" t="n"/>
      <c r="R12" s="756">
        <f>SUM(K12:Q12)</f>
        <v/>
      </c>
      <c r="S12" s="756">
        <f>(C12+D12+E12+F12+I12+H12+G12)*8926</f>
        <v/>
      </c>
    </row>
    <row r="13" ht="16.5" customHeight="1" s="754">
      <c r="A13" s="29" t="inlineStr">
        <is>
          <t>비즈하이브리드800</t>
        </is>
      </c>
      <c r="B13" s="547" t="inlineStr">
        <is>
          <t>P0000BIF /     P0000BLD    /   P0000BMJ   P0000BMI</t>
        </is>
      </c>
      <c r="C13" s="263" t="n"/>
      <c r="D13" s="323" t="n"/>
      <c r="E13" s="324" t="n"/>
      <c r="F13" s="289" t="n"/>
      <c r="G13" s="289" t="n"/>
      <c r="H13" s="325" t="n"/>
      <c r="I13" s="289" t="n"/>
      <c r="J13" s="35">
        <f>C13+D13+E13+F13+G13+I13+H13</f>
        <v/>
      </c>
      <c r="K13" s="773">
        <f>C13*35500</f>
        <v/>
      </c>
      <c r="L13" s="769" t="n"/>
      <c r="M13" s="770" t="n"/>
      <c r="N13" s="771" t="n"/>
      <c r="O13" s="771">
        <f>F13*27300</f>
        <v/>
      </c>
      <c r="P13" s="771" t="n"/>
      <c r="Q13" s="772" t="n"/>
      <c r="R13" s="756">
        <f>SUM(K13:Q13)</f>
        <v/>
      </c>
      <c r="S13" s="756">
        <f>(C13+D13+E13+F13+I13+H13+G13)*14876</f>
        <v/>
      </c>
    </row>
    <row r="14">
      <c r="A14" s="29" t="inlineStr">
        <is>
          <t>비즈라벤다800</t>
        </is>
      </c>
      <c r="B14" s="774" t="n"/>
      <c r="C14" s="263" t="n">
        <v>2</v>
      </c>
      <c r="D14" s="323" t="n"/>
      <c r="E14" s="324" t="n"/>
      <c r="F14" s="326" t="n"/>
      <c r="G14" s="289" t="n"/>
      <c r="H14" s="325" t="n"/>
      <c r="I14" s="289" t="n"/>
      <c r="J14" s="35">
        <f>C14+D14+E14+F14+G14+I14+H14</f>
        <v/>
      </c>
      <c r="K14" s="773">
        <f>C14*35500</f>
        <v/>
      </c>
      <c r="L14" s="769" t="n"/>
      <c r="M14" s="770">
        <f>E14*33600</f>
        <v/>
      </c>
      <c r="N14" s="771" t="n"/>
      <c r="O14" s="771" t="n"/>
      <c r="P14" s="771">
        <f>H14*32000</f>
        <v/>
      </c>
      <c r="Q14" s="772" t="n"/>
      <c r="R14" s="756">
        <f>SUM(K14:Q14)</f>
        <v/>
      </c>
      <c r="S14" s="756">
        <f>(C14+D14+E14+F14+I14+H14+G14)*14065</f>
        <v/>
      </c>
    </row>
    <row r="15">
      <c r="A15" s="29" t="inlineStr">
        <is>
          <t>비즈로제트800</t>
        </is>
      </c>
      <c r="B15" s="774" t="n"/>
      <c r="C15" s="263" t="n">
        <v>1</v>
      </c>
      <c r="D15" s="323" t="n"/>
      <c r="E15" s="324" t="n"/>
      <c r="F15" s="326" t="n"/>
      <c r="G15" s="289" t="n"/>
      <c r="H15" s="325" t="n"/>
      <c r="I15" s="289" t="n"/>
      <c r="J15" s="35">
        <f>C15+D15+E15+F15+G15+I15+H15</f>
        <v/>
      </c>
      <c r="K15" s="773">
        <f>C15*35500</f>
        <v/>
      </c>
      <c r="L15" s="769" t="n"/>
      <c r="M15" s="770">
        <f>E15*33600</f>
        <v/>
      </c>
      <c r="N15" s="771" t="n"/>
      <c r="O15" s="771" t="n"/>
      <c r="P15" s="771">
        <f>H15*32000</f>
        <v/>
      </c>
      <c r="Q15" s="772" t="n"/>
      <c r="R15" s="756">
        <f>SUM(K15:Q15)</f>
        <v/>
      </c>
      <c r="S15" s="756">
        <f>(C15+D15+E15+F15+I15+H15+G15)*14876</f>
        <v/>
      </c>
    </row>
    <row r="16">
      <c r="A16" s="29" t="inlineStr">
        <is>
          <t>비즈핑키니800</t>
        </is>
      </c>
      <c r="B16" s="774" t="n"/>
      <c r="C16" s="263" t="n">
        <v>3</v>
      </c>
      <c r="D16" s="323" t="n"/>
      <c r="E16" s="324" t="n"/>
      <c r="F16" s="326" t="n"/>
      <c r="G16" s="289" t="n"/>
      <c r="H16" s="325" t="n"/>
      <c r="I16" s="289" t="n"/>
      <c r="J16" s="35">
        <f>C16+D16+E16+F16+G16+I16+H16</f>
        <v/>
      </c>
      <c r="K16" s="773">
        <f>C16*40000</f>
        <v/>
      </c>
      <c r="L16" s="769" t="n"/>
      <c r="M16" s="770">
        <f>E16*35500</f>
        <v/>
      </c>
      <c r="N16" s="771" t="n"/>
      <c r="O16" s="771" t="n"/>
      <c r="P16" s="771">
        <f>H16*32000</f>
        <v/>
      </c>
      <c r="Q16" s="772" t="n"/>
      <c r="R16" s="756">
        <f>SUM(K16:Q16)</f>
        <v/>
      </c>
      <c r="S16" s="756">
        <f>(C16+D16+E16+F16+I16+H16+G16)*15958</f>
        <v/>
      </c>
    </row>
    <row r="17">
      <c r="A17" s="29" t="inlineStr">
        <is>
          <t>선샤인비즈</t>
        </is>
      </c>
      <c r="B17" s="774" t="n"/>
      <c r="C17" s="263" t="n">
        <v>30</v>
      </c>
      <c r="D17" s="323" t="n"/>
      <c r="E17" s="324" t="n">
        <v>36</v>
      </c>
      <c r="F17" s="326" t="n"/>
      <c r="G17" s="574" t="n"/>
      <c r="H17" s="325" t="n"/>
      <c r="I17" s="564" t="n"/>
      <c r="J17" s="35">
        <f>C17+D17+E17+F17+G17+I17+H17</f>
        <v/>
      </c>
      <c r="K17" s="773">
        <f>C17*30000</f>
        <v/>
      </c>
      <c r="L17" s="769" t="n"/>
      <c r="M17" s="770">
        <f>E17*20000</f>
        <v/>
      </c>
      <c r="N17" s="771">
        <f>F17*20000</f>
        <v/>
      </c>
      <c r="O17" s="771" t="n"/>
      <c r="P17" s="771" t="n"/>
      <c r="Q17" s="772" t="n"/>
      <c r="R17" s="756">
        <f>SUM(K17:Q17)</f>
        <v/>
      </c>
      <c r="S17" s="756">
        <f>(C17+D17+E17+F17+I17+H17+G17)*13262</f>
        <v/>
      </c>
    </row>
    <row r="18">
      <c r="A18" s="29" t="inlineStr">
        <is>
          <t>비즈하이브리드5KG</t>
        </is>
      </c>
      <c r="B18" s="774" t="n"/>
      <c r="C18" s="263" t="n">
        <v>4</v>
      </c>
      <c r="D18" s="323" t="n"/>
      <c r="E18" s="324" t="n">
        <v>2</v>
      </c>
      <c r="F18" s="289" t="n"/>
      <c r="G18" s="289" t="n"/>
      <c r="H18" s="325" t="n"/>
      <c r="I18" s="289" t="n"/>
      <c r="J18" s="35">
        <f>C18+D18+E18+F18+G18+I18+H18</f>
        <v/>
      </c>
      <c r="K18" s="773">
        <f>C18*190000</f>
        <v/>
      </c>
      <c r="L18" s="769" t="n"/>
      <c r="M18" s="770">
        <f>E18*154000</f>
        <v/>
      </c>
      <c r="N18" s="771" t="n"/>
      <c r="O18" s="771" t="n"/>
      <c r="P18" s="771" t="n"/>
      <c r="Q18" s="772" t="n"/>
      <c r="R18" s="756">
        <f>SUM(K18:Q18)</f>
        <v/>
      </c>
      <c r="S18" s="756">
        <f>(C18+D18+E18+F18+I18+H18+G18)*89709</f>
        <v/>
      </c>
    </row>
    <row r="19">
      <c r="A19" s="29" t="inlineStr">
        <is>
          <t>비즈라벤다5KG</t>
        </is>
      </c>
      <c r="B19" s="774" t="n"/>
      <c r="C19" s="263" t="n">
        <v>1</v>
      </c>
      <c r="D19" s="323" t="n"/>
      <c r="E19" s="324" t="n">
        <v>1</v>
      </c>
      <c r="F19" s="289" t="n"/>
      <c r="G19" s="289" t="n"/>
      <c r="H19" s="325" t="n"/>
      <c r="I19" s="289" t="n"/>
      <c r="J19" s="35">
        <f>C19+D19+E19+F19+G19+I19+H19</f>
        <v/>
      </c>
      <c r="K19" s="773">
        <f>C19*190000</f>
        <v/>
      </c>
      <c r="L19" s="769" t="n"/>
      <c r="M19" s="770">
        <f>E19*154000</f>
        <v/>
      </c>
      <c r="N19" s="771" t="n"/>
      <c r="O19" s="771" t="n"/>
      <c r="P19" s="771" t="n"/>
      <c r="Q19" s="772" t="n"/>
      <c r="R19" s="756">
        <f>SUM(K19:Q19)</f>
        <v/>
      </c>
      <c r="S19" s="756">
        <f>(C19+D19+E19+F19+I19+H19+G19)*85201</f>
        <v/>
      </c>
    </row>
    <row r="20">
      <c r="A20" s="29" t="inlineStr">
        <is>
          <t>비즈로제트5KG</t>
        </is>
      </c>
      <c r="B20" s="774" t="n"/>
      <c r="C20" s="263" t="n">
        <v>4</v>
      </c>
      <c r="D20" s="323" t="n"/>
      <c r="E20" s="324" t="n"/>
      <c r="F20" s="289" t="n"/>
      <c r="G20" s="289" t="n"/>
      <c r="H20" s="325" t="n"/>
      <c r="I20" s="289" t="n"/>
      <c r="J20" s="35">
        <f>C20+D20+E20+F20+G20+I20+H20</f>
        <v/>
      </c>
      <c r="K20" s="773" t="n">
        <v>750000</v>
      </c>
      <c r="L20" s="769" t="n"/>
      <c r="M20" s="770">
        <f>E20*154000</f>
        <v/>
      </c>
      <c r="N20" s="771" t="n"/>
      <c r="O20" s="771" t="n"/>
      <c r="P20" s="771" t="n"/>
      <c r="Q20" s="772" t="n"/>
      <c r="R20" s="756">
        <f>SUM(K20:Q20)</f>
        <v/>
      </c>
      <c r="S20" s="756">
        <f>(C20+D20+E20+F20+I20+H20+G20)*89709</f>
        <v/>
      </c>
    </row>
    <row r="21">
      <c r="A21" s="29" t="inlineStr">
        <is>
          <t>비즈핑키니5kg</t>
        </is>
      </c>
      <c r="B21" s="775" t="n"/>
      <c r="C21" s="263" t="n">
        <v>4</v>
      </c>
      <c r="D21" s="323" t="n"/>
      <c r="E21" s="324" t="n">
        <v>2</v>
      </c>
      <c r="F21" s="289" t="n"/>
      <c r="G21" s="289" t="n"/>
      <c r="H21" s="325" t="n"/>
      <c r="I21" s="289" t="n"/>
      <c r="J21" s="35">
        <f>C21+D21+E21+F21+G21+I21+H21</f>
        <v/>
      </c>
      <c r="K21" s="773">
        <f>C21*206000</f>
        <v/>
      </c>
      <c r="L21" s="769" t="n"/>
      <c r="M21" s="770">
        <f>E21*171000</f>
        <v/>
      </c>
      <c r="N21" s="771" t="n"/>
      <c r="O21" s="771" t="n"/>
      <c r="P21" s="771" t="n"/>
      <c r="Q21" s="772" t="n"/>
      <c r="R21" s="756">
        <f>SUM(K21:Q21)</f>
        <v/>
      </c>
      <c r="S21" s="756">
        <f>(C21+D21+E21+F21+I21+H21+G21)*96471</f>
        <v/>
      </c>
    </row>
    <row r="22">
      <c r="A22" s="29" t="inlineStr">
        <is>
          <t>데저트500</t>
        </is>
      </c>
      <c r="B22" s="222" t="n"/>
      <c r="C22" s="31" t="n"/>
      <c r="D22" s="37" t="n"/>
      <c r="E22" s="38" t="n"/>
      <c r="F22" s="40" t="n"/>
      <c r="G22" s="39" t="n"/>
      <c r="H22" s="196" t="n"/>
      <c r="I22" s="39" t="n"/>
      <c r="J22" s="35">
        <f>C22+D22+E22+F22+G22+I22+H22</f>
        <v/>
      </c>
      <c r="K22" s="773">
        <f>C22*25000</f>
        <v/>
      </c>
      <c r="L22" s="769" t="n"/>
      <c r="M22" s="770" t="n"/>
      <c r="N22" s="771" t="n"/>
      <c r="O22" s="771" t="n"/>
      <c r="P22" s="771" t="n"/>
      <c r="Q22" s="772" t="n"/>
      <c r="R22" s="756">
        <f>SUM(K22:Q22)</f>
        <v/>
      </c>
      <c r="S22" s="756">
        <f>(C22+D22+E22+F22+I22+H22+G22)*6110</f>
        <v/>
      </c>
    </row>
    <row r="23">
      <c r="A23" s="223" t="inlineStr">
        <is>
          <t>핑키니500g</t>
        </is>
      </c>
      <c r="B23" s="222" t="n"/>
      <c r="C23" s="31" t="n"/>
      <c r="D23" s="37" t="n"/>
      <c r="E23" s="38" t="n"/>
      <c r="F23" s="40" t="n"/>
      <c r="G23" s="39" t="n"/>
      <c r="H23" s="196" t="n"/>
      <c r="I23" s="39" t="n"/>
      <c r="J23" s="35">
        <f>C23+D23+E23+F23+G23+I23+H23</f>
        <v/>
      </c>
      <c r="K23" s="776">
        <f>C23*25000</f>
        <v/>
      </c>
      <c r="L23" s="769" t="n"/>
      <c r="M23" s="770" t="n"/>
      <c r="N23" s="771" t="n"/>
      <c r="O23" s="771" t="n"/>
      <c r="P23" s="771" t="n"/>
      <c r="Q23" s="772" t="n"/>
      <c r="R23" s="756">
        <f>SUM(K23:Q23)</f>
        <v/>
      </c>
      <c r="S23" s="756">
        <f>(C23+D23+E23+F23+I23+H23+G23)*7100</f>
        <v/>
      </c>
    </row>
    <row r="24" customFormat="1" s="24">
      <c r="A24" s="439" t="inlineStr">
        <is>
          <t>500g총합계</t>
        </is>
      </c>
      <c r="B24" s="440" t="n"/>
      <c r="C24" s="441">
        <f>SUM(C7:C23)</f>
        <v/>
      </c>
      <c r="D24" s="441">
        <f>SUM(D7:D23)</f>
        <v/>
      </c>
      <c r="E24" s="441">
        <f>SUM(E7:E23)</f>
        <v/>
      </c>
      <c r="F24" s="441">
        <f>SUM(F7:F23)</f>
        <v/>
      </c>
      <c r="G24" s="441">
        <f>SUM(G7:G23)</f>
        <v/>
      </c>
      <c r="H24" s="441">
        <f>SUM(H7:H23)</f>
        <v/>
      </c>
      <c r="I24" s="441">
        <f>SUM(I7:I23)</f>
        <v/>
      </c>
      <c r="J24" s="442">
        <f>SUM(J7:J23)</f>
        <v/>
      </c>
      <c r="K24" s="777">
        <f>SUM(K7:K23)</f>
        <v/>
      </c>
      <c r="L24" s="778">
        <f>SUM(L7:L23)</f>
        <v/>
      </c>
      <c r="M24" s="779">
        <f>SUM(M7:M23)</f>
        <v/>
      </c>
      <c r="N24" s="780">
        <f>SUM(N7:N23)</f>
        <v/>
      </c>
      <c r="O24" s="780">
        <f>SUM(O7:O23)</f>
        <v/>
      </c>
      <c r="P24" s="780">
        <f>SUM(P7:P23)</f>
        <v/>
      </c>
      <c r="Q24" s="780">
        <f>SUM(Q7:Q23)</f>
        <v/>
      </c>
      <c r="R24" s="781">
        <f>SUM(R7:R23)</f>
        <v/>
      </c>
      <c r="S24" s="782">
        <f>SUM(S7:S23)</f>
        <v/>
      </c>
    </row>
    <row r="25" customFormat="1" s="24">
      <c r="A25" s="85" t="inlineStr">
        <is>
          <t>컵비즈왁스(로제트)</t>
        </is>
      </c>
      <c r="B25" s="703" t="inlineStr">
        <is>
          <t>P00000ZB</t>
        </is>
      </c>
      <c r="C25" s="310" t="n">
        <v>2</v>
      </c>
      <c r="D25" s="326" t="n"/>
      <c r="E25" s="310" t="n"/>
      <c r="F25" s="327" t="n">
        <v>1</v>
      </c>
      <c r="G25" s="326" t="n"/>
      <c r="H25" s="325" t="n"/>
      <c r="I25" s="564" t="n"/>
      <c r="J25" s="35">
        <f>SUM(C25:I25)</f>
        <v/>
      </c>
      <c r="K25" s="768">
        <f>C25*6200</f>
        <v/>
      </c>
      <c r="L25" s="783" t="n"/>
      <c r="M25" s="784" t="n"/>
      <c r="N25" s="771">
        <f>F25*5580</f>
        <v/>
      </c>
      <c r="O25" s="771">
        <f>G25*4340</f>
        <v/>
      </c>
      <c r="P25" s="785" t="n"/>
      <c r="Q25" s="758" t="n"/>
      <c r="R25" s="756">
        <f>SUM(K25:Q25)</f>
        <v/>
      </c>
      <c r="S25" s="786">
        <f>(C25+D25+E25+F25+I25+G25+H25)*4151</f>
        <v/>
      </c>
    </row>
    <row r="26" customFormat="1" s="24">
      <c r="A26" s="85" t="inlineStr">
        <is>
          <t>컵비즈왁스(라벤다)</t>
        </is>
      </c>
      <c r="B26" s="774" t="n"/>
      <c r="C26" s="310" t="n">
        <v>3</v>
      </c>
      <c r="D26" s="326" t="n"/>
      <c r="E26" s="310" t="n"/>
      <c r="F26" s="327" t="n">
        <v>2</v>
      </c>
      <c r="G26" s="326" t="n"/>
      <c r="H26" s="325" t="n"/>
      <c r="I26" s="564" t="n"/>
      <c r="J26" s="35">
        <f>SUM(C26:I26)</f>
        <v/>
      </c>
      <c r="K26" s="768">
        <f>C26*6200</f>
        <v/>
      </c>
      <c r="L26" s="783" t="n"/>
      <c r="M26" s="784" t="n"/>
      <c r="N26" s="771">
        <f>F26*5580</f>
        <v/>
      </c>
      <c r="O26" s="771">
        <f>G26*4340</f>
        <v/>
      </c>
      <c r="P26" s="785" t="n"/>
      <c r="Q26" s="758" t="n"/>
      <c r="R26" s="756">
        <f>SUM(K26:Q26)</f>
        <v/>
      </c>
      <c r="S26" s="786">
        <f>(C26+D26+E26+F26+I26+G26+H26)*4050</f>
        <v/>
      </c>
    </row>
    <row r="27" customFormat="1" s="24">
      <c r="A27" s="85" t="inlineStr">
        <is>
          <t>컵비즈왁스(하이브리드)</t>
        </is>
      </c>
      <c r="B27" s="774" t="n"/>
      <c r="C27" s="310" t="n">
        <v>2</v>
      </c>
      <c r="D27" s="326" t="n"/>
      <c r="E27" s="310" t="n"/>
      <c r="F27" s="327" t="n"/>
      <c r="G27" s="326" t="n"/>
      <c r="H27" s="325" t="n"/>
      <c r="I27" s="564" t="n"/>
      <c r="J27" s="35">
        <f>SUM(C27:I27)</f>
        <v/>
      </c>
      <c r="K27" s="768">
        <f>C27*6200</f>
        <v/>
      </c>
      <c r="L27" s="783" t="n"/>
      <c r="M27" s="784" t="n"/>
      <c r="N27" s="771">
        <f>F27*5580</f>
        <v/>
      </c>
      <c r="O27" s="771">
        <f>G27*4340</f>
        <v/>
      </c>
      <c r="P27" s="785" t="n"/>
      <c r="Q27" s="758" t="n"/>
      <c r="R27" s="756">
        <f>SUM(K27:Q27)</f>
        <v/>
      </c>
      <c r="S27" s="786">
        <f>(C27+D27+E27+F27+I27+G27+H27)*4151</f>
        <v/>
      </c>
    </row>
    <row r="28" customFormat="1" s="24">
      <c r="A28" s="85" t="inlineStr">
        <is>
          <t>컵비즈왁스(핑키니)</t>
        </is>
      </c>
      <c r="B28" s="775" t="n"/>
      <c r="C28" s="310" t="n">
        <v>4</v>
      </c>
      <c r="D28" s="326" t="n"/>
      <c r="E28" s="310" t="n"/>
      <c r="F28" s="327" t="n">
        <v>2</v>
      </c>
      <c r="G28" s="326" t="n">
        <v>2</v>
      </c>
      <c r="H28" s="325" t="n"/>
      <c r="I28" s="564" t="n"/>
      <c r="J28" s="35">
        <f>SUM(C28:I28)</f>
        <v/>
      </c>
      <c r="K28" s="768">
        <f>C28*6200</f>
        <v/>
      </c>
      <c r="L28" s="783" t="n"/>
      <c r="M28" s="784" t="n"/>
      <c r="N28" s="771">
        <f>F28*5580</f>
        <v/>
      </c>
      <c r="O28" s="771">
        <f>G28*4340</f>
        <v/>
      </c>
      <c r="P28" s="785" t="n"/>
      <c r="Q28" s="758" t="n"/>
      <c r="R28" s="756">
        <f>SUM(K28:Q28)</f>
        <v/>
      </c>
      <c r="S28" s="786">
        <f>(C28+D28+E28+F28+I28+G28+H28)*4301</f>
        <v/>
      </c>
    </row>
    <row r="29">
      <c r="A29" s="29" t="inlineStr">
        <is>
          <t>핑키니하드</t>
        </is>
      </c>
      <c r="B29" s="381" t="inlineStr">
        <is>
          <t>P00000UH</t>
        </is>
      </c>
      <c r="C29" s="258" t="n">
        <v>32</v>
      </c>
      <c r="D29" s="235" t="n">
        <v>15</v>
      </c>
      <c r="E29" s="234" t="n">
        <v>74</v>
      </c>
      <c r="F29" s="215" t="n">
        <v>723</v>
      </c>
      <c r="G29" s="215" t="n"/>
      <c r="H29" s="215" t="n"/>
      <c r="I29" s="238" t="n"/>
      <c r="J29" s="35">
        <f>SUM(C29:I29)</f>
        <v/>
      </c>
      <c r="K29" s="768">
        <f>C29*40000</f>
        <v/>
      </c>
      <c r="L29" s="769">
        <f>D29*31000</f>
        <v/>
      </c>
      <c r="M29" s="770" t="n">
        <v>2259600</v>
      </c>
      <c r="N29" s="757" t="n">
        <v>24539500</v>
      </c>
      <c r="O29" s="771" t="n"/>
      <c r="P29" s="787">
        <f>H29*34000</f>
        <v/>
      </c>
      <c r="Q29" s="787" t="n"/>
      <c r="R29" s="756">
        <f>SUM(K29:Q29)</f>
        <v/>
      </c>
      <c r="S29" s="786">
        <f>(C29+D29+E29+F29+I29+G29+H29)*17852</f>
        <v/>
      </c>
    </row>
    <row r="30">
      <c r="A30" s="29" t="inlineStr">
        <is>
          <t>루비1kg</t>
        </is>
      </c>
      <c r="B30" s="382" t="inlineStr">
        <is>
          <t>P00000TI</t>
        </is>
      </c>
      <c r="C30" s="262" t="n">
        <v>25</v>
      </c>
      <c r="D30" s="235" t="n"/>
      <c r="E30" s="234" t="n">
        <v>111</v>
      </c>
      <c r="F30" s="230" t="n">
        <v>710</v>
      </c>
      <c r="G30" s="230" t="n"/>
      <c r="H30" s="230" t="n"/>
      <c r="I30" s="322" t="n"/>
      <c r="J30" s="35">
        <f>SUM(C30:I30)</f>
        <v/>
      </c>
      <c r="K30" s="768" t="n">
        <v>943200</v>
      </c>
      <c r="L30" s="769">
        <f>D30*27800</f>
        <v/>
      </c>
      <c r="M30" s="770" t="n">
        <v>3065000</v>
      </c>
      <c r="N30" s="757" t="n">
        <v>22738860</v>
      </c>
      <c r="O30" s="771" t="n"/>
      <c r="P30" s="787">
        <f>H30*32130</f>
        <v/>
      </c>
      <c r="Q30" s="787" t="n"/>
      <c r="R30" s="756">
        <f>SUM(K30:Q30)</f>
        <v/>
      </c>
      <c r="S30" s="786">
        <f>(C30+D30+E30+F30+I30+G30+H30)*15958</f>
        <v/>
      </c>
    </row>
    <row r="31">
      <c r="A31" s="29" t="inlineStr">
        <is>
          <t>데저트</t>
        </is>
      </c>
      <c r="B31" s="381" t="inlineStr">
        <is>
          <t>P00000BY</t>
        </is>
      </c>
      <c r="C31" s="263" t="n">
        <v>22</v>
      </c>
      <c r="D31" s="235" t="n">
        <v>1</v>
      </c>
      <c r="E31" s="234" t="n">
        <v>81</v>
      </c>
      <c r="F31" s="230" t="n">
        <v>553</v>
      </c>
      <c r="G31" s="230" t="n"/>
      <c r="H31" s="230" t="n"/>
      <c r="I31" s="330" t="n"/>
      <c r="J31" s="35">
        <f>SUM(C31:I31)</f>
        <v/>
      </c>
      <c r="K31" s="768" t="n">
        <v>829800</v>
      </c>
      <c r="L31" s="769">
        <f>D31*28000</f>
        <v/>
      </c>
      <c r="M31" s="770">
        <f>E31*27800</f>
        <v/>
      </c>
      <c r="N31" s="757" t="n">
        <v>17706690</v>
      </c>
      <c r="O31" s="771" t="n"/>
      <c r="P31" s="787">
        <f>H31*32130</f>
        <v/>
      </c>
      <c r="Q31" s="787" t="n"/>
      <c r="R31" s="756">
        <f>SUM(K31:Q31)</f>
        <v/>
      </c>
      <c r="S31" s="786">
        <f>(C31+D31+E31+F31+I31+G31+H31)*15958</f>
        <v/>
      </c>
    </row>
    <row r="32">
      <c r="A32" s="29" t="inlineStr">
        <is>
          <t>라벤더</t>
        </is>
      </c>
      <c r="B32" s="715" t="inlineStr">
        <is>
          <t>P00000BZ</t>
        </is>
      </c>
      <c r="C32" s="263" t="n">
        <v>8</v>
      </c>
      <c r="D32" s="235" t="n"/>
      <c r="E32" s="234" t="n">
        <v>50</v>
      </c>
      <c r="F32" s="215" t="n">
        <v>143</v>
      </c>
      <c r="G32" s="215" t="n"/>
      <c r="H32" s="215" t="n"/>
      <c r="I32" s="329" t="n"/>
      <c r="J32" s="35">
        <f>SUM(C32:I32)</f>
        <v/>
      </c>
      <c r="K32" s="768">
        <f>C32*37800</f>
        <v/>
      </c>
      <c r="L32" s="769">
        <f>D32*27800</f>
        <v/>
      </c>
      <c r="M32" s="770" t="n">
        <v>1390000</v>
      </c>
      <c r="N32" s="757" t="n">
        <v>4560930</v>
      </c>
      <c r="O32" s="771" t="n"/>
      <c r="P32" s="787">
        <f>H32*32130</f>
        <v/>
      </c>
      <c r="Q32" s="787" t="n"/>
      <c r="R32" s="756">
        <f>SUM(K32:Q32)</f>
        <v/>
      </c>
      <c r="S32" s="786">
        <f>(C32+D32+E32+F32+I32+G32+H32)*15958</f>
        <v/>
      </c>
    </row>
    <row r="33">
      <c r="A33" s="43" t="inlineStr">
        <is>
          <t>로제트</t>
        </is>
      </c>
      <c r="B33" s="381" t="inlineStr">
        <is>
          <t>P00000CH</t>
        </is>
      </c>
      <c r="C33" s="263" t="n">
        <v>11</v>
      </c>
      <c r="D33" s="235" t="n">
        <v>4</v>
      </c>
      <c r="E33" s="234" t="n">
        <v>46</v>
      </c>
      <c r="F33" s="230" t="n">
        <v>252</v>
      </c>
      <c r="G33" s="230" t="n">
        <v>4</v>
      </c>
      <c r="H33" s="230" t="n"/>
      <c r="I33" s="322" t="n"/>
      <c r="J33" s="35">
        <f>SUM(C33:I33)</f>
        <v/>
      </c>
      <c r="K33" s="768">
        <f>C33*37800</f>
        <v/>
      </c>
      <c r="L33" s="769">
        <f>D33*28000</f>
        <v/>
      </c>
      <c r="M33" s="770">
        <f>E33*27800</f>
        <v/>
      </c>
      <c r="N33" s="757" t="n">
        <v>8092170</v>
      </c>
      <c r="O33" s="771">
        <f>G33*30240</f>
        <v/>
      </c>
      <c r="P33" s="787">
        <f>H33*32130</f>
        <v/>
      </c>
      <c r="Q33" s="787" t="n"/>
      <c r="R33" s="756">
        <f>SUM(K33:Q33)</f>
        <v/>
      </c>
      <c r="S33" s="786">
        <f>(C33+D33+E33+F33+I33+G33+H33)*16680</f>
        <v/>
      </c>
    </row>
    <row r="34">
      <c r="A34" s="29" t="inlineStr">
        <is>
          <t>맨니피코</t>
        </is>
      </c>
      <c r="B34" s="381" t="inlineStr">
        <is>
          <t>P00000CG</t>
        </is>
      </c>
      <c r="C34" s="263" t="n">
        <v>20</v>
      </c>
      <c r="D34" s="235" t="n"/>
      <c r="E34" s="234" t="n">
        <v>78</v>
      </c>
      <c r="F34" s="230" t="n">
        <v>324</v>
      </c>
      <c r="G34" s="230" t="n"/>
      <c r="H34" s="230" t="n"/>
      <c r="I34" s="322" t="n"/>
      <c r="J34" s="35">
        <f>SUM(C34:I34)</f>
        <v/>
      </c>
      <c r="K34" s="768" t="n">
        <v>754200</v>
      </c>
      <c r="L34" s="769">
        <f>D34*27800</f>
        <v/>
      </c>
      <c r="M34" s="770">
        <f>E34*27800</f>
        <v/>
      </c>
      <c r="N34" s="757" t="n">
        <v>10407060</v>
      </c>
      <c r="O34" s="771" t="n"/>
      <c r="P34" s="787">
        <f>H34*32130</f>
        <v/>
      </c>
      <c r="Q34" s="787" t="n"/>
      <c r="R34" s="756">
        <f>SUM(K34:Q34)</f>
        <v/>
      </c>
      <c r="S34" s="786">
        <f>(C34+D34+E34+F34+I34+G34+H34)*16680</f>
        <v/>
      </c>
    </row>
    <row r="35">
      <c r="A35" s="29" t="inlineStr">
        <is>
          <t>올리브</t>
        </is>
      </c>
      <c r="B35" s="715" t="inlineStr">
        <is>
          <t>P00000CA</t>
        </is>
      </c>
      <c r="C35" s="263" t="n">
        <v>2</v>
      </c>
      <c r="D35" s="235" t="n"/>
      <c r="E35" s="234" t="n">
        <v>3</v>
      </c>
      <c r="F35" s="230" t="n">
        <v>76</v>
      </c>
      <c r="G35" s="230" t="n"/>
      <c r="H35" s="230" t="n"/>
      <c r="I35" s="322" t="n"/>
      <c r="J35" s="35">
        <f>SUM(C35:I35)</f>
        <v/>
      </c>
      <c r="K35" s="768">
        <f>C35*37800</f>
        <v/>
      </c>
      <c r="L35" s="769">
        <f>D35*27800</f>
        <v/>
      </c>
      <c r="M35" s="770">
        <f>E35*27800</f>
        <v/>
      </c>
      <c r="N35" s="757">
        <f>F35*32130</f>
        <v/>
      </c>
      <c r="O35" s="771" t="n"/>
      <c r="P35" s="787">
        <f>H35*32130</f>
        <v/>
      </c>
      <c r="Q35" s="787" t="n"/>
      <c r="R35" s="756">
        <f>SUM(K35:Q35)</f>
        <v/>
      </c>
      <c r="S35" s="786">
        <f>(C35+D35+E35+F35+I35+G35+H35)*16680</f>
        <v/>
      </c>
    </row>
    <row r="36">
      <c r="A36" s="29" t="inlineStr">
        <is>
          <t>바닐라</t>
        </is>
      </c>
      <c r="B36" s="715" t="inlineStr">
        <is>
          <t>P00000BW</t>
        </is>
      </c>
      <c r="C36" s="263" t="n">
        <v>3</v>
      </c>
      <c r="D36" s="235" t="n"/>
      <c r="E36" s="234" t="n">
        <v>15</v>
      </c>
      <c r="F36" s="230" t="n">
        <v>48</v>
      </c>
      <c r="G36" s="230" t="n"/>
      <c r="H36" s="230" t="n"/>
      <c r="I36" s="322" t="n"/>
      <c r="J36" s="35">
        <f>SUM(C36:I36)</f>
        <v/>
      </c>
      <c r="K36" s="768">
        <f>C36*37800</f>
        <v/>
      </c>
      <c r="L36" s="769">
        <f>D36*27800</f>
        <v/>
      </c>
      <c r="M36" s="770">
        <f>E36*27800</f>
        <v/>
      </c>
      <c r="N36" s="757">
        <f>F36*32130</f>
        <v/>
      </c>
      <c r="O36" s="771" t="n"/>
      <c r="P36" s="787">
        <f>H36*32130</f>
        <v/>
      </c>
      <c r="Q36" s="787" t="n"/>
      <c r="R36" s="756">
        <f>SUM(K36:Q36)</f>
        <v/>
      </c>
      <c r="S36" s="786">
        <f>(C36+D36+E36+F36+I36+G36+H36)*16680</f>
        <v/>
      </c>
    </row>
    <row r="37">
      <c r="A37" s="29" t="inlineStr">
        <is>
          <t>소베리</t>
        </is>
      </c>
      <c r="B37" s="715" t="inlineStr">
        <is>
          <t>P00000CI</t>
        </is>
      </c>
      <c r="C37" s="310" t="n">
        <v>10</v>
      </c>
      <c r="D37" s="235" t="n"/>
      <c r="E37" s="234" t="n">
        <v>39</v>
      </c>
      <c r="F37" s="215" t="n">
        <v>122</v>
      </c>
      <c r="G37" s="215" t="n"/>
      <c r="H37" s="215" t="n"/>
      <c r="I37" s="329" t="n"/>
      <c r="J37" s="35">
        <f>SUM(C37:I37)</f>
        <v/>
      </c>
      <c r="K37" s="768">
        <f>C37*37800</f>
        <v/>
      </c>
      <c r="L37" s="769">
        <f>D37*27800</f>
        <v/>
      </c>
      <c r="M37" s="770">
        <f>E37*27800</f>
        <v/>
      </c>
      <c r="N37" s="757" t="n">
        <v>3901500</v>
      </c>
      <c r="O37" s="771" t="n"/>
      <c r="P37" s="787">
        <f>H37*32130</f>
        <v/>
      </c>
      <c r="Q37" s="787" t="n"/>
      <c r="R37" s="756">
        <f>SUM(K37:Q37)</f>
        <v/>
      </c>
      <c r="S37" s="786">
        <f>(C37+D37+E37+F37+I37+G37+H37)*16680</f>
        <v/>
      </c>
    </row>
    <row r="38">
      <c r="A38" s="29" t="inlineStr">
        <is>
          <t>아쥴렌</t>
        </is>
      </c>
      <c r="B38" s="381" t="inlineStr">
        <is>
          <t>P00000CE</t>
        </is>
      </c>
      <c r="C38" s="310" t="n"/>
      <c r="D38" s="235" t="n"/>
      <c r="E38" s="234" t="n">
        <v>4</v>
      </c>
      <c r="F38" s="230" t="n">
        <v>14</v>
      </c>
      <c r="G38" s="230" t="n"/>
      <c r="H38" s="230" t="n"/>
      <c r="I38" s="322" t="n"/>
      <c r="J38" s="35">
        <f>SUM(C38:I38)</f>
        <v/>
      </c>
      <c r="K38" s="768">
        <f>C38*37800</f>
        <v/>
      </c>
      <c r="L38" s="769">
        <f>D38*27800</f>
        <v/>
      </c>
      <c r="M38" s="770">
        <f>E38*27800</f>
        <v/>
      </c>
      <c r="N38" s="757">
        <f>F38*32130</f>
        <v/>
      </c>
      <c r="O38" s="771" t="n"/>
      <c r="P38" s="787">
        <f>H38*32130</f>
        <v/>
      </c>
      <c r="Q38" s="787" t="n"/>
      <c r="R38" s="756">
        <f>SUM(K38:Q38)</f>
        <v/>
      </c>
      <c r="S38" s="786">
        <f>(C38+D38+E38+F38+I38+G38+H38)*16680</f>
        <v/>
      </c>
    </row>
    <row r="39">
      <c r="A39" s="29" t="inlineStr">
        <is>
          <t>액티브골드</t>
        </is>
      </c>
      <c r="B39" s="715" t="inlineStr">
        <is>
          <t>P00000KH</t>
        </is>
      </c>
      <c r="C39" s="310" t="n"/>
      <c r="D39" s="235" t="n"/>
      <c r="E39" s="234" t="n"/>
      <c r="F39" s="215" t="n"/>
      <c r="G39" s="215" t="n"/>
      <c r="H39" s="215" t="n"/>
      <c r="I39" s="329" t="n"/>
      <c r="J39" s="35">
        <f>SUM(C39:I39)</f>
        <v/>
      </c>
      <c r="K39" s="768">
        <f>C39*37800</f>
        <v/>
      </c>
      <c r="L39" s="769">
        <f>D39*27800</f>
        <v/>
      </c>
      <c r="M39" s="770">
        <f>E39*27800</f>
        <v/>
      </c>
      <c r="N39" s="757">
        <f>F39*32130</f>
        <v/>
      </c>
      <c r="O39" s="771" t="n"/>
      <c r="P39" s="787">
        <f>H39*32130</f>
        <v/>
      </c>
      <c r="Q39" s="787" t="n"/>
      <c r="R39" s="756">
        <f>SUM(K39:Q39)</f>
        <v/>
      </c>
      <c r="S39" s="786">
        <f>(C39+D39+E39+F39+I39+G39+H39)*15688</f>
        <v/>
      </c>
    </row>
    <row r="40">
      <c r="A40" s="29" t="inlineStr">
        <is>
          <t>알로에</t>
        </is>
      </c>
      <c r="B40" s="715" t="inlineStr">
        <is>
          <t>P00000CD</t>
        </is>
      </c>
      <c r="C40" s="263" t="n">
        <v>2</v>
      </c>
      <c r="D40" s="235" t="n"/>
      <c r="E40" s="234" t="n"/>
      <c r="F40" s="230" t="n">
        <v>86</v>
      </c>
      <c r="G40" s="230" t="n"/>
      <c r="H40" s="230" t="n"/>
      <c r="I40" s="322" t="n"/>
      <c r="J40" s="35">
        <f>SUM(C40:I40)</f>
        <v/>
      </c>
      <c r="K40" s="768">
        <f>C40*37800</f>
        <v/>
      </c>
      <c r="L40" s="769">
        <f>D40*27800</f>
        <v/>
      </c>
      <c r="M40" s="770">
        <f>E40*27800</f>
        <v/>
      </c>
      <c r="N40" s="757" t="n">
        <v>2761650</v>
      </c>
      <c r="O40" s="771" t="n"/>
      <c r="P40" s="787">
        <f>H40*32130</f>
        <v/>
      </c>
      <c r="Q40" s="787" t="n"/>
      <c r="R40" s="756">
        <f>SUM(K40:Q40)</f>
        <v/>
      </c>
      <c r="S40" s="786">
        <f>(C40+D40+E40+F40+I40+G40+H40)*15688</f>
        <v/>
      </c>
    </row>
    <row r="41">
      <c r="A41" s="29" t="inlineStr">
        <is>
          <t>아프리콧</t>
        </is>
      </c>
      <c r="B41" s="715" t="inlineStr">
        <is>
          <t>P00000CF</t>
        </is>
      </c>
      <c r="C41" s="263" t="n">
        <v>2</v>
      </c>
      <c r="D41" s="235" t="n"/>
      <c r="E41" s="234" t="n">
        <v>6</v>
      </c>
      <c r="F41" s="215" t="n">
        <v>72</v>
      </c>
      <c r="G41" s="215" t="n"/>
      <c r="H41" s="215" t="n"/>
      <c r="I41" s="329" t="n"/>
      <c r="J41" s="35">
        <f>SUM(C41:I41)</f>
        <v/>
      </c>
      <c r="K41" s="768">
        <f>C41*37800</f>
        <v/>
      </c>
      <c r="L41" s="769">
        <f>D41*27800</f>
        <v/>
      </c>
      <c r="M41" s="770">
        <f>E41*27800</f>
        <v/>
      </c>
      <c r="N41" s="757">
        <f>F41*32130</f>
        <v/>
      </c>
      <c r="O41" s="771" t="n"/>
      <c r="P41" s="787">
        <f>H41*32130</f>
        <v/>
      </c>
      <c r="Q41" s="787" t="n"/>
      <c r="R41" s="756">
        <f>SUM(K41:Q41)</f>
        <v/>
      </c>
      <c r="S41" s="786">
        <f>(C41+D41+E41+F41+I41+G41+H41)*15688</f>
        <v/>
      </c>
    </row>
    <row r="42">
      <c r="A42" s="29" t="n"/>
      <c r="B42" s="715" t="n"/>
      <c r="C42" s="263" t="n"/>
      <c r="D42" s="235" t="n"/>
      <c r="E42" s="234" t="n"/>
      <c r="F42" s="215" t="n"/>
      <c r="G42" s="215" t="n"/>
      <c r="H42" s="328" t="n"/>
      <c r="I42" s="329" t="n"/>
      <c r="J42" s="35">
        <f>SUM(C42:I42)</f>
        <v/>
      </c>
      <c r="K42" s="768" t="n"/>
      <c r="L42" s="769" t="n"/>
      <c r="M42" s="770" t="n"/>
      <c r="O42" s="771" t="n"/>
      <c r="P42" s="771" t="n"/>
      <c r="Q42" s="787" t="n"/>
      <c r="S42" s="786" t="n"/>
    </row>
    <row r="43">
      <c r="A43" s="29" t="n"/>
      <c r="B43" s="30" t="n"/>
      <c r="C43" s="310" t="n"/>
      <c r="D43" s="32" t="n"/>
      <c r="E43" s="33" t="n"/>
      <c r="F43" s="191" t="n"/>
      <c r="G43" s="34" t="n"/>
      <c r="H43" s="197" t="n"/>
      <c r="I43" s="34" t="n"/>
      <c r="J43" s="35">
        <f>SUM(C43:I43)</f>
        <v/>
      </c>
      <c r="K43" s="773">
        <f>C43*36000</f>
        <v/>
      </c>
      <c r="L43" s="769">
        <f>D43*28000</f>
        <v/>
      </c>
      <c r="M43" s="770" t="n"/>
      <c r="P43" s="771" t="n"/>
      <c r="S43" s="786" t="n"/>
    </row>
    <row r="44" customFormat="1" s="24">
      <c r="A44" s="439" t="inlineStr">
        <is>
          <t>1kg총합계</t>
        </is>
      </c>
      <c r="B44" s="449" t="n"/>
      <c r="C44" s="450">
        <f>SUM(C29:C43)</f>
        <v/>
      </c>
      <c r="D44" s="451">
        <f>SUM(D29:D43)</f>
        <v/>
      </c>
      <c r="E44" s="452">
        <f>SUM(E29:E43)</f>
        <v/>
      </c>
      <c r="F44" s="453">
        <f>SUM(F29:F43)</f>
        <v/>
      </c>
      <c r="G44" s="453">
        <f>SUM(G29:G43)</f>
        <v/>
      </c>
      <c r="H44" s="453">
        <f>SUM(H29:H43)</f>
        <v/>
      </c>
      <c r="I44" s="453">
        <f>SUM(I29:I43)</f>
        <v/>
      </c>
      <c r="J44" s="442">
        <f>SUM(J29:J43)</f>
        <v/>
      </c>
      <c r="K44" s="777">
        <f>SUM(K25:K43)</f>
        <v/>
      </c>
      <c r="L44" s="778">
        <f>SUM(L25:L43)</f>
        <v/>
      </c>
      <c r="M44" s="779">
        <f>SUM(M25:M43)</f>
        <v/>
      </c>
      <c r="N44" s="777">
        <f>SUM(N25:N43)</f>
        <v/>
      </c>
      <c r="O44" s="780">
        <f>SUM(O25:O43)</f>
        <v/>
      </c>
      <c r="P44" s="780">
        <f>SUM(P25:P43)</f>
        <v/>
      </c>
      <c r="Q44" s="780">
        <f>SUM(Q25:Q43)</f>
        <v/>
      </c>
      <c r="R44" s="788">
        <f>SUM(R25:R43)</f>
        <v/>
      </c>
      <c r="S44" s="782">
        <f>SUM(S25:S43)</f>
        <v/>
      </c>
    </row>
    <row r="45">
      <c r="C45" s="638" t="inlineStr">
        <is>
          <t>도매</t>
        </is>
      </c>
      <c r="D45" s="9" t="inlineStr">
        <is>
          <t>인증살롱</t>
        </is>
      </c>
      <c r="E45" s="10" t="inlineStr">
        <is>
          <t>마스터</t>
        </is>
      </c>
      <c r="F45" s="12" t="inlineStr">
        <is>
          <t>할인행사</t>
        </is>
      </c>
      <c r="G45" s="12" t="n"/>
      <c r="H45" s="12" t="inlineStr">
        <is>
          <t>할인+증정</t>
        </is>
      </c>
      <c r="I45" s="12" t="n"/>
      <c r="J45" s="639" t="inlineStr">
        <is>
          <t>합계</t>
        </is>
      </c>
      <c r="K45" s="789" t="n"/>
      <c r="P45" s="785" t="n"/>
    </row>
    <row r="46">
      <c r="C46" s="44" t="n"/>
      <c r="D46" s="406" t="inlineStr">
        <is>
          <t>P00000VT</t>
        </is>
      </c>
      <c r="E46" s="19" t="inlineStr">
        <is>
          <t>P00000QF</t>
        </is>
      </c>
      <c r="F46" s="20" t="inlineStr">
        <is>
          <t>P00000VN</t>
        </is>
      </c>
      <c r="G46" s="46" t="n">
        <v>0.15</v>
      </c>
      <c r="H46" s="20" t="n"/>
      <c r="I46" s="20" t="n"/>
      <c r="J46" s="17" t="n"/>
      <c r="P46" s="785" t="n"/>
    </row>
    <row r="47" ht="24" customHeight="1" s="754">
      <c r="A47" s="24" t="inlineStr">
        <is>
          <t>스트립왁스</t>
        </is>
      </c>
      <c r="C47" s="47" t="n"/>
      <c r="D47" s="48" t="n"/>
      <c r="E47" s="49" t="n"/>
      <c r="F47" s="20" t="inlineStr">
        <is>
          <t>P00000YU</t>
        </is>
      </c>
      <c r="G47" s="26" t="inlineStr">
        <is>
          <t>바디스타터키트</t>
        </is>
      </c>
      <c r="H47" s="20" t="inlineStr">
        <is>
          <t>P0000BEU</t>
        </is>
      </c>
      <c r="I47" s="415" t="n"/>
      <c r="J47" s="50" t="n"/>
      <c r="K47" s="763" t="inlineStr">
        <is>
          <t>도매</t>
        </is>
      </c>
      <c r="L47" s="764" t="inlineStr">
        <is>
          <t>인증살롱/마스터</t>
        </is>
      </c>
      <c r="M47" s="765" t="n"/>
      <c r="N47" s="766" t="inlineStr">
        <is>
          <t>할인</t>
        </is>
      </c>
      <c r="O47" s="766" t="inlineStr">
        <is>
          <t>세트할인</t>
        </is>
      </c>
      <c r="P47" s="766" t="inlineStr">
        <is>
          <t>할인+증정</t>
        </is>
      </c>
      <c r="Q47" s="766" t="n"/>
      <c r="R47" s="767" t="inlineStr">
        <is>
          <t>품목별합계</t>
        </is>
      </c>
      <c r="S47" s="767" t="inlineStr">
        <is>
          <t>원가</t>
        </is>
      </c>
    </row>
    <row r="48">
      <c r="A48" s="51" t="inlineStr">
        <is>
          <t>S_화이트</t>
        </is>
      </c>
      <c r="B48" s="704" t="inlineStr">
        <is>
          <t>P00000CQ</t>
        </is>
      </c>
      <c r="C48" s="233" t="n">
        <v>24</v>
      </c>
      <c r="D48" s="331" t="n"/>
      <c r="E48" s="332" t="n">
        <v>63</v>
      </c>
      <c r="F48" s="333" t="n">
        <v>171</v>
      </c>
      <c r="G48" s="322" t="n"/>
      <c r="H48" s="333" t="n"/>
      <c r="I48" s="334" t="n"/>
      <c r="J48" s="27">
        <f>SUM(C48:I48)</f>
        <v/>
      </c>
      <c r="K48" s="768">
        <f>C48*35700</f>
        <v/>
      </c>
      <c r="L48" s="790">
        <f>D48*25400</f>
        <v/>
      </c>
      <c r="M48" s="770">
        <f>E48*25400</f>
        <v/>
      </c>
      <c r="N48" s="757" t="n">
        <v>5034350</v>
      </c>
      <c r="P48" s="771">
        <f>H48*29500</f>
        <v/>
      </c>
      <c r="R48" s="756">
        <f>SUM(K48:Q48)</f>
        <v/>
      </c>
      <c r="S48" s="756">
        <f>(C48+D48+E48+F48+I48+H48+G48)*14155</f>
        <v/>
      </c>
    </row>
    <row r="49">
      <c r="A49" s="51" t="inlineStr">
        <is>
          <t>S_슈퍼베리</t>
        </is>
      </c>
      <c r="B49" s="703" t="inlineStr">
        <is>
          <t>P00000CL</t>
        </is>
      </c>
      <c r="C49" s="233" t="n">
        <v>5</v>
      </c>
      <c r="D49" s="235" t="n"/>
      <c r="E49" s="234" t="n">
        <v>29</v>
      </c>
      <c r="F49" s="230" t="n">
        <v>26</v>
      </c>
      <c r="G49" s="334" t="n"/>
      <c r="H49" s="333" t="n"/>
      <c r="I49" s="334" t="n"/>
      <c r="J49" s="27">
        <f>SUM(C49:I49)</f>
        <v/>
      </c>
      <c r="K49" s="768" t="n">
        <v>178500</v>
      </c>
      <c r="L49" s="790">
        <f>D49*25400</f>
        <v/>
      </c>
      <c r="M49" s="770">
        <f>E49*25400</f>
        <v/>
      </c>
      <c r="N49" s="757">
        <f>F49*29500</f>
        <v/>
      </c>
      <c r="P49" s="771">
        <f>H49*29500</f>
        <v/>
      </c>
      <c r="R49" s="756">
        <f>SUM(K49:Q49)</f>
        <v/>
      </c>
      <c r="S49" s="756">
        <f>(C49+D49+E49+F49+I49+H49+G49)*14155</f>
        <v/>
      </c>
    </row>
    <row r="50">
      <c r="A50" s="51" t="inlineStr">
        <is>
          <t>S_로제트</t>
        </is>
      </c>
      <c r="B50" s="704" t="inlineStr">
        <is>
          <t>P00000CO</t>
        </is>
      </c>
      <c r="C50" s="237" t="n">
        <v>3</v>
      </c>
      <c r="D50" s="235" t="n"/>
      <c r="E50" s="234" t="n">
        <v>1</v>
      </c>
      <c r="F50" s="230" t="n">
        <v>15</v>
      </c>
      <c r="G50" s="334" t="n"/>
      <c r="H50" s="333" t="n"/>
      <c r="I50" s="334" t="n"/>
      <c r="J50" s="27">
        <f>SUM(C50:I50)</f>
        <v/>
      </c>
      <c r="K50" s="768">
        <f>C50*34700</f>
        <v/>
      </c>
      <c r="L50" s="790">
        <f>D50*25400</f>
        <v/>
      </c>
      <c r="M50" s="770">
        <f>E50*25400</f>
        <v/>
      </c>
      <c r="N50" s="757">
        <f>F50*29500</f>
        <v/>
      </c>
      <c r="P50" s="771">
        <f>H50*29500</f>
        <v/>
      </c>
      <c r="R50" s="756">
        <f>SUM(K50:Q50)</f>
        <v/>
      </c>
      <c r="S50" s="756">
        <f>(C50+D50+E50+F50+I50+H50+G50)*13975</f>
        <v/>
      </c>
    </row>
    <row r="51">
      <c r="A51" s="51" t="inlineStr">
        <is>
          <t>S_맨니피코</t>
        </is>
      </c>
      <c r="B51" s="703" t="inlineStr">
        <is>
          <t>P00000CW</t>
        </is>
      </c>
      <c r="C51" s="233" t="n">
        <v>14</v>
      </c>
      <c r="D51" s="235" t="n"/>
      <c r="E51" s="234" t="n">
        <v>7</v>
      </c>
      <c r="F51" s="230" t="n">
        <v>69</v>
      </c>
      <c r="G51" s="334" t="n"/>
      <c r="H51" s="333" t="n"/>
      <c r="I51" s="334" t="n"/>
      <c r="J51" s="27">
        <f>SUM(C51:I51)</f>
        <v/>
      </c>
      <c r="K51" s="768">
        <f>C51*34700</f>
        <v/>
      </c>
      <c r="L51" s="790">
        <f>D51*25400</f>
        <v/>
      </c>
      <c r="M51" s="770">
        <f>E51*25400</f>
        <v/>
      </c>
      <c r="N51" s="757" t="n">
        <v>2028250</v>
      </c>
      <c r="P51" s="771">
        <f>H51*29500</f>
        <v/>
      </c>
      <c r="R51" s="756">
        <f>SUM(K51:Q51)</f>
        <v/>
      </c>
      <c r="S51" s="756">
        <f>(C51+D51+E51+F51+I51+H51+G51)*13975</f>
        <v/>
      </c>
    </row>
    <row r="52">
      <c r="A52" s="51" t="inlineStr">
        <is>
          <t>S_올리브</t>
        </is>
      </c>
      <c r="B52" s="704" t="inlineStr">
        <is>
          <t>P00000CN</t>
        </is>
      </c>
      <c r="C52" s="237" t="n"/>
      <c r="D52" s="235" t="n"/>
      <c r="E52" s="234" t="n"/>
      <c r="F52" s="230" t="n"/>
      <c r="G52" s="334" t="n"/>
      <c r="H52" s="333" t="n"/>
      <c r="I52" s="334" t="n"/>
      <c r="J52" s="27">
        <f>SUM(C52:I52)</f>
        <v/>
      </c>
      <c r="K52" s="768">
        <f>C52*34700</f>
        <v/>
      </c>
      <c r="L52" s="790">
        <f>D52*25400</f>
        <v/>
      </c>
      <c r="M52" s="770">
        <f>E52*25400</f>
        <v/>
      </c>
      <c r="N52" s="757">
        <f>F52*29500</f>
        <v/>
      </c>
      <c r="P52" s="771">
        <f>H52*29500</f>
        <v/>
      </c>
      <c r="R52" s="756">
        <f>SUM(K52:Q52)</f>
        <v/>
      </c>
      <c r="S52" s="756">
        <f>(C52+D52+E52+F52+I52+H52+G52)*13975</f>
        <v/>
      </c>
    </row>
    <row r="53">
      <c r="A53" s="51" t="inlineStr">
        <is>
          <t>S_바닐라</t>
        </is>
      </c>
      <c r="B53" s="704" t="inlineStr">
        <is>
          <t>P00000CM</t>
        </is>
      </c>
      <c r="C53" s="237" t="n">
        <v>4</v>
      </c>
      <c r="D53" s="235" t="n"/>
      <c r="E53" s="234" t="n">
        <v>2</v>
      </c>
      <c r="F53" s="230" t="n">
        <v>19</v>
      </c>
      <c r="G53" s="333" t="n">
        <v>4</v>
      </c>
      <c r="H53" s="333" t="n"/>
      <c r="I53" s="334" t="n"/>
      <c r="J53" s="27">
        <f>SUM(C53:I53)</f>
        <v/>
      </c>
      <c r="K53" s="768">
        <f>C53*34700</f>
        <v/>
      </c>
      <c r="L53" s="790">
        <f>D53*25400</f>
        <v/>
      </c>
      <c r="M53" s="770">
        <f>E53*25400</f>
        <v/>
      </c>
      <c r="N53" s="757">
        <f>F53*29500</f>
        <v/>
      </c>
      <c r="O53" s="771">
        <f>G53*27760</f>
        <v/>
      </c>
      <c r="P53" s="771">
        <f>H53*29500</f>
        <v/>
      </c>
      <c r="Q53" s="787" t="n"/>
      <c r="R53" s="756">
        <f>SUM(K53:Q53)</f>
        <v/>
      </c>
      <c r="S53" s="756">
        <f>(C53+D53+E53+F53+I53+H53+G53)*13975</f>
        <v/>
      </c>
    </row>
    <row r="54">
      <c r="A54" s="51" t="inlineStr">
        <is>
          <t>S_소베리</t>
        </is>
      </c>
      <c r="B54" s="703" t="inlineStr">
        <is>
          <t>P00000CT</t>
        </is>
      </c>
      <c r="C54" s="233" t="n">
        <v>3</v>
      </c>
      <c r="D54" s="235" t="n"/>
      <c r="E54" s="234" t="n">
        <v>1</v>
      </c>
      <c r="F54" s="230" t="n">
        <v>35</v>
      </c>
      <c r="G54" s="334" t="n"/>
      <c r="H54" s="333" t="n"/>
      <c r="I54" s="334" t="n"/>
      <c r="J54" s="27">
        <f>SUM(C54:I54)</f>
        <v/>
      </c>
      <c r="K54" s="768">
        <f>C54*34700</f>
        <v/>
      </c>
      <c r="L54" s="790">
        <f>D54*25400</f>
        <v/>
      </c>
      <c r="M54" s="770">
        <f>E54*25400</f>
        <v/>
      </c>
      <c r="N54" s="757" t="n">
        <v>1028150</v>
      </c>
      <c r="P54" s="771">
        <f>H54*29500</f>
        <v/>
      </c>
      <c r="R54" s="756">
        <f>SUM(K54:Q54)</f>
        <v/>
      </c>
      <c r="S54" s="756">
        <f>(C54+D54+E54+F54+I54+H54+G54)*13975</f>
        <v/>
      </c>
    </row>
    <row r="55">
      <c r="A55" s="51" t="inlineStr">
        <is>
          <t>S_아쥴렌</t>
        </is>
      </c>
      <c r="B55" s="704" t="inlineStr">
        <is>
          <t>P00000CU</t>
        </is>
      </c>
      <c r="C55" s="237" t="n"/>
      <c r="D55" s="235" t="n"/>
      <c r="E55" s="234" t="n"/>
      <c r="F55" s="230" t="n"/>
      <c r="G55" s="334" t="n"/>
      <c r="H55" s="333" t="n"/>
      <c r="I55" s="334" t="n"/>
      <c r="J55" s="27">
        <f>SUM(C55:I55)</f>
        <v/>
      </c>
      <c r="K55" s="768">
        <f>C55*34700</f>
        <v/>
      </c>
      <c r="L55" s="790">
        <f>D55*25400</f>
        <v/>
      </c>
      <c r="M55" s="770">
        <f>E55*25400</f>
        <v/>
      </c>
      <c r="N55" s="757">
        <f>F55*29500</f>
        <v/>
      </c>
      <c r="P55" s="771">
        <f>H55*29500</f>
        <v/>
      </c>
      <c r="R55" s="756">
        <f>SUM(K55:Q55)</f>
        <v/>
      </c>
      <c r="S55" s="756">
        <f>(C55+D55+E55+F55+I55+H55+G55)*13975</f>
        <v/>
      </c>
    </row>
    <row r="56">
      <c r="A56" s="51" t="inlineStr">
        <is>
          <t>S_액티브골드</t>
        </is>
      </c>
      <c r="B56" s="703" t="inlineStr">
        <is>
          <t>P00000CP</t>
        </is>
      </c>
      <c r="C56" s="233" t="n">
        <v>4</v>
      </c>
      <c r="D56" s="235" t="n"/>
      <c r="E56" s="234" t="n">
        <v>3</v>
      </c>
      <c r="F56" s="230" t="n">
        <v>58</v>
      </c>
      <c r="G56" s="334" t="n"/>
      <c r="H56" s="333" t="n"/>
      <c r="I56" s="334" t="n"/>
      <c r="J56" s="27">
        <f>SUM(C56:I56)</f>
        <v/>
      </c>
      <c r="K56" s="768">
        <f>C56*34700</f>
        <v/>
      </c>
      <c r="L56" s="790">
        <f>D56*25400</f>
        <v/>
      </c>
      <c r="M56" s="770">
        <f>E56*25400</f>
        <v/>
      </c>
      <c r="N56" s="757">
        <f>F56*29500</f>
        <v/>
      </c>
      <c r="P56" s="771">
        <f>H56*29500</f>
        <v/>
      </c>
      <c r="R56" s="756">
        <f>SUM(K56:Q56)</f>
        <v/>
      </c>
      <c r="S56" s="756">
        <f>(C56+D56+E56+F56+I56+H56+G56)*13434</f>
        <v/>
      </c>
    </row>
    <row r="57">
      <c r="A57" s="51" t="inlineStr">
        <is>
          <t>S_알로에</t>
        </is>
      </c>
      <c r="B57" s="703" t="inlineStr">
        <is>
          <t>P00000CS</t>
        </is>
      </c>
      <c r="C57" s="233" t="n">
        <v>8</v>
      </c>
      <c r="D57" s="235" t="n"/>
      <c r="E57" s="234" t="n">
        <v>1</v>
      </c>
      <c r="F57" s="230" t="n">
        <v>44</v>
      </c>
      <c r="G57" s="334" t="n"/>
      <c r="H57" s="333" t="n"/>
      <c r="I57" s="334" t="n"/>
      <c r="J57" s="27">
        <f>SUM(C57:I57)</f>
        <v/>
      </c>
      <c r="K57" s="768">
        <f>C57*34700</f>
        <v/>
      </c>
      <c r="L57" s="790">
        <f>D57*25400</f>
        <v/>
      </c>
      <c r="M57" s="770">
        <f>E57*25400</f>
        <v/>
      </c>
      <c r="N57" s="757">
        <f>F57*29500</f>
        <v/>
      </c>
      <c r="P57" s="771">
        <f>H57*29500</f>
        <v/>
      </c>
      <c r="R57" s="756">
        <f>SUM(K57:Q57)</f>
        <v/>
      </c>
      <c r="S57" s="756">
        <f>(C57+D57+E57+F57+I57+H57+G57)*13975</f>
        <v/>
      </c>
    </row>
    <row r="58">
      <c r="A58" s="51" t="inlineStr">
        <is>
          <t>S_아프리콧</t>
        </is>
      </c>
      <c r="B58" s="703" t="inlineStr">
        <is>
          <t>P00000CR</t>
        </is>
      </c>
      <c r="C58" s="237" t="n">
        <v>3</v>
      </c>
      <c r="D58" s="235" t="n"/>
      <c r="E58" s="234" t="n">
        <v>1</v>
      </c>
      <c r="F58" s="230" t="n">
        <v>13</v>
      </c>
      <c r="G58" s="334" t="n"/>
      <c r="H58" s="333" t="n"/>
      <c r="I58" s="334" t="n"/>
      <c r="J58" s="27">
        <f>SUM(C58:I58)</f>
        <v/>
      </c>
      <c r="K58" s="768">
        <f>C58*34700</f>
        <v/>
      </c>
      <c r="L58" s="790">
        <f>D58*25400</f>
        <v/>
      </c>
      <c r="M58" s="770">
        <f>E58*25400</f>
        <v/>
      </c>
      <c r="N58" s="757">
        <f>F58*29500</f>
        <v/>
      </c>
      <c r="P58" s="771">
        <f>H58*29500</f>
        <v/>
      </c>
      <c r="R58" s="756">
        <f>SUM(K58:Q58)</f>
        <v/>
      </c>
      <c r="S58" s="756">
        <f>(C58+D58+E58+F58+I58+H58+G58)*13434</f>
        <v/>
      </c>
    </row>
    <row r="59">
      <c r="A59" s="51" t="inlineStr">
        <is>
          <t>S_소여미</t>
        </is>
      </c>
      <c r="B59" s="703" t="inlineStr">
        <is>
          <t>P00000CV</t>
        </is>
      </c>
      <c r="C59" s="233" t="n"/>
      <c r="D59" s="235" t="n"/>
      <c r="E59" s="234" t="n"/>
      <c r="F59" s="230" t="n"/>
      <c r="G59" s="334" t="n"/>
      <c r="H59" s="333" t="n"/>
      <c r="I59" s="334" t="n"/>
      <c r="J59" s="27">
        <f>SUM(C59:I59)</f>
        <v/>
      </c>
      <c r="K59" s="768">
        <f>C59*34700</f>
        <v/>
      </c>
      <c r="L59" s="790">
        <f>D59*25400</f>
        <v/>
      </c>
      <c r="M59" s="770">
        <f>E59*25400</f>
        <v/>
      </c>
      <c r="N59" s="757">
        <f>F59*29500</f>
        <v/>
      </c>
      <c r="P59" s="771">
        <f>H59*29500</f>
        <v/>
      </c>
      <c r="R59" s="756">
        <f>SUM(K59:Q59)</f>
        <v/>
      </c>
      <c r="S59" s="756">
        <f>(C59+D59+E59+F59+I59+H59+G59)*13975</f>
        <v/>
      </c>
    </row>
    <row r="60">
      <c r="A60" s="51" t="n"/>
      <c r="B60" s="29" t="n"/>
      <c r="C60" s="35" t="n"/>
      <c r="D60" s="32" t="n"/>
      <c r="E60" s="33" t="n"/>
      <c r="F60" s="191" t="n"/>
      <c r="G60" s="53" t="n"/>
      <c r="H60" s="52" t="n"/>
      <c r="I60" s="53" t="n"/>
      <c r="J60" s="27">
        <f>SUM(C60:I60)</f>
        <v/>
      </c>
      <c r="K60" s="776" t="n"/>
      <c r="L60" s="790" t="n"/>
      <c r="M60" s="770" t="n"/>
      <c r="N60" s="771" t="n"/>
      <c r="P60" s="785" t="n"/>
    </row>
    <row r="61" customFormat="1" s="24">
      <c r="A61" s="455" t="inlineStr">
        <is>
          <t>총합계</t>
        </is>
      </c>
      <c r="B61" s="449" t="n"/>
      <c r="C61" s="450">
        <f>SUM(C48:C60)</f>
        <v/>
      </c>
      <c r="D61" s="450">
        <f>SUM(D48:D60)</f>
        <v/>
      </c>
      <c r="E61" s="450">
        <f>SUM(E48:E60)</f>
        <v/>
      </c>
      <c r="F61" s="453">
        <f>SUM(F48:F60)</f>
        <v/>
      </c>
      <c r="G61" s="453" t="n"/>
      <c r="H61" s="453">
        <f>SUM(H48:H60)</f>
        <v/>
      </c>
      <c r="I61" s="453">
        <f>SUM(I48:I60)</f>
        <v/>
      </c>
      <c r="J61" s="442">
        <f>SUM(J48:J60)</f>
        <v/>
      </c>
      <c r="K61" s="777">
        <f>SUM(K48:K60)</f>
        <v/>
      </c>
      <c r="L61" s="791">
        <f>SUM(L48:L60)</f>
        <v/>
      </c>
      <c r="M61" s="779">
        <f>SUM(M48:M60)</f>
        <v/>
      </c>
      <c r="N61" s="780">
        <f>SUM(N48:N60)</f>
        <v/>
      </c>
      <c r="O61" s="780">
        <f>SUM(O48:O60)</f>
        <v/>
      </c>
      <c r="P61" s="780">
        <f>SUM(P48:P60)</f>
        <v/>
      </c>
      <c r="Q61" s="780">
        <f>SUM(Q48:Q60)</f>
        <v/>
      </c>
      <c r="R61" s="781">
        <f>SUM(R48:R60)</f>
        <v/>
      </c>
      <c r="S61" s="782">
        <f>SUM(S48:S60)</f>
        <v/>
      </c>
    </row>
    <row r="62">
      <c r="A62" s="54" t="n"/>
      <c r="C62" s="14" t="inlineStr">
        <is>
          <t>도매</t>
        </is>
      </c>
      <c r="D62" s="55" t="inlineStr">
        <is>
          <t>인증살롱</t>
        </is>
      </c>
      <c r="E62" s="15" t="inlineStr">
        <is>
          <t>마스터</t>
        </is>
      </c>
      <c r="H62" s="416" t="n"/>
      <c r="J62" s="56" t="n"/>
      <c r="K62" s="789" t="n"/>
      <c r="P62" s="785" t="n"/>
    </row>
    <row r="63">
      <c r="A63" s="54" t="n"/>
      <c r="C63" s="14" t="n"/>
      <c r="D63" s="388" t="inlineStr">
        <is>
          <t>P00000VU</t>
        </is>
      </c>
      <c r="E63" s="15" t="inlineStr">
        <is>
          <t>P00000QG</t>
        </is>
      </c>
      <c r="F63" s="57" t="inlineStr">
        <is>
          <t>할인행사</t>
        </is>
      </c>
      <c r="G63" s="57" t="n"/>
      <c r="H63" s="200" t="n"/>
      <c r="I63" s="57" t="n"/>
      <c r="J63" s="58" t="inlineStr">
        <is>
          <t>합계</t>
        </is>
      </c>
      <c r="P63" s="785" t="n"/>
    </row>
    <row r="64">
      <c r="C64" s="18" t="n"/>
      <c r="D64" s="388" t="inlineStr">
        <is>
          <t>P00000VV</t>
        </is>
      </c>
      <c r="E64" s="15" t="inlineStr">
        <is>
          <t>P00000QH</t>
        </is>
      </c>
      <c r="F64" s="20" t="n"/>
      <c r="G64" s="45" t="n"/>
      <c r="H64" s="20" t="n"/>
      <c r="I64" s="20" t="n"/>
      <c r="J64" s="59" t="n"/>
      <c r="P64" s="785" t="n"/>
    </row>
    <row r="65" ht="24" customHeight="1" s="754">
      <c r="C65" s="18" t="inlineStr">
        <is>
          <t>5종미니</t>
        </is>
      </c>
      <c r="D65" s="55" t="inlineStr">
        <is>
          <t>P00000WO</t>
        </is>
      </c>
      <c r="E65" s="15" t="inlineStr">
        <is>
          <t>P00000UF</t>
        </is>
      </c>
      <c r="F65" s="20" t="inlineStr">
        <is>
          <t>P00000YU</t>
        </is>
      </c>
      <c r="G65" s="26" t="inlineStr">
        <is>
          <t>바디스타터키트</t>
        </is>
      </c>
      <c r="H65" s="193" t="n"/>
      <c r="I65" s="630" t="n"/>
      <c r="J65" s="60" t="n"/>
      <c r="P65" s="785" t="n"/>
    </row>
    <row r="66" ht="30" customHeight="1" s="754">
      <c r="C66" s="18" t="n"/>
      <c r="D66" s="55" t="inlineStr">
        <is>
          <t>P00000XC</t>
        </is>
      </c>
      <c r="E66" s="15" t="inlineStr">
        <is>
          <t>P00000WZ</t>
        </is>
      </c>
      <c r="F66" s="61" t="n"/>
      <c r="G66" s="630" t="n"/>
      <c r="H66" s="193" t="n"/>
      <c r="I66" s="630" t="n"/>
      <c r="J66" s="60" t="n"/>
      <c r="P66" s="785" t="n"/>
    </row>
    <row r="67">
      <c r="A67" s="24" t="inlineStr">
        <is>
          <t>전후처리제</t>
        </is>
      </c>
      <c r="C67" s="25" t="n"/>
      <c r="D67" s="55" t="n"/>
      <c r="E67" s="15" t="n"/>
      <c r="F67" s="62" t="n"/>
      <c r="G67" s="63" t="n"/>
      <c r="H67" s="201" t="n"/>
      <c r="I67" s="63" t="inlineStr">
        <is>
          <t>증정</t>
        </is>
      </c>
      <c r="J67" s="27" t="n"/>
      <c r="K67" s="763" t="inlineStr">
        <is>
          <t>도매</t>
        </is>
      </c>
      <c r="L67" s="764" t="inlineStr">
        <is>
          <t>인증살롱/마스터</t>
        </is>
      </c>
      <c r="M67" s="765" t="n"/>
      <c r="N67" s="766" t="inlineStr">
        <is>
          <t>할인</t>
        </is>
      </c>
      <c r="O67" s="766" t="inlineStr">
        <is>
          <t>세트할인</t>
        </is>
      </c>
      <c r="P67" s="766" t="inlineStr">
        <is>
          <t>할인+증정</t>
        </is>
      </c>
      <c r="Q67" s="767" t="n"/>
      <c r="R67" s="767" t="inlineStr">
        <is>
          <t>품목별합계</t>
        </is>
      </c>
      <c r="S67" s="767" t="inlineStr">
        <is>
          <t>원가</t>
        </is>
      </c>
    </row>
    <row r="68" customFormat="1" s="755">
      <c r="A68" s="115" t="inlineStr">
        <is>
          <t>스킨클렌저500</t>
        </is>
      </c>
      <c r="B68" s="703" t="inlineStr">
        <is>
          <t>P00000BP</t>
        </is>
      </c>
      <c r="C68" s="233" t="n">
        <v>96</v>
      </c>
      <c r="D68" s="235" t="n">
        <v>7</v>
      </c>
      <c r="E68" s="234" t="n">
        <v>16</v>
      </c>
      <c r="F68" s="322" t="n"/>
      <c r="G68" s="322" t="n"/>
      <c r="H68" s="236" t="n"/>
      <c r="I68" s="322" t="n"/>
      <c r="J68" s="35">
        <f>SUM(C68:I68)</f>
        <v/>
      </c>
      <c r="K68" s="792" t="n">
        <v>2416800</v>
      </c>
      <c r="L68" s="790">
        <f>D68*19200</f>
        <v/>
      </c>
      <c r="M68" s="770">
        <f>E68*21000</f>
        <v/>
      </c>
      <c r="N68" s="771" t="n"/>
      <c r="O68" s="771" t="n"/>
      <c r="P68" s="771" t="n"/>
      <c r="Q68" s="758" t="n"/>
      <c r="R68" s="756">
        <f>SUM(K68:Q68)</f>
        <v/>
      </c>
      <c r="S68" s="756">
        <f>(C68+D68+E68+F68+I68+G68+H68)*7032</f>
        <v/>
      </c>
    </row>
    <row r="69" customFormat="1" s="755">
      <c r="A69" s="115" t="inlineStr">
        <is>
          <t>스킨클렌저1000</t>
        </is>
      </c>
      <c r="B69" s="703" t="inlineStr">
        <is>
          <t>P0000BAJ</t>
        </is>
      </c>
      <c r="C69" s="237" t="n"/>
      <c r="D69" s="235" t="n"/>
      <c r="E69" s="234" t="n">
        <v>1</v>
      </c>
      <c r="F69" s="322" t="n"/>
      <c r="G69" s="322" t="n"/>
      <c r="H69" s="236" t="n"/>
      <c r="I69" s="322" t="n"/>
      <c r="J69" s="35">
        <f>SUM(C69:I69)</f>
        <v/>
      </c>
      <c r="K69" s="792">
        <f>C69*47000</f>
        <v/>
      </c>
      <c r="L69" s="790">
        <f>D69*39600</f>
        <v/>
      </c>
      <c r="M69" s="770">
        <f>E69*39600</f>
        <v/>
      </c>
      <c r="N69" s="771" t="n"/>
      <c r="O69" s="771" t="n"/>
      <c r="P69" s="771" t="n"/>
      <c r="Q69" s="758" t="n"/>
      <c r="R69" s="756">
        <f>SUM(K69:Q69)</f>
        <v/>
      </c>
      <c r="S69" s="756">
        <f>(C69+D69+E69+F69+I69+G69+H69)*11631</f>
        <v/>
      </c>
    </row>
    <row r="70" customFormat="1" s="755">
      <c r="A70" s="115" t="inlineStr">
        <is>
          <t>프리왁싱오일500</t>
        </is>
      </c>
      <c r="B70" s="703" t="inlineStr">
        <is>
          <t>P00000BQ</t>
        </is>
      </c>
      <c r="C70" s="233" t="n">
        <v>87</v>
      </c>
      <c r="D70" s="235" t="n">
        <v>1</v>
      </c>
      <c r="E70" s="234" t="n"/>
      <c r="F70" s="322" t="n"/>
      <c r="G70" s="322" t="n"/>
      <c r="H70" s="236" t="n"/>
      <c r="I70" s="322" t="n"/>
      <c r="J70" s="35">
        <f>SUM(C70:I70)</f>
        <v/>
      </c>
      <c r="K70" s="792" t="n">
        <v>2556400</v>
      </c>
      <c r="L70" s="790">
        <f>D70*22400</f>
        <v/>
      </c>
      <c r="M70" s="770">
        <f>E70*25000</f>
        <v/>
      </c>
      <c r="N70" s="771" t="n"/>
      <c r="O70" s="771" t="n"/>
      <c r="P70" s="771" t="n"/>
      <c r="Q70" s="758" t="n"/>
      <c r="R70" s="756">
        <f>SUM(K70:Q70)</f>
        <v/>
      </c>
      <c r="S70" s="756">
        <f>(C70+D70+E70+F70+I70+G70+H70)*8565</f>
        <v/>
      </c>
    </row>
    <row r="71" customFormat="1" s="755">
      <c r="A71" s="115" t="inlineStr">
        <is>
          <t>프리1000</t>
        </is>
      </c>
      <c r="B71" s="703" t="inlineStr">
        <is>
          <t>P0000BAJ</t>
        </is>
      </c>
      <c r="C71" s="233" t="n"/>
      <c r="D71" s="235" t="n"/>
      <c r="E71" s="234" t="n">
        <v>10</v>
      </c>
      <c r="F71" s="322" t="n"/>
      <c r="G71" s="322" t="n"/>
      <c r="H71" s="236" t="n"/>
      <c r="I71" s="322" t="n"/>
      <c r="J71" s="35">
        <f>SUM(C71:I71)</f>
        <v/>
      </c>
      <c r="K71" s="792">
        <f>C71*47000</f>
        <v/>
      </c>
      <c r="L71" s="790">
        <f>D71*39600</f>
        <v/>
      </c>
      <c r="M71" s="770">
        <f>E71*39600</f>
        <v/>
      </c>
      <c r="N71" s="771" t="n"/>
      <c r="O71" s="771" t="n"/>
      <c r="P71" s="771" t="n"/>
      <c r="Q71" s="758" t="n"/>
      <c r="R71" s="756">
        <f>SUM(K71:Q71)</f>
        <v/>
      </c>
      <c r="S71" s="756">
        <f>(C71+D71+E71+F71+I71+G71+H71)*13073</f>
        <v/>
      </c>
    </row>
    <row r="72" customFormat="1" s="755">
      <c r="A72" s="115" t="inlineStr">
        <is>
          <t>티트리퍼팩</t>
        </is>
      </c>
      <c r="B72" s="703" t="inlineStr">
        <is>
          <t>P00000BR</t>
        </is>
      </c>
      <c r="C72" s="233" t="n">
        <v>60</v>
      </c>
      <c r="D72" s="235" t="n"/>
      <c r="E72" s="234" t="n">
        <v>3</v>
      </c>
      <c r="F72" s="322" t="n"/>
      <c r="G72" s="322" t="n"/>
      <c r="H72" s="236" t="n"/>
      <c r="I72" s="322" t="n"/>
      <c r="J72" s="35">
        <f>SUM(C72:I72)</f>
        <v/>
      </c>
      <c r="K72" s="792" t="n">
        <v>1509600</v>
      </c>
      <c r="L72" s="790">
        <f>D72*21000</f>
        <v/>
      </c>
      <c r="M72" s="770">
        <f>E72*21000</f>
        <v/>
      </c>
      <c r="N72" s="771" t="n"/>
      <c r="O72" s="771" t="n"/>
      <c r="P72" s="771" t="n"/>
      <c r="Q72" s="758" t="n"/>
      <c r="R72" s="756">
        <f>SUM(K72:Q72)</f>
        <v/>
      </c>
      <c r="S72" s="756">
        <f>(C72+D72+E72+F72+I72+G72+H72)*7032</f>
        <v/>
      </c>
    </row>
    <row r="73" customFormat="1" s="755">
      <c r="A73" s="115" t="inlineStr">
        <is>
          <t>티트리수드500</t>
        </is>
      </c>
      <c r="B73" s="703" t="inlineStr">
        <is>
          <t>P00000BS</t>
        </is>
      </c>
      <c r="C73" s="233" t="n">
        <v>28</v>
      </c>
      <c r="D73" s="235" t="n">
        <v>1</v>
      </c>
      <c r="E73" s="234" t="n"/>
      <c r="F73" s="322" t="n"/>
      <c r="G73" s="322" t="n"/>
      <c r="H73" s="236" t="n"/>
      <c r="I73" s="322" t="n"/>
      <c r="J73" s="35">
        <f>SUM(C73:I73)</f>
        <v/>
      </c>
      <c r="K73" s="792" t="n">
        <v>821800</v>
      </c>
      <c r="L73" s="790">
        <f>D73*22400</f>
        <v/>
      </c>
      <c r="M73" s="770">
        <f>E73*25000</f>
        <v/>
      </c>
      <c r="N73" s="771" t="n"/>
      <c r="O73" s="771" t="n"/>
      <c r="P73" s="771" t="n"/>
      <c r="Q73" s="758" t="n"/>
      <c r="R73" s="756">
        <f>SUM(K73:Q73)</f>
        <v/>
      </c>
      <c r="S73" s="756">
        <f>(C73+D73+E73+F73+I73+G73+H73)*8565</f>
        <v/>
      </c>
    </row>
    <row r="74" customFormat="1" s="755">
      <c r="A74" s="115" t="inlineStr">
        <is>
          <t>티트리수드1000</t>
        </is>
      </c>
      <c r="B74" s="703" t="inlineStr">
        <is>
          <t>P0000BAJ</t>
        </is>
      </c>
      <c r="C74" s="237" t="n"/>
      <c r="D74" s="235" t="n"/>
      <c r="E74" s="234" t="n">
        <v>1</v>
      </c>
      <c r="F74" s="322" t="n"/>
      <c r="G74" s="322" t="n"/>
      <c r="H74" s="236" t="n"/>
      <c r="I74" s="322" t="n"/>
      <c r="J74" s="35">
        <f>SUM(C74:I74)</f>
        <v/>
      </c>
      <c r="K74" s="792">
        <f>C74*47000</f>
        <v/>
      </c>
      <c r="L74" s="790">
        <f>D74*39600</f>
        <v/>
      </c>
      <c r="M74" s="770">
        <f>E74*39600</f>
        <v/>
      </c>
      <c r="N74" s="771" t="n"/>
      <c r="O74" s="771" t="n"/>
      <c r="P74" s="771" t="n"/>
      <c r="Q74" s="758" t="n"/>
      <c r="R74" s="756">
        <f>SUM(K74:Q74)</f>
        <v/>
      </c>
      <c r="S74" s="756">
        <f>(C74+D74+E74+F74+I74+G74+H74)*13073</f>
        <v/>
      </c>
    </row>
    <row r="75" customFormat="1" s="755">
      <c r="A75" s="115" t="inlineStr">
        <is>
          <t>수딩크림500</t>
        </is>
      </c>
      <c r="B75" s="703" t="inlineStr">
        <is>
          <t>P00000KP</t>
        </is>
      </c>
      <c r="C75" s="237" t="n">
        <v>6</v>
      </c>
      <c r="D75" s="235" t="n"/>
      <c r="E75" s="234" t="n"/>
      <c r="F75" s="322" t="n"/>
      <c r="G75" s="322" t="n"/>
      <c r="H75" s="236" t="n"/>
      <c r="I75" s="322" t="n"/>
      <c r="J75" s="35">
        <f>SUM(C75:I75)</f>
        <v/>
      </c>
      <c r="K75" s="792">
        <f>C75*29400</f>
        <v/>
      </c>
      <c r="L75" s="790">
        <f>D75*25000</f>
        <v/>
      </c>
      <c r="M75" s="770">
        <f>E75*25000</f>
        <v/>
      </c>
      <c r="N75" s="771" t="n"/>
      <c r="O75" s="771" t="n"/>
      <c r="P75" s="771" t="n"/>
      <c r="Q75" s="758" t="n"/>
      <c r="R75" s="756">
        <f>SUM(K75:Q75)</f>
        <v/>
      </c>
      <c r="S75" s="756">
        <f>(C75+D75+E75+F75+I75+G75+H75)*8926</f>
        <v/>
      </c>
    </row>
    <row r="76" customFormat="1" s="755">
      <c r="A76" s="115" t="inlineStr">
        <is>
          <t>솔벤트500</t>
        </is>
      </c>
      <c r="B76" s="703" t="inlineStr">
        <is>
          <t>P00000BT</t>
        </is>
      </c>
      <c r="C76" s="233" t="n">
        <v>39</v>
      </c>
      <c r="D76" s="235" t="n"/>
      <c r="E76" s="234" t="n"/>
      <c r="F76" s="322" t="n"/>
      <c r="G76" s="322" t="n"/>
      <c r="H76" s="236" t="n"/>
      <c r="I76" s="322" t="n"/>
      <c r="J76" s="35">
        <f>SUM(C76:I76)</f>
        <v/>
      </c>
      <c r="K76" s="792" t="n">
        <v>981600</v>
      </c>
      <c r="L76" s="790">
        <f>D76*21000</f>
        <v/>
      </c>
      <c r="M76" s="770">
        <f>E76*21000</f>
        <v/>
      </c>
      <c r="N76" s="771" t="n"/>
      <c r="O76" s="771" t="n"/>
      <c r="P76" s="771" t="n"/>
      <c r="Q76" s="758" t="n"/>
      <c r="R76" s="756">
        <f>SUM(K76:Q76)</f>
        <v/>
      </c>
      <c r="S76" s="756">
        <f>(C76+D76+E76+F76+I76+G76+H76)*7032</f>
        <v/>
      </c>
    </row>
    <row r="77" customFormat="1" s="755">
      <c r="A77" s="115" t="inlineStr">
        <is>
          <t>솔벤트1000</t>
        </is>
      </c>
      <c r="B77" s="703" t="inlineStr">
        <is>
          <t>P0000BAJ</t>
        </is>
      </c>
      <c r="C77" s="237" t="n"/>
      <c r="D77" s="235" t="n"/>
      <c r="E77" s="234" t="n"/>
      <c r="F77" s="322" t="n"/>
      <c r="G77" s="322" t="n"/>
      <c r="H77" s="236" t="n"/>
      <c r="I77" s="322" t="n"/>
      <c r="J77" s="35">
        <f>SUM(C77:I77)</f>
        <v/>
      </c>
      <c r="K77" s="793">
        <f>C77*47000</f>
        <v/>
      </c>
      <c r="L77" s="790">
        <f>D77*39600</f>
        <v/>
      </c>
      <c r="M77" s="770">
        <f>E77*39600</f>
        <v/>
      </c>
      <c r="N77" s="771" t="n"/>
      <c r="O77" s="771" t="n"/>
      <c r="P77" s="771" t="n"/>
      <c r="Q77" s="758" t="n"/>
      <c r="R77" s="756">
        <f>SUM(K77:Q77)</f>
        <v/>
      </c>
      <c r="S77" s="756">
        <f>(C77+D77+E77+F77+I77+G77+H77)*11631</f>
        <v/>
      </c>
    </row>
    <row r="78" customFormat="1" s="755">
      <c r="A78" s="115" t="inlineStr">
        <is>
          <t>핑키니스킨500</t>
        </is>
      </c>
      <c r="B78" s="703" t="inlineStr">
        <is>
          <t>P00000PN</t>
        </is>
      </c>
      <c r="C78" s="233" t="n">
        <v>12</v>
      </c>
      <c r="D78" s="235" t="n">
        <v>4</v>
      </c>
      <c r="E78" s="234" t="n"/>
      <c r="F78" s="322" t="n"/>
      <c r="G78" s="322" t="n"/>
      <c r="H78" s="236" t="n"/>
      <c r="I78" s="322" t="n"/>
      <c r="J78" s="35">
        <f>SUM(C78:I78)</f>
        <v/>
      </c>
      <c r="K78" s="792">
        <f>C78*29400</f>
        <v/>
      </c>
      <c r="L78" s="790">
        <f>D78*22400</f>
        <v/>
      </c>
      <c r="M78" s="770">
        <f>E78*25000</f>
        <v/>
      </c>
      <c r="N78" s="771" t="n"/>
      <c r="O78" s="771" t="n"/>
      <c r="P78" s="771" t="n"/>
      <c r="Q78" s="758" t="n"/>
      <c r="R78" s="756">
        <f>SUM(K78:Q78)</f>
        <v/>
      </c>
      <c r="S78" s="756">
        <f>(C78+D78+E78+F78+I78+G78+H78)*8926</f>
        <v/>
      </c>
    </row>
    <row r="79" customFormat="1" s="755">
      <c r="A79" s="115" t="inlineStr">
        <is>
          <t>핑키니프리500</t>
        </is>
      </c>
      <c r="B79" s="703" t="inlineStr">
        <is>
          <t>P00000PN</t>
        </is>
      </c>
      <c r="C79" s="233" t="n">
        <v>24</v>
      </c>
      <c r="D79" s="235" t="n"/>
      <c r="E79" s="234" t="n">
        <v>11</v>
      </c>
      <c r="F79" s="322" t="n"/>
      <c r="G79" s="322" t="n"/>
      <c r="H79" s="236" t="n"/>
      <c r="I79" s="322" t="n"/>
      <c r="J79" s="35">
        <f>SUM(C79:I79)</f>
        <v/>
      </c>
      <c r="K79" s="792" t="n">
        <v>702800</v>
      </c>
      <c r="L79" s="790">
        <f>D79*25000</f>
        <v/>
      </c>
      <c r="M79" s="770">
        <f>E79*25000</f>
        <v/>
      </c>
      <c r="N79" s="771" t="n"/>
      <c r="O79" s="771" t="n"/>
      <c r="P79" s="771" t="n"/>
      <c r="Q79" s="758" t="n"/>
      <c r="R79" s="756">
        <f>SUM(K79:Q79)</f>
        <v/>
      </c>
      <c r="S79" s="756">
        <f>(C79+D79+E79+F79+I79+G79+H79)*8926</f>
        <v/>
      </c>
    </row>
    <row r="80" customFormat="1" s="755">
      <c r="A80" s="65" t="inlineStr">
        <is>
          <t>핑키니피니싱500</t>
        </is>
      </c>
      <c r="B80" s="692" t="inlineStr">
        <is>
          <t>P00000PN</t>
        </is>
      </c>
      <c r="C80" s="311" t="n">
        <v>7</v>
      </c>
      <c r="D80" s="335" t="n"/>
      <c r="E80" s="336" t="n"/>
      <c r="F80" s="337" t="n"/>
      <c r="G80" s="337" t="n"/>
      <c r="H80" s="338" t="n"/>
      <c r="I80" s="337" t="n"/>
      <c r="J80" s="35">
        <f>SUM(C80:I80)</f>
        <v/>
      </c>
      <c r="K80" s="792">
        <f>C80*29400</f>
        <v/>
      </c>
      <c r="L80" s="790">
        <f>D80*25000</f>
        <v/>
      </c>
      <c r="M80" s="770">
        <f>E80*25000</f>
        <v/>
      </c>
      <c r="N80" s="771" t="n"/>
      <c r="O80" s="771" t="n"/>
      <c r="P80" s="771" t="n"/>
      <c r="Q80" s="758" t="n"/>
      <c r="R80" s="756">
        <f>SUM(K80:Q80)</f>
        <v/>
      </c>
      <c r="S80" s="756">
        <f>(C80+D80+E80+F80+I80+G80+H80)*8926</f>
        <v/>
      </c>
    </row>
    <row r="81" customFormat="1" s="755">
      <c r="A81" s="115" t="inlineStr">
        <is>
          <t>5종미니125미리</t>
        </is>
      </c>
      <c r="B81" s="703" t="inlineStr">
        <is>
          <t>P00000BU</t>
        </is>
      </c>
      <c r="C81" s="233" t="n">
        <v>12</v>
      </c>
      <c r="D81" s="235" t="n"/>
      <c r="E81" s="234" t="n"/>
      <c r="F81" s="215" t="n">
        <v>4</v>
      </c>
      <c r="G81" s="322" t="n"/>
      <c r="H81" s="236" t="n"/>
      <c r="I81" s="322" t="n"/>
      <c r="J81" s="35">
        <f>SUM(C81:I81)</f>
        <v/>
      </c>
      <c r="K81" s="792" t="n">
        <v>560000</v>
      </c>
      <c r="L81" s="790">
        <f>D81*35200</f>
        <v/>
      </c>
      <c r="M81" s="770">
        <f>E81*35200</f>
        <v/>
      </c>
      <c r="N81" s="771" t="n"/>
      <c r="O81" s="771">
        <f>F81*37600</f>
        <v/>
      </c>
      <c r="P81" s="771" t="n"/>
      <c r="Q81" s="758" t="n"/>
      <c r="R81" s="756">
        <f>SUM(K81:Q81)</f>
        <v/>
      </c>
      <c r="S81" s="756">
        <f>(C81+D81+E81+F81+I81+G81+H81)*18934</f>
        <v/>
      </c>
    </row>
    <row r="82" customFormat="1" s="755">
      <c r="A82" s="115" t="inlineStr">
        <is>
          <t>맨니스킨250</t>
        </is>
      </c>
      <c r="B82" s="380" t="inlineStr">
        <is>
          <t>P00000XD</t>
        </is>
      </c>
      <c r="C82" s="233" t="n"/>
      <c r="D82" s="235" t="n"/>
      <c r="E82" s="234" t="n"/>
      <c r="F82" s="230" t="n"/>
      <c r="G82" s="322" t="n"/>
      <c r="H82" s="236" t="n"/>
      <c r="I82" s="230" t="n"/>
      <c r="J82" s="35">
        <f>SUM(C82:I82)</f>
        <v/>
      </c>
      <c r="K82" s="793">
        <f>C82*16800</f>
        <v/>
      </c>
      <c r="L82" s="790">
        <f>D82*12100</f>
        <v/>
      </c>
      <c r="M82" s="770">
        <f>E82*12100</f>
        <v/>
      </c>
      <c r="N82" s="771" t="n"/>
      <c r="O82" s="771">
        <f>F82*9000</f>
        <v/>
      </c>
      <c r="P82" s="771" t="n"/>
      <c r="Q82" s="758" t="n"/>
      <c r="R82" s="756">
        <f>SUM(K82:Q82)</f>
        <v/>
      </c>
      <c r="S82" s="756">
        <f>(C82+D82+E82+F82+I82+G82+H82)*5319</f>
        <v/>
      </c>
    </row>
    <row r="83">
      <c r="A83" s="115" t="inlineStr">
        <is>
          <t>맨니오일250</t>
        </is>
      </c>
      <c r="B83" s="380" t="inlineStr">
        <is>
          <t>P00000XD</t>
        </is>
      </c>
      <c r="C83" s="237" t="n"/>
      <c r="D83" s="235" t="n"/>
      <c r="E83" s="234" t="n"/>
      <c r="F83" s="230" t="n"/>
      <c r="G83" s="322" t="n"/>
      <c r="H83" s="236" t="n"/>
      <c r="I83" s="230" t="n"/>
      <c r="J83" s="35">
        <f>SUM(C83:I83)</f>
        <v/>
      </c>
      <c r="K83" s="793">
        <f>C83*16800</f>
        <v/>
      </c>
      <c r="L83" s="790">
        <f>D83*12100</f>
        <v/>
      </c>
      <c r="M83" s="770">
        <f>E83*12100</f>
        <v/>
      </c>
      <c r="N83" s="771" t="n"/>
      <c r="O83" s="771">
        <f>F83*9000</f>
        <v/>
      </c>
      <c r="P83" s="771" t="n"/>
      <c r="R83" s="756">
        <f>SUM(K83:Q83)</f>
        <v/>
      </c>
      <c r="S83" s="756">
        <f>(C83+D83+E83+F83+I83+G83+H83)*5319</f>
        <v/>
      </c>
    </row>
    <row r="84">
      <c r="A84" s="115" t="inlineStr">
        <is>
          <t>맨니피니싱250</t>
        </is>
      </c>
      <c r="B84" s="380" t="inlineStr">
        <is>
          <t>P00000XD</t>
        </is>
      </c>
      <c r="C84" s="233" t="n"/>
      <c r="D84" s="235" t="n"/>
      <c r="E84" s="234" t="n"/>
      <c r="F84" s="230" t="n"/>
      <c r="G84" s="322" t="n"/>
      <c r="H84" s="236" t="n"/>
      <c r="I84" s="230" t="n"/>
      <c r="J84" s="35">
        <f>SUM(C84:I84)</f>
        <v/>
      </c>
      <c r="K84" s="793">
        <f>C84*16800</f>
        <v/>
      </c>
      <c r="L84" s="790">
        <f>D84*12100</f>
        <v/>
      </c>
      <c r="M84" s="770">
        <f>E84*12100</f>
        <v/>
      </c>
      <c r="N84" s="771" t="n"/>
      <c r="O84" s="771">
        <f>F84*9000</f>
        <v/>
      </c>
      <c r="P84" s="771" t="n"/>
      <c r="R84" s="756">
        <f>SUM(K84:Q84)</f>
        <v/>
      </c>
      <c r="S84" s="756">
        <f>(C84+D84+E84+F84+I84+G84+H84)*5319</f>
        <v/>
      </c>
    </row>
    <row r="85" customFormat="1" s="24">
      <c r="A85" s="68" t="n"/>
      <c r="B85" s="69" t="n"/>
      <c r="C85" s="70" t="inlineStr">
        <is>
          <t>도매</t>
        </is>
      </c>
      <c r="D85" s="9" t="inlineStr">
        <is>
          <t>인증살롱</t>
        </is>
      </c>
      <c r="E85" s="10" t="inlineStr">
        <is>
          <t>마스터</t>
        </is>
      </c>
      <c r="F85" s="12" t="inlineStr">
        <is>
          <t>할인행사</t>
        </is>
      </c>
      <c r="G85" s="12" t="n"/>
      <c r="H85" s="695" t="inlineStr">
        <is>
          <t>증정행사</t>
        </is>
      </c>
      <c r="I85" s="765" t="n"/>
      <c r="J85" s="639" t="inlineStr">
        <is>
          <t>합계</t>
        </is>
      </c>
      <c r="K85" s="777">
        <f>SUM(K68:K84)</f>
        <v/>
      </c>
      <c r="L85" s="791">
        <f>SUM(L68:L84)</f>
        <v/>
      </c>
      <c r="M85" s="779">
        <f>SUM(M68:M84)</f>
        <v/>
      </c>
      <c r="N85" s="780">
        <f>SUM(N68:N84)</f>
        <v/>
      </c>
      <c r="O85" s="780">
        <f>SUM(O68:O84)</f>
        <v/>
      </c>
      <c r="P85" s="780">
        <f>SUM(P68:P84)</f>
        <v/>
      </c>
      <c r="Q85" s="777">
        <f>SUM(Q68:Q84)</f>
        <v/>
      </c>
      <c r="R85" s="781">
        <f>SUM(R68:R84)</f>
        <v/>
      </c>
      <c r="S85" s="782">
        <f>SUM(S68:S84)</f>
        <v/>
      </c>
    </row>
    <row r="86">
      <c r="C86" s="14" t="n"/>
      <c r="D86" s="388" t="inlineStr">
        <is>
          <t>P00000WC</t>
        </is>
      </c>
      <c r="E86" s="15" t="inlineStr">
        <is>
          <t>P00000QP</t>
        </is>
      </c>
      <c r="F86" s="45" t="inlineStr">
        <is>
          <t>P00000VP</t>
        </is>
      </c>
      <c r="G86" s="7" t="inlineStr">
        <is>
          <t>라2,코코3</t>
        </is>
      </c>
      <c r="H86" s="20" t="n"/>
      <c r="I86" s="157" t="n"/>
      <c r="J86" s="17" t="n"/>
      <c r="L86" s="790" t="n"/>
      <c r="M86" s="770" t="n"/>
      <c r="P86" s="785" t="n"/>
    </row>
    <row r="87">
      <c r="A87" s="24" t="inlineStr">
        <is>
          <t>슈거스크럽</t>
        </is>
      </c>
      <c r="C87" s="18" t="n"/>
      <c r="D87" s="389" t="inlineStr">
        <is>
          <t>P00000WE</t>
        </is>
      </c>
      <c r="E87" s="19" t="inlineStr">
        <is>
          <t>P00000QQ</t>
        </is>
      </c>
      <c r="F87" s="71" t="inlineStr">
        <is>
          <t>미니묶음</t>
        </is>
      </c>
      <c r="G87" s="71" t="inlineStr">
        <is>
          <t>석3,자2</t>
        </is>
      </c>
      <c r="H87" s="203" t="n"/>
      <c r="I87" s="71" t="n"/>
      <c r="J87" s="72" t="n"/>
      <c r="K87" s="763" t="inlineStr">
        <is>
          <t>도매</t>
        </is>
      </c>
      <c r="L87" s="764" t="inlineStr">
        <is>
          <t>인증살롱/마스터</t>
        </is>
      </c>
      <c r="M87" s="765" t="n"/>
      <c r="N87" s="766" t="inlineStr">
        <is>
          <t>할인</t>
        </is>
      </c>
      <c r="O87" s="766" t="inlineStr">
        <is>
          <t>세트할인</t>
        </is>
      </c>
      <c r="P87" s="766" t="inlineStr">
        <is>
          <t>할인+증정</t>
        </is>
      </c>
      <c r="Q87" s="794" t="inlineStr">
        <is>
          <t>증정</t>
        </is>
      </c>
      <c r="R87" s="767" t="inlineStr">
        <is>
          <t>품목별합계</t>
        </is>
      </c>
      <c r="S87" s="795" t="inlineStr">
        <is>
          <t>도매,마스터원가</t>
        </is>
      </c>
    </row>
    <row r="88">
      <c r="A88" s="79" t="inlineStr">
        <is>
          <t>석류520</t>
        </is>
      </c>
      <c r="B88" s="703" t="inlineStr">
        <is>
          <t>P00000BN</t>
        </is>
      </c>
      <c r="C88" s="233" t="n">
        <v>82</v>
      </c>
      <c r="D88" s="538" t="n"/>
      <c r="E88" s="234" t="n">
        <v>20</v>
      </c>
      <c r="F88" s="230" t="n"/>
      <c r="G88" s="322" t="n"/>
      <c r="H88" s="230" t="n"/>
      <c r="I88" s="230" t="n"/>
      <c r="J88" s="35">
        <f>SUM(C88:I88)</f>
        <v/>
      </c>
      <c r="K88" s="792" t="n">
        <v>1546200</v>
      </c>
      <c r="L88" s="790">
        <f>D88*15400</f>
        <v/>
      </c>
      <c r="M88" s="770">
        <f>E88*15400</f>
        <v/>
      </c>
      <c r="N88" s="771" t="n"/>
      <c r="O88" s="771" t="n"/>
      <c r="P88" s="796">
        <f>H88*18000</f>
        <v/>
      </c>
      <c r="Q88" s="797" t="n"/>
      <c r="R88" s="756">
        <f>SUM(K88:Q88)</f>
        <v/>
      </c>
      <c r="S88" s="756">
        <f>J88*7734</f>
        <v/>
      </c>
    </row>
    <row r="89">
      <c r="A89" s="79" t="inlineStr">
        <is>
          <t>자몽520</t>
        </is>
      </c>
      <c r="B89" s="703" t="inlineStr">
        <is>
          <t>P00000BN</t>
        </is>
      </c>
      <c r="C89" s="233" t="n">
        <v>92</v>
      </c>
      <c r="D89" s="235" t="n"/>
      <c r="E89" s="234" t="n">
        <v>38</v>
      </c>
      <c r="F89" s="230" t="n"/>
      <c r="G89" s="322" t="n"/>
      <c r="H89" s="230" t="n"/>
      <c r="I89" s="230" t="n"/>
      <c r="J89" s="35">
        <f>SUM(C89:I89)</f>
        <v/>
      </c>
      <c r="K89" s="792" t="n">
        <v>1734300</v>
      </c>
      <c r="L89" s="790">
        <f>D89*15400</f>
        <v/>
      </c>
      <c r="M89" s="770">
        <f>E89*15400</f>
        <v/>
      </c>
      <c r="N89" s="771" t="n"/>
      <c r="O89" s="771" t="n"/>
      <c r="P89" s="796">
        <f>H89*18000</f>
        <v/>
      </c>
      <c r="Q89" s="797" t="n"/>
      <c r="R89" s="756">
        <f>SUM(K89:Q89)</f>
        <v/>
      </c>
      <c r="S89" s="756">
        <f>J89*7734</f>
        <v/>
      </c>
    </row>
    <row r="90">
      <c r="A90" s="79" t="inlineStr">
        <is>
          <t>라벤더520</t>
        </is>
      </c>
      <c r="B90" s="703" t="inlineStr">
        <is>
          <t>P00000BN</t>
        </is>
      </c>
      <c r="C90" s="233" t="n">
        <v>89</v>
      </c>
      <c r="D90" s="235" t="n"/>
      <c r="E90" s="234" t="n">
        <v>16</v>
      </c>
      <c r="F90" s="230" t="n"/>
      <c r="G90" s="322" t="n"/>
      <c r="H90" s="230" t="n"/>
      <c r="I90" s="230" t="n"/>
      <c r="J90" s="35">
        <f>SUM(C90:I90)</f>
        <v/>
      </c>
      <c r="K90" s="792">
        <f>C90*18900</f>
        <v/>
      </c>
      <c r="L90" s="790">
        <f>D90*15400</f>
        <v/>
      </c>
      <c r="M90" s="770">
        <f>E90*15400</f>
        <v/>
      </c>
      <c r="N90" s="771" t="n"/>
      <c r="O90" s="771" t="n"/>
      <c r="P90" s="796">
        <f>H90*18000</f>
        <v/>
      </c>
      <c r="Q90" s="797" t="n"/>
      <c r="R90" s="756">
        <f>SUM(K90:Q90)</f>
        <v/>
      </c>
      <c r="S90" s="756">
        <f>J90*7734</f>
        <v/>
      </c>
    </row>
    <row r="91">
      <c r="A91" s="79" t="inlineStr">
        <is>
          <t>코코넛520</t>
        </is>
      </c>
      <c r="B91" s="703" t="inlineStr">
        <is>
          <t>P00000BN</t>
        </is>
      </c>
      <c r="C91" s="233" t="n">
        <v>64</v>
      </c>
      <c r="D91" s="235" t="n"/>
      <c r="E91" s="234" t="n">
        <v>16</v>
      </c>
      <c r="F91" s="230" t="n"/>
      <c r="G91" s="322" t="n"/>
      <c r="H91" s="230" t="n"/>
      <c r="I91" s="230" t="n"/>
      <c r="J91" s="35">
        <f>SUM(C91:I91)</f>
        <v/>
      </c>
      <c r="K91" s="792" t="n">
        <v>1202400</v>
      </c>
      <c r="L91" s="790">
        <f>D91*15400</f>
        <v/>
      </c>
      <c r="M91" s="770">
        <f>E91*15400</f>
        <v/>
      </c>
      <c r="N91" s="771" t="n"/>
      <c r="O91" s="771" t="n"/>
      <c r="P91" s="796">
        <f>H91*18000</f>
        <v/>
      </c>
      <c r="Q91" s="797" t="n"/>
      <c r="R91" s="756">
        <f>SUM(K91:Q91)</f>
        <v/>
      </c>
      <c r="S91" s="756">
        <f>J91*7734</f>
        <v/>
      </c>
    </row>
    <row r="92">
      <c r="A92" s="79" t="inlineStr">
        <is>
          <t>애플520</t>
        </is>
      </c>
      <c r="B92" s="703" t="inlineStr">
        <is>
          <t>P00000BN</t>
        </is>
      </c>
      <c r="C92" s="233" t="n">
        <v>64</v>
      </c>
      <c r="D92" s="235" t="n"/>
      <c r="E92" s="234" t="n">
        <v>14</v>
      </c>
      <c r="F92" s="230" t="n"/>
      <c r="G92" s="322" t="n"/>
      <c r="H92" s="230" t="n"/>
      <c r="I92" s="230" t="n"/>
      <c r="J92" s="35">
        <f>SUM(C92:I92)</f>
        <v/>
      </c>
      <c r="K92" s="792">
        <f>C92*18900</f>
        <v/>
      </c>
      <c r="L92" s="790">
        <f>D92*15400</f>
        <v/>
      </c>
      <c r="M92" s="770">
        <f>E92*15400</f>
        <v/>
      </c>
      <c r="N92" s="771" t="n"/>
      <c r="O92" s="771" t="n"/>
      <c r="P92" s="796">
        <f>H92*18000</f>
        <v/>
      </c>
      <c r="Q92" s="797" t="n"/>
      <c r="R92" s="756">
        <f>SUM(K92:Q92)</f>
        <v/>
      </c>
      <c r="S92" s="756">
        <f>J92*7734</f>
        <v/>
      </c>
    </row>
    <row r="93">
      <c r="A93" s="79" t="inlineStr">
        <is>
          <t>망고520</t>
        </is>
      </c>
      <c r="B93" s="703" t="inlineStr">
        <is>
          <t>P00000BN</t>
        </is>
      </c>
      <c r="C93" s="233" t="n">
        <v>56</v>
      </c>
      <c r="D93" s="235" t="n"/>
      <c r="E93" s="234" t="n">
        <v>8</v>
      </c>
      <c r="F93" s="230" t="n"/>
      <c r="G93" s="322" t="n"/>
      <c r="H93" s="230" t="n"/>
      <c r="I93" s="230" t="n"/>
      <c r="J93" s="35">
        <f>SUM(C93:I93)</f>
        <v/>
      </c>
      <c r="K93" s="792" t="n">
        <v>1052100</v>
      </c>
      <c r="L93" s="790">
        <f>D93*15400</f>
        <v/>
      </c>
      <c r="M93" s="770">
        <f>E93*15400</f>
        <v/>
      </c>
      <c r="N93" s="771" t="n"/>
      <c r="O93" s="771" t="n"/>
      <c r="P93" s="796">
        <f>H93*18000</f>
        <v/>
      </c>
      <c r="Q93" s="797" t="n"/>
      <c r="R93" s="756">
        <f>SUM(K93:Q93)</f>
        <v/>
      </c>
      <c r="S93" s="756">
        <f>J93*7734</f>
        <v/>
      </c>
    </row>
    <row r="94">
      <c r="A94" s="79" t="inlineStr">
        <is>
          <t>석류100</t>
        </is>
      </c>
      <c r="B94" s="703" t="inlineStr">
        <is>
          <t>P00000OG</t>
        </is>
      </c>
      <c r="C94" s="233" t="n">
        <v>32</v>
      </c>
      <c r="D94" s="235" t="n"/>
      <c r="E94" s="531" t="n"/>
      <c r="F94" s="230" t="n">
        <v>525</v>
      </c>
      <c r="G94" s="322" t="n"/>
      <c r="H94" s="236" t="n"/>
      <c r="I94" s="242" t="n"/>
      <c r="J94" s="35">
        <f>SUM(C94:I94)</f>
        <v/>
      </c>
      <c r="K94" s="792">
        <f>C94*8400</f>
        <v/>
      </c>
      <c r="L94" s="790">
        <f>D94*6600</f>
        <v/>
      </c>
      <c r="M94" s="770">
        <f>E94*6600</f>
        <v/>
      </c>
      <c r="N94" s="771" t="n">
        <v>3525120</v>
      </c>
      <c r="O94" s="771" t="n"/>
      <c r="P94" s="771" t="n"/>
      <c r="Q94" s="797" t="n"/>
      <c r="R94" s="756">
        <f>SUM(K94:Q94)</f>
        <v/>
      </c>
      <c r="S94" s="756">
        <f>J94*2880</f>
        <v/>
      </c>
    </row>
    <row r="95">
      <c r="A95" s="79" t="inlineStr">
        <is>
          <t>자몽100</t>
        </is>
      </c>
      <c r="B95" s="703" t="inlineStr">
        <is>
          <t>P00000OG</t>
        </is>
      </c>
      <c r="C95" s="233" t="n">
        <v>27</v>
      </c>
      <c r="D95" s="235" t="n"/>
      <c r="E95" s="234" t="n"/>
      <c r="F95" s="230" t="n">
        <v>350</v>
      </c>
      <c r="G95" s="322" t="n"/>
      <c r="H95" s="236" t="n"/>
      <c r="I95" s="330" t="n"/>
      <c r="J95" s="35">
        <f>SUM(C95:I95)</f>
        <v/>
      </c>
      <c r="K95" s="792">
        <f>C95*8400</f>
        <v/>
      </c>
      <c r="L95" s="790">
        <f>D95*6600</f>
        <v/>
      </c>
      <c r="M95" s="770">
        <f>E95*6600</f>
        <v/>
      </c>
      <c r="N95" s="771" t="n">
        <v>2350080</v>
      </c>
      <c r="O95" s="771" t="n"/>
      <c r="P95" s="771" t="n"/>
      <c r="Q95" s="797" t="n"/>
      <c r="R95" s="756">
        <f>SUM(K95:Q95)</f>
        <v/>
      </c>
      <c r="S95" s="756">
        <f>J95*2880</f>
        <v/>
      </c>
    </row>
    <row r="96">
      <c r="A96" s="79" t="inlineStr">
        <is>
          <t>라벤더100</t>
        </is>
      </c>
      <c r="B96" s="703" t="inlineStr">
        <is>
          <t>P00000OG</t>
        </is>
      </c>
      <c r="C96" s="233" t="n">
        <v>61</v>
      </c>
      <c r="D96" s="235" t="n"/>
      <c r="E96" s="234" t="n"/>
      <c r="F96" s="230" t="n">
        <v>350</v>
      </c>
      <c r="G96" s="322" t="n"/>
      <c r="H96" s="236" t="n"/>
      <c r="I96" s="242" t="n"/>
      <c r="J96" s="35">
        <f>SUM(C96:I96)</f>
        <v/>
      </c>
      <c r="K96" s="792">
        <f>C96*8400</f>
        <v/>
      </c>
      <c r="L96" s="790">
        <f>D96*6600</f>
        <v/>
      </c>
      <c r="M96" s="770">
        <f>E96*6600</f>
        <v/>
      </c>
      <c r="N96" s="771" t="n">
        <v>2350080</v>
      </c>
      <c r="O96" s="771" t="n"/>
      <c r="P96" s="771" t="n"/>
      <c r="Q96" s="797" t="n"/>
      <c r="R96" s="756">
        <f>SUM(K96:Q96)</f>
        <v/>
      </c>
      <c r="S96" s="756">
        <f>J96*2880</f>
        <v/>
      </c>
    </row>
    <row r="97">
      <c r="A97" s="79" t="inlineStr">
        <is>
          <t>코코넛100</t>
        </is>
      </c>
      <c r="B97" s="703" t="inlineStr">
        <is>
          <t>P00000OG</t>
        </is>
      </c>
      <c r="C97" s="233" t="n">
        <v>49</v>
      </c>
      <c r="D97" s="235" t="n"/>
      <c r="E97" s="234" t="n"/>
      <c r="F97" s="230" t="n">
        <v>525</v>
      </c>
      <c r="G97" s="322" t="n"/>
      <c r="H97" s="236" t="n"/>
      <c r="I97" s="242" t="n"/>
      <c r="J97" s="35">
        <f>SUM(C97:I97)</f>
        <v/>
      </c>
      <c r="K97" s="792">
        <f>C97*8400</f>
        <v/>
      </c>
      <c r="L97" s="790">
        <f>D97*6600</f>
        <v/>
      </c>
      <c r="M97" s="770">
        <f>E97*6600</f>
        <v/>
      </c>
      <c r="N97" s="771" t="n">
        <v>3525120</v>
      </c>
      <c r="O97" s="771" t="n"/>
      <c r="P97" s="771" t="n"/>
      <c r="Q97" s="797" t="n"/>
      <c r="R97" s="756">
        <f>SUM(K97:Q97)</f>
        <v/>
      </c>
      <c r="S97" s="756">
        <f>J97*2880</f>
        <v/>
      </c>
    </row>
    <row r="98">
      <c r="A98" s="79" t="inlineStr">
        <is>
          <t>애플100</t>
        </is>
      </c>
      <c r="B98" s="703" t="inlineStr">
        <is>
          <t>P00000OG</t>
        </is>
      </c>
      <c r="C98" s="233" t="n">
        <v>41</v>
      </c>
      <c r="D98" s="235" t="n"/>
      <c r="E98" s="234" t="n"/>
      <c r="F98" s="230" t="n"/>
      <c r="G98" s="322" t="n"/>
      <c r="H98" s="236" t="n"/>
      <c r="I98" s="330" t="n"/>
      <c r="J98" s="35">
        <f>SUM(C98:I98)</f>
        <v/>
      </c>
      <c r="K98" s="792" t="n">
        <v>344000</v>
      </c>
      <c r="L98" s="790">
        <f>D98*6600</f>
        <v/>
      </c>
      <c r="M98" s="770">
        <f>E98*6600</f>
        <v/>
      </c>
      <c r="N98" s="771">
        <f>F98*6720</f>
        <v/>
      </c>
      <c r="O98" s="771" t="n"/>
      <c r="P98" s="771" t="n"/>
      <c r="Q98" s="797" t="n"/>
      <c r="R98" s="756">
        <f>SUM(K98:Q98)</f>
        <v/>
      </c>
      <c r="S98" s="756">
        <f>J98*2880</f>
        <v/>
      </c>
    </row>
    <row r="99">
      <c r="A99" s="423" t="inlineStr">
        <is>
          <t>망고100</t>
        </is>
      </c>
      <c r="B99" s="692" t="inlineStr">
        <is>
          <t>P00000OG</t>
        </is>
      </c>
      <c r="C99" s="311" t="n">
        <v>27</v>
      </c>
      <c r="D99" s="335" t="n"/>
      <c r="E99" s="336" t="n"/>
      <c r="F99" s="424" t="n"/>
      <c r="G99" s="337" t="n"/>
      <c r="H99" s="338" t="n"/>
      <c r="I99" s="425" t="n"/>
      <c r="J99" s="66">
        <f>SUM(C99:I99)</f>
        <v/>
      </c>
      <c r="K99" s="792" t="n">
        <v>226400</v>
      </c>
      <c r="L99" s="790">
        <f>D99*6600</f>
        <v/>
      </c>
      <c r="M99" s="770">
        <f>E99*6600</f>
        <v/>
      </c>
      <c r="N99" s="771">
        <f>F99*6720</f>
        <v/>
      </c>
      <c r="O99" s="771" t="n"/>
      <c r="P99" s="771" t="n"/>
      <c r="Q99" s="797" t="n"/>
      <c r="R99" s="756">
        <f>SUM(K99:Q99)</f>
        <v/>
      </c>
      <c r="S99" s="756">
        <f>J99*2880</f>
        <v/>
      </c>
    </row>
    <row r="100" customFormat="1" s="24">
      <c r="A100" s="81" t="inlineStr">
        <is>
          <t>520g합계</t>
        </is>
      </c>
      <c r="B100" s="703" t="n"/>
      <c r="C100" s="233">
        <f>SUM(C88:C99)</f>
        <v/>
      </c>
      <c r="D100" s="235">
        <f>SUM(D88:D99)</f>
        <v/>
      </c>
      <c r="E100" s="234">
        <f>SUM(E88:E99)</f>
        <v/>
      </c>
      <c r="F100" s="230">
        <f>SUM(F88:F93)</f>
        <v/>
      </c>
      <c r="G100" s="230">
        <f>SUM(G88:G93)</f>
        <v/>
      </c>
      <c r="H100" s="230">
        <f>SUM(H88:H93)</f>
        <v/>
      </c>
      <c r="I100" s="422">
        <f>SUM(I88:I93)</f>
        <v/>
      </c>
      <c r="J100" s="422">
        <f>SUM(J88:J93)</f>
        <v/>
      </c>
      <c r="K100" s="798">
        <f>SUM(K88:K93)</f>
        <v/>
      </c>
      <c r="L100" s="799">
        <f>SUM(L88:L93)</f>
        <v/>
      </c>
      <c r="M100" s="800">
        <f>SUM(M88:M93)</f>
        <v/>
      </c>
      <c r="N100" s="801">
        <f>SUM(N88:N93)</f>
        <v/>
      </c>
      <c r="O100" s="801">
        <f>SUM(O88:O93)</f>
        <v/>
      </c>
      <c r="P100" s="801">
        <f>SUM(P88:P93)</f>
        <v/>
      </c>
      <c r="Q100" s="802">
        <f>SUM(Q88:Q93)</f>
        <v/>
      </c>
      <c r="R100" s="803" t="n"/>
      <c r="S100" s="803" t="n"/>
    </row>
    <row r="101">
      <c r="A101" s="81" t="inlineStr">
        <is>
          <t>미니100ml합계</t>
        </is>
      </c>
      <c r="B101" s="73" t="n"/>
      <c r="C101" s="35">
        <f>SUM(C94:C99)</f>
        <v/>
      </c>
      <c r="D101" s="32">
        <f>SUM(D94:D99)</f>
        <v/>
      </c>
      <c r="E101" s="33">
        <f>SUM(E94:E99)</f>
        <v/>
      </c>
      <c r="F101" s="191">
        <f>SUM(F94:F99)</f>
        <v/>
      </c>
      <c r="G101" s="191" t="n"/>
      <c r="H101" s="191">
        <f>SUM(H94:H99)</f>
        <v/>
      </c>
      <c r="I101" s="41">
        <f>SUM(I88:I93)</f>
        <v/>
      </c>
      <c r="J101" s="438">
        <f>SUM(J94:J99)</f>
        <v/>
      </c>
      <c r="K101" s="804">
        <f>SUM(K94:K99)</f>
        <v/>
      </c>
      <c r="L101" s="805">
        <f>SUM(L94:L99)</f>
        <v/>
      </c>
      <c r="M101" s="806">
        <f>SUM(M94:M99)</f>
        <v/>
      </c>
      <c r="N101" s="807">
        <f>SUM(N94:N99)</f>
        <v/>
      </c>
      <c r="O101" s="807">
        <f>SUM(O94:O99)</f>
        <v/>
      </c>
      <c r="P101" s="807">
        <f>SUM(P94:P99)</f>
        <v/>
      </c>
      <c r="Q101" s="808" t="n"/>
      <c r="R101" s="809" t="n"/>
      <c r="S101" s="809" t="n"/>
    </row>
    <row r="102" customFormat="1" s="24">
      <c r="B102" s="74" t="n"/>
      <c r="C102" s="74" t="n"/>
      <c r="D102" s="9" t="n"/>
      <c r="E102" s="10" t="n"/>
      <c r="F102" s="12" t="n"/>
      <c r="G102" s="12" t="n"/>
      <c r="H102" s="192" t="n"/>
      <c r="I102" s="12" t="n"/>
      <c r="J102" s="639" t="inlineStr">
        <is>
          <t>합계</t>
        </is>
      </c>
      <c r="K102" s="777">
        <f>SUM(K88:K99)</f>
        <v/>
      </c>
      <c r="L102" s="791">
        <f>SUM(L88:L99)</f>
        <v/>
      </c>
      <c r="M102" s="779">
        <f>SUM(M88:M99)</f>
        <v/>
      </c>
      <c r="N102" s="780">
        <f>SUM(N88:N99)</f>
        <v/>
      </c>
      <c r="O102" s="780">
        <f>SUM(O88:O99)</f>
        <v/>
      </c>
      <c r="P102" s="780">
        <f>SUM(P88:P99)</f>
        <v/>
      </c>
      <c r="Q102" s="780">
        <f>SUM(Q88:Q99)</f>
        <v/>
      </c>
      <c r="R102" s="781">
        <f>SUM(R88:R99)</f>
        <v/>
      </c>
      <c r="S102" s="782">
        <f>SUM(S88:S99)</f>
        <v/>
      </c>
    </row>
    <row r="103" customFormat="1" s="24">
      <c r="B103" s="74" t="n"/>
      <c r="C103" s="74" t="inlineStr">
        <is>
          <t>도매</t>
        </is>
      </c>
      <c r="D103" s="9" t="inlineStr">
        <is>
          <t>인증살롱</t>
        </is>
      </c>
      <c r="E103" s="10" t="inlineStr">
        <is>
          <t>마스터</t>
        </is>
      </c>
      <c r="F103" s="12" t="inlineStr">
        <is>
          <t>할인행사</t>
        </is>
      </c>
      <c r="G103" s="12" t="n"/>
      <c r="H103" s="192" t="n"/>
      <c r="I103" s="12" t="n"/>
      <c r="J103" s="639" t="n"/>
      <c r="K103" s="810" t="n"/>
      <c r="L103" s="811" t="n"/>
      <c r="M103" s="812" t="n"/>
      <c r="N103" s="813" t="n"/>
      <c r="O103" s="813" t="n"/>
      <c r="P103" s="813" t="n"/>
      <c r="Q103" s="813" t="n"/>
      <c r="R103" s="814" t="n"/>
      <c r="S103" s="814" t="n"/>
    </row>
    <row r="104">
      <c r="C104" s="14" t="n"/>
      <c r="D104" s="388" t="inlineStr">
        <is>
          <t>P00000WG</t>
        </is>
      </c>
      <c r="E104" s="15" t="inlineStr">
        <is>
          <t>P00000QS</t>
        </is>
      </c>
      <c r="F104" s="75" t="n"/>
      <c r="G104" s="75" t="n"/>
      <c r="H104" s="204" t="n"/>
      <c r="I104" s="76" t="n"/>
      <c r="J104" s="76" t="n"/>
      <c r="K104" s="789" t="n"/>
      <c r="P104" s="785" t="n"/>
    </row>
    <row r="105">
      <c r="C105" s="314" t="n"/>
      <c r="D105" s="388" t="inlineStr">
        <is>
          <t>P00000WF</t>
        </is>
      </c>
      <c r="E105" s="15" t="inlineStr">
        <is>
          <t>P00000QR</t>
        </is>
      </c>
      <c r="F105" s="75" t="n"/>
      <c r="G105" s="75" t="n"/>
      <c r="H105" s="205" t="n"/>
      <c r="I105" s="78" t="n"/>
      <c r="J105" s="78" t="n"/>
      <c r="P105" s="785" t="n"/>
    </row>
    <row r="106">
      <c r="A106" s="24" t="inlineStr">
        <is>
          <t>바디로션</t>
        </is>
      </c>
      <c r="C106" s="25" t="n"/>
      <c r="D106" s="389" t="inlineStr">
        <is>
          <t>P00000VV</t>
        </is>
      </c>
      <c r="E106" s="19" t="inlineStr">
        <is>
          <t>P00000QH</t>
        </is>
      </c>
      <c r="F106" s="75" t="n"/>
      <c r="G106" s="77" t="n"/>
      <c r="H106" s="205" t="n"/>
      <c r="I106" s="78" t="n"/>
      <c r="J106" s="78" t="n"/>
      <c r="K106" s="763" t="inlineStr">
        <is>
          <t>도매</t>
        </is>
      </c>
      <c r="L106" s="764" t="inlineStr">
        <is>
          <t>인증살롱/마스터</t>
        </is>
      </c>
      <c r="M106" s="765" t="n"/>
      <c r="N106" s="766" t="inlineStr">
        <is>
          <t>할인</t>
        </is>
      </c>
      <c r="O106" s="766" t="inlineStr">
        <is>
          <t>세트할인</t>
        </is>
      </c>
      <c r="P106" s="766" t="inlineStr">
        <is>
          <t>할인+증정</t>
        </is>
      </c>
      <c r="Q106" s="767" t="n"/>
      <c r="R106" s="767" t="inlineStr">
        <is>
          <t>품목별합계</t>
        </is>
      </c>
      <c r="S106" s="795" t="inlineStr">
        <is>
          <t>도매,마스터원가</t>
        </is>
      </c>
    </row>
    <row r="107">
      <c r="A107" s="79" t="inlineStr">
        <is>
          <t>석류로션250</t>
        </is>
      </c>
      <c r="B107" s="703" t="inlineStr">
        <is>
          <t>P000000U</t>
        </is>
      </c>
      <c r="C107" s="240" t="n"/>
      <c r="D107" s="235" t="n"/>
      <c r="E107" s="256" t="n"/>
      <c r="F107" s="230" t="n"/>
      <c r="G107" s="241" t="n"/>
      <c r="H107" s="236" t="n"/>
      <c r="I107" s="35" t="n"/>
      <c r="J107" s="35">
        <f>SUM(C107:I107)</f>
        <v/>
      </c>
      <c r="K107" s="815">
        <f>C107*12000</f>
        <v/>
      </c>
      <c r="L107" s="790">
        <f>D107*12000</f>
        <v/>
      </c>
      <c r="M107" s="770">
        <f>E107*12000</f>
        <v/>
      </c>
      <c r="N107" s="771" t="n"/>
      <c r="O107" s="771" t="n"/>
      <c r="P107" s="771" t="n"/>
      <c r="Q107" s="787" t="n"/>
      <c r="R107" s="756">
        <f>SUM(K107:Q107)</f>
        <v/>
      </c>
      <c r="S107" s="756">
        <f>J107*5967</f>
        <v/>
      </c>
    </row>
    <row r="108">
      <c r="A108" s="228" t="inlineStr">
        <is>
          <t>자몽로션250</t>
        </is>
      </c>
      <c r="B108" s="357" t="inlineStr">
        <is>
          <t>P000000U</t>
        </is>
      </c>
      <c r="C108" s="240" t="n"/>
      <c r="D108" s="235" t="n"/>
      <c r="E108" s="256" t="n"/>
      <c r="F108" s="230" t="n"/>
      <c r="G108" s="231" t="n"/>
      <c r="H108" s="236" t="n"/>
      <c r="I108" s="41" t="n"/>
      <c r="J108" s="35">
        <f>SUM(C108:I108)</f>
        <v/>
      </c>
      <c r="K108" s="815">
        <f>C108*12000</f>
        <v/>
      </c>
      <c r="L108" s="790">
        <f>D108*12000</f>
        <v/>
      </c>
      <c r="M108" s="770">
        <f>E108*12000</f>
        <v/>
      </c>
      <c r="N108" s="771" t="n"/>
      <c r="O108" s="771" t="n"/>
      <c r="P108" s="771" t="n"/>
      <c r="Q108" s="787" t="n"/>
      <c r="R108" s="756">
        <f>SUM(K108:Q108)</f>
        <v/>
      </c>
      <c r="S108" s="756">
        <f>J108*5967</f>
        <v/>
      </c>
    </row>
    <row r="109">
      <c r="A109" s="79" t="inlineStr">
        <is>
          <t>라벤더로션</t>
        </is>
      </c>
      <c r="B109" s="703" t="inlineStr">
        <is>
          <t>P000000U</t>
        </is>
      </c>
      <c r="C109" s="239" t="n"/>
      <c r="D109" s="235" t="n"/>
      <c r="E109" s="256" t="n"/>
      <c r="F109" s="230" t="n"/>
      <c r="G109" s="231" t="n"/>
      <c r="H109" s="236" t="n"/>
      <c r="I109" s="35" t="n"/>
      <c r="J109" s="35">
        <f>SUM(C109:I109)</f>
        <v/>
      </c>
      <c r="K109" s="815">
        <f>C109*12000</f>
        <v/>
      </c>
      <c r="L109" s="790">
        <f>D109*12000</f>
        <v/>
      </c>
      <c r="M109" s="770">
        <f>E109*12000</f>
        <v/>
      </c>
      <c r="N109" s="771" t="n"/>
      <c r="O109" s="771" t="n"/>
      <c r="P109" s="771" t="n"/>
      <c r="Q109" s="787" t="n"/>
      <c r="R109" s="756">
        <f>SUM(K109:Q109)</f>
        <v/>
      </c>
      <c r="S109" s="756">
        <f>J109*5967</f>
        <v/>
      </c>
    </row>
    <row r="110">
      <c r="A110" s="79" t="inlineStr">
        <is>
          <t>코코넛250</t>
        </is>
      </c>
      <c r="B110" s="703" t="inlineStr">
        <is>
          <t>P000000U</t>
        </is>
      </c>
      <c r="C110" s="240" t="n">
        <v>15</v>
      </c>
      <c r="D110" s="235" t="n"/>
      <c r="E110" s="256" t="n"/>
      <c r="F110" s="230" t="n"/>
      <c r="G110" s="231" t="n"/>
      <c r="H110" s="236" t="n"/>
      <c r="I110" s="35" t="n"/>
      <c r="J110" s="35">
        <f>SUM(C110:I110)</f>
        <v/>
      </c>
      <c r="K110" s="815">
        <f>C110*12000</f>
        <v/>
      </c>
      <c r="L110" s="790">
        <f>D110*12000</f>
        <v/>
      </c>
      <c r="M110" s="770">
        <f>E110*12000</f>
        <v/>
      </c>
      <c r="N110" s="771" t="n"/>
      <c r="O110" s="771" t="n"/>
      <c r="P110" s="771" t="n"/>
      <c r="Q110" s="787" t="n"/>
      <c r="R110" s="756">
        <f>SUM(K110:Q110)</f>
        <v/>
      </c>
      <c r="S110" s="756">
        <f>J110*5967</f>
        <v/>
      </c>
    </row>
    <row r="111">
      <c r="A111" s="79" t="inlineStr">
        <is>
          <t>애플로션250</t>
        </is>
      </c>
      <c r="B111" s="703" t="inlineStr">
        <is>
          <t>P000000U</t>
        </is>
      </c>
      <c r="C111" s="240" t="n">
        <v>27</v>
      </c>
      <c r="D111" s="235" t="n"/>
      <c r="E111" s="256" t="n"/>
      <c r="F111" s="230" t="n"/>
      <c r="G111" s="231" t="n"/>
      <c r="H111" s="236" t="n"/>
      <c r="I111" s="35" t="n"/>
      <c r="J111" s="35">
        <f>SUM(C111:I111)</f>
        <v/>
      </c>
      <c r="K111" s="815">
        <f>C111*12000</f>
        <v/>
      </c>
      <c r="L111" s="790">
        <f>D111*12000</f>
        <v/>
      </c>
      <c r="M111" s="770">
        <f>E111*12000</f>
        <v/>
      </c>
      <c r="N111" s="771" t="n"/>
      <c r="O111" s="771" t="n"/>
      <c r="P111" s="771" t="n"/>
      <c r="Q111" s="787" t="n"/>
      <c r="R111" s="756">
        <f>SUM(K111:Q111)</f>
        <v/>
      </c>
      <c r="S111" s="756">
        <f>J111*5967</f>
        <v/>
      </c>
    </row>
    <row r="112">
      <c r="A112" s="79" t="inlineStr">
        <is>
          <t>망고로션250</t>
        </is>
      </c>
      <c r="B112" s="703" t="inlineStr">
        <is>
          <t>P000000U</t>
        </is>
      </c>
      <c r="C112" s="240" t="n">
        <v>14</v>
      </c>
      <c r="D112" s="235" t="n"/>
      <c r="E112" s="256" t="n"/>
      <c r="F112" s="230" t="n"/>
      <c r="G112" s="231" t="n"/>
      <c r="H112" s="236" t="n"/>
      <c r="I112" s="35" t="n"/>
      <c r="J112" s="35">
        <f>SUM(C112:I112)</f>
        <v/>
      </c>
      <c r="K112" s="815">
        <f>C112*12000</f>
        <v/>
      </c>
      <c r="L112" s="790">
        <f>D112*12000</f>
        <v/>
      </c>
      <c r="M112" s="770">
        <f>E112*12000</f>
        <v/>
      </c>
      <c r="N112" s="771" t="n"/>
      <c r="O112" s="771" t="n"/>
      <c r="P112" s="771" t="n"/>
      <c r="Q112" s="787" t="n"/>
      <c r="R112" s="756">
        <f>SUM(K112:Q112)</f>
        <v/>
      </c>
      <c r="S112" s="756">
        <f>J112*5967</f>
        <v/>
      </c>
    </row>
    <row r="113">
      <c r="A113" s="79" t="inlineStr">
        <is>
          <t>석류1000</t>
        </is>
      </c>
      <c r="B113" s="703" t="inlineStr">
        <is>
          <t>P000000V</t>
        </is>
      </c>
      <c r="C113" s="35" t="n">
        <v>1</v>
      </c>
      <c r="D113" s="235" t="n"/>
      <c r="E113" s="256" t="n"/>
      <c r="F113" s="322" t="n"/>
      <c r="G113" s="231" t="n"/>
      <c r="H113" s="236" t="n"/>
      <c r="I113" s="35" t="n"/>
      <c r="J113" s="35">
        <f>SUM(C113:I113)</f>
        <v/>
      </c>
      <c r="K113" s="792">
        <f>C113*47000</f>
        <v/>
      </c>
      <c r="L113" s="790">
        <f>D113*35200</f>
        <v/>
      </c>
      <c r="M113" s="770">
        <f>E113*35200</f>
        <v/>
      </c>
      <c r="N113" s="771" t="n"/>
      <c r="O113" s="771" t="n"/>
      <c r="P113" s="771" t="n"/>
      <c r="Q113" s="787" t="n"/>
      <c r="R113" s="756">
        <f>SUM(K113:Q113)</f>
        <v/>
      </c>
      <c r="S113" s="756">
        <f>J113*15480</f>
        <v/>
      </c>
    </row>
    <row r="114">
      <c r="A114" s="79" t="inlineStr">
        <is>
          <t>자몽1000</t>
        </is>
      </c>
      <c r="B114" s="703" t="inlineStr">
        <is>
          <t>P000000V</t>
        </is>
      </c>
      <c r="C114" s="240" t="n"/>
      <c r="D114" s="235" t="n"/>
      <c r="E114" s="256" t="n"/>
      <c r="F114" s="230" t="n"/>
      <c r="G114" s="231" t="n"/>
      <c r="H114" s="236" t="n"/>
      <c r="I114" s="35" t="n"/>
      <c r="J114" s="35">
        <f>SUM(C114:I114)</f>
        <v/>
      </c>
      <c r="K114" s="792">
        <f>C114*47000</f>
        <v/>
      </c>
      <c r="L114" s="790">
        <f>D114*35200</f>
        <v/>
      </c>
      <c r="M114" s="770">
        <f>E114*35200</f>
        <v/>
      </c>
      <c r="N114" s="771">
        <f>F114*22500</f>
        <v/>
      </c>
      <c r="O114" s="771" t="n"/>
      <c r="P114" s="771" t="n"/>
      <c r="Q114" s="787" t="n"/>
      <c r="R114" s="756">
        <f>SUM(K114:Q114)</f>
        <v/>
      </c>
      <c r="S114" s="756">
        <f>J114*15480</f>
        <v/>
      </c>
    </row>
    <row r="115">
      <c r="A115" s="79" t="inlineStr">
        <is>
          <t>라벤더1000</t>
        </is>
      </c>
      <c r="B115" s="703" t="inlineStr">
        <is>
          <t>P000000V</t>
        </is>
      </c>
      <c r="C115" s="240" t="n">
        <v>1</v>
      </c>
      <c r="D115" s="235" t="n"/>
      <c r="E115" s="256" t="n"/>
      <c r="F115" s="230" t="n"/>
      <c r="G115" s="231" t="n"/>
      <c r="H115" s="236" t="n"/>
      <c r="I115" s="35" t="n"/>
      <c r="J115" s="35">
        <f>SUM(C115:I115)</f>
        <v/>
      </c>
      <c r="K115" s="792" t="n">
        <v>45000</v>
      </c>
      <c r="L115" s="790">
        <f>D115*35200</f>
        <v/>
      </c>
      <c r="M115" s="770">
        <f>E115*35200</f>
        <v/>
      </c>
      <c r="N115" s="771">
        <f>F115*22500</f>
        <v/>
      </c>
      <c r="O115" s="771" t="n"/>
      <c r="P115" s="771" t="n"/>
      <c r="Q115" s="787" t="n"/>
      <c r="R115" s="756">
        <f>SUM(K115:Q115)</f>
        <v/>
      </c>
      <c r="S115" s="756">
        <f>J115*15480</f>
        <v/>
      </c>
    </row>
    <row r="116">
      <c r="A116" s="79" t="inlineStr">
        <is>
          <t>코코넛1000</t>
        </is>
      </c>
      <c r="B116" s="703" t="inlineStr">
        <is>
          <t>P000000V</t>
        </is>
      </c>
      <c r="C116" s="240" t="n">
        <v>2</v>
      </c>
      <c r="D116" s="235" t="n"/>
      <c r="E116" s="256" t="n"/>
      <c r="F116" s="230" t="n"/>
      <c r="G116" s="231" t="n"/>
      <c r="H116" s="236" t="n"/>
      <c r="I116" s="35" t="n"/>
      <c r="J116" s="35">
        <f>SUM(C116:I116)</f>
        <v/>
      </c>
      <c r="K116" s="792">
        <f>C116*47000</f>
        <v/>
      </c>
      <c r="L116" s="790">
        <f>D116*35200</f>
        <v/>
      </c>
      <c r="M116" s="770">
        <f>E116*35200</f>
        <v/>
      </c>
      <c r="N116" s="771">
        <f>F116*22500</f>
        <v/>
      </c>
      <c r="O116" s="771" t="n"/>
      <c r="P116" s="771" t="n"/>
      <c r="Q116" s="787" t="n"/>
      <c r="R116" s="756">
        <f>SUM(K116:Q116)</f>
        <v/>
      </c>
      <c r="S116" s="756">
        <f>J116*15480</f>
        <v/>
      </c>
    </row>
    <row r="117">
      <c r="A117" s="79" t="inlineStr">
        <is>
          <t>애플1000</t>
        </is>
      </c>
      <c r="B117" s="703" t="inlineStr">
        <is>
          <t>P000000V</t>
        </is>
      </c>
      <c r="C117" s="240" t="n"/>
      <c r="D117" s="235" t="n"/>
      <c r="E117" s="256" t="n"/>
      <c r="F117" s="230" t="n"/>
      <c r="G117" s="231" t="n"/>
      <c r="H117" s="236" t="n"/>
      <c r="I117" s="35" t="n"/>
      <c r="J117" s="35">
        <f>SUM(C117:I117)</f>
        <v/>
      </c>
      <c r="K117" s="792">
        <f>C117*47000</f>
        <v/>
      </c>
      <c r="L117" s="790">
        <f>D117*35200</f>
        <v/>
      </c>
      <c r="M117" s="770">
        <f>E117*35200</f>
        <v/>
      </c>
      <c r="N117" s="771">
        <f>F117*22500</f>
        <v/>
      </c>
      <c r="O117" s="771" t="n"/>
      <c r="P117" s="771" t="n"/>
      <c r="Q117" s="787" t="n"/>
      <c r="R117" s="756">
        <f>SUM(K117:Q117)</f>
        <v/>
      </c>
      <c r="S117" s="756">
        <f>J117*15480</f>
        <v/>
      </c>
    </row>
    <row r="118">
      <c r="A118" s="79" t="inlineStr">
        <is>
          <t>망고1000</t>
        </is>
      </c>
      <c r="B118" s="703" t="inlineStr">
        <is>
          <t>P000000V</t>
        </is>
      </c>
      <c r="C118" s="237" t="n">
        <v>1</v>
      </c>
      <c r="D118" s="235" t="n"/>
      <c r="E118" s="234" t="n"/>
      <c r="F118" s="230" t="n"/>
      <c r="G118" s="230" t="n"/>
      <c r="H118" s="197" t="n"/>
      <c r="I118" s="35" t="n"/>
      <c r="J118" s="35">
        <f>SUM(C118:I118)</f>
        <v/>
      </c>
      <c r="K118" s="792">
        <f>C118*47000</f>
        <v/>
      </c>
      <c r="L118" s="790">
        <f>D118*35200</f>
        <v/>
      </c>
      <c r="M118" s="770">
        <f>E118*35200</f>
        <v/>
      </c>
      <c r="N118" s="771">
        <f>F118*31500</f>
        <v/>
      </c>
      <c r="O118" s="771" t="n"/>
      <c r="P118" s="771" t="n"/>
      <c r="Q118" s="787" t="n"/>
      <c r="R118" s="756">
        <f>SUM(K118:Q118)</f>
        <v/>
      </c>
      <c r="S118" s="756">
        <f>J118*15480</f>
        <v/>
      </c>
    </row>
    <row r="119">
      <c r="A119" s="81" t="n"/>
      <c r="B119" s="29" t="n"/>
      <c r="C119" s="35" t="n"/>
      <c r="D119" s="32" t="n"/>
      <c r="E119" s="33" t="n"/>
      <c r="F119" s="191" t="n"/>
      <c r="G119" s="191" t="n"/>
      <c r="H119" s="191" t="n"/>
      <c r="I119" s="191" t="n"/>
      <c r="J119" s="35" t="n"/>
      <c r="L119" s="790" t="n"/>
      <c r="M119" s="770" t="n"/>
      <c r="N119" s="771" t="n"/>
      <c r="O119" s="771" t="n"/>
      <c r="P119" s="771" t="n"/>
      <c r="Q119" s="787" t="n"/>
    </row>
    <row r="120" customFormat="1" s="24">
      <c r="B120" s="639" t="n"/>
      <c r="C120" s="74" t="n"/>
      <c r="D120" s="82" t="n"/>
      <c r="E120" s="83" t="n"/>
      <c r="F120" s="84" t="n"/>
      <c r="G120" s="84" t="n"/>
      <c r="H120" s="206" t="n"/>
      <c r="I120" s="84" t="n"/>
      <c r="J120" s="85" t="inlineStr">
        <is>
          <t>합계</t>
        </is>
      </c>
      <c r="K120" s="777">
        <f>SUM(K107:K119)</f>
        <v/>
      </c>
      <c r="L120" s="791">
        <f>SUM(L107:L119)</f>
        <v/>
      </c>
      <c r="M120" s="779">
        <f>SUM(M107:M119)</f>
        <v/>
      </c>
      <c r="N120" s="780">
        <f>SUM(N107:N119)</f>
        <v/>
      </c>
      <c r="O120" s="780">
        <f>SUM(O107:O119)</f>
        <v/>
      </c>
      <c r="P120" s="780">
        <f>SUM(P107:P119)</f>
        <v/>
      </c>
      <c r="Q120" s="816">
        <f>SUM(Q107:Q119)</f>
        <v/>
      </c>
      <c r="R120" s="781">
        <f>SUM(R107:R119)</f>
        <v/>
      </c>
      <c r="S120" s="782">
        <f>SUM(S107:S119)</f>
        <v/>
      </c>
    </row>
    <row r="121" customFormat="1" s="24">
      <c r="B121" s="639" t="n"/>
      <c r="C121" s="74" t="inlineStr">
        <is>
          <t>도매</t>
        </is>
      </c>
      <c r="D121" s="82" t="inlineStr">
        <is>
          <t>인증살롱</t>
        </is>
      </c>
      <c r="E121" s="83" t="inlineStr">
        <is>
          <t>마스터</t>
        </is>
      </c>
      <c r="F121" s="84" t="inlineStr">
        <is>
          <t>할인행사</t>
        </is>
      </c>
      <c r="G121" s="84" t="n"/>
      <c r="H121" s="206" t="n"/>
      <c r="I121" s="84" t="n"/>
      <c r="J121" s="85" t="n"/>
      <c r="K121" s="817" t="n"/>
      <c r="L121" s="818" t="n"/>
      <c r="M121" s="819" t="n"/>
      <c r="N121" s="820" t="n"/>
      <c r="O121" s="820" t="n"/>
      <c r="P121" s="820" t="n"/>
      <c r="Q121" s="783" t="n"/>
      <c r="R121" s="821" t="n"/>
      <c r="S121" s="821" t="n"/>
    </row>
    <row r="122">
      <c r="A122" s="24" t="inlineStr">
        <is>
          <t>대용량슈거스크럽</t>
        </is>
      </c>
      <c r="B122" s="86" t="n"/>
      <c r="D122" s="55" t="inlineStr">
        <is>
          <t>P00000WD</t>
        </is>
      </c>
      <c r="E122" s="15" t="inlineStr">
        <is>
          <t>P00000QY</t>
        </is>
      </c>
      <c r="F122" s="45" t="n"/>
      <c r="G122" s="45" t="n"/>
      <c r="H122" s="199" t="n"/>
      <c r="I122" s="35" t="n"/>
      <c r="J122" s="35" t="n"/>
      <c r="K122" s="822" t="inlineStr">
        <is>
          <t>도매</t>
        </is>
      </c>
      <c r="L122" s="764" t="inlineStr">
        <is>
          <t>인증살롱/마스터</t>
        </is>
      </c>
      <c r="M122" s="765" t="n"/>
      <c r="N122" s="823" t="inlineStr">
        <is>
          <t>할인</t>
        </is>
      </c>
      <c r="O122" s="823" t="inlineStr">
        <is>
          <t>세트할인</t>
        </is>
      </c>
      <c r="P122" s="823" t="inlineStr">
        <is>
          <t>할인+증정</t>
        </is>
      </c>
      <c r="Q122" s="824" t="n"/>
      <c r="R122" s="824" t="inlineStr">
        <is>
          <t>품목별합계</t>
        </is>
      </c>
      <c r="S122" s="825" t="inlineStr">
        <is>
          <t>도매,마스터원가</t>
        </is>
      </c>
    </row>
    <row r="123">
      <c r="A123" s="29" t="inlineStr">
        <is>
          <t>석류2.5kg</t>
        </is>
      </c>
      <c r="B123" s="703" t="inlineStr">
        <is>
          <t>P000000W</t>
        </is>
      </c>
      <c r="C123" s="237" t="n"/>
      <c r="D123" s="235" t="n"/>
      <c r="E123" s="234" t="n"/>
      <c r="F123" s="230" t="n"/>
      <c r="G123" s="230" t="n"/>
      <c r="H123" s="197" t="n"/>
      <c r="I123" s="35" t="n"/>
      <c r="J123" s="35">
        <f>SUM(C123:I123)</f>
        <v/>
      </c>
      <c r="K123" s="793">
        <f>C123*100800</f>
        <v/>
      </c>
      <c r="L123" s="790">
        <f>D123*86900</f>
        <v/>
      </c>
      <c r="M123" s="770">
        <f>E123*86900</f>
        <v/>
      </c>
      <c r="N123" s="771" t="n"/>
      <c r="O123" s="771" t="n"/>
      <c r="P123" s="771" t="n"/>
      <c r="R123" s="756">
        <f>SUM(K123:Q123)</f>
        <v/>
      </c>
      <c r="S123" s="756">
        <f>J123*36064</f>
        <v/>
      </c>
    </row>
    <row r="124">
      <c r="A124" s="29" t="inlineStr">
        <is>
          <t>자몽2.5kg</t>
        </is>
      </c>
      <c r="B124" s="703" t="inlineStr">
        <is>
          <t>P000000W</t>
        </is>
      </c>
      <c r="C124" s="237" t="n">
        <v>2</v>
      </c>
      <c r="D124" s="235" t="n"/>
      <c r="E124" s="234" t="n"/>
      <c r="F124" s="230" t="n"/>
      <c r="G124" s="230" t="n"/>
      <c r="H124" s="197" t="n"/>
      <c r="I124" s="35" t="n"/>
      <c r="J124" s="35">
        <f>SUM(C124:I124)</f>
        <v/>
      </c>
      <c r="K124" s="793">
        <f>C124*100800</f>
        <v/>
      </c>
      <c r="L124" s="790">
        <f>D124*86900</f>
        <v/>
      </c>
      <c r="M124" s="770">
        <f>E124*86900</f>
        <v/>
      </c>
      <c r="N124" s="771" t="n"/>
      <c r="O124" s="771" t="n"/>
      <c r="P124" s="771" t="n"/>
      <c r="R124" s="756">
        <f>SUM(K124:Q124)</f>
        <v/>
      </c>
      <c r="S124" s="756">
        <f>J124*36064</f>
        <v/>
      </c>
    </row>
    <row r="125">
      <c r="A125" s="29" t="inlineStr">
        <is>
          <t>라벤더2.5kg</t>
        </is>
      </c>
      <c r="B125" s="703" t="inlineStr">
        <is>
          <t>P000000W</t>
        </is>
      </c>
      <c r="C125" s="233" t="n">
        <v>2</v>
      </c>
      <c r="D125" s="235" t="n"/>
      <c r="E125" s="234" t="n"/>
      <c r="F125" s="230" t="n"/>
      <c r="G125" s="230" t="n"/>
      <c r="H125" s="197" t="n"/>
      <c r="I125" s="35" t="n"/>
      <c r="J125" s="35">
        <f>SUM(C125:I125)</f>
        <v/>
      </c>
      <c r="K125" s="793">
        <f>C125*100800</f>
        <v/>
      </c>
      <c r="L125" s="790">
        <f>D125*86900</f>
        <v/>
      </c>
      <c r="M125" s="770">
        <f>E125*86900</f>
        <v/>
      </c>
      <c r="N125" s="771" t="n"/>
      <c r="O125" s="771" t="n"/>
      <c r="P125" s="771" t="n"/>
      <c r="R125" s="756">
        <f>SUM(K125:Q125)</f>
        <v/>
      </c>
      <c r="S125" s="756">
        <f>J125*36064</f>
        <v/>
      </c>
    </row>
    <row r="126">
      <c r="A126" s="29" t="inlineStr">
        <is>
          <t>코코넛2.5kg</t>
        </is>
      </c>
      <c r="B126" s="703" t="inlineStr">
        <is>
          <t>P000000W</t>
        </is>
      </c>
      <c r="C126" s="237" t="n"/>
      <c r="D126" s="235" t="n"/>
      <c r="E126" s="234" t="n">
        <v>1</v>
      </c>
      <c r="F126" s="230" t="n"/>
      <c r="G126" s="230" t="n"/>
      <c r="H126" s="197" t="n"/>
      <c r="I126" s="35" t="n"/>
      <c r="J126" s="35">
        <f>SUM(C126:I126)</f>
        <v/>
      </c>
      <c r="K126" s="793">
        <f>C126*100800</f>
        <v/>
      </c>
      <c r="L126" s="790">
        <f>D126*86900</f>
        <v/>
      </c>
      <c r="M126" s="770">
        <f>E126*86900</f>
        <v/>
      </c>
      <c r="N126" s="771" t="n"/>
      <c r="O126" s="771" t="n"/>
      <c r="P126" s="771" t="n"/>
      <c r="R126" s="756">
        <f>SUM(K126:Q126)</f>
        <v/>
      </c>
      <c r="S126" s="756">
        <f>J126*36064</f>
        <v/>
      </c>
    </row>
    <row r="127" customFormat="1" s="24">
      <c r="B127" s="74" t="n"/>
      <c r="C127" s="74" t="n"/>
      <c r="D127" s="82" t="inlineStr">
        <is>
          <t>인증살롱</t>
        </is>
      </c>
      <c r="E127" s="83" t="inlineStr">
        <is>
          <t>마스터</t>
        </is>
      </c>
      <c r="F127" s="84" t="inlineStr">
        <is>
          <t>할인행사</t>
        </is>
      </c>
      <c r="G127" s="84" t="n"/>
      <c r="H127" s="206" t="n"/>
      <c r="I127" s="84" t="n"/>
      <c r="J127" s="74" t="inlineStr">
        <is>
          <t>합계</t>
        </is>
      </c>
      <c r="K127" s="777">
        <f>SUM(K123:K126)</f>
        <v/>
      </c>
      <c r="L127" s="791">
        <f>SUM(L123:L126)</f>
        <v/>
      </c>
      <c r="M127" s="779">
        <f>SUM(M123:M126)</f>
        <v/>
      </c>
      <c r="N127" s="780">
        <f>SUM(N123:N126)</f>
        <v/>
      </c>
      <c r="O127" s="780">
        <f>SUM(O123:O126)</f>
        <v/>
      </c>
      <c r="P127" s="780">
        <f>SUM(P123:P126)</f>
        <v/>
      </c>
      <c r="Q127" s="777">
        <f>SUM(Q123:Q126)</f>
        <v/>
      </c>
      <c r="R127" s="781">
        <f>SUM(R123:R126)</f>
        <v/>
      </c>
      <c r="S127" s="782">
        <f>SUM(S123:S126)</f>
        <v/>
      </c>
    </row>
    <row r="128">
      <c r="A128" s="24" t="inlineStr">
        <is>
          <t>페디제품</t>
        </is>
      </c>
      <c r="B128" s="628" t="inlineStr">
        <is>
          <t>도매</t>
        </is>
      </c>
      <c r="C128" s="87" t="n"/>
      <c r="D128" s="88" t="inlineStr">
        <is>
          <t>P00000WJ</t>
        </is>
      </c>
      <c r="E128" s="731" t="inlineStr">
        <is>
          <t>P00000RC</t>
        </is>
      </c>
      <c r="F128" s="90" t="inlineStr">
        <is>
          <t>P00000YY</t>
        </is>
      </c>
      <c r="G128" s="73" t="n"/>
      <c r="H128" s="195" t="n"/>
      <c r="I128" s="73" t="n"/>
      <c r="J128" s="74" t="n"/>
      <c r="K128" s="763" t="inlineStr">
        <is>
          <t>도매</t>
        </is>
      </c>
      <c r="L128" s="764" t="inlineStr">
        <is>
          <t>인증살롱/마스터</t>
        </is>
      </c>
      <c r="M128" s="765" t="n"/>
      <c r="N128" s="766" t="inlineStr">
        <is>
          <t>할인</t>
        </is>
      </c>
      <c r="O128" s="766" t="inlineStr">
        <is>
          <t>세트할인</t>
        </is>
      </c>
      <c r="P128" s="766" t="inlineStr">
        <is>
          <t>할인+증정</t>
        </is>
      </c>
      <c r="Q128" s="767" t="n"/>
      <c r="R128" s="767" t="inlineStr">
        <is>
          <t>품목별합계</t>
        </is>
      </c>
      <c r="S128" s="795" t="inlineStr">
        <is>
          <t>도매,마스터원가</t>
        </is>
      </c>
    </row>
    <row r="129">
      <c r="A129" s="129" t="inlineStr">
        <is>
          <t>리프레싱속</t>
        </is>
      </c>
      <c r="B129" s="87" t="n"/>
      <c r="C129" s="35" t="n"/>
      <c r="D129" s="32" t="n"/>
      <c r="E129" s="33" t="n"/>
      <c r="F129" s="230" t="n"/>
      <c r="G129" s="241" t="n"/>
      <c r="H129" s="195" t="n"/>
      <c r="I129" s="73" t="n"/>
      <c r="J129" s="35">
        <f>SUM(C129:I129)</f>
        <v/>
      </c>
      <c r="L129" s="769" t="n"/>
      <c r="M129" s="770" t="n"/>
      <c r="N129" s="771">
        <f>F129*39000</f>
        <v/>
      </c>
      <c r="P129" s="785" t="n"/>
      <c r="R129" s="756">
        <f>SUM(K129:Q129)</f>
        <v/>
      </c>
      <c r="S129" s="756">
        <f>J129*22255</f>
        <v/>
      </c>
    </row>
    <row r="130">
      <c r="A130" s="129" t="inlineStr">
        <is>
          <t>페디마사지로션</t>
        </is>
      </c>
      <c r="B130" s="87" t="n"/>
      <c r="C130" s="35" t="n"/>
      <c r="D130" s="32" t="n"/>
      <c r="E130" s="33" t="n"/>
      <c r="F130" s="230" t="n"/>
      <c r="G130" s="241" t="n"/>
      <c r="H130" s="195" t="n"/>
      <c r="I130" s="73" t="n"/>
      <c r="J130" s="35">
        <f>SUM(C130:I130)</f>
        <v/>
      </c>
      <c r="L130" s="769" t="n"/>
      <c r="M130" s="770" t="n"/>
      <c r="N130" s="771">
        <f>F130*39000</f>
        <v/>
      </c>
      <c r="P130" s="785" t="n"/>
      <c r="R130" s="756">
        <f>SUM(K130:Q130)</f>
        <v/>
      </c>
      <c r="S130" s="756">
        <f>J130*32062</f>
        <v/>
      </c>
    </row>
    <row r="131">
      <c r="A131" s="129" t="inlineStr">
        <is>
          <t>페디스크럽2.5</t>
        </is>
      </c>
      <c r="B131" s="87" t="n"/>
      <c r="C131" s="35" t="n"/>
      <c r="D131" s="32" t="n"/>
      <c r="E131" s="33" t="n"/>
      <c r="F131" s="230" t="n"/>
      <c r="G131" s="241" t="n"/>
      <c r="H131" s="195" t="n"/>
      <c r="I131" s="73" t="n"/>
      <c r="J131" s="35">
        <f>SUM(C131:I131)</f>
        <v/>
      </c>
      <c r="L131" s="769" t="n"/>
      <c r="M131" s="770" t="n"/>
      <c r="N131" s="771">
        <f>F131*39000</f>
        <v/>
      </c>
      <c r="P131" s="785" t="n"/>
      <c r="R131" s="756">
        <f>SUM(K131:Q131)</f>
        <v/>
      </c>
      <c r="S131" s="756">
        <f>J131*29799</f>
        <v/>
      </c>
    </row>
    <row r="132">
      <c r="A132" s="129" t="inlineStr">
        <is>
          <t>페디마스크팩</t>
        </is>
      </c>
      <c r="B132" s="87" t="n"/>
      <c r="C132" s="35" t="n"/>
      <c r="D132" s="32" t="n"/>
      <c r="E132" s="33" t="n"/>
      <c r="F132" s="230" t="n"/>
      <c r="G132" s="241" t="n"/>
      <c r="H132" s="195" t="n"/>
      <c r="I132" s="73" t="n"/>
      <c r="J132" s="35">
        <f>SUM(C132:I132)</f>
        <v/>
      </c>
      <c r="L132" s="769" t="n"/>
      <c r="M132" s="770" t="n"/>
      <c r="N132" s="771">
        <f>F132*39000</f>
        <v/>
      </c>
      <c r="P132" s="785" t="n"/>
      <c r="R132" s="756">
        <f>SUM(K132:Q132)</f>
        <v/>
      </c>
      <c r="S132" s="756">
        <f>J132*32062</f>
        <v/>
      </c>
    </row>
    <row r="133" customFormat="1" s="24">
      <c r="B133" s="74" t="n"/>
      <c r="C133" s="74" t="n"/>
      <c r="D133" s="9" t="n"/>
      <c r="E133" s="10" t="n"/>
      <c r="F133" s="12" t="n"/>
      <c r="G133" s="12" t="n"/>
      <c r="H133" s="192" t="n"/>
      <c r="I133" s="84" t="n"/>
      <c r="J133" s="639" t="inlineStr">
        <is>
          <t>합계</t>
        </is>
      </c>
      <c r="K133" s="777">
        <f>SUM(K129:K132)</f>
        <v/>
      </c>
      <c r="L133" s="778">
        <f>SUM(L129:L132)</f>
        <v/>
      </c>
      <c r="M133" s="779">
        <f>SUM(M129:M132)</f>
        <v/>
      </c>
      <c r="N133" s="780">
        <f>SUM(N129:N132)</f>
        <v/>
      </c>
      <c r="O133" s="780">
        <f>SUM(O129:O132)</f>
        <v/>
      </c>
      <c r="P133" s="777">
        <f>SUM(P129:P132)</f>
        <v/>
      </c>
      <c r="Q133" s="777">
        <f>SUM(Q129:Q132)</f>
        <v/>
      </c>
      <c r="R133" s="781">
        <f>SUM(R129:R132)</f>
        <v/>
      </c>
      <c r="S133" s="782">
        <f>SUM(S129:S132)</f>
        <v/>
      </c>
    </row>
    <row r="134" customFormat="1" s="24">
      <c r="B134" s="74" t="n"/>
      <c r="C134" s="74" t="inlineStr">
        <is>
          <t>도매</t>
        </is>
      </c>
      <c r="D134" s="9" t="inlineStr">
        <is>
          <t>인증살롱</t>
        </is>
      </c>
      <c r="E134" s="10" t="inlineStr">
        <is>
          <t>마스터</t>
        </is>
      </c>
      <c r="F134" s="12" t="inlineStr">
        <is>
          <t>할인행사</t>
        </is>
      </c>
      <c r="G134" s="12" t="n"/>
      <c r="H134" s="192" t="n"/>
      <c r="I134" s="92" t="n"/>
      <c r="J134" s="639" t="n"/>
      <c r="K134" s="817" t="n"/>
      <c r="L134" s="826" t="n"/>
      <c r="M134" s="819" t="n"/>
      <c r="N134" s="820" t="n"/>
      <c r="O134" s="820" t="n"/>
      <c r="P134" s="817" t="n"/>
      <c r="Q134" s="817" t="n"/>
      <c r="R134" s="821" t="n"/>
      <c r="S134" s="821" t="n"/>
    </row>
    <row r="135">
      <c r="C135" s="638" t="n"/>
      <c r="D135" s="55" t="inlineStr">
        <is>
          <t>P00000WH</t>
        </is>
      </c>
      <c r="E135" s="15" t="inlineStr">
        <is>
          <t>P00000QZ</t>
        </is>
      </c>
      <c r="F135" s="84" t="n"/>
      <c r="G135" s="12" t="n"/>
      <c r="H135" s="192" t="n"/>
      <c r="I135" s="92" t="n"/>
      <c r="J135" s="639" t="n"/>
      <c r="L135" s="769" t="n"/>
      <c r="M135" s="770" t="n"/>
      <c r="P135" s="785" t="n"/>
    </row>
    <row r="136">
      <c r="A136" s="24" t="inlineStr">
        <is>
          <t>세트제품</t>
        </is>
      </c>
      <c r="B136" s="93" t="n"/>
      <c r="C136" s="94" t="n"/>
      <c r="D136" s="55" t="inlineStr">
        <is>
          <t>P00000XB</t>
        </is>
      </c>
      <c r="E136" s="15" t="inlineStr">
        <is>
          <t>P00000XA</t>
        </is>
      </c>
      <c r="F136" s="45" t="n"/>
      <c r="G136" s="630" t="n"/>
      <c r="H136" s="193" t="n"/>
      <c r="I136" s="66" t="n"/>
      <c r="J136" s="66" t="n"/>
      <c r="K136" s="763" t="inlineStr">
        <is>
          <t>도매</t>
        </is>
      </c>
      <c r="L136" s="764" t="inlineStr">
        <is>
          <t>인증살롱/마스터</t>
        </is>
      </c>
      <c r="M136" s="765" t="n"/>
      <c r="N136" s="766" t="inlineStr">
        <is>
          <t>할인</t>
        </is>
      </c>
      <c r="O136" s="766" t="inlineStr">
        <is>
          <t>세트할인</t>
        </is>
      </c>
      <c r="P136" s="766" t="inlineStr">
        <is>
          <t>할인+증정</t>
        </is>
      </c>
      <c r="Q136" s="827" t="n"/>
      <c r="R136" s="767" t="inlineStr">
        <is>
          <t>품목별합계</t>
        </is>
      </c>
      <c r="S136" s="795" t="inlineStr">
        <is>
          <t>도매,마스터원가</t>
        </is>
      </c>
    </row>
    <row r="137">
      <c r="A137" s="24" t="n"/>
      <c r="B137" s="365" t="n"/>
      <c r="C137" s="94" t="n"/>
      <c r="D137" s="55" t="n"/>
      <c r="E137" s="15" t="inlineStr">
        <is>
          <t>P0000BHU</t>
        </is>
      </c>
      <c r="F137" s="45" t="n"/>
      <c r="G137" s="630" t="n"/>
      <c r="H137" s="193" t="n"/>
      <c r="I137" s="66" t="n"/>
      <c r="J137" s="66" t="n"/>
      <c r="K137" s="828" t="n"/>
      <c r="L137" s="829" t="n"/>
      <c r="M137" s="830" t="n"/>
      <c r="N137" s="796" t="n"/>
      <c r="O137" s="796" t="n"/>
      <c r="P137" s="796" t="n"/>
      <c r="Q137" s="772" t="n"/>
      <c r="R137" s="758" t="n"/>
    </row>
    <row r="138">
      <c r="A138" s="95" t="inlineStr">
        <is>
          <t>핑키니브라질리언세트</t>
        </is>
      </c>
      <c r="B138" s="67" t="inlineStr">
        <is>
          <t>P00000PN</t>
        </is>
      </c>
      <c r="C138" s="312" t="n">
        <v>5</v>
      </c>
      <c r="D138" s="235" t="n"/>
      <c r="E138" s="234" t="n">
        <v>8</v>
      </c>
      <c r="F138" s="34" t="n"/>
      <c r="G138" s="34" t="n"/>
      <c r="H138" s="195" t="n"/>
      <c r="I138" s="41" t="n"/>
      <c r="J138" s="35">
        <f>SUM(C138:I138)</f>
        <v/>
      </c>
      <c r="K138" s="815">
        <f>C138*134000</f>
        <v/>
      </c>
      <c r="L138" s="769">
        <f>D138*106700</f>
        <v/>
      </c>
      <c r="M138" s="770">
        <f>E138*106700</f>
        <v/>
      </c>
      <c r="N138" s="771" t="n"/>
      <c r="O138" s="771" t="n"/>
      <c r="P138" s="771" t="n"/>
      <c r="Q138" s="772" t="n"/>
      <c r="R138" s="756">
        <f>SUM(K138:Q138)</f>
        <v/>
      </c>
      <c r="S138" s="756">
        <f>J138*59055</f>
        <v/>
      </c>
    </row>
    <row r="139">
      <c r="A139" s="95" t="inlineStr">
        <is>
          <t>맨니피코세트</t>
        </is>
      </c>
      <c r="B139" s="67" t="inlineStr">
        <is>
          <t>P00000XD</t>
        </is>
      </c>
      <c r="C139" s="312" t="n">
        <v>1</v>
      </c>
      <c r="D139" s="235" t="n"/>
      <c r="E139" s="234" t="n">
        <v>2</v>
      </c>
      <c r="F139" s="34" t="n"/>
      <c r="G139" s="34" t="n"/>
      <c r="H139" s="195" t="n"/>
      <c r="I139" s="41" t="n"/>
      <c r="J139" s="35">
        <f>SUM(C139:I139)</f>
        <v/>
      </c>
      <c r="K139" s="815">
        <f>C139*134000</f>
        <v/>
      </c>
      <c r="L139" s="769">
        <f>D139*106700</f>
        <v/>
      </c>
      <c r="M139" s="770">
        <f>E139*106700</f>
        <v/>
      </c>
      <c r="N139" s="771" t="n"/>
      <c r="O139" s="771" t="n"/>
      <c r="P139" s="771" t="n"/>
      <c r="Q139" s="772" t="n"/>
      <c r="R139" s="756">
        <f>SUM(K139:Q139)</f>
        <v/>
      </c>
      <c r="S139" s="756">
        <f>J139*40000</f>
        <v/>
      </c>
    </row>
    <row r="140">
      <c r="A140" s="555" t="inlineStr">
        <is>
          <t>라이코페디7종세트</t>
        </is>
      </c>
      <c r="B140" s="556" t="inlineStr">
        <is>
          <t>P0000BHS</t>
        </is>
      </c>
      <c r="C140" s="559" t="n"/>
      <c r="D140" s="235" t="n"/>
      <c r="E140" s="234" t="n"/>
      <c r="F140" s="191" t="n"/>
      <c r="G140" s="34" t="n"/>
      <c r="H140" s="195" t="n"/>
      <c r="I140" s="41" t="n"/>
      <c r="J140" s="35">
        <f>SUM(C140:I140)</f>
        <v/>
      </c>
      <c r="K140" s="831">
        <f>C140*89600</f>
        <v/>
      </c>
      <c r="L140" s="769">
        <f>D140*89600</f>
        <v/>
      </c>
      <c r="M140" s="770">
        <f>E140*89600</f>
        <v/>
      </c>
      <c r="N140" s="771">
        <f>F140*89600</f>
        <v/>
      </c>
      <c r="O140" s="771" t="n"/>
      <c r="P140" s="771" t="n"/>
      <c r="Q140" s="772" t="n"/>
      <c r="R140" s="756">
        <f>SUM(K140:Q140)</f>
        <v/>
      </c>
      <c r="S140" s="756">
        <f>J140*55173</f>
        <v/>
      </c>
    </row>
    <row r="141">
      <c r="A141" s="96" t="n"/>
      <c r="D141" s="97" t="n"/>
      <c r="E141" s="98" t="n"/>
      <c r="F141" s="99" t="n"/>
      <c r="G141" s="100" t="n"/>
      <c r="H141" s="198" t="n"/>
      <c r="I141" s="72" t="n"/>
      <c r="J141" s="72" t="inlineStr">
        <is>
          <t>합계</t>
        </is>
      </c>
      <c r="K141" s="777">
        <f>SUM(K137:K140)</f>
        <v/>
      </c>
      <c r="L141" s="778">
        <f>SUM(L137:L140)</f>
        <v/>
      </c>
      <c r="M141" s="779">
        <f>SUM(M137:M140)</f>
        <v/>
      </c>
      <c r="N141" s="780">
        <f>SUM(N137:N140)</f>
        <v/>
      </c>
      <c r="O141" s="780">
        <f>SUM(O137:O140)</f>
        <v/>
      </c>
      <c r="P141" s="780">
        <f>SUM(P137:P140)</f>
        <v/>
      </c>
      <c r="Q141" s="780">
        <f>SUM(Q137:Q140)</f>
        <v/>
      </c>
      <c r="R141" s="781">
        <f>SUM(R137:R140)</f>
        <v/>
      </c>
      <c r="S141" s="782">
        <f>SUM(S137:S140)</f>
        <v/>
      </c>
    </row>
    <row r="142" customFormat="1" s="24">
      <c r="B142" s="74" t="n"/>
      <c r="C142" s="31" t="n"/>
      <c r="D142" s="588" t="inlineStr">
        <is>
          <t>인증살롱</t>
        </is>
      </c>
      <c r="E142" s="589" t="inlineStr">
        <is>
          <t>마스터</t>
        </is>
      </c>
      <c r="F142" s="695" t="inlineStr">
        <is>
          <t>할인행사</t>
        </is>
      </c>
      <c r="G142" s="695" t="n"/>
      <c r="H142" s="590" t="n"/>
      <c r="I142" s="84" t="inlineStr">
        <is>
          <t>행사</t>
        </is>
      </c>
      <c r="J142" s="85" t="n"/>
      <c r="K142" s="817" t="n"/>
      <c r="L142" s="826" t="n"/>
      <c r="M142" s="819" t="n"/>
      <c r="N142" s="820" t="n"/>
      <c r="O142" s="820" t="n"/>
      <c r="P142" s="820" t="n"/>
      <c r="Q142" s="820" t="n"/>
      <c r="R142" s="821" t="n"/>
      <c r="S142" s="821" t="n"/>
    </row>
    <row r="143">
      <c r="A143" s="24" t="n"/>
      <c r="C143" s="584" t="n"/>
      <c r="D143" s="584" t="inlineStr">
        <is>
          <t>인그로운15</t>
        </is>
      </c>
      <c r="E143" s="585" t="inlineStr">
        <is>
          <t>P00000QK</t>
        </is>
      </c>
      <c r="F143" s="586" t="n"/>
      <c r="G143" s="108" t="n"/>
      <c r="H143" s="587" t="n"/>
      <c r="I143" s="108" t="n"/>
      <c r="J143" s="107" t="n"/>
      <c r="L143" s="769" t="n"/>
      <c r="P143" s="785" t="n"/>
    </row>
    <row r="144">
      <c r="A144" s="24" t="n"/>
      <c r="C144" s="104" t="inlineStr">
        <is>
          <t>인스125,50</t>
        </is>
      </c>
      <c r="D144" s="394" t="inlineStr">
        <is>
          <t>P00000VW</t>
        </is>
      </c>
      <c r="E144" s="15" t="inlineStr">
        <is>
          <t>P00000QI</t>
        </is>
      </c>
      <c r="F144" s="20" t="inlineStr">
        <is>
          <t>P0000BJQ</t>
        </is>
      </c>
      <c r="G144" s="84" t="inlineStr">
        <is>
          <t>기한임박</t>
        </is>
      </c>
      <c r="H144" s="195" t="n"/>
      <c r="I144" s="73" t="n"/>
      <c r="J144" s="102" t="n"/>
      <c r="L144" s="769" t="n"/>
      <c r="P144" s="785" t="n"/>
    </row>
    <row r="145">
      <c r="A145" s="24" t="n"/>
      <c r="C145" s="104" t="inlineStr">
        <is>
          <t>인크,헤어</t>
        </is>
      </c>
      <c r="D145" s="394" t="inlineStr">
        <is>
          <t>P00000VY</t>
        </is>
      </c>
      <c r="E145" s="15" t="inlineStr">
        <is>
          <t>P00000QL</t>
        </is>
      </c>
      <c r="F145" s="45" t="inlineStr">
        <is>
          <t>P00000KX</t>
        </is>
      </c>
      <c r="G145" s="101" t="inlineStr">
        <is>
          <t>인15+브팩</t>
        </is>
      </c>
      <c r="H145" s="207" t="n"/>
      <c r="I145" s="84" t="n"/>
      <c r="J145" s="102" t="n"/>
      <c r="L145" s="769" t="n"/>
      <c r="P145" s="785" t="n"/>
    </row>
    <row r="146" ht="24" customHeight="1" s="754">
      <c r="A146" s="24" t="inlineStr">
        <is>
          <t>사후관리제품</t>
        </is>
      </c>
      <c r="C146" s="104" t="inlineStr">
        <is>
          <t>바디,셀룰</t>
        </is>
      </c>
      <c r="D146" s="394" t="inlineStr">
        <is>
          <t>P00000VZ</t>
        </is>
      </c>
      <c r="E146" s="15" t="inlineStr">
        <is>
          <t>P00000QM</t>
        </is>
      </c>
      <c r="F146" s="20" t="inlineStr">
        <is>
          <t>P00000YU</t>
        </is>
      </c>
      <c r="G146" s="26" t="inlineStr">
        <is>
          <t>바디스타터키트</t>
        </is>
      </c>
      <c r="H146" s="195" t="n"/>
      <c r="I146" s="20" t="n"/>
      <c r="J146" s="102" t="n"/>
      <c r="L146" s="769" t="n"/>
      <c r="P146" s="785" t="n"/>
    </row>
    <row r="147">
      <c r="A147" s="24" t="n"/>
      <c r="C147" s="104" t="inlineStr">
        <is>
          <t>핑키니</t>
        </is>
      </c>
      <c r="D147" s="394" t="inlineStr">
        <is>
          <t>P00000WB</t>
        </is>
      </c>
      <c r="E147" s="15" t="inlineStr">
        <is>
          <t>P00000QO</t>
        </is>
      </c>
      <c r="F147" s="20" t="n"/>
      <c r="G147" s="292" t="n"/>
      <c r="H147" s="195" t="n"/>
      <c r="I147" s="109" t="n"/>
      <c r="J147" s="124" t="n"/>
      <c r="L147" s="769" t="n"/>
      <c r="P147" s="785" t="n"/>
    </row>
    <row r="148">
      <c r="A148" s="24" t="n"/>
      <c r="B148" s="104" t="n"/>
      <c r="C148" s="104" t="inlineStr">
        <is>
          <t>로션250</t>
        </is>
      </c>
      <c r="D148" s="55" t="inlineStr">
        <is>
          <t>P00000WG</t>
        </is>
      </c>
      <c r="E148" s="15" t="inlineStr">
        <is>
          <t>P00000QS</t>
        </is>
      </c>
      <c r="F148" s="20" t="n"/>
      <c r="G148" s="147" t="n"/>
      <c r="H148" s="195" t="n"/>
      <c r="I148" s="20" t="n"/>
      <c r="J148" s="124" t="n"/>
      <c r="L148" s="769" t="n"/>
      <c r="P148" s="785" t="n"/>
    </row>
    <row r="149">
      <c r="A149" s="24" t="n"/>
      <c r="B149" s="638" t="inlineStr">
        <is>
          <t>도매</t>
        </is>
      </c>
      <c r="C149" s="552" t="n"/>
      <c r="D149" s="553" t="n"/>
      <c r="E149" s="553" t="n"/>
      <c r="F149" s="106" t="n"/>
      <c r="G149" s="107" t="n"/>
      <c r="H149" s="202" t="n"/>
      <c r="I149" s="107" t="n"/>
      <c r="J149" s="108" t="n"/>
      <c r="K149" s="832" t="inlineStr">
        <is>
          <t>도매</t>
        </is>
      </c>
      <c r="L149" s="764" t="inlineStr">
        <is>
          <t>인증살롱/마스터</t>
        </is>
      </c>
      <c r="M149" s="765" t="n"/>
      <c r="N149" s="766" t="inlineStr">
        <is>
          <t>할인</t>
        </is>
      </c>
      <c r="O149" s="766" t="inlineStr">
        <is>
          <t>세트할인</t>
        </is>
      </c>
      <c r="P149" s="766" t="inlineStr">
        <is>
          <t>할인+증정</t>
        </is>
      </c>
      <c r="Q149" s="766" t="inlineStr">
        <is>
          <t>세트할인</t>
        </is>
      </c>
      <c r="R149" s="767" t="inlineStr">
        <is>
          <t>품목별합계</t>
        </is>
      </c>
      <c r="S149" s="795" t="inlineStr">
        <is>
          <t>도매,마스터원가</t>
        </is>
      </c>
    </row>
    <row r="150">
      <c r="A150" s="79" t="inlineStr">
        <is>
          <t>인그로운50ml</t>
        </is>
      </c>
      <c r="B150" s="703" t="inlineStr">
        <is>
          <t>P000000Q</t>
        </is>
      </c>
      <c r="C150" s="233" t="n">
        <v>420</v>
      </c>
      <c r="D150" s="366" t="n"/>
      <c r="E150" s="339" t="n">
        <v>36</v>
      </c>
      <c r="F150" s="230" t="n"/>
      <c r="G150" s="231" t="n"/>
      <c r="H150" s="236" t="n"/>
      <c r="I150" s="242" t="n"/>
      <c r="J150" s="35">
        <f>SUM(C150:I150)</f>
        <v/>
      </c>
      <c r="K150" s="815" t="n">
        <v>4362000</v>
      </c>
      <c r="L150" s="769">
        <f>D150*9000</f>
        <v/>
      </c>
      <c r="M150" s="770">
        <f>E150*9000</f>
        <v/>
      </c>
      <c r="N150" s="771" t="n"/>
      <c r="O150" s="771" t="n"/>
      <c r="P150" s="771" t="n"/>
      <c r="Q150" s="796" t="n"/>
      <c r="R150" s="756">
        <f>SUM(K150:Q150)</f>
        <v/>
      </c>
      <c r="S150" s="756">
        <f>J150*5400</f>
        <v/>
      </c>
    </row>
    <row r="151">
      <c r="A151" s="79" t="inlineStr">
        <is>
          <t>인그로운125ml</t>
        </is>
      </c>
      <c r="B151" s="703" t="inlineStr">
        <is>
          <t>P00000BJ</t>
        </is>
      </c>
      <c r="C151" s="233" t="n">
        <v>223</v>
      </c>
      <c r="D151" s="235" t="n">
        <v>20</v>
      </c>
      <c r="E151" s="234" t="n">
        <v>24</v>
      </c>
      <c r="F151" s="230" t="n">
        <v>4</v>
      </c>
      <c r="G151" s="242" t="n"/>
      <c r="H151" s="236" t="n"/>
      <c r="I151" s="230" t="n"/>
      <c r="J151" s="35">
        <f>SUM(C151:I151)</f>
        <v/>
      </c>
      <c r="K151" s="815" t="n">
        <v>3270400</v>
      </c>
      <c r="L151" s="769">
        <f>D151*12900</f>
        <v/>
      </c>
      <c r="M151" s="770">
        <f>E151*12900</f>
        <v/>
      </c>
      <c r="N151" s="771" t="n"/>
      <c r="O151" s="771">
        <f>F151*11760</f>
        <v/>
      </c>
      <c r="P151" s="771" t="n"/>
      <c r="Q151" s="796" t="n"/>
      <c r="R151" s="756">
        <f>SUM(K151:Q151)</f>
        <v/>
      </c>
      <c r="S151" s="756">
        <f>J151*7140</f>
        <v/>
      </c>
    </row>
    <row r="152">
      <c r="A152" s="79" t="inlineStr">
        <is>
          <t>인그로운15ml</t>
        </is>
      </c>
      <c r="B152" s="373" t="n"/>
      <c r="C152" s="261" t="n"/>
      <c r="D152" s="340" t="n"/>
      <c r="E152" s="341" t="n"/>
      <c r="F152" s="230" t="n"/>
      <c r="G152" s="231" t="n"/>
      <c r="H152" s="236" t="n"/>
      <c r="I152" s="230" t="n"/>
      <c r="J152" s="35">
        <f>SUM(C152:I152)</f>
        <v/>
      </c>
      <c r="K152" s="789">
        <f>C152*4500</f>
        <v/>
      </c>
      <c r="L152" s="769">
        <f>D152*4500</f>
        <v/>
      </c>
      <c r="M152" s="770">
        <f>E152*4500</f>
        <v/>
      </c>
      <c r="N152" s="771">
        <f>F152*4200</f>
        <v/>
      </c>
      <c r="O152" s="771" t="n"/>
      <c r="P152" s="771" t="n"/>
      <c r="Q152" s="796" t="n"/>
      <c r="R152" s="756">
        <f>SUM(K152:Q152)</f>
        <v/>
      </c>
      <c r="S152" s="756">
        <f>J152*1984</f>
        <v/>
      </c>
    </row>
    <row r="153">
      <c r="A153" s="79" t="inlineStr">
        <is>
          <t>인그로운크림</t>
        </is>
      </c>
      <c r="B153" s="703" t="inlineStr">
        <is>
          <t>P00000BI</t>
        </is>
      </c>
      <c r="C153" s="233" t="n">
        <v>4</v>
      </c>
      <c r="D153" s="235" t="n"/>
      <c r="E153" s="234" t="n">
        <v>7</v>
      </c>
      <c r="F153" s="230" t="n"/>
      <c r="G153" s="231" t="n"/>
      <c r="H153" s="236" t="n"/>
      <c r="I153" s="230" t="n"/>
      <c r="J153" s="35">
        <f>SUM(C153:I153)</f>
        <v/>
      </c>
      <c r="K153" s="815">
        <f>C153*14700</f>
        <v/>
      </c>
      <c r="L153" s="769">
        <f>D153*11000</f>
        <v/>
      </c>
      <c r="M153" s="770">
        <f>E153*11000</f>
        <v/>
      </c>
      <c r="N153" s="771" t="n"/>
      <c r="O153" s="771" t="n"/>
      <c r="P153" s="771" t="n"/>
      <c r="Q153" s="796" t="n"/>
      <c r="R153" s="756">
        <f>SUM(K153:Q153)</f>
        <v/>
      </c>
      <c r="S153" s="756">
        <f>J153*4658</f>
        <v/>
      </c>
    </row>
    <row r="154">
      <c r="A154" s="79" t="inlineStr">
        <is>
          <t>바디엑스폴리언트</t>
        </is>
      </c>
      <c r="B154" s="703" t="inlineStr">
        <is>
          <t>P00000BL</t>
        </is>
      </c>
      <c r="C154" s="233" t="n">
        <v>63</v>
      </c>
      <c r="D154" s="235" t="n">
        <v>5</v>
      </c>
      <c r="E154" s="234" t="n">
        <v>60</v>
      </c>
      <c r="F154" s="230" t="n"/>
      <c r="G154" s="231" t="n"/>
      <c r="H154" s="236" t="n"/>
      <c r="I154" s="230" t="n"/>
      <c r="J154" s="35">
        <f>SUM(C154:I154)</f>
        <v/>
      </c>
      <c r="K154" s="815">
        <f>C154*26400</f>
        <v/>
      </c>
      <c r="L154" s="769">
        <f>D154*19200</f>
        <v/>
      </c>
      <c r="M154" s="770">
        <f>E154*18500</f>
        <v/>
      </c>
      <c r="N154" s="771" t="n"/>
      <c r="O154" s="771" t="n"/>
      <c r="P154" s="771" t="n"/>
      <c r="Q154" s="796" t="n"/>
      <c r="R154" s="756">
        <f>SUM(K154:Q154)</f>
        <v/>
      </c>
      <c r="S154" s="756">
        <f>J154*6653</f>
        <v/>
      </c>
    </row>
    <row r="155">
      <c r="A155" s="79" t="inlineStr">
        <is>
          <t>핑키니미백세럼ea</t>
        </is>
      </c>
      <c r="B155" s="703" t="inlineStr">
        <is>
          <t>P00000JL</t>
        </is>
      </c>
      <c r="C155" s="233" t="n">
        <v>21</v>
      </c>
      <c r="D155" s="235" t="n"/>
      <c r="E155" s="234" t="n">
        <v>18</v>
      </c>
      <c r="F155" s="230" t="n"/>
      <c r="G155" s="231" t="n"/>
      <c r="H155" s="236" t="n"/>
      <c r="I155" s="230" t="n"/>
      <c r="J155" s="35">
        <f>SUM(C155:I155)</f>
        <v/>
      </c>
      <c r="K155" s="815">
        <f>C155*23100</f>
        <v/>
      </c>
      <c r="L155" s="769">
        <f>D155*17000</f>
        <v/>
      </c>
      <c r="M155" s="770">
        <f>E155*15200</f>
        <v/>
      </c>
      <c r="N155" s="771" t="n"/>
      <c r="O155" s="771" t="n"/>
      <c r="P155" s="771" t="n"/>
      <c r="Q155" s="796" t="n"/>
      <c r="R155" s="756">
        <f>SUM(K155:Q155)</f>
        <v/>
      </c>
      <c r="S155" s="756">
        <f>J155*8415</f>
        <v/>
      </c>
    </row>
    <row r="156">
      <c r="A156" s="109" t="inlineStr">
        <is>
          <t>핑키니미백세럼box</t>
        </is>
      </c>
      <c r="B156" s="45" t="inlineStr">
        <is>
          <t>P00000PP</t>
        </is>
      </c>
      <c r="C156" s="215" t="n">
        <v>36</v>
      </c>
      <c r="D156" s="235" t="n"/>
      <c r="E156" s="234" t="n"/>
      <c r="F156" s="230" t="n"/>
      <c r="G156" s="231" t="n"/>
      <c r="H156" s="236" t="n"/>
      <c r="I156" s="230" t="n"/>
      <c r="J156" s="35">
        <f>SUM(C156:I156)</f>
        <v/>
      </c>
      <c r="K156" s="820" t="n">
        <v>722520</v>
      </c>
      <c r="L156" s="769">
        <f>D156*15200</f>
        <v/>
      </c>
      <c r="M156" s="770">
        <f>E156*15200</f>
        <v/>
      </c>
      <c r="N156" s="771">
        <f>F156*19640</f>
        <v/>
      </c>
      <c r="O156" s="771" t="n"/>
      <c r="P156" s="771" t="n"/>
      <c r="Q156" s="796" t="n"/>
      <c r="R156" s="756">
        <f>SUM(K156:Q156)</f>
        <v/>
      </c>
      <c r="S156" s="756">
        <f>J156*8415</f>
        <v/>
      </c>
    </row>
    <row r="157">
      <c r="A157" s="115" t="inlineStr">
        <is>
          <t>인그로운XIT포밍젤</t>
        </is>
      </c>
      <c r="B157" s="703" t="inlineStr">
        <is>
          <t>P00000BH</t>
        </is>
      </c>
      <c r="C157" s="237" t="n"/>
      <c r="D157" s="235" t="n"/>
      <c r="E157" s="234" t="n"/>
      <c r="F157" s="230" t="n"/>
      <c r="G157" s="231" t="n"/>
      <c r="H157" s="236" t="n"/>
      <c r="I157" s="230" t="n"/>
      <c r="J157" s="35">
        <f>SUM(C157:I157)</f>
        <v/>
      </c>
      <c r="K157" s="815">
        <f>C157*14700</f>
        <v/>
      </c>
      <c r="L157" s="769">
        <f>D157*11000</f>
        <v/>
      </c>
      <c r="M157" s="770">
        <f>E157*11000</f>
        <v/>
      </c>
      <c r="N157" s="771" t="n"/>
      <c r="O157" s="771" t="n"/>
      <c r="P157" s="771" t="n"/>
      <c r="Q157" s="796" t="n"/>
      <c r="R157" s="756">
        <f>SUM(K157:Q157)</f>
        <v/>
      </c>
      <c r="S157" s="756">
        <f>J157*5590</f>
        <v/>
      </c>
    </row>
    <row r="158">
      <c r="A158" s="115" t="inlineStr">
        <is>
          <t>티트리토탈워시</t>
        </is>
      </c>
      <c r="B158" s="703" t="inlineStr">
        <is>
          <t>P00000BM</t>
        </is>
      </c>
      <c r="C158" s="237" t="n"/>
      <c r="D158" s="235" t="n"/>
      <c r="E158" s="234" t="n"/>
      <c r="F158" s="230" t="n"/>
      <c r="G158" s="231" t="n"/>
      <c r="H158" s="236" t="n"/>
      <c r="I158" s="230" t="n"/>
      <c r="J158" s="35">
        <f>SUM(C158:I158)</f>
        <v/>
      </c>
      <c r="K158" s="815">
        <f>C158*17500</f>
        <v/>
      </c>
      <c r="L158" s="769">
        <f>D158*17500</f>
        <v/>
      </c>
      <c r="M158" s="770">
        <f>E158*17500</f>
        <v/>
      </c>
      <c r="N158" s="771" t="n"/>
      <c r="O158" s="771" t="n"/>
      <c r="P158" s="771" t="n"/>
      <c r="Q158" s="796" t="n"/>
      <c r="R158" s="756">
        <f>SUM(K158:Q158)</f>
        <v/>
      </c>
      <c r="S158" s="756">
        <f>J158*7123</f>
        <v/>
      </c>
    </row>
    <row r="159" customFormat="1" s="24">
      <c r="A159" s="468" t="inlineStr">
        <is>
          <t xml:space="preserve">밀크클렌징 </t>
        </is>
      </c>
      <c r="B159" s="88" t="inlineStr">
        <is>
          <t>P0000BGK</t>
        </is>
      </c>
      <c r="C159" s="560" t="inlineStr">
        <is>
          <t>리본펩타이드</t>
        </is>
      </c>
      <c r="D159" s="313" t="inlineStr">
        <is>
          <t>P0000BFS</t>
        </is>
      </c>
      <c r="E159" s="731" t="inlineStr">
        <is>
          <t>스파에이전</t>
        </is>
      </c>
      <c r="F159" s="357" t="n"/>
      <c r="G159" s="357" t="n"/>
      <c r="H159" s="358" t="n"/>
      <c r="I159" s="92" t="inlineStr">
        <is>
          <t>기타</t>
        </is>
      </c>
      <c r="J159" s="58" t="inlineStr">
        <is>
          <t>합계</t>
        </is>
      </c>
      <c r="K159" s="777">
        <f>SUM(K150:K158)</f>
        <v/>
      </c>
      <c r="L159" s="778">
        <f>SUM(L150:L158)</f>
        <v/>
      </c>
      <c r="M159" s="779">
        <f>SUM(M150:M158)</f>
        <v/>
      </c>
      <c r="N159" s="777">
        <f>SUM(N150:N158)</f>
        <v/>
      </c>
      <c r="O159" s="780">
        <f>SUM(O150:O158)</f>
        <v/>
      </c>
      <c r="P159" s="780">
        <f>SUM(P150:P158)</f>
        <v/>
      </c>
      <c r="Q159" s="780">
        <f>SUM(Q150:Q158)</f>
        <v/>
      </c>
      <c r="R159" s="781">
        <f>SUM(R150:R158)</f>
        <v/>
      </c>
      <c r="S159" s="782">
        <f>SUM(S150:S158)</f>
        <v/>
      </c>
    </row>
    <row r="160">
      <c r="A160" s="469" t="inlineStr">
        <is>
          <t>알로에800</t>
        </is>
      </c>
      <c r="B160" s="55" t="inlineStr">
        <is>
          <t>P00000NE</t>
        </is>
      </c>
      <c r="C160" s="388" t="inlineStr">
        <is>
          <t>안티바이오</t>
        </is>
      </c>
      <c r="D160" s="88" t="inlineStr">
        <is>
          <t>P00000ZI</t>
        </is>
      </c>
      <c r="E160" s="391" t="inlineStr">
        <is>
          <t>P0000BLW</t>
        </is>
      </c>
      <c r="F160" s="20" t="inlineStr">
        <is>
          <t>P00000YS</t>
        </is>
      </c>
      <c r="G160" s="392" t="inlineStr">
        <is>
          <t>스타터키트</t>
        </is>
      </c>
      <c r="H160" s="20" t="n"/>
      <c r="I160" s="558" t="n"/>
      <c r="J160" s="353" t="n"/>
      <c r="K160" s="391" t="n"/>
      <c r="P160" s="785" t="n"/>
    </row>
    <row r="161">
      <c r="A161" s="469" t="inlineStr">
        <is>
          <t>알로에200</t>
        </is>
      </c>
      <c r="B161" s="88" t="inlineStr">
        <is>
          <t>P0000BFP</t>
        </is>
      </c>
      <c r="C161" s="560" t="inlineStr">
        <is>
          <t>안티로션</t>
        </is>
      </c>
      <c r="D161" s="88" t="inlineStr">
        <is>
          <t>P0000BFA</t>
        </is>
      </c>
      <c r="E161" s="391" t="inlineStr">
        <is>
          <t>P0000BFG</t>
        </is>
      </c>
      <c r="F161" s="20" t="n"/>
      <c r="G161" s="392" t="n"/>
      <c r="H161" s="20" t="n"/>
      <c r="I161" s="543" t="n"/>
      <c r="J161" s="395" t="n"/>
      <c r="K161" s="391" t="n"/>
      <c r="P161" s="785" t="n"/>
    </row>
    <row r="162">
      <c r="A162" s="468" t="inlineStr">
        <is>
          <t>밀크클렌징 800</t>
        </is>
      </c>
      <c r="B162" s="88" t="inlineStr">
        <is>
          <t>P00000NA</t>
        </is>
      </c>
      <c r="C162" s="468" t="inlineStr">
        <is>
          <t>BTS오일</t>
        </is>
      </c>
      <c r="D162" s="55" t="inlineStr">
        <is>
          <t>P00000XS</t>
        </is>
      </c>
      <c r="E162" s="391" t="inlineStr">
        <is>
          <t>P0000BIY</t>
        </is>
      </c>
      <c r="F162" s="20" t="n"/>
      <c r="G162" s="392" t="n"/>
      <c r="H162" s="20" t="n"/>
      <c r="I162" s="558" t="n"/>
      <c r="J162" s="107" t="n"/>
      <c r="K162" s="391" t="n"/>
      <c r="L162" s="142" t="n"/>
      <c r="P162" s="785" t="n"/>
    </row>
    <row r="163">
      <c r="A163" s="469" t="inlineStr">
        <is>
          <t>네출럴포밍</t>
        </is>
      </c>
      <c r="B163" s="88" t="inlineStr">
        <is>
          <t>P00000YV</t>
        </is>
      </c>
      <c r="C163" s="560" t="inlineStr">
        <is>
          <t>헤어프리</t>
        </is>
      </c>
      <c r="D163" s="88" t="inlineStr">
        <is>
          <t>P0000BFJ</t>
        </is>
      </c>
      <c r="E163" s="391" t="inlineStr">
        <is>
          <t>P0000BIT</t>
        </is>
      </c>
      <c r="F163" s="20" t="n"/>
      <c r="G163" s="533" t="n"/>
      <c r="H163" s="20" t="n"/>
      <c r="I163" s="157" t="n"/>
      <c r="J163" s="473" t="n"/>
      <c r="K163" s="391" t="n"/>
      <c r="L163" s="313" t="n"/>
      <c r="P163" s="785" t="n"/>
    </row>
    <row r="164">
      <c r="A164" s="469" t="inlineStr">
        <is>
          <t>큐어셀토너</t>
        </is>
      </c>
      <c r="B164" s="88" t="inlineStr">
        <is>
          <t>P0000BFM</t>
        </is>
      </c>
      <c r="C164" s="560" t="inlineStr">
        <is>
          <t>리본미스트</t>
        </is>
      </c>
      <c r="D164" s="88" t="inlineStr">
        <is>
          <t>P00000ND</t>
        </is>
      </c>
      <c r="E164" s="391" t="inlineStr">
        <is>
          <t>P0000BJB</t>
        </is>
      </c>
      <c r="F164" s="20" t="n"/>
      <c r="G164" s="542" t="n"/>
      <c r="H164" s="20" t="n"/>
      <c r="I164" s="20" t="n"/>
      <c r="J164" s="112" t="n"/>
      <c r="K164" s="470" t="n"/>
      <c r="L164" s="313" t="n"/>
      <c r="P164" s="785" t="n"/>
    </row>
    <row r="165" ht="24" customHeight="1" s="754">
      <c r="A165" s="469" t="inlineStr">
        <is>
          <t>큐어셀스무디</t>
        </is>
      </c>
      <c r="B165" s="88" t="inlineStr">
        <is>
          <t>P0000BGE</t>
        </is>
      </c>
      <c r="C165" s="88" t="inlineStr">
        <is>
          <t>시카팩</t>
        </is>
      </c>
      <c r="D165" s="88" t="inlineStr">
        <is>
          <t>P00000XY</t>
        </is>
      </c>
      <c r="E165" s="391" t="inlineStr">
        <is>
          <t>P0000BLH</t>
        </is>
      </c>
      <c r="F165" s="20" t="n"/>
      <c r="G165" s="565" t="n"/>
      <c r="H165" s="20" t="n"/>
      <c r="I165" s="45" t="inlineStr">
        <is>
          <t>P00000YZ</t>
        </is>
      </c>
      <c r="J165" s="473" t="inlineStr">
        <is>
          <t>컵세트할인</t>
        </is>
      </c>
      <c r="K165" s="470" t="n"/>
      <c r="L165" s="142" t="n"/>
      <c r="P165" s="785" t="n"/>
    </row>
    <row r="166" ht="24" customHeight="1" s="754">
      <c r="A166" s="469" t="inlineStr">
        <is>
          <t>큐어셀크림</t>
        </is>
      </c>
      <c r="B166" s="88" t="inlineStr">
        <is>
          <t>P0000BGX</t>
        </is>
      </c>
      <c r="C166" s="88" t="inlineStr">
        <is>
          <t>아나프리오일</t>
        </is>
      </c>
      <c r="D166" s="88" t="inlineStr">
        <is>
          <t>P0000BFY</t>
        </is>
      </c>
      <c r="E166" s="391" t="inlineStr">
        <is>
          <t>P0000BLJ</t>
        </is>
      </c>
      <c r="F166" s="20" t="inlineStr">
        <is>
          <t>P0000BMP</t>
        </is>
      </c>
      <c r="G166" s="576" t="inlineStr">
        <is>
          <t>호호바2종+큐어셀세럼증정</t>
        </is>
      </c>
      <c r="H166" s="575" t="n"/>
      <c r="I166" s="577" t="n"/>
      <c r="J166" s="45" t="n"/>
      <c r="K166" s="471" t="n"/>
      <c r="P166" s="785" t="n"/>
    </row>
    <row r="167" ht="24" customHeight="1" s="754">
      <c r="A167" s="469" t="inlineStr">
        <is>
          <t>큐어셀세럼</t>
        </is>
      </c>
      <c r="B167" s="88" t="inlineStr">
        <is>
          <t>P00000NI</t>
        </is>
      </c>
      <c r="C167" s="562" t="inlineStr">
        <is>
          <t>버진오일</t>
        </is>
      </c>
      <c r="D167" s="88" t="inlineStr">
        <is>
          <t>P0000BGB</t>
        </is>
      </c>
      <c r="E167" s="391" t="inlineStr">
        <is>
          <t>P0000BLF</t>
        </is>
      </c>
      <c r="F167" s="20" t="inlineStr">
        <is>
          <t>P0000BJW</t>
        </is>
      </c>
      <c r="G167" s="578" t="inlineStr">
        <is>
          <t>2종워터+로즈증정</t>
        </is>
      </c>
      <c r="H167" s="20" t="n"/>
      <c r="I167" s="308" t="n"/>
      <c r="J167" s="124" t="inlineStr">
        <is>
          <t>행사</t>
        </is>
      </c>
      <c r="K167" s="630" t="n"/>
      <c r="P167" s="785" t="n"/>
    </row>
    <row r="168">
      <c r="A168" s="469" t="inlineStr">
        <is>
          <t>히알세럼</t>
        </is>
      </c>
      <c r="B168" s="88" t="inlineStr">
        <is>
          <t>P00000NF</t>
        </is>
      </c>
      <c r="C168" s="563" t="inlineStr">
        <is>
          <t>썬,톤업</t>
        </is>
      </c>
      <c r="D168" s="88" t="inlineStr">
        <is>
          <t>P0000BIL</t>
        </is>
      </c>
      <c r="E168" s="391" t="inlineStr">
        <is>
          <t>P0000BLS</t>
        </is>
      </c>
      <c r="F168" s="20" t="inlineStr">
        <is>
          <t>P0000BEY</t>
        </is>
      </c>
      <c r="G168" s="471" t="inlineStr">
        <is>
          <t>인50증정</t>
        </is>
      </c>
      <c r="H168" s="90" t="inlineStr">
        <is>
          <t>P00000VA</t>
        </is>
      </c>
      <c r="I168" s="467" t="inlineStr">
        <is>
          <t>화이트팩+스크럽10</t>
        </is>
      </c>
      <c r="J168" s="124" t="n"/>
      <c r="K168" s="630" t="n"/>
      <c r="P168" s="785" t="n"/>
    </row>
    <row r="169">
      <c r="A169" s="469" t="inlineStr">
        <is>
          <t>리본수딩젤</t>
        </is>
      </c>
      <c r="B169" s="88" t="inlineStr">
        <is>
          <t>P0000BHK</t>
        </is>
      </c>
      <c r="C169" s="88" t="inlineStr">
        <is>
          <t>고마지</t>
        </is>
      </c>
      <c r="D169" s="88" t="inlineStr">
        <is>
          <t>P00000NJ</t>
        </is>
      </c>
      <c r="E169" s="391" t="inlineStr">
        <is>
          <t>P0000BLV</t>
        </is>
      </c>
      <c r="F169" s="90" t="n"/>
      <c r="G169" s="557" t="n"/>
      <c r="H169" s="630" t="n"/>
      <c r="I169" s="308" t="n"/>
      <c r="J169" s="124" t="n"/>
      <c r="K169" s="472" t="n"/>
      <c r="P169" s="785" t="n"/>
    </row>
    <row r="170">
      <c r="A170" s="468" t="inlineStr">
        <is>
          <t>안자라로션</t>
        </is>
      </c>
      <c r="B170" s="88" t="inlineStr">
        <is>
          <t>P0000BHD</t>
        </is>
      </c>
      <c r="C170" s="561" t="n"/>
      <c r="D170" s="88" t="n"/>
      <c r="E170" s="391" t="n"/>
      <c r="F170" s="20" t="n"/>
      <c r="G170" s="393" t="n"/>
      <c r="H170" s="193" t="n"/>
      <c r="I170" s="535" t="inlineStr">
        <is>
          <t>증정행사</t>
        </is>
      </c>
      <c r="J170" s="52" t="inlineStr">
        <is>
          <t>행사</t>
        </is>
      </c>
      <c r="K170" s="474" t="inlineStr">
        <is>
          <t>도매</t>
        </is>
      </c>
      <c r="L170" s="764" t="inlineStr">
        <is>
          <t>인증살롱/마스터</t>
        </is>
      </c>
      <c r="M170" s="765" t="n"/>
      <c r="N170" s="766" t="inlineStr">
        <is>
          <t>할인</t>
        </is>
      </c>
      <c r="O170" s="833" t="inlineStr">
        <is>
          <t>세트할인(스타터)</t>
        </is>
      </c>
      <c r="P170" s="766" t="inlineStr">
        <is>
          <t>할인+증정</t>
        </is>
      </c>
      <c r="Q170" s="833" t="inlineStr">
        <is>
          <t>컵세트묶음할인. 증정</t>
        </is>
      </c>
      <c r="R170" s="767" t="inlineStr">
        <is>
          <t>품목별합계</t>
        </is>
      </c>
      <c r="S170" s="795" t="inlineStr">
        <is>
          <t>도매,마스터원가</t>
        </is>
      </c>
    </row>
    <row r="171">
      <c r="A171" s="24" t="inlineStr">
        <is>
          <t>제모미인제품</t>
        </is>
      </c>
      <c r="B171" s="357" t="n"/>
      <c r="C171" s="233" t="n"/>
      <c r="D171" s="235" t="n"/>
      <c r="E171" s="241" t="n"/>
      <c r="F171" s="342" t="n"/>
      <c r="G171" s="241" t="n"/>
      <c r="H171" s="343" t="n"/>
      <c r="I171" s="232" t="n"/>
      <c r="J171" s="35" t="n"/>
      <c r="K171" s="828" t="n"/>
      <c r="L171" s="834" t="n"/>
      <c r="M171" s="770" t="n"/>
      <c r="N171" s="796" t="n"/>
      <c r="O171" s="796" t="n"/>
      <c r="P171" s="796" t="n"/>
      <c r="Q171" s="772" t="n"/>
      <c r="R171" s="758" t="n"/>
    </row>
    <row r="172">
      <c r="A172" s="79" t="inlineStr">
        <is>
          <t>밀크클렌징200</t>
        </is>
      </c>
      <c r="B172" s="703" t="inlineStr">
        <is>
          <t>P0000BGJ</t>
        </is>
      </c>
      <c r="C172" s="233" t="n"/>
      <c r="D172" s="235" t="n">
        <v>6</v>
      </c>
      <c r="E172" s="234" t="n"/>
      <c r="F172" s="342" t="n"/>
      <c r="G172" s="241" t="n"/>
      <c r="H172" s="343" t="n"/>
      <c r="I172" s="232" t="n"/>
      <c r="J172" s="35">
        <f>SUM(C172:I172)</f>
        <v/>
      </c>
      <c r="K172" s="835">
        <f>C172*12800</f>
        <v/>
      </c>
      <c r="L172" s="834">
        <f>D172*9600</f>
        <v/>
      </c>
      <c r="M172" s="770">
        <f>E172*9600</f>
        <v/>
      </c>
      <c r="N172" s="796" t="n"/>
      <c r="O172" s="796" t="n"/>
      <c r="P172" s="796" t="n"/>
      <c r="Q172" s="772" t="n"/>
      <c r="R172" s="758">
        <f>SUM(K172:Q172)</f>
        <v/>
      </c>
      <c r="S172" s="756">
        <f>J172*3857</f>
        <v/>
      </c>
    </row>
    <row r="173">
      <c r="A173" s="79" t="inlineStr">
        <is>
          <t>밀크클렌징800</t>
        </is>
      </c>
      <c r="B173" s="703" t="inlineStr">
        <is>
          <t>P00000JP</t>
        </is>
      </c>
      <c r="C173" s="233" t="n">
        <v>2</v>
      </c>
      <c r="D173" s="235" t="n">
        <v>1</v>
      </c>
      <c r="E173" s="234" t="n"/>
      <c r="F173" s="342" t="n"/>
      <c r="G173" s="241" t="n"/>
      <c r="H173" s="343" t="n"/>
      <c r="I173" s="232" t="n"/>
      <c r="J173" s="35">
        <f>SUM(C173:I173)</f>
        <v/>
      </c>
      <c r="K173" s="835">
        <f>C173*36000</f>
        <v/>
      </c>
      <c r="L173" s="834">
        <f>D173*33000</f>
        <v/>
      </c>
      <c r="M173" s="770">
        <f>E173*33000</f>
        <v/>
      </c>
      <c r="N173" s="796" t="n"/>
      <c r="O173" s="796" t="n"/>
      <c r="P173" s="796" t="n"/>
      <c r="Q173" s="772" t="n"/>
      <c r="R173" s="758">
        <f>SUM(K173:Q173)</f>
        <v/>
      </c>
      <c r="S173" s="756">
        <f>J173*8619</f>
        <v/>
      </c>
    </row>
    <row r="174">
      <c r="A174" s="115" t="inlineStr">
        <is>
          <t>알로에800</t>
        </is>
      </c>
      <c r="B174" s="703" t="inlineStr">
        <is>
          <t>P00000LP</t>
        </is>
      </c>
      <c r="C174" s="233" t="n">
        <v>126</v>
      </c>
      <c r="D174" s="235" t="n">
        <v>18</v>
      </c>
      <c r="E174" s="234" t="n"/>
      <c r="F174" s="215" t="n"/>
      <c r="G174" s="230" t="n"/>
      <c r="H174" s="230" t="n"/>
      <c r="I174" s="230" t="n"/>
      <c r="J174" s="35">
        <f>SUM(C174:I174)</f>
        <v/>
      </c>
      <c r="K174" s="815">
        <f>C174*28800</f>
        <v/>
      </c>
      <c r="L174" s="790">
        <f>D174*26400</f>
        <v/>
      </c>
      <c r="M174" s="770">
        <f>E174*26400</f>
        <v/>
      </c>
      <c r="N174" s="771" t="n"/>
      <c r="O174" s="771" t="n"/>
      <c r="P174" s="771">
        <f>F174*28800</f>
        <v/>
      </c>
      <c r="Q174" s="772" t="n"/>
      <c r="R174" s="758">
        <f>SUM(K174:Q174)</f>
        <v/>
      </c>
      <c r="S174" s="756">
        <f>J174*6704</f>
        <v/>
      </c>
    </row>
    <row r="175">
      <c r="A175" s="115" t="inlineStr">
        <is>
          <t>알로에200</t>
        </is>
      </c>
      <c r="B175" s="703" t="inlineStr">
        <is>
          <t>P0000BFO</t>
        </is>
      </c>
      <c r="C175" s="233" t="n">
        <v>109</v>
      </c>
      <c r="D175" s="235" t="n">
        <v>33</v>
      </c>
      <c r="E175" s="234" t="n"/>
      <c r="F175" s="238" t="n"/>
      <c r="G175" s="242" t="n"/>
      <c r="H175" s="230" t="n"/>
      <c r="I175" s="242" t="n"/>
      <c r="J175" s="35">
        <f>SUM(C175:I175)</f>
        <v/>
      </c>
      <c r="K175" s="815">
        <f>C175*16000</f>
        <v/>
      </c>
      <c r="L175" s="790">
        <f>D175*11200</f>
        <v/>
      </c>
      <c r="M175" s="770">
        <f>E175*11200</f>
        <v/>
      </c>
      <c r="N175" s="771" t="n"/>
      <c r="O175" s="796" t="n"/>
      <c r="P175" s="771" t="n"/>
      <c r="Q175" s="772" t="n"/>
      <c r="R175" s="758">
        <f>SUM(K175:Q175)</f>
        <v/>
      </c>
      <c r="S175" s="756">
        <f>J175*3489</f>
        <v/>
      </c>
    </row>
    <row r="176">
      <c r="A176" s="227" t="inlineStr">
        <is>
          <t>자디니네츄럴포밍</t>
        </is>
      </c>
      <c r="B176" s="704" t="inlineStr">
        <is>
          <t>P00000PT</t>
        </is>
      </c>
      <c r="C176" s="233" t="n">
        <v>13</v>
      </c>
      <c r="D176" s="235" t="n">
        <v>16</v>
      </c>
      <c r="E176" s="234" t="n"/>
      <c r="F176" s="215" t="n"/>
      <c r="G176" s="231" t="n"/>
      <c r="H176" s="236" t="n"/>
      <c r="I176" s="230" t="n"/>
      <c r="J176" s="35">
        <f>SUM(C176:I176)</f>
        <v/>
      </c>
      <c r="K176" s="815">
        <f>C176*16800</f>
        <v/>
      </c>
      <c r="L176" s="790">
        <f>D176*12800</f>
        <v/>
      </c>
      <c r="M176" s="770">
        <f>E176*12800</f>
        <v/>
      </c>
      <c r="N176" s="771" t="n"/>
      <c r="O176" s="771" t="n"/>
      <c r="P176" s="771" t="n"/>
      <c r="Q176" s="772" t="n"/>
      <c r="R176" s="758">
        <f>SUM(K176:Q176)</f>
        <v/>
      </c>
      <c r="S176" s="756">
        <f>J176*3075</f>
        <v/>
      </c>
    </row>
    <row r="177">
      <c r="A177" s="227" t="inlineStr">
        <is>
          <t>큐어셀토너800</t>
        </is>
      </c>
      <c r="B177" s="704" t="inlineStr">
        <is>
          <t>P0000BFL</t>
        </is>
      </c>
      <c r="C177" s="233" t="n">
        <v>22</v>
      </c>
      <c r="D177" s="235" t="n">
        <v>5</v>
      </c>
      <c r="E177" s="234" t="n"/>
      <c r="F177" s="215" t="n"/>
      <c r="G177" s="231" t="n"/>
      <c r="H177" s="236" t="n"/>
      <c r="I177" s="242" t="n"/>
      <c r="J177" s="35">
        <f>SUM(C177:I177)</f>
        <v/>
      </c>
      <c r="K177" s="815">
        <f>C177*36800</f>
        <v/>
      </c>
      <c r="L177" s="790">
        <f>D177*27200</f>
        <v/>
      </c>
      <c r="M177" s="770">
        <f>E177*27200</f>
        <v/>
      </c>
      <c r="N177" s="771" t="n"/>
      <c r="O177" s="771" t="n"/>
      <c r="P177" s="771" t="n"/>
      <c r="Q177" s="772" t="n"/>
      <c r="R177" s="758">
        <f>SUM(K177:Q177)</f>
        <v/>
      </c>
      <c r="S177" s="756">
        <f>J177*6040</f>
        <v/>
      </c>
    </row>
    <row r="178">
      <c r="A178" s="227" t="inlineStr">
        <is>
          <t>큐어셀토너200</t>
        </is>
      </c>
      <c r="B178" s="775" t="n"/>
      <c r="C178" s="233" t="n">
        <v>3</v>
      </c>
      <c r="D178" s="235" t="n">
        <v>1</v>
      </c>
      <c r="E178" s="234" t="n"/>
      <c r="F178" s="215" t="n"/>
      <c r="G178" s="231" t="n"/>
      <c r="H178" s="236" t="n"/>
      <c r="I178" s="242" t="n"/>
      <c r="J178" s="35">
        <f>SUM(C178:I178)</f>
        <v/>
      </c>
      <c r="K178" s="815">
        <f>C178*16000</f>
        <v/>
      </c>
      <c r="L178" s="790">
        <f>D178*12800</f>
        <v/>
      </c>
      <c r="M178" s="770">
        <f>E178*12800</f>
        <v/>
      </c>
      <c r="N178" s="771" t="n"/>
      <c r="O178" s="771" t="n"/>
      <c r="P178" s="771" t="n"/>
      <c r="Q178" s="772" t="n"/>
      <c r="R178" s="758">
        <f>SUM(K178:Q178)</f>
        <v/>
      </c>
      <c r="S178" s="756">
        <f>J178*4212</f>
        <v/>
      </c>
    </row>
    <row r="179">
      <c r="A179" s="227" t="inlineStr">
        <is>
          <t>큐어셀스무디</t>
        </is>
      </c>
      <c r="B179" s="704" t="inlineStr">
        <is>
          <t>P0000BGD</t>
        </is>
      </c>
      <c r="C179" s="233" t="n"/>
      <c r="D179" s="235" t="n">
        <v>3</v>
      </c>
      <c r="E179" s="234" t="n"/>
      <c r="F179" s="215" t="n"/>
      <c r="G179" s="231" t="n"/>
      <c r="H179" s="236" t="n"/>
      <c r="I179" s="230" t="n"/>
      <c r="J179" s="35">
        <f>SUM(C179:I179)</f>
        <v/>
      </c>
      <c r="K179" s="815">
        <f>C179*28000</f>
        <v/>
      </c>
      <c r="L179" s="790">
        <f>D179*19600</f>
        <v/>
      </c>
      <c r="M179" s="770">
        <f>E179*19600</f>
        <v/>
      </c>
      <c r="N179" s="771" t="n"/>
      <c r="O179" s="771" t="n"/>
      <c r="P179" s="771" t="n"/>
      <c r="Q179" s="772" t="n"/>
      <c r="R179" s="758">
        <f>SUM(K179:Q179)</f>
        <v/>
      </c>
      <c r="S179" s="756">
        <f>J179*6097</f>
        <v/>
      </c>
    </row>
    <row r="180">
      <c r="A180" s="227" t="inlineStr">
        <is>
          <t>큐어셀크림100</t>
        </is>
      </c>
      <c r="B180" s="704" t="inlineStr">
        <is>
          <t>P0000BGW</t>
        </is>
      </c>
      <c r="C180" s="233" t="n">
        <v>3</v>
      </c>
      <c r="D180" s="235" t="n">
        <v>7</v>
      </c>
      <c r="E180" s="234" t="n"/>
      <c r="F180" s="215" t="n"/>
      <c r="G180" s="231" t="n"/>
      <c r="H180" s="236" t="n"/>
      <c r="I180" s="230" t="n"/>
      <c r="J180" s="35">
        <f>SUM(C180:I180)</f>
        <v/>
      </c>
      <c r="K180" s="815">
        <f>C180*31000</f>
        <v/>
      </c>
      <c r="L180" s="790">
        <f>D180*19800</f>
        <v/>
      </c>
      <c r="M180" s="770">
        <f>E180*19800</f>
        <v/>
      </c>
      <c r="N180" s="771" t="n"/>
      <c r="O180" s="771" t="n"/>
      <c r="P180" s="771" t="n"/>
      <c r="Q180" s="772" t="n"/>
      <c r="R180" s="758">
        <f>SUM(K180:Q180)</f>
        <v/>
      </c>
      <c r="S180" s="756">
        <f>J180*6612</f>
        <v/>
      </c>
    </row>
    <row r="181" customFormat="1" s="567">
      <c r="A181" s="346" t="inlineStr">
        <is>
          <t>큐어셀세럼(PR세럼)</t>
        </is>
      </c>
      <c r="B181" s="704" t="inlineStr">
        <is>
          <t>P00000MG</t>
        </is>
      </c>
      <c r="C181" s="233" t="n">
        <v>7</v>
      </c>
      <c r="D181" s="235" t="n">
        <v>7</v>
      </c>
      <c r="E181" s="330" t="n"/>
      <c r="F181" s="242" t="n"/>
      <c r="G181" s="330" t="n"/>
      <c r="H181" s="242" t="n"/>
      <c r="I181" s="242" t="n"/>
      <c r="J181" s="218">
        <f>SUM(C181:I181)</f>
        <v/>
      </c>
      <c r="K181" s="836">
        <f>C181*27200</f>
        <v/>
      </c>
      <c r="L181" s="790">
        <f>D181*20000</f>
        <v/>
      </c>
      <c r="M181" s="770">
        <f>E181*20000</f>
        <v/>
      </c>
      <c r="N181" s="771" t="n"/>
      <c r="O181" s="771" t="n"/>
      <c r="P181" s="771" t="n"/>
      <c r="Q181" s="772" t="n"/>
      <c r="R181" s="837">
        <f>SUM(K181:Q181)</f>
        <v/>
      </c>
      <c r="S181" s="838">
        <f>J181*4582</f>
        <v/>
      </c>
    </row>
    <row r="182">
      <c r="A182" s="115" t="inlineStr">
        <is>
          <t>히아루로닉50</t>
        </is>
      </c>
      <c r="B182" s="547" t="inlineStr">
        <is>
          <t>P00000TJ</t>
        </is>
      </c>
      <c r="C182" s="233" t="n">
        <v>12</v>
      </c>
      <c r="D182" s="235" t="n">
        <v>6</v>
      </c>
      <c r="E182" s="259" t="n"/>
      <c r="F182" s="230" t="n"/>
      <c r="G182" s="231" t="n"/>
      <c r="H182" s="230" t="n"/>
      <c r="I182" s="230" t="n"/>
      <c r="J182" s="35">
        <f>SUM(C182:I182)</f>
        <v/>
      </c>
      <c r="K182" s="815">
        <f>C182*16000</f>
        <v/>
      </c>
      <c r="L182" s="790">
        <f>D182*12000</f>
        <v/>
      </c>
      <c r="M182" s="770">
        <f>E182*19200</f>
        <v/>
      </c>
      <c r="N182" s="771" t="n"/>
      <c r="O182" s="771" t="n"/>
      <c r="P182" s="771" t="n"/>
      <c r="Q182" s="772" t="n"/>
      <c r="R182" s="758">
        <f>SUM(K182:Q182)</f>
        <v/>
      </c>
      <c r="S182" s="756">
        <f>J182*3501</f>
        <v/>
      </c>
    </row>
    <row r="183">
      <c r="A183" s="115" t="inlineStr">
        <is>
          <t>리본수딩젤(구천년초)</t>
        </is>
      </c>
      <c r="B183" s="547" t="inlineStr">
        <is>
          <t>P0000BHJ</t>
        </is>
      </c>
      <c r="C183" s="233" t="n">
        <v>5</v>
      </c>
      <c r="D183" s="255" t="n">
        <v>2</v>
      </c>
      <c r="E183" s="232" t="n"/>
      <c r="F183" s="230" t="n"/>
      <c r="G183" s="231" t="n"/>
      <c r="H183" s="230" t="n"/>
      <c r="I183" s="230" t="n"/>
      <c r="J183" s="35">
        <f>SUM(C183:I183)</f>
        <v/>
      </c>
      <c r="K183" s="815">
        <f>C183*19000</f>
        <v/>
      </c>
      <c r="L183" s="790">
        <f>D183*13000</f>
        <v/>
      </c>
      <c r="M183" s="770">
        <f>E183*13000</f>
        <v/>
      </c>
      <c r="N183" s="771" t="n"/>
      <c r="O183" s="771" t="n"/>
      <c r="P183" s="771" t="n"/>
      <c r="Q183" s="772" t="n"/>
      <c r="R183" s="758">
        <f>SUM(K183:Q183)</f>
        <v/>
      </c>
      <c r="S183" s="756">
        <f>J183*3677</f>
        <v/>
      </c>
    </row>
    <row r="184">
      <c r="A184" s="346" t="inlineStr">
        <is>
          <t>안자라로션</t>
        </is>
      </c>
      <c r="B184" s="704" t="inlineStr">
        <is>
          <t>P0000BHC</t>
        </is>
      </c>
      <c r="C184" s="239" t="n">
        <v>28</v>
      </c>
      <c r="D184" s="235" t="n">
        <v>9</v>
      </c>
      <c r="E184" s="234" t="n"/>
      <c r="F184" s="230" t="n"/>
      <c r="G184" s="322" t="n"/>
      <c r="H184" s="230" t="n"/>
      <c r="I184" s="242" t="n"/>
      <c r="J184" s="35">
        <f>SUM(C184:I184)</f>
        <v/>
      </c>
      <c r="K184" s="815">
        <f>C184*16000</f>
        <v/>
      </c>
      <c r="L184" s="790">
        <f>D184*12000</f>
        <v/>
      </c>
      <c r="M184" s="770">
        <f>E184*12000</f>
        <v/>
      </c>
      <c r="N184" s="771" t="n"/>
      <c r="O184" s="771" t="n"/>
      <c r="P184" s="771" t="n"/>
      <c r="Q184" s="772" t="n"/>
      <c r="R184" s="758">
        <f>SUM(K184:Q184)</f>
        <v/>
      </c>
      <c r="S184" s="756">
        <f>J184*4716</f>
        <v/>
      </c>
    </row>
    <row r="185" customFormat="1" s="307">
      <c r="A185" s="306" t="inlineStr">
        <is>
          <t>리본펩타이드세럼50</t>
        </is>
      </c>
      <c r="B185" s="703" t="inlineStr">
        <is>
          <t>P0000BFR</t>
        </is>
      </c>
      <c r="C185" s="344" t="n">
        <v>11</v>
      </c>
      <c r="D185" s="235" t="n">
        <v>1</v>
      </c>
      <c r="E185" s="234" t="n"/>
      <c r="F185" s="230" t="n"/>
      <c r="G185" s="322" t="n"/>
      <c r="H185" s="230" t="n"/>
      <c r="I185" s="257" t="n"/>
      <c r="J185" s="35">
        <f>SUM(C185:I185)</f>
        <v/>
      </c>
      <c r="K185" s="815">
        <f>C185*26880</f>
        <v/>
      </c>
      <c r="L185" s="790">
        <f>D185*26400</f>
        <v/>
      </c>
      <c r="M185" s="770">
        <f>E185*26400</f>
        <v/>
      </c>
      <c r="N185" s="771" t="n"/>
      <c r="O185" s="771" t="n"/>
      <c r="P185" s="771">
        <f>H185*26880</f>
        <v/>
      </c>
      <c r="Q185" s="772" t="n"/>
      <c r="R185" s="758">
        <f>SUM(K185:Q185)</f>
        <v/>
      </c>
      <c r="S185" s="756">
        <f>J185*8712</f>
        <v/>
      </c>
    </row>
    <row r="186">
      <c r="A186" s="115" t="inlineStr">
        <is>
          <t>안티바이오자디니</t>
        </is>
      </c>
      <c r="B186" s="703" t="inlineStr">
        <is>
          <t>P00000JX</t>
        </is>
      </c>
      <c r="C186" s="239" t="n">
        <v>4</v>
      </c>
      <c r="D186" s="235" t="n">
        <v>3</v>
      </c>
      <c r="E186" s="232" t="n"/>
      <c r="F186" s="230" t="n"/>
      <c r="G186" s="322" t="n"/>
      <c r="H186" s="230" t="n"/>
      <c r="I186" s="242" t="n"/>
      <c r="J186" s="35">
        <f>SUM(C186:I186)</f>
        <v/>
      </c>
      <c r="K186" s="815">
        <f>C186*30400</f>
        <v/>
      </c>
      <c r="L186" s="790">
        <f>D186*25600</f>
        <v/>
      </c>
      <c r="M186" s="770">
        <f>E186*25600</f>
        <v/>
      </c>
      <c r="N186" s="771" t="n"/>
      <c r="O186" s="771" t="n"/>
      <c r="P186" s="771" t="n"/>
      <c r="Q186" s="772" t="n"/>
      <c r="R186" s="758">
        <f>SUM(K186:Q186)</f>
        <v/>
      </c>
      <c r="S186" s="756">
        <f>J186*5760</f>
        <v/>
      </c>
    </row>
    <row r="187">
      <c r="A187" s="115" t="inlineStr">
        <is>
          <t>안티바이오로션</t>
        </is>
      </c>
      <c r="B187" s="703" t="inlineStr">
        <is>
          <t>P0000BEZ</t>
        </is>
      </c>
      <c r="C187" s="239" t="n">
        <v>18</v>
      </c>
      <c r="D187" s="235" t="n">
        <v>10</v>
      </c>
      <c r="E187" s="232" t="n"/>
      <c r="F187" s="230" t="n"/>
      <c r="G187" s="322" t="n"/>
      <c r="H187" s="230" t="n"/>
      <c r="I187" s="242" t="n"/>
      <c r="J187" s="35">
        <f>SUM(C187:I187)</f>
        <v/>
      </c>
      <c r="K187" s="815">
        <f>C187*17600</f>
        <v/>
      </c>
      <c r="L187" s="790">
        <f>D187*14400</f>
        <v/>
      </c>
      <c r="M187" s="839">
        <f>E187*14400</f>
        <v/>
      </c>
      <c r="N187" s="820" t="n"/>
      <c r="O187" s="771" t="n"/>
      <c r="P187" s="771" t="n"/>
      <c r="Q187" s="772" t="n"/>
      <c r="R187" s="758">
        <f>SUM(K187:Q187)</f>
        <v/>
      </c>
      <c r="S187" s="756">
        <f>J187*3867</f>
        <v/>
      </c>
    </row>
    <row r="188">
      <c r="A188" s="115" t="inlineStr">
        <is>
          <t>13TS오일</t>
        </is>
      </c>
      <c r="B188" s="703" t="inlineStr">
        <is>
          <t>P00000HO</t>
        </is>
      </c>
      <c r="C188" s="233" t="n"/>
      <c r="D188" s="235" t="n"/>
      <c r="E188" s="232" t="n"/>
      <c r="F188" s="230" t="n"/>
      <c r="G188" s="322" t="n"/>
      <c r="H188" s="230" t="n"/>
      <c r="I188" s="230" t="n"/>
      <c r="J188" s="35">
        <f>SUM(C188:I188)</f>
        <v/>
      </c>
      <c r="K188" s="815">
        <f>C188*64800</f>
        <v/>
      </c>
      <c r="L188" s="790">
        <f>D188*51840</f>
        <v/>
      </c>
      <c r="M188" s="770">
        <f>E188*51840</f>
        <v/>
      </c>
      <c r="N188" s="771">
        <f>F188*45360</f>
        <v/>
      </c>
      <c r="O188" s="771" t="n"/>
      <c r="P188" s="771">
        <f>H188*45360</f>
        <v/>
      </c>
      <c r="Q188" s="772" t="n"/>
      <c r="R188" s="758">
        <f>SUM(K188:Q188)</f>
        <v/>
      </c>
      <c r="S188" s="756">
        <f>J188*20308</f>
        <v/>
      </c>
    </row>
    <row r="189">
      <c r="A189" s="227" t="inlineStr">
        <is>
          <t>자디니헤어프리</t>
        </is>
      </c>
      <c r="B189" s="703" t="inlineStr">
        <is>
          <t>P0000BFE</t>
        </is>
      </c>
      <c r="C189" s="233" t="n">
        <v>316</v>
      </c>
      <c r="D189" s="235" t="n">
        <v>20</v>
      </c>
      <c r="E189" s="234" t="n">
        <v>96</v>
      </c>
      <c r="F189" s="230" t="n"/>
      <c r="G189" s="230" t="n"/>
      <c r="H189" s="230" t="n"/>
      <c r="I189" s="230" t="n"/>
      <c r="J189" s="35">
        <f>SUM(C189:I189)</f>
        <v/>
      </c>
      <c r="K189" s="815">
        <f>C189*11000</f>
        <v/>
      </c>
      <c r="L189" s="790">
        <f>D189*9900</f>
        <v/>
      </c>
      <c r="M189" s="770">
        <f>E189*8800</f>
        <v/>
      </c>
      <c r="N189" s="771" t="n"/>
      <c r="O189" s="771">
        <f>F189*11000</f>
        <v/>
      </c>
      <c r="P189" s="771">
        <f>H189*11000</f>
        <v/>
      </c>
      <c r="Q189" s="772" t="n"/>
      <c r="R189" s="758">
        <f>SUM(K189:Q189)</f>
        <v/>
      </c>
      <c r="S189" s="756">
        <f>J189*2006</f>
        <v/>
      </c>
    </row>
    <row r="190">
      <c r="A190" s="115" t="inlineStr">
        <is>
          <t>리본미스트</t>
        </is>
      </c>
      <c r="B190" s="703" t="inlineStr">
        <is>
          <t>P00000XU</t>
        </is>
      </c>
      <c r="C190" s="233" t="n">
        <v>5</v>
      </c>
      <c r="D190" s="235" t="n">
        <v>10</v>
      </c>
      <c r="E190" s="232" t="n"/>
      <c r="F190" s="215" t="n">
        <v>1</v>
      </c>
      <c r="G190" s="242" t="n"/>
      <c r="H190" s="230" t="n"/>
      <c r="I190" s="238" t="n"/>
      <c r="J190" s="35">
        <f>SUM(C190:I190)</f>
        <v/>
      </c>
      <c r="K190" s="815">
        <f>C190*16000</f>
        <v/>
      </c>
      <c r="L190" s="790">
        <f>D190*12000</f>
        <v/>
      </c>
      <c r="M190" s="770">
        <f>E190*12000</f>
        <v/>
      </c>
      <c r="N190" s="771" t="n"/>
      <c r="O190" s="771">
        <f>F190*13200</f>
        <v/>
      </c>
      <c r="P190" s="771" t="n"/>
      <c r="Q190" s="772" t="n"/>
      <c r="R190" s="758">
        <f>SUM(K190:Q190)</f>
        <v/>
      </c>
      <c r="S190" s="756">
        <f>J190*2144</f>
        <v/>
      </c>
    </row>
    <row r="191">
      <c r="A191" s="224" t="inlineStr">
        <is>
          <t>자디니시카팩</t>
        </is>
      </c>
      <c r="B191" s="90" t="inlineStr">
        <is>
          <t>P00000XW</t>
        </is>
      </c>
      <c r="C191" s="230" t="n">
        <v>400</v>
      </c>
      <c r="D191" s="235" t="n">
        <v>100</v>
      </c>
      <c r="E191" s="259" t="n"/>
      <c r="F191" s="230" t="n"/>
      <c r="G191" s="230" t="n"/>
      <c r="H191" s="230" t="n"/>
      <c r="I191" s="238" t="n"/>
      <c r="J191" s="35">
        <f>SUM(C191:I191)</f>
        <v/>
      </c>
      <c r="K191" s="820">
        <f>C191*1800</f>
        <v/>
      </c>
      <c r="L191" s="790">
        <f>D191*1600</f>
        <v/>
      </c>
      <c r="M191" s="770">
        <f>E191*1600</f>
        <v/>
      </c>
      <c r="N191" s="771" t="n"/>
      <c r="O191" s="771">
        <f>F191*1600</f>
        <v/>
      </c>
      <c r="P191" s="771" t="n"/>
      <c r="Q191" s="772" t="n"/>
      <c r="R191" s="758">
        <f>SUM(K191:Q191)</f>
        <v/>
      </c>
      <c r="S191" s="756">
        <f>J191*818</f>
        <v/>
      </c>
    </row>
    <row r="192">
      <c r="A192" s="115" t="inlineStr">
        <is>
          <t>시카마스크5개</t>
        </is>
      </c>
      <c r="B192" s="703" t="inlineStr">
        <is>
          <t>P00000XW</t>
        </is>
      </c>
      <c r="C192" s="233" t="n">
        <v>160</v>
      </c>
      <c r="D192" s="235" t="n"/>
      <c r="E192" s="259" t="n"/>
      <c r="F192" s="230" t="n">
        <v>5</v>
      </c>
      <c r="G192" s="230" t="n"/>
      <c r="H192" s="230" t="n"/>
      <c r="I192" s="215" t="n"/>
      <c r="J192" s="35">
        <f>SUM(C192:I192)</f>
        <v/>
      </c>
      <c r="K192" s="815">
        <f>C192*2000</f>
        <v/>
      </c>
      <c r="L192" s="790">
        <f>D192*1600</f>
        <v/>
      </c>
      <c r="M192" s="770">
        <f>E192*1600</f>
        <v/>
      </c>
      <c r="N192" s="771" t="n"/>
      <c r="O192" s="771">
        <f>F192*1600</f>
        <v/>
      </c>
      <c r="P192" s="771" t="n"/>
      <c r="Q192" s="772" t="n"/>
      <c r="R192" s="758">
        <f>SUM(K192:Q192)</f>
        <v/>
      </c>
      <c r="S192" s="756">
        <f>J192*863</f>
        <v/>
      </c>
    </row>
    <row r="193">
      <c r="A193" s="115" t="inlineStr">
        <is>
          <t>아나프리오일</t>
        </is>
      </c>
      <c r="B193" s="703" t="inlineStr">
        <is>
          <t>P0000BLE</t>
        </is>
      </c>
      <c r="C193" s="233" t="n">
        <v>35</v>
      </c>
      <c r="D193" s="235" t="n"/>
      <c r="E193" s="234" t="n"/>
      <c r="F193" s="230" t="n"/>
      <c r="G193" s="230" t="n"/>
      <c r="H193" s="230" t="n"/>
      <c r="I193" s="238" t="n"/>
      <c r="J193" s="35">
        <f>SUM(C193:I193)</f>
        <v/>
      </c>
      <c r="K193" s="815">
        <f>C193*19200</f>
        <v/>
      </c>
      <c r="L193" s="790">
        <f>D193*21000</f>
        <v/>
      </c>
      <c r="M193" s="770">
        <f>E193*11000</f>
        <v/>
      </c>
      <c r="N193" s="771" t="n"/>
      <c r="O193" s="771">
        <f>G193*19200</f>
        <v/>
      </c>
      <c r="P193" s="771" t="n"/>
      <c r="Q193" s="772" t="n"/>
      <c r="R193" s="758">
        <f>SUM(K193:Q193)</f>
        <v/>
      </c>
      <c r="S193" s="756">
        <f>J193*4062</f>
        <v/>
      </c>
    </row>
    <row r="194">
      <c r="A194" s="115" t="inlineStr">
        <is>
          <t>버진오일</t>
        </is>
      </c>
      <c r="B194" s="703" t="inlineStr">
        <is>
          <t>P0000BGA</t>
        </is>
      </c>
      <c r="C194" s="233" t="n"/>
      <c r="D194" s="235" t="n"/>
      <c r="E194" s="234" t="n"/>
      <c r="F194" s="230" t="n"/>
      <c r="G194" s="230" t="n"/>
      <c r="H194" s="230" t="n"/>
      <c r="I194" s="215" t="n"/>
      <c r="J194" s="35">
        <f>SUM(C194:I194)</f>
        <v/>
      </c>
      <c r="K194" s="815">
        <f>C194*24000</f>
        <v/>
      </c>
      <c r="L194" s="790">
        <f>D194*21000</f>
        <v/>
      </c>
      <c r="M194" s="770">
        <f>E194*21000</f>
        <v/>
      </c>
      <c r="N194" s="771" t="n"/>
      <c r="O194" s="771">
        <f>G194*19200</f>
        <v/>
      </c>
      <c r="P194" s="771" t="n"/>
      <c r="Q194" s="772" t="n"/>
      <c r="R194" s="758">
        <f>SUM(K194:Q194)</f>
        <v/>
      </c>
      <c r="S194" s="756">
        <f>J194*7146</f>
        <v/>
      </c>
    </row>
    <row r="195">
      <c r="A195" s="115" t="inlineStr">
        <is>
          <t>딥릴리프오일200</t>
        </is>
      </c>
      <c r="B195" s="703" t="inlineStr">
        <is>
          <t>P0000BLG</t>
        </is>
      </c>
      <c r="C195" s="233" t="n">
        <v>3</v>
      </c>
      <c r="D195" s="235" t="n"/>
      <c r="E195" s="234" t="n"/>
      <c r="F195" s="230" t="n"/>
      <c r="G195" s="230" t="n"/>
      <c r="H195" s="230" t="n"/>
      <c r="I195" s="215" t="n"/>
      <c r="J195" s="35">
        <f>SUM(C195:I195)</f>
        <v/>
      </c>
      <c r="K195" s="815">
        <f>C195*19200</f>
        <v/>
      </c>
      <c r="L195" s="790" t="n"/>
      <c r="M195" s="770">
        <f>E195*11000</f>
        <v/>
      </c>
      <c r="N195" s="771" t="n"/>
      <c r="O195" s="771" t="n"/>
      <c r="P195" s="771" t="n"/>
      <c r="Q195" s="772" t="n"/>
      <c r="R195" s="758">
        <f>SUM(K195:Q195)</f>
        <v/>
      </c>
      <c r="S195" s="756">
        <f>J195*4314</f>
        <v/>
      </c>
    </row>
    <row r="196">
      <c r="A196" s="115" t="inlineStr">
        <is>
          <t>딥릴리프오일75</t>
        </is>
      </c>
      <c r="B196" s="703" t="inlineStr">
        <is>
          <t>P0000BLI</t>
        </is>
      </c>
      <c r="C196" s="233" t="n"/>
      <c r="D196" s="235" t="n"/>
      <c r="E196" s="234" t="n"/>
      <c r="F196" s="230" t="n"/>
      <c r="G196" s="230" t="n"/>
      <c r="H196" s="230" t="n"/>
      <c r="I196" s="238" t="n"/>
      <c r="J196" s="35">
        <f>SUM(C196:I196)</f>
        <v/>
      </c>
      <c r="K196" s="815">
        <f>C196*9000</f>
        <v/>
      </c>
      <c r="L196" s="790" t="n"/>
      <c r="M196" s="770">
        <f>E196*6600</f>
        <v/>
      </c>
      <c r="N196" s="771" t="n"/>
      <c r="O196" s="771" t="n"/>
      <c r="P196" s="771" t="n"/>
      <c r="Q196" s="772" t="n"/>
      <c r="R196" s="758">
        <f>SUM(K196:Q196)</f>
        <v/>
      </c>
      <c r="S196" s="756">
        <f>J196*3131</f>
        <v/>
      </c>
    </row>
    <row r="197">
      <c r="A197" s="115" t="inlineStr">
        <is>
          <t>안티버그오일(10묶음)</t>
        </is>
      </c>
      <c r="B197" s="703" t="inlineStr">
        <is>
          <t>P0000BLM</t>
        </is>
      </c>
      <c r="C197" s="233" t="n"/>
      <c r="D197" s="235" t="n"/>
      <c r="E197" s="234" t="n"/>
      <c r="F197" s="230" t="n"/>
      <c r="G197" s="230" t="n"/>
      <c r="H197" s="230" t="n"/>
      <c r="I197" s="238" t="n"/>
      <c r="J197" s="35">
        <f>SUM(C197:I197)</f>
        <v/>
      </c>
      <c r="K197" s="815">
        <f>C197*5500</f>
        <v/>
      </c>
      <c r="L197" s="815">
        <f>D197*5500</f>
        <v/>
      </c>
      <c r="M197" s="770">
        <f>E197*5500</f>
        <v/>
      </c>
      <c r="N197" s="771" t="n"/>
      <c r="O197" s="771" t="n"/>
      <c r="P197" s="771" t="n"/>
      <c r="Q197" s="772" t="n"/>
      <c r="R197" s="758">
        <f>SUM(K197:Q197)</f>
        <v/>
      </c>
      <c r="S197" s="756">
        <f>J197*2426</f>
        <v/>
      </c>
    </row>
    <row r="198">
      <c r="A198" s="115" t="inlineStr">
        <is>
          <t>자디니트래블키트</t>
        </is>
      </c>
      <c r="B198" s="703" t="inlineStr">
        <is>
          <t>P0000BLN</t>
        </is>
      </c>
      <c r="C198" s="233" t="n"/>
      <c r="D198" s="235" t="n"/>
      <c r="E198" s="234" t="n"/>
      <c r="F198" s="230" t="n"/>
      <c r="G198" s="230" t="n"/>
      <c r="H198" s="230" t="n"/>
      <c r="I198" s="238" t="n"/>
      <c r="J198" s="35">
        <f>SUM(C198:I198)</f>
        <v/>
      </c>
      <c r="K198" s="815">
        <f>C198*14500</f>
        <v/>
      </c>
      <c r="L198" s="815">
        <f>D198*14500</f>
        <v/>
      </c>
      <c r="M198" s="770">
        <f>E198*12100</f>
        <v/>
      </c>
      <c r="N198" s="771" t="n"/>
      <c r="O198" s="771" t="n"/>
      <c r="P198" s="771" t="n"/>
      <c r="Q198" s="772" t="n"/>
      <c r="R198" s="758">
        <f>SUM(K198:Q198)</f>
        <v/>
      </c>
      <c r="S198" s="756">
        <f>J198*5557</f>
        <v/>
      </c>
    </row>
    <row r="199" customFormat="1" s="755">
      <c r="A199" s="115" t="inlineStr">
        <is>
          <t>썬데일리크림</t>
        </is>
      </c>
      <c r="B199" s="703" t="inlineStr">
        <is>
          <t>P0000BIK</t>
        </is>
      </c>
      <c r="C199" s="233" t="n">
        <v>5</v>
      </c>
      <c r="D199" s="235" t="n"/>
      <c r="E199" s="234" t="n"/>
      <c r="F199" s="230" t="n"/>
      <c r="G199" s="230" t="n"/>
      <c r="H199" s="230" t="n"/>
      <c r="I199" s="238" t="n"/>
      <c r="J199" s="35">
        <f>SUM(C199:I199)</f>
        <v/>
      </c>
      <c r="K199" s="815">
        <f>C199*12000</f>
        <v/>
      </c>
      <c r="L199" s="790">
        <f>D199*9900</f>
        <v/>
      </c>
      <c r="M199" s="770">
        <f>E199*9900</f>
        <v/>
      </c>
      <c r="N199" s="771" t="n"/>
      <c r="O199" s="771">
        <f>F199*7200</f>
        <v/>
      </c>
      <c r="P199" s="771" t="n"/>
      <c r="Q199" s="772" t="n"/>
      <c r="R199" s="758">
        <f>SUM(K199:Q199)</f>
        <v/>
      </c>
      <c r="S199" s="756">
        <f>J199*2633</f>
        <v/>
      </c>
    </row>
    <row r="200" customFormat="1" s="755">
      <c r="A200" s="227" t="inlineStr">
        <is>
          <t>썬톤업크림</t>
        </is>
      </c>
      <c r="B200" s="775" t="n"/>
      <c r="C200" s="233" t="n">
        <v>5</v>
      </c>
      <c r="D200" s="235" t="n"/>
      <c r="E200" s="234" t="n"/>
      <c r="F200" s="230" t="n"/>
      <c r="G200" s="322" t="n"/>
      <c r="H200" s="230" t="n"/>
      <c r="I200" s="238" t="n"/>
      <c r="J200" s="35">
        <f>SUM(C200:I200)</f>
        <v/>
      </c>
      <c r="K200" s="755">
        <f>C200*14000</f>
        <v/>
      </c>
      <c r="L200" s="790">
        <f>D200*11600</f>
        <v/>
      </c>
      <c r="M200" s="770">
        <f>E200*11600</f>
        <v/>
      </c>
      <c r="N200" s="771" t="n"/>
      <c r="O200" s="771">
        <f>F200*8400</f>
        <v/>
      </c>
      <c r="P200" s="771" t="n"/>
      <c r="Q200" s="772" t="n"/>
      <c r="R200" s="758">
        <f>SUM(K200:Q200)</f>
        <v/>
      </c>
      <c r="S200" s="756">
        <f>J200*3569</f>
        <v/>
      </c>
    </row>
    <row r="201" customFormat="1" s="755">
      <c r="A201" s="115" t="inlineStr">
        <is>
          <t>제모미인스킨100</t>
        </is>
      </c>
      <c r="B201" s="703" t="inlineStr">
        <is>
          <t>P00000ZA</t>
        </is>
      </c>
      <c r="C201" s="233" t="n">
        <v>21</v>
      </c>
      <c r="D201" s="235" t="n"/>
      <c r="E201" s="259" t="n"/>
      <c r="F201" s="215" t="n">
        <v>1</v>
      </c>
      <c r="G201" s="230" t="n"/>
      <c r="H201" s="230" t="n"/>
      <c r="I201" s="230" t="n">
        <v>2</v>
      </c>
      <c r="J201" s="35">
        <f>SUM(C201:I201)</f>
        <v/>
      </c>
      <c r="K201" s="815">
        <f>C201*6600</f>
        <v/>
      </c>
      <c r="L201" s="790" t="n"/>
      <c r="M201" s="770">
        <f>E201*5500</f>
        <v/>
      </c>
      <c r="N201" s="771" t="n"/>
      <c r="O201" s="771">
        <f>F201*5300</f>
        <v/>
      </c>
      <c r="P201" s="771" t="n"/>
      <c r="Q201" s="796">
        <f>I201*4620</f>
        <v/>
      </c>
      <c r="R201" s="758">
        <f>SUM(K201:Q201)</f>
        <v/>
      </c>
      <c r="S201" s="756">
        <f>J201*2573</f>
        <v/>
      </c>
    </row>
    <row r="202" customFormat="1" s="755">
      <c r="A202" s="115" t="inlineStr">
        <is>
          <t>제모미인오일100</t>
        </is>
      </c>
      <c r="B202" s="775" t="n"/>
      <c r="C202" s="233" t="n">
        <v>31</v>
      </c>
      <c r="D202" s="235" t="n"/>
      <c r="E202" s="259" t="n"/>
      <c r="F202" s="215" t="n">
        <v>1</v>
      </c>
      <c r="G202" s="230" t="n"/>
      <c r="H202" s="230" t="n"/>
      <c r="I202" s="230" t="n">
        <v>2</v>
      </c>
      <c r="J202" s="35">
        <f>SUM(C202:I202)</f>
        <v/>
      </c>
      <c r="K202" s="815">
        <f>C202*6600</f>
        <v/>
      </c>
      <c r="L202" s="790" t="n"/>
      <c r="M202" s="770">
        <f>E202*5500</f>
        <v/>
      </c>
      <c r="N202" s="771" t="n"/>
      <c r="O202" s="771">
        <f>F202*5300</f>
        <v/>
      </c>
      <c r="P202" s="771" t="n"/>
      <c r="Q202" s="796">
        <f>I202*4620</f>
        <v/>
      </c>
      <c r="R202" s="758">
        <f>SUM(K202:Q202)</f>
        <v/>
      </c>
      <c r="S202" s="756">
        <f>J202*3222</f>
        <v/>
      </c>
    </row>
    <row r="203" customFormat="1" s="755">
      <c r="A203" s="115" t="inlineStr">
        <is>
          <t>제모스킨덕용10L</t>
        </is>
      </c>
      <c r="B203" s="373" t="n"/>
      <c r="C203" s="237" t="n"/>
      <c r="D203" s="235" t="n"/>
      <c r="E203" s="234" t="n"/>
      <c r="F203" s="230" t="n"/>
      <c r="G203" s="322" t="n"/>
      <c r="H203" s="230" t="n"/>
      <c r="I203" s="351" t="n"/>
      <c r="J203" s="35">
        <f>SUM(C203:I203)</f>
        <v/>
      </c>
      <c r="L203" s="790" t="n"/>
      <c r="M203" s="770">
        <f>E203*180000</f>
        <v/>
      </c>
      <c r="N203" s="771" t="n"/>
      <c r="O203" s="771" t="n"/>
      <c r="P203" s="771" t="n"/>
      <c r="Q203" s="772" t="n"/>
      <c r="R203" s="758">
        <f>SUM(K203:Q203)</f>
        <v/>
      </c>
      <c r="S203" s="756">
        <f>J203*63000</f>
        <v/>
      </c>
    </row>
    <row r="204" customFormat="1" s="755">
      <c r="A204" s="115" t="inlineStr">
        <is>
          <t>제모오일덕용10L</t>
        </is>
      </c>
      <c r="B204" s="373" t="n"/>
      <c r="C204" s="35" t="n"/>
      <c r="D204" s="32" t="n"/>
      <c r="E204" s="234" t="n"/>
      <c r="F204" s="34" t="n"/>
      <c r="G204" s="34" t="n"/>
      <c r="H204" s="191" t="n"/>
      <c r="I204" s="80" t="n"/>
      <c r="J204" s="35">
        <f>SUM(C204:I204)</f>
        <v/>
      </c>
      <c r="L204" s="790" t="n"/>
      <c r="M204" s="770">
        <f>E204*180000</f>
        <v/>
      </c>
      <c r="N204" s="771" t="n"/>
      <c r="O204" s="771" t="n"/>
      <c r="P204" s="771" t="n"/>
      <c r="Q204" s="772" t="n"/>
      <c r="R204" s="758">
        <f>SUM(K204:Q204)</f>
        <v/>
      </c>
      <c r="S204" s="756">
        <f>J204*90000</f>
        <v/>
      </c>
    </row>
    <row r="205" customFormat="1" s="755">
      <c r="A205" s="115" t="inlineStr">
        <is>
          <t>포레스트페이셜스크럽</t>
        </is>
      </c>
      <c r="B205" s="703" t="inlineStr">
        <is>
          <t>P0000BIZ</t>
        </is>
      </c>
      <c r="C205" s="237" t="n">
        <v>102</v>
      </c>
      <c r="D205" s="235" t="n"/>
      <c r="E205" s="234" t="n">
        <v>5</v>
      </c>
      <c r="F205" s="242" t="n"/>
      <c r="G205" s="230" t="n"/>
      <c r="H205" s="230" t="n"/>
      <c r="I205" s="238" t="n"/>
      <c r="J205" s="35">
        <f>SUM(C205:I205)</f>
        <v/>
      </c>
      <c r="K205" s="755">
        <f>C205*16500</f>
        <v/>
      </c>
      <c r="L205" s="790" t="n"/>
      <c r="M205" s="770">
        <f>E205*12500</f>
        <v/>
      </c>
      <c r="N205" s="771" t="n"/>
      <c r="O205" s="771" t="n"/>
      <c r="P205" s="771" t="n"/>
      <c r="Q205" s="796" t="n"/>
      <c r="R205" s="758">
        <f>SUM(K205:Q205)</f>
        <v/>
      </c>
      <c r="S205" s="756">
        <f>J205*3069</f>
        <v/>
      </c>
    </row>
    <row r="206" customFormat="1" s="755">
      <c r="A206" s="115" t="inlineStr">
        <is>
          <t>포레스트바디로션</t>
        </is>
      </c>
      <c r="B206" s="703" t="inlineStr">
        <is>
          <t>P0000BIV</t>
        </is>
      </c>
      <c r="C206" s="237" t="n">
        <v>28</v>
      </c>
      <c r="D206" s="235" t="n"/>
      <c r="E206" s="234" t="n">
        <v>19</v>
      </c>
      <c r="F206" s="230" t="n"/>
      <c r="G206" s="322" t="n"/>
      <c r="H206" s="230" t="n"/>
      <c r="I206" s="238" t="n"/>
      <c r="J206" s="35">
        <f>SUM(C206:I206)</f>
        <v/>
      </c>
      <c r="K206" s="755">
        <f>C206*18000</f>
        <v/>
      </c>
      <c r="L206" s="790" t="n"/>
      <c r="M206" s="770">
        <f>E206*13200</f>
        <v/>
      </c>
      <c r="N206" s="771">
        <f>F206*18000</f>
        <v/>
      </c>
      <c r="O206" s="771" t="n"/>
      <c r="P206" s="771" t="n"/>
      <c r="Q206" s="772" t="n"/>
      <c r="R206" s="758">
        <f>SUM(K206:Q206)</f>
        <v/>
      </c>
      <c r="S206" s="756">
        <f>J206*3147</f>
        <v/>
      </c>
    </row>
    <row r="207" customFormat="1" s="755">
      <c r="A207" s="115" t="inlineStr">
        <is>
          <t>포레스트바디워시</t>
        </is>
      </c>
      <c r="B207" s="703" t="inlineStr">
        <is>
          <t>P0000BJC</t>
        </is>
      </c>
      <c r="C207" s="237" t="n">
        <v>10</v>
      </c>
      <c r="D207" s="235" t="n"/>
      <c r="E207" s="234" t="n">
        <v>2</v>
      </c>
      <c r="F207" s="230" t="n"/>
      <c r="G207" s="230" t="n">
        <v>10</v>
      </c>
      <c r="H207" s="230" t="n"/>
      <c r="I207" s="238" t="n"/>
      <c r="J207" s="35">
        <f>SUM(C207:I207)</f>
        <v/>
      </c>
      <c r="K207" s="755">
        <f>C207*12000</f>
        <v/>
      </c>
      <c r="L207" s="790" t="n"/>
      <c r="M207" s="770">
        <f>E207*9600</f>
        <v/>
      </c>
      <c r="N207" s="771">
        <f>F207*12000</f>
        <v/>
      </c>
      <c r="O207" s="771">
        <f>G207*9600</f>
        <v/>
      </c>
      <c r="P207" s="771" t="n"/>
      <c r="Q207" s="772" t="n"/>
      <c r="R207" s="758">
        <f>SUM(K207:Q207)</f>
        <v/>
      </c>
      <c r="S207" s="756">
        <f>J207*2740</f>
        <v/>
      </c>
    </row>
    <row r="208" customFormat="1" s="755">
      <c r="A208" s="115" t="inlineStr">
        <is>
          <t>아로마헤어샴푸</t>
        </is>
      </c>
      <c r="B208" s="703" t="inlineStr">
        <is>
          <t>P0000BKJ</t>
        </is>
      </c>
      <c r="C208" s="237" t="n">
        <v>8</v>
      </c>
      <c r="D208" s="235" t="n"/>
      <c r="E208" s="234" t="n"/>
      <c r="F208" s="230" t="n"/>
      <c r="G208" s="322" t="n"/>
      <c r="H208" s="230" t="n"/>
      <c r="I208" s="238" t="n"/>
      <c r="J208" s="35">
        <f>SUM(C208:I208)</f>
        <v/>
      </c>
      <c r="K208" s="755">
        <f>C208*28000</f>
        <v/>
      </c>
      <c r="L208" s="790" t="n"/>
      <c r="M208" s="770" t="n"/>
      <c r="N208" s="771">
        <f>F208*19600</f>
        <v/>
      </c>
      <c r="O208" s="771" t="n"/>
      <c r="P208" s="771">
        <f>H208*22400</f>
        <v/>
      </c>
      <c r="Q208" s="772" t="n"/>
      <c r="R208" s="758">
        <f>SUM(K208:Q208)</f>
        <v/>
      </c>
      <c r="S208" s="756">
        <f>J208*6493</f>
        <v/>
      </c>
    </row>
    <row r="209" customFormat="1" s="755">
      <c r="A209" s="115" t="inlineStr">
        <is>
          <t>아로마헤어트리트먼트</t>
        </is>
      </c>
      <c r="B209" s="703" t="inlineStr">
        <is>
          <t>P0000BKK</t>
        </is>
      </c>
      <c r="C209" s="35" t="n">
        <v>6</v>
      </c>
      <c r="D209" s="235" t="n"/>
      <c r="E209" s="234" t="n"/>
      <c r="F209" s="230" t="n"/>
      <c r="G209" s="322" t="n"/>
      <c r="H209" s="230" t="n"/>
      <c r="I209" s="238" t="n"/>
      <c r="J209" s="35">
        <f>SUM(C209:I209)</f>
        <v/>
      </c>
      <c r="K209" s="755">
        <f>C209*28000</f>
        <v/>
      </c>
      <c r="L209" s="790" t="n"/>
      <c r="M209" s="770" t="n"/>
      <c r="N209" s="771">
        <f>F209*19600</f>
        <v/>
      </c>
      <c r="O209" s="771" t="n"/>
      <c r="P209" s="771">
        <f>H209*22400</f>
        <v/>
      </c>
      <c r="Q209" s="772" t="n"/>
      <c r="R209" s="758">
        <f>SUM(K209:Q209)</f>
        <v/>
      </c>
      <c r="S209" s="756">
        <f>J209*6900</f>
        <v/>
      </c>
    </row>
    <row r="210" customFormat="1" s="755">
      <c r="A210" s="115" t="inlineStr">
        <is>
          <t>아로마헤어루트인핸서</t>
        </is>
      </c>
      <c r="B210" s="703" t="inlineStr">
        <is>
          <t>P0000BKL</t>
        </is>
      </c>
      <c r="C210" s="237" t="n"/>
      <c r="D210" s="235" t="n"/>
      <c r="E210" s="234" t="n"/>
      <c r="F210" s="230" t="n"/>
      <c r="G210" s="322" t="n"/>
      <c r="H210" s="230" t="n"/>
      <c r="I210" s="238" t="n"/>
      <c r="J210" s="35">
        <f>SUM(C210:I210)</f>
        <v/>
      </c>
      <c r="K210" s="755">
        <f>C210*22000</f>
        <v/>
      </c>
      <c r="L210" s="790" t="n"/>
      <c r="M210" s="770" t="n"/>
      <c r="N210" s="771">
        <f>F210*17100</f>
        <v/>
      </c>
      <c r="O210" s="771" t="n"/>
      <c r="P210" s="771" t="n"/>
      <c r="Q210" s="772" t="n"/>
      <c r="R210" s="758">
        <f>SUM(K210:Q210)</f>
        <v/>
      </c>
      <c r="S210" s="756">
        <f>J210*2573</f>
        <v/>
      </c>
    </row>
    <row r="211" ht="24" customFormat="1" customHeight="1" s="755">
      <c r="A211" s="115" t="inlineStr">
        <is>
          <t>무수알코올1KG</t>
        </is>
      </c>
      <c r="B211" s="532" t="inlineStr">
        <is>
          <t>P0000BJY /  P0000BKI</t>
        </is>
      </c>
      <c r="C211" s="237" t="n"/>
      <c r="D211" s="235" t="n"/>
      <c r="E211" s="234" t="n"/>
      <c r="F211" s="230" t="n"/>
      <c r="G211" s="322" t="n"/>
      <c r="H211" s="230" t="n"/>
      <c r="I211" s="351" t="n"/>
      <c r="J211" s="35">
        <f>SUM(C211:I211)</f>
        <v/>
      </c>
      <c r="K211" s="755">
        <f>C211*22000</f>
        <v/>
      </c>
      <c r="L211" s="790" t="n"/>
      <c r="M211" s="770" t="n"/>
      <c r="N211" s="771" t="n"/>
      <c r="O211" s="771" t="n"/>
      <c r="P211" s="771" t="n"/>
      <c r="Q211" s="772" t="n"/>
      <c r="R211" s="758">
        <f>SUM(K211:Q211)</f>
        <v/>
      </c>
      <c r="S211" s="756">
        <f>J211*4950</f>
        <v/>
      </c>
    </row>
    <row r="212" ht="16.5" customFormat="1" customHeight="1" s="755">
      <c r="A212" s="115" t="inlineStr">
        <is>
          <t>라벤더워터120ml</t>
        </is>
      </c>
      <c r="B212" s="532" t="inlineStr">
        <is>
          <t>P0000BJD / P0000BKB</t>
        </is>
      </c>
      <c r="C212" s="237" t="n"/>
      <c r="D212" s="235" t="n"/>
      <c r="E212" s="234" t="n"/>
      <c r="F212" s="230" t="n"/>
      <c r="G212" s="322" t="n"/>
      <c r="H212" s="230" t="n"/>
      <c r="I212" s="238" t="n"/>
      <c r="J212" s="35">
        <f>SUM(C212:I212)</f>
        <v/>
      </c>
      <c r="K212" s="755">
        <f>C212*12000</f>
        <v/>
      </c>
      <c r="L212" s="790" t="n"/>
      <c r="M212" s="770">
        <f>E212*12000</f>
        <v/>
      </c>
      <c r="N212" s="771">
        <f>F212*9600</f>
        <v/>
      </c>
      <c r="O212" s="771" t="n"/>
      <c r="P212" s="771">
        <f>H212*12000</f>
        <v/>
      </c>
      <c r="Q212" s="772" t="n"/>
      <c r="R212" s="758">
        <f>SUM(K212:Q212)</f>
        <v/>
      </c>
      <c r="S212" s="756">
        <f>J212*2645</f>
        <v/>
      </c>
    </row>
    <row r="213" customFormat="1" s="755">
      <c r="A213" s="115" t="inlineStr">
        <is>
          <t>라벤더워터500ml</t>
        </is>
      </c>
      <c r="B213" s="775" t="n"/>
      <c r="C213" s="237" t="n"/>
      <c r="D213" s="235" t="n"/>
      <c r="E213" s="234" t="n"/>
      <c r="F213" s="230" t="n"/>
      <c r="G213" s="322" t="n"/>
      <c r="H213" s="230" t="n"/>
      <c r="I213" s="238" t="n"/>
      <c r="J213" s="35">
        <f>SUM(C213:I213)</f>
        <v/>
      </c>
      <c r="K213" s="755">
        <f>C213*48000</f>
        <v/>
      </c>
      <c r="L213" s="790" t="n"/>
      <c r="M213" s="770">
        <f>E213*48000</f>
        <v/>
      </c>
      <c r="N213" s="771">
        <f>F213*38400</f>
        <v/>
      </c>
      <c r="O213" s="771" t="n"/>
      <c r="P213" s="771" t="n"/>
      <c r="Q213" s="772" t="n"/>
      <c r="R213" s="758">
        <f>SUM(K213:Q213)</f>
        <v/>
      </c>
      <c r="S213" s="756">
        <f>J213*5981</f>
        <v/>
      </c>
    </row>
    <row r="214" ht="16.5" customHeight="1" s="754">
      <c r="A214" s="115" t="inlineStr">
        <is>
          <t>티트리워터120ml</t>
        </is>
      </c>
      <c r="B214" s="532" t="inlineStr">
        <is>
          <t>P0000BJE / P0000BKC</t>
        </is>
      </c>
      <c r="C214" s="257" t="n"/>
      <c r="D214" s="235" t="n"/>
      <c r="E214" s="234" t="n"/>
      <c r="F214" s="230" t="n"/>
      <c r="G214" s="322" t="n"/>
      <c r="H214" s="230" t="n"/>
      <c r="I214" s="351" t="n"/>
      <c r="J214" s="35">
        <f>SUM(C214:I214)</f>
        <v/>
      </c>
      <c r="K214" s="755">
        <f>C214*12000</f>
        <v/>
      </c>
      <c r="L214" s="790" t="n"/>
      <c r="M214" s="770">
        <f>E214*12000</f>
        <v/>
      </c>
      <c r="N214" s="771">
        <f>F214*9600</f>
        <v/>
      </c>
      <c r="O214" s="771" t="n"/>
      <c r="P214" s="771">
        <f>H214*12000</f>
        <v/>
      </c>
      <c r="Q214" s="772" t="n"/>
      <c r="R214" s="758">
        <f>SUM(K214:Q214)</f>
        <v/>
      </c>
      <c r="S214" s="756">
        <f>J214*2718</f>
        <v/>
      </c>
    </row>
    <row r="215">
      <c r="A215" s="115" t="inlineStr">
        <is>
          <t>티트리워터500ml</t>
        </is>
      </c>
      <c r="B215" s="775" t="n"/>
      <c r="C215" s="237" t="n"/>
      <c r="D215" s="235" t="n"/>
      <c r="E215" s="234" t="n"/>
      <c r="F215" s="230" t="n"/>
      <c r="G215" s="322" t="n"/>
      <c r="H215" s="230" t="n"/>
      <c r="I215" s="351" t="n"/>
      <c r="J215" s="35">
        <f>SUM(C215:I215)</f>
        <v/>
      </c>
      <c r="K215" s="755">
        <f>C215*48000</f>
        <v/>
      </c>
      <c r="L215" s="790" t="n"/>
      <c r="M215" s="770">
        <f>E215*48000</f>
        <v/>
      </c>
      <c r="N215" s="771">
        <f>F215*38400</f>
        <v/>
      </c>
      <c r="O215" s="771" t="n"/>
      <c r="P215" s="771" t="n"/>
      <c r="Q215" s="772" t="n"/>
      <c r="R215" s="758">
        <f>SUM(K215:Q215)</f>
        <v/>
      </c>
      <c r="S215" s="756">
        <f>J215*6197</f>
        <v/>
      </c>
    </row>
    <row r="216" ht="24" customHeight="1" s="754">
      <c r="A216" s="115" t="inlineStr">
        <is>
          <t>로즈워터120ml</t>
        </is>
      </c>
      <c r="B216" s="532" t="inlineStr">
        <is>
          <t>P0000BJF / P0000BKD</t>
        </is>
      </c>
      <c r="C216" s="237" t="n">
        <v>5</v>
      </c>
      <c r="D216" s="235" t="n"/>
      <c r="E216" s="234" t="n"/>
      <c r="F216" s="230" t="n"/>
      <c r="G216" s="322" t="n"/>
      <c r="H216" s="230" t="n"/>
      <c r="I216" s="238" t="n"/>
      <c r="J216" s="35">
        <f>SUM(C216:I216)</f>
        <v/>
      </c>
      <c r="K216" s="755">
        <f>C216*18000</f>
        <v/>
      </c>
      <c r="L216" s="790" t="n"/>
      <c r="M216" s="770" t="n"/>
      <c r="N216" s="771">
        <f>F216*14400</f>
        <v/>
      </c>
      <c r="O216" s="771" t="n"/>
      <c r="P216" s="771" t="n"/>
      <c r="Q216" s="772" t="n"/>
      <c r="R216" s="758">
        <f>SUM(K216:Q216)</f>
        <v/>
      </c>
      <c r="S216" s="756">
        <f>J216*3129</f>
        <v/>
      </c>
    </row>
    <row r="217" ht="16.5" customHeight="1" s="754">
      <c r="A217" s="115" t="inlineStr">
        <is>
          <t>호호바골든오가닉30</t>
        </is>
      </c>
      <c r="B217" s="532" t="inlineStr">
        <is>
          <t>P0000BIS  /  P0000BKA</t>
        </is>
      </c>
      <c r="C217" s="257" t="n">
        <v>28</v>
      </c>
      <c r="D217" s="235" t="n"/>
      <c r="E217" s="234" t="n"/>
      <c r="F217" s="230" t="n">
        <v>5</v>
      </c>
      <c r="G217" s="322" t="n"/>
      <c r="H217" s="230" t="n"/>
      <c r="I217" s="238" t="n"/>
      <c r="J217" s="35">
        <f>SUM(C217:I217)</f>
        <v/>
      </c>
      <c r="K217" s="755">
        <f>C217*18000</f>
        <v/>
      </c>
      <c r="L217" s="790" t="n"/>
      <c r="M217" s="770">
        <f>E217*18000</f>
        <v/>
      </c>
      <c r="N217" s="771">
        <f>F217*14400</f>
        <v/>
      </c>
      <c r="O217" s="771" t="n"/>
      <c r="P217" s="771">
        <f>H217*18000</f>
        <v/>
      </c>
      <c r="Q217" s="772" t="n"/>
      <c r="R217" s="758">
        <f>SUM(K217:Q217)</f>
        <v/>
      </c>
      <c r="S217" s="756">
        <f>J217*2748</f>
        <v/>
      </c>
    </row>
    <row r="218">
      <c r="A218" s="115" t="inlineStr">
        <is>
          <t>호호바골든오가닉100</t>
        </is>
      </c>
      <c r="B218" s="774" t="n"/>
      <c r="C218" s="257" t="n">
        <v>15</v>
      </c>
      <c r="D218" s="235" t="n"/>
      <c r="E218" s="234" t="n"/>
      <c r="F218" s="230" t="n">
        <v>2</v>
      </c>
      <c r="G218" s="322" t="n"/>
      <c r="H218" s="230" t="n"/>
      <c r="I218" s="351" t="n"/>
      <c r="J218" s="35">
        <f>SUM(C218:I218)</f>
        <v/>
      </c>
      <c r="K218" s="755">
        <f>C218*36000</f>
        <v/>
      </c>
      <c r="L218" s="790" t="n"/>
      <c r="M218" s="770">
        <f>E218*36000</f>
        <v/>
      </c>
      <c r="N218" s="771">
        <f>F218*28800</f>
        <v/>
      </c>
      <c r="O218" s="771" t="n"/>
      <c r="P218" s="771">
        <f>H218*36000</f>
        <v/>
      </c>
      <c r="Q218" s="772" t="n"/>
      <c r="R218" s="758">
        <f>SUM(K218:Q218)</f>
        <v/>
      </c>
      <c r="S218" s="756">
        <f>J218*4960</f>
        <v/>
      </c>
    </row>
    <row r="219">
      <c r="A219" s="115" t="inlineStr">
        <is>
          <t>호호바골든오가닉500</t>
        </is>
      </c>
      <c r="B219" s="775" t="n"/>
      <c r="C219" s="539" t="n">
        <v>1</v>
      </c>
      <c r="D219" s="32" t="n"/>
      <c r="E219" s="234" t="n"/>
      <c r="F219" s="191" t="n"/>
      <c r="G219" s="34" t="n"/>
      <c r="H219" s="191" t="n"/>
      <c r="I219" s="80" t="n"/>
      <c r="J219" s="35">
        <f>SUM(C219:I219)</f>
        <v/>
      </c>
      <c r="K219" s="755">
        <f>C219*90000</f>
        <v/>
      </c>
      <c r="L219" s="790" t="n"/>
      <c r="M219" s="770">
        <f>E219*90000</f>
        <v/>
      </c>
      <c r="N219" s="771">
        <f>F219*72000</f>
        <v/>
      </c>
      <c r="O219" s="771" t="n"/>
      <c r="P219" s="771" t="n"/>
      <c r="Q219" s="772" t="n"/>
      <c r="R219" s="758">
        <f>SUM(K219:Q219)</f>
        <v/>
      </c>
      <c r="S219" s="756">
        <f>J219*14800</f>
        <v/>
      </c>
    </row>
    <row r="220" customFormat="1" s="24">
      <c r="B220" s="74" t="n"/>
      <c r="C220" s="74" t="n"/>
      <c r="D220" s="116" t="n"/>
      <c r="E220" s="10" t="n"/>
      <c r="F220" s="10" t="n"/>
      <c r="G220" s="11" t="n"/>
      <c r="H220" s="192" t="n"/>
      <c r="I220" s="12" t="inlineStr">
        <is>
          <t>할인행사</t>
        </is>
      </c>
      <c r="J220" s="117" t="inlineStr">
        <is>
          <t>합계</t>
        </is>
      </c>
      <c r="K220" s="840">
        <f>SUM(K171:K219)</f>
        <v/>
      </c>
      <c r="L220" s="841">
        <f>SUM(L171:L219)</f>
        <v/>
      </c>
      <c r="M220" s="842">
        <f>SUM(M171:M219)</f>
        <v/>
      </c>
      <c r="N220" s="843">
        <f>SUM(N171:N219)</f>
        <v/>
      </c>
      <c r="O220" s="843">
        <f>SUM(O171:O219)</f>
        <v/>
      </c>
      <c r="P220" s="843">
        <f>SUM(P171:P219)</f>
        <v/>
      </c>
      <c r="Q220" s="840">
        <f>SUM(Q171:Q219)</f>
        <v/>
      </c>
      <c r="R220" s="844">
        <f>SUM(R171:R219)</f>
        <v/>
      </c>
      <c r="S220" s="844">
        <f>SUM(S171:S219)</f>
        <v/>
      </c>
    </row>
    <row r="221" customFormat="1" s="244">
      <c r="B221" s="245" t="n"/>
      <c r="C221" s="245" t="n"/>
      <c r="D221" s="116" t="inlineStr">
        <is>
          <t>가맹점단품</t>
        </is>
      </c>
      <c r="E221" s="475" t="n"/>
      <c r="F221" s="475" t="n"/>
      <c r="G221" s="476" t="n"/>
      <c r="H221" s="477" t="n"/>
      <c r="I221" s="478" t="n"/>
      <c r="J221" s="479" t="n"/>
      <c r="K221" s="845" t="n"/>
      <c r="L221" s="846" t="n"/>
      <c r="M221" s="847" t="n"/>
      <c r="N221" s="848" t="n"/>
      <c r="O221" s="848" t="n"/>
      <c r="P221" s="848" t="n"/>
      <c r="Q221" s="845" t="n"/>
      <c r="R221" s="849" t="n"/>
      <c r="S221" s="849" t="n"/>
    </row>
    <row r="222" ht="24" customHeight="1" s="754">
      <c r="A222" s="120" t="inlineStr">
        <is>
          <t>바자즐링제품</t>
        </is>
      </c>
      <c r="C222" s="121" t="inlineStr">
        <is>
          <t>y존미스트</t>
        </is>
      </c>
      <c r="D222" s="682" t="inlineStr">
        <is>
          <t>P00000SF</t>
        </is>
      </c>
      <c r="E222" s="313" t="n"/>
      <c r="F222" s="10" t="inlineStr">
        <is>
          <t>마스터단품</t>
        </is>
      </c>
      <c r="G222" s="15" t="inlineStr">
        <is>
          <t>마스터번들(50+10)</t>
        </is>
      </c>
      <c r="H222" s="16" t="n"/>
      <c r="I222" s="125" t="n"/>
      <c r="J222" s="107" t="n"/>
      <c r="K222" s="789" t="n"/>
      <c r="P222" s="785" t="n"/>
    </row>
    <row r="223" ht="17.25" customHeight="1" s="754">
      <c r="A223" s="120" t="n"/>
      <c r="C223" s="592" t="inlineStr">
        <is>
          <t>세정제</t>
        </is>
      </c>
      <c r="D223" s="774" t="n"/>
      <c r="E223" s="398" t="n"/>
      <c r="F223" s="397" t="n"/>
      <c r="G223" s="20" t="n"/>
      <c r="H223" s="544" t="n"/>
      <c r="I223" s="534" t="n"/>
      <c r="J223" s="20" t="n"/>
      <c r="K223" s="414" t="n"/>
      <c r="P223" s="785" t="n"/>
    </row>
    <row r="224" ht="21.75" customHeight="1" s="754">
      <c r="A224" s="120" t="n"/>
      <c r="C224" s="592" t="inlineStr">
        <is>
          <t>청결제</t>
        </is>
      </c>
      <c r="D224" s="774" t="n"/>
      <c r="E224" s="398" t="n"/>
      <c r="F224" s="396" t="inlineStr">
        <is>
          <t>P00000SF</t>
        </is>
      </c>
      <c r="G224" s="566" t="n"/>
      <c r="H224" s="20" t="inlineStr">
        <is>
          <t>P0000BLK</t>
        </is>
      </c>
      <c r="I224" s="534" t="inlineStr">
        <is>
          <t>토너패드증정</t>
        </is>
      </c>
      <c r="J224" s="320" t="n"/>
      <c r="K224" s="321" t="n"/>
      <c r="P224" s="785" t="n"/>
    </row>
    <row r="225" ht="24" customHeight="1" s="754">
      <c r="B225" s="628" t="inlineStr">
        <is>
          <t>도매</t>
        </is>
      </c>
      <c r="C225" s="563" t="inlineStr">
        <is>
          <t>토너패드(30)</t>
        </is>
      </c>
      <c r="D225" s="398" t="inlineStr">
        <is>
          <t>P0000BIH</t>
        </is>
      </c>
      <c r="E225" s="595" t="inlineStr">
        <is>
          <t>P0000BIH</t>
        </is>
      </c>
      <c r="F225" s="208" t="n"/>
      <c r="G225" s="399" t="inlineStr">
        <is>
          <t>P00000WW</t>
        </is>
      </c>
      <c r="H225" s="20" t="inlineStr">
        <is>
          <t>P0000BFU</t>
        </is>
      </c>
      <c r="I225" s="575" t="inlineStr">
        <is>
          <t>Y존미스트2+1증정</t>
        </is>
      </c>
      <c r="J225" s="124" t="n"/>
      <c r="K225" s="763" t="inlineStr">
        <is>
          <t>도매</t>
        </is>
      </c>
      <c r="L225" s="764" t="inlineStr">
        <is>
          <t>가맹점/마스터단품</t>
        </is>
      </c>
      <c r="M225" s="765" t="n"/>
      <c r="N225" s="765" t="n"/>
      <c r="O225" s="850" t="n"/>
      <c r="P225" s="851" t="n"/>
      <c r="Q225" s="852" t="inlineStr">
        <is>
          <t>제품+중정</t>
        </is>
      </c>
      <c r="R225" s="767" t="inlineStr">
        <is>
          <t>품목별합계</t>
        </is>
      </c>
      <c r="S225" s="795" t="inlineStr">
        <is>
          <t>도매,마스터원가</t>
        </is>
      </c>
    </row>
    <row r="226">
      <c r="A226" s="29" t="inlineStr">
        <is>
          <t>y존케어150</t>
        </is>
      </c>
      <c r="B226" s="374" t="inlineStr">
        <is>
          <t>P00000KB</t>
        </is>
      </c>
      <c r="C226" s="233" t="n">
        <v>130</v>
      </c>
      <c r="D226" s="235" t="n">
        <v>29</v>
      </c>
      <c r="E226" s="234" t="n"/>
      <c r="F226" s="234" t="n"/>
      <c r="G226" s="235" t="n"/>
      <c r="H226" s="230" t="n"/>
      <c r="I226" s="352" t="n"/>
      <c r="J226" s="35">
        <f>SUM(C226:I226)</f>
        <v/>
      </c>
      <c r="K226" s="815">
        <f>C226*12000</f>
        <v/>
      </c>
      <c r="L226" s="790">
        <f>D226*9900</f>
        <v/>
      </c>
      <c r="M226" s="790">
        <f>F226*9900</f>
        <v/>
      </c>
      <c r="N226" s="770" t="n"/>
      <c r="O226" s="853" t="n"/>
      <c r="P226" s="854" t="n"/>
      <c r="Q226" s="772">
        <f>H226*12000</f>
        <v/>
      </c>
      <c r="R226" s="756">
        <f>SUM(K226:Q226)</f>
        <v/>
      </c>
      <c r="S226" s="756">
        <f>J226*4006</f>
        <v/>
      </c>
    </row>
    <row r="227">
      <c r="A227" s="29" t="inlineStr">
        <is>
          <t>여성세정제</t>
        </is>
      </c>
      <c r="B227" s="374" t="inlineStr">
        <is>
          <t>P00000LL</t>
        </is>
      </c>
      <c r="C227" s="233" t="n">
        <v>101</v>
      </c>
      <c r="D227" s="235" t="n">
        <v>42</v>
      </c>
      <c r="E227" s="234" t="n"/>
      <c r="F227" s="234" t="n"/>
      <c r="G227" s="229" t="n"/>
      <c r="H227" s="230" t="n"/>
      <c r="I227" s="36" t="n"/>
      <c r="J227" s="35">
        <f>SUM(C227:I227)</f>
        <v/>
      </c>
      <c r="K227" s="815">
        <f>C227*22000</f>
        <v/>
      </c>
      <c r="L227" s="790">
        <f>D227*18000</f>
        <v/>
      </c>
      <c r="M227" s="790">
        <f>F227*18000</f>
        <v/>
      </c>
      <c r="N227" s="770" t="n"/>
      <c r="O227" s="853" t="n"/>
      <c r="P227" s="854" t="n"/>
      <c r="Q227" s="772">
        <f>H227*22000</f>
        <v/>
      </c>
      <c r="R227" s="756">
        <f>SUM(K227:Q227)</f>
        <v/>
      </c>
      <c r="S227" s="756">
        <f>J227*3489</f>
        <v/>
      </c>
    </row>
    <row r="228">
      <c r="A228" s="29" t="inlineStr">
        <is>
          <t>여성청결제</t>
        </is>
      </c>
      <c r="B228" s="374" t="inlineStr">
        <is>
          <t>P00000KY</t>
        </is>
      </c>
      <c r="C228" s="239" t="n">
        <v>26</v>
      </c>
      <c r="D228" s="255" t="n">
        <v>3</v>
      </c>
      <c r="E228" s="234" t="n"/>
      <c r="F228" s="234" t="n"/>
      <c r="G228" s="229" t="n"/>
      <c r="H228" s="230" t="n"/>
      <c r="I228" s="352" t="n"/>
      <c r="J228" s="35">
        <f>SUM(C228:I228)</f>
        <v/>
      </c>
      <c r="K228" s="815">
        <f>C228*16500</f>
        <v/>
      </c>
      <c r="L228" s="790">
        <f>D228*13200</f>
        <v/>
      </c>
      <c r="M228" s="790">
        <f>F228*13200</f>
        <v/>
      </c>
      <c r="N228" s="770" t="n"/>
      <c r="O228" s="853" t="n"/>
      <c r="P228" s="854" t="n"/>
      <c r="Q228" s="772">
        <f>H228*13200</f>
        <v/>
      </c>
      <c r="R228" s="756">
        <f>SUM(K228:Q228)</f>
        <v/>
      </c>
      <c r="S228" s="756">
        <f>J228*2598</f>
        <v/>
      </c>
    </row>
    <row r="229">
      <c r="A229" s="29" t="inlineStr">
        <is>
          <t>Y존패드</t>
        </is>
      </c>
      <c r="B229" s="374" t="inlineStr">
        <is>
          <t>P0000BIG</t>
        </is>
      </c>
      <c r="C229" s="239" t="n">
        <v>29</v>
      </c>
      <c r="D229" s="255" t="n"/>
      <c r="E229" s="234" t="n"/>
      <c r="F229" s="234" t="n"/>
      <c r="G229" s="229" t="n"/>
      <c r="H229" s="230" t="n"/>
      <c r="I229" s="352" t="n"/>
      <c r="J229" s="35">
        <f>SUM(C229:I229)</f>
        <v/>
      </c>
      <c r="K229" s="815">
        <f>C229*16000</f>
        <v/>
      </c>
      <c r="L229" s="790">
        <f>D229*13100</f>
        <v/>
      </c>
      <c r="M229" s="790" t="n"/>
      <c r="N229" s="770" t="n"/>
      <c r="O229" s="853" t="n"/>
      <c r="P229" s="854" t="n"/>
      <c r="Q229" s="772">
        <f>G229*16000</f>
        <v/>
      </c>
      <c r="R229" s="756">
        <f>SUM(K229:Q229)</f>
        <v/>
      </c>
      <c r="S229" s="756">
        <f>J229*4740</f>
        <v/>
      </c>
    </row>
    <row r="230" ht="40.5" customFormat="1" customHeight="1" s="24">
      <c r="B230" s="628" t="inlineStr">
        <is>
          <t>도매</t>
        </is>
      </c>
      <c r="C230" s="74" t="n"/>
      <c r="D230" s="113" t="inlineStr">
        <is>
          <t>가맹점</t>
        </is>
      </c>
      <c r="E230" s="347" t="inlineStr">
        <is>
          <t>P00000WW</t>
        </is>
      </c>
      <c r="F230" s="123" t="n"/>
      <c r="G230" s="123" t="n"/>
      <c r="H230" s="20" t="n"/>
      <c r="I230" s="125" t="inlineStr">
        <is>
          <t>할인증정(센서형손소독기)</t>
        </is>
      </c>
      <c r="J230" s="58" t="inlineStr">
        <is>
          <t>합계</t>
        </is>
      </c>
      <c r="K230" s="840">
        <f>SUM(K226:K229)</f>
        <v/>
      </c>
      <c r="L230" s="841">
        <f>SUM(L226:L229)</f>
        <v/>
      </c>
      <c r="M230" s="840">
        <f>SUM(M226:M229)</f>
        <v/>
      </c>
      <c r="N230" s="842">
        <f>SUM(N226:N229)</f>
        <v/>
      </c>
      <c r="O230" s="843">
        <f>SUM(O226:O229)</f>
        <v/>
      </c>
      <c r="P230" s="843">
        <f>SUM(P226:P229)</f>
        <v/>
      </c>
      <c r="Q230" s="840">
        <f>SUM(Q226:Q229)</f>
        <v/>
      </c>
      <c r="R230" s="844">
        <f>SUM(R226:R229)</f>
        <v/>
      </c>
      <c r="S230" s="844">
        <f>SUM(S226:S229)</f>
        <v/>
      </c>
    </row>
    <row r="231" customFormat="1" s="24">
      <c r="B231" s="628" t="n"/>
      <c r="C231" s="74" t="n"/>
      <c r="D231" s="401" t="inlineStr">
        <is>
          <t>P00000SG</t>
        </is>
      </c>
      <c r="E231" s="123" t="n"/>
      <c r="F231" s="123" t="n"/>
      <c r="G231" s="123" t="n"/>
      <c r="H231" s="20" t="n"/>
      <c r="I231" s="317" t="n"/>
      <c r="J231" s="117" t="n"/>
      <c r="K231" s="845" t="n"/>
      <c r="L231" s="846" t="n"/>
      <c r="M231" s="845" t="n"/>
      <c r="N231" s="845" t="n"/>
      <c r="O231" s="848" t="n"/>
      <c r="P231" s="845" t="n"/>
      <c r="Q231" s="845" t="n"/>
      <c r="R231" s="849" t="n"/>
      <c r="S231" s="849" t="n"/>
    </row>
    <row r="232">
      <c r="A232" s="74" t="inlineStr">
        <is>
          <t>파우치</t>
        </is>
      </c>
      <c r="B232" s="126" t="n"/>
      <c r="C232" s="100" t="n"/>
      <c r="D232" s="682" t="inlineStr">
        <is>
          <t>P00000SV</t>
        </is>
      </c>
      <c r="E232" s="113" t="n"/>
      <c r="F232" s="127" t="n"/>
      <c r="G232" s="209" t="n"/>
      <c r="H232" s="20" t="inlineStr">
        <is>
          <t>세트할인</t>
        </is>
      </c>
      <c r="I232" s="20" t="n"/>
      <c r="J232" s="108" t="n"/>
      <c r="K232" s="828" t="inlineStr">
        <is>
          <t>도매</t>
        </is>
      </c>
      <c r="L232" s="855" t="inlineStr">
        <is>
          <t xml:space="preserve">가맹점/마스터 </t>
        </is>
      </c>
      <c r="N232" s="796" t="inlineStr">
        <is>
          <t>할인</t>
        </is>
      </c>
      <c r="O232" s="796" t="inlineStr">
        <is>
          <t>세트할인</t>
        </is>
      </c>
      <c r="P232" s="856" t="inlineStr">
        <is>
          <t>할인+증정</t>
        </is>
      </c>
      <c r="Q232" s="796" t="n"/>
      <c r="R232" s="758" t="inlineStr">
        <is>
          <t>품목별합계</t>
        </is>
      </c>
      <c r="S232" s="756" t="inlineStr">
        <is>
          <t>도매,마스터원가</t>
        </is>
      </c>
    </row>
    <row r="233">
      <c r="A233" s="128" t="inlineStr">
        <is>
          <t>센서형소독용제</t>
        </is>
      </c>
      <c r="B233" s="715" t="inlineStr">
        <is>
          <t>P00000ZM</t>
        </is>
      </c>
      <c r="C233" s="237" t="n"/>
      <c r="D233" s="32" t="n"/>
      <c r="E233" s="33" t="n"/>
      <c r="F233" s="191" t="n"/>
      <c r="G233" s="197" t="n"/>
      <c r="H233" s="36" t="n"/>
      <c r="I233" s="191" t="n"/>
      <c r="J233" s="35">
        <f>SUM(C233:I233)</f>
        <v/>
      </c>
      <c r="K233" s="755">
        <f>C233*7000</f>
        <v/>
      </c>
      <c r="L233" s="790" t="n"/>
      <c r="M233" s="770">
        <f>E233*0</f>
        <v/>
      </c>
      <c r="N233" s="771" t="n"/>
      <c r="O233" s="771">
        <f>H233*1680</f>
        <v/>
      </c>
      <c r="P233" s="857" t="n"/>
      <c r="Q233" s="796" t="n"/>
      <c r="R233" s="756">
        <f>SUM(K233:Q233)</f>
        <v/>
      </c>
      <c r="S233" s="756">
        <f>J233*1957</f>
        <v/>
      </c>
    </row>
    <row r="234">
      <c r="A234" s="129" t="inlineStr">
        <is>
          <t>센서형소독용세트</t>
        </is>
      </c>
      <c r="B234" s="378" t="inlineStr">
        <is>
          <t>P00000ZM</t>
        </is>
      </c>
      <c r="C234" s="215" t="n"/>
      <c r="D234" s="32" t="n"/>
      <c r="E234" s="33" t="n"/>
      <c r="F234" s="191" t="n"/>
      <c r="G234" s="197" t="n"/>
      <c r="H234" s="36" t="n"/>
      <c r="I234" s="191" t="n"/>
      <c r="J234" s="35">
        <f>SUM(C234:I234)</f>
        <v/>
      </c>
      <c r="K234" s="820">
        <f>C234*7800</f>
        <v/>
      </c>
      <c r="L234" s="790" t="n"/>
      <c r="M234" s="770">
        <f>E234*0</f>
        <v/>
      </c>
      <c r="N234" s="771" t="n"/>
      <c r="O234" s="771">
        <f>H234*1680</f>
        <v/>
      </c>
      <c r="P234" s="857" t="n"/>
      <c r="Q234" s="796" t="n"/>
      <c r="R234" s="756">
        <f>SUM(K234:Q234)</f>
        <v/>
      </c>
      <c r="S234" s="756">
        <f>J234*10200</f>
        <v/>
      </c>
    </row>
    <row r="235">
      <c r="A235" s="128" t="inlineStr">
        <is>
          <t>미니파우치포밍</t>
        </is>
      </c>
      <c r="B235" s="374" t="inlineStr">
        <is>
          <t>P00000OD</t>
        </is>
      </c>
      <c r="C235" s="237" t="n">
        <v>240</v>
      </c>
      <c r="D235" s="235" t="n">
        <v>300</v>
      </c>
      <c r="E235" s="33" t="n"/>
      <c r="F235" s="191" t="n"/>
      <c r="G235" s="197" t="n"/>
      <c r="H235" s="191" t="n"/>
      <c r="I235" s="36" t="n"/>
      <c r="J235" s="35">
        <f>SUM(C235:I235)</f>
        <v/>
      </c>
      <c r="K235" s="815">
        <f>C235*600</f>
        <v/>
      </c>
      <c r="L235" s="790">
        <f>D235*600</f>
        <v/>
      </c>
      <c r="M235" s="770">
        <f>E235*600</f>
        <v/>
      </c>
      <c r="N235" s="771" t="n"/>
      <c r="O235" s="771">
        <f>H235*1680</f>
        <v/>
      </c>
      <c r="P235" s="857" t="n"/>
      <c r="Q235" s="796" t="n"/>
      <c r="R235" s="756">
        <f>SUM(K235:Q235)</f>
        <v/>
      </c>
      <c r="S235" s="756">
        <f>J235*480</f>
        <v/>
      </c>
    </row>
    <row r="236" ht="27" customFormat="1" customHeight="1" s="24">
      <c r="B236" s="74" t="n"/>
      <c r="C236" s="74" t="n"/>
      <c r="D236" s="55" t="inlineStr">
        <is>
          <t>가맹점단품</t>
        </is>
      </c>
      <c r="E236" s="125" t="inlineStr">
        <is>
          <t>도매번들50+10</t>
        </is>
      </c>
      <c r="F236" s="130" t="inlineStr">
        <is>
          <t xml:space="preserve">인증/마스터50   </t>
        </is>
      </c>
      <c r="G236" s="10" t="inlineStr">
        <is>
          <t>마스터단품</t>
        </is>
      </c>
      <c r="H236" s="130" t="n"/>
      <c r="I236" s="131" t="inlineStr">
        <is>
          <t>마스터박스</t>
        </is>
      </c>
      <c r="J236" s="58" t="inlineStr">
        <is>
          <t>합계</t>
        </is>
      </c>
      <c r="K236" s="840">
        <f>SUM(K233:K235)</f>
        <v/>
      </c>
      <c r="L236" s="841">
        <f>SUM(L233:L235)</f>
        <v/>
      </c>
      <c r="M236" s="858">
        <f>SUM(M233:M235)</f>
        <v/>
      </c>
      <c r="N236" s="843">
        <f>SUM(N233:N235)</f>
        <v/>
      </c>
      <c r="O236" s="843">
        <f>SUM(O233:O235)</f>
        <v/>
      </c>
      <c r="P236" s="843">
        <f>SUM(P233:P235)</f>
        <v/>
      </c>
      <c r="Q236" s="843">
        <f>SUM(Q233:Q235)</f>
        <v/>
      </c>
      <c r="R236" s="844">
        <f>SUM(R233:R235)</f>
        <v/>
      </c>
      <c r="S236" s="844">
        <f>SUM(S233:S235)</f>
        <v/>
      </c>
    </row>
    <row r="237">
      <c r="C237" s="592" t="inlineStr">
        <is>
          <t>팩2종</t>
        </is>
      </c>
      <c r="D237" s="404" t="inlineStr">
        <is>
          <t>P00000SF</t>
        </is>
      </c>
      <c r="E237" s="400" t="inlineStr">
        <is>
          <t>P00000TG</t>
        </is>
      </c>
      <c r="F237" s="399" t="inlineStr">
        <is>
          <t>P00000WW</t>
        </is>
      </c>
      <c r="G237" s="396" t="inlineStr">
        <is>
          <t>P00000SF</t>
        </is>
      </c>
      <c r="H237" s="103" t="n"/>
      <c r="I237" s="103" t="inlineStr">
        <is>
          <t>P00000TY</t>
        </is>
      </c>
      <c r="J237" s="107" t="n"/>
      <c r="P237" s="785" t="n"/>
    </row>
    <row r="238">
      <c r="D238" s="404" t="n"/>
      <c r="E238" s="402" t="inlineStr">
        <is>
          <t>P00000VA</t>
        </is>
      </c>
      <c r="F238" s="402" t="n"/>
      <c r="G238" s="405" t="n"/>
      <c r="H238" s="399" t="n"/>
      <c r="I238" s="400" t="n"/>
      <c r="J238" s="124" t="n"/>
      <c r="P238" s="785" t="n"/>
    </row>
    <row r="239">
      <c r="D239" s="88" t="n"/>
      <c r="E239" s="403" t="inlineStr">
        <is>
          <t>P00000KX</t>
        </is>
      </c>
      <c r="F239" s="400" t="n"/>
      <c r="G239" s="209" t="n"/>
      <c r="H239" s="132" t="n"/>
      <c r="I239" s="132" t="n"/>
      <c r="J239" s="124" t="inlineStr">
        <is>
          <t>행사</t>
        </is>
      </c>
      <c r="P239" s="785" t="n"/>
    </row>
    <row r="240">
      <c r="A240" s="74" t="n"/>
      <c r="D240" s="133" t="n"/>
      <c r="E240" s="402" t="inlineStr">
        <is>
          <t>P00000UZ</t>
        </is>
      </c>
      <c r="F240" s="402" t="inlineStr">
        <is>
          <t>P0000BEW</t>
        </is>
      </c>
      <c r="G240" s="209" t="n"/>
      <c r="H240" s="122" t="n"/>
      <c r="I240" s="536" t="inlineStr">
        <is>
          <t>증정</t>
        </is>
      </c>
      <c r="J240" s="102" t="n"/>
      <c r="P240" s="785" t="n"/>
    </row>
    <row r="241">
      <c r="C241" s="628" t="inlineStr">
        <is>
          <t>도매</t>
        </is>
      </c>
      <c r="D241" s="134" t="n"/>
      <c r="E241" s="108" t="n"/>
      <c r="F241" s="350" t="n"/>
      <c r="G241" s="206" t="n"/>
      <c r="H241" s="109" t="n"/>
      <c r="I241" s="64" t="n"/>
      <c r="J241" s="108" t="n"/>
      <c r="K241" s="828" t="inlineStr">
        <is>
          <t>도매</t>
        </is>
      </c>
      <c r="L241" s="859" t="inlineStr">
        <is>
          <t>가맹/마스터단품</t>
        </is>
      </c>
      <c r="M241" s="787" t="inlineStr">
        <is>
          <t>도매,인증번들</t>
        </is>
      </c>
      <c r="N241" s="860" t="inlineStr">
        <is>
          <t>인증/마스터번들</t>
        </is>
      </c>
      <c r="O241" s="861" t="n"/>
      <c r="P241" s="862" t="inlineStr">
        <is>
          <t>마스터박스</t>
        </is>
      </c>
      <c r="Q241" s="862" t="n"/>
      <c r="R241" s="828" t="inlineStr">
        <is>
          <t>품목별합계</t>
        </is>
      </c>
      <c r="S241" s="756" t="inlineStr">
        <is>
          <t>도매,마스터원가</t>
        </is>
      </c>
    </row>
    <row r="242">
      <c r="A242" s="79" t="inlineStr">
        <is>
          <t>브라질리언수딩팩</t>
        </is>
      </c>
      <c r="B242" s="374" t="inlineStr">
        <is>
          <t>P00000ID</t>
        </is>
      </c>
      <c r="C242" s="233" t="n">
        <v>240</v>
      </c>
      <c r="D242" s="235" t="n"/>
      <c r="E242" s="215" t="n">
        <v>1700</v>
      </c>
      <c r="F242" s="234" t="n">
        <v>350</v>
      </c>
      <c r="G242" s="234" t="n"/>
      <c r="H242" s="234" t="n"/>
      <c r="I242" s="234" t="n"/>
      <c r="J242" s="35">
        <f>SUM(C242:I242)+I241</f>
        <v/>
      </c>
      <c r="K242" s="815">
        <f>C242*1750</f>
        <v/>
      </c>
      <c r="L242" s="790">
        <f>D242*1750</f>
        <v/>
      </c>
      <c r="M242" s="863">
        <f>E242*1400</f>
        <v/>
      </c>
      <c r="N242" s="770">
        <f>F242*1400</f>
        <v/>
      </c>
      <c r="O242" s="861" t="n"/>
      <c r="P242" s="770">
        <f>H242*1200</f>
        <v/>
      </c>
      <c r="Q242" s="770" t="n"/>
      <c r="R242" s="755">
        <f>SUM(K242:Q242)</f>
        <v/>
      </c>
      <c r="S242" s="755">
        <f>J242*289</f>
        <v/>
      </c>
    </row>
    <row r="243">
      <c r="A243" s="128" t="inlineStr">
        <is>
          <t>화이트브라질팩</t>
        </is>
      </c>
      <c r="B243" s="374" t="inlineStr">
        <is>
          <t>P00000UK</t>
        </is>
      </c>
      <c r="C243" s="237" t="n">
        <v>80</v>
      </c>
      <c r="D243" s="235" t="n"/>
      <c r="E243" s="215" t="n">
        <v>1450</v>
      </c>
      <c r="F243" s="234" t="n">
        <v>250</v>
      </c>
      <c r="G243" s="234" t="n"/>
      <c r="H243" s="234" t="n"/>
      <c r="I243" s="242" t="n"/>
      <c r="J243" s="35">
        <f>SUM(C243:I243)</f>
        <v/>
      </c>
      <c r="K243" s="815">
        <f>C243*1750</f>
        <v/>
      </c>
      <c r="L243" s="790">
        <f>D243*1750</f>
        <v/>
      </c>
      <c r="M243" s="863">
        <f>E243*1400</f>
        <v/>
      </c>
      <c r="N243" s="770">
        <f>F243*1400</f>
        <v/>
      </c>
      <c r="O243" s="861" t="n"/>
      <c r="P243" s="770">
        <f>H243*1200</f>
        <v/>
      </c>
      <c r="Q243" s="770" t="n"/>
      <c r="R243" s="755">
        <f>SUM(I243:Q243)</f>
        <v/>
      </c>
      <c r="S243" s="755">
        <f>J243*305</f>
        <v/>
      </c>
    </row>
    <row r="244" customFormat="1" s="24">
      <c r="B244" s="74" t="n"/>
      <c r="C244" s="486" t="n"/>
      <c r="D244" s="486" t="n"/>
      <c r="E244" s="273" t="n"/>
      <c r="F244" s="272" t="n"/>
      <c r="G244" s="272" t="n"/>
      <c r="H244" s="272" t="n"/>
      <c r="I244" s="84" t="inlineStr">
        <is>
          <t>기타</t>
        </is>
      </c>
      <c r="J244" s="58" t="inlineStr">
        <is>
          <t>합계</t>
        </is>
      </c>
      <c r="K244" s="840">
        <f>SUM(K242:K243)</f>
        <v/>
      </c>
      <c r="L244" s="841">
        <f>SUM(L242:L243)</f>
        <v/>
      </c>
      <c r="M244" s="840">
        <f>SUM(M242:M243)</f>
        <v/>
      </c>
      <c r="N244" s="840">
        <f>SUM(N242:N243)</f>
        <v/>
      </c>
      <c r="O244" s="842">
        <f>SUM(O242:O243)</f>
        <v/>
      </c>
      <c r="P244" s="840">
        <f>SUM(P242:P243)</f>
        <v/>
      </c>
      <c r="Q244" s="840">
        <f>SUM(Q242:Q243)</f>
        <v/>
      </c>
      <c r="R244" s="864">
        <f>SUM(R242:R243)</f>
        <v/>
      </c>
      <c r="S244" s="865">
        <f>SUM(S242:S243)</f>
        <v/>
      </c>
    </row>
    <row r="245" customFormat="1" s="24">
      <c r="B245" s="74" t="n"/>
      <c r="C245" s="74" t="n"/>
      <c r="D245" s="142" t="inlineStr">
        <is>
          <t>인증살롱</t>
        </is>
      </c>
      <c r="E245" s="143" t="n"/>
      <c r="F245" s="630" t="n"/>
      <c r="G245" s="26" t="n"/>
      <c r="H245" s="144" t="n"/>
      <c r="I245" s="630" t="n"/>
      <c r="J245" s="630" t="n"/>
      <c r="K245" s="866" t="n"/>
      <c r="L245" s="866" t="n"/>
      <c r="M245" s="867" t="n"/>
      <c r="N245" s="867" t="n"/>
      <c r="O245" s="868" t="n"/>
      <c r="P245" s="869" t="n"/>
      <c r="Q245" s="870" t="n"/>
      <c r="R245" s="866" t="n"/>
      <c r="S245" s="871" t="n"/>
    </row>
    <row r="246" customFormat="1" s="24">
      <c r="B246" s="74" t="n"/>
      <c r="C246" s="74" t="n"/>
      <c r="D246" s="406" t="inlineStr">
        <is>
          <t>P00000QT</t>
        </is>
      </c>
      <c r="E246" s="143" t="inlineStr">
        <is>
          <t>마스터</t>
        </is>
      </c>
      <c r="F246" s="691" t="inlineStr">
        <is>
          <t>P00000VL</t>
        </is>
      </c>
      <c r="G246" s="12" t="inlineStr">
        <is>
          <t>보상판매</t>
        </is>
      </c>
      <c r="H246" s="144" t="n"/>
      <c r="I246" s="691" t="n"/>
      <c r="J246" s="499" t="inlineStr">
        <is>
          <t>할인</t>
        </is>
      </c>
      <c r="K246" s="866" t="n"/>
      <c r="L246" s="866" t="n"/>
      <c r="M246" s="867" t="n"/>
      <c r="N246" s="867" t="n"/>
      <c r="O246" s="868" t="n"/>
      <c r="P246" s="869" t="n"/>
      <c r="Q246" s="870" t="n"/>
      <c r="R246" s="866" t="n"/>
      <c r="S246" s="871" t="n"/>
    </row>
    <row r="247" ht="24" customFormat="1" customHeight="1" s="244">
      <c r="B247" s="245" t="n"/>
      <c r="C247" s="245" t="n"/>
      <c r="D247" s="406" t="inlineStr">
        <is>
          <t>P00000WK</t>
        </is>
      </c>
      <c r="E247" s="19" t="inlineStr">
        <is>
          <t>P00000QU</t>
        </is>
      </c>
      <c r="F247" s="20" t="inlineStr">
        <is>
          <t>P00000YU</t>
        </is>
      </c>
      <c r="G247" s="26" t="inlineStr">
        <is>
          <t>바디스타터키트</t>
        </is>
      </c>
      <c r="H247" s="491" t="n"/>
      <c r="I247" s="20" t="inlineStr">
        <is>
          <t>P00000YZ</t>
        </is>
      </c>
      <c r="J247" s="77" t="inlineStr">
        <is>
          <t>컵세트할인</t>
        </is>
      </c>
      <c r="K247" s="866" t="n"/>
      <c r="L247" s="866" t="n"/>
      <c r="M247" s="867" t="n"/>
      <c r="N247" s="867" t="n"/>
      <c r="O247" s="868" t="n"/>
      <c r="P247" s="869" t="n"/>
      <c r="Q247" s="870" t="n"/>
      <c r="R247" s="866" t="n"/>
      <c r="S247" s="871" t="n"/>
    </row>
    <row r="248">
      <c r="A248" s="24" t="inlineStr">
        <is>
          <t>워머기&amp;컵</t>
        </is>
      </c>
      <c r="C248" s="628" t="inlineStr">
        <is>
          <t>도매</t>
        </is>
      </c>
      <c r="D248" s="406" t="inlineStr">
        <is>
          <t>P00000NL</t>
        </is>
      </c>
      <c r="E248" s="91" t="n"/>
      <c r="F248" s="20" t="inlineStr">
        <is>
          <t>P00000YS</t>
        </is>
      </c>
      <c r="G248" s="110" t="inlineStr">
        <is>
          <t>스타터키트</t>
        </is>
      </c>
      <c r="I248" s="102" t="n"/>
      <c r="J248" s="140" t="n"/>
      <c r="K248" s="763" t="inlineStr">
        <is>
          <t>도매</t>
        </is>
      </c>
      <c r="L248" s="764" t="inlineStr">
        <is>
          <t>마스터/인증살롱</t>
        </is>
      </c>
      <c r="M248" s="765" t="n"/>
      <c r="N248" s="827" t="n"/>
      <c r="O248" s="827" t="inlineStr">
        <is>
          <t>페이스스타터</t>
        </is>
      </c>
      <c r="P248" s="872" t="n"/>
      <c r="Q248" s="852" t="inlineStr">
        <is>
          <t>세트할인</t>
        </is>
      </c>
      <c r="R248" s="767" t="inlineStr">
        <is>
          <t>품목별합계</t>
        </is>
      </c>
      <c r="S248" s="873" t="inlineStr">
        <is>
          <t>도매,마스터원가</t>
        </is>
      </c>
    </row>
    <row r="249">
      <c r="A249" s="79" t="inlineStr">
        <is>
          <t>1000/1000</t>
        </is>
      </c>
      <c r="B249" s="548" t="inlineStr">
        <is>
          <t>P00000VK</t>
        </is>
      </c>
      <c r="C249" s="233" t="n">
        <v>12</v>
      </c>
      <c r="D249" s="235" t="n">
        <v>1</v>
      </c>
      <c r="E249" s="234" t="n"/>
      <c r="F249" s="215" t="n">
        <v>4</v>
      </c>
      <c r="G249" s="236" t="n"/>
      <c r="H249" s="231" t="n"/>
      <c r="I249" s="230" t="n"/>
      <c r="J249" s="35">
        <f>SUM(C249:I249)</f>
        <v/>
      </c>
      <c r="K249" s="815" t="n">
        <v>2421000</v>
      </c>
      <c r="L249" s="790">
        <f>D249*176000</f>
        <v/>
      </c>
      <c r="M249" s="770">
        <f>E249*176000</f>
        <v/>
      </c>
      <c r="N249" s="757" t="n"/>
      <c r="O249" s="757">
        <f>F249*162000</f>
        <v/>
      </c>
      <c r="P249" s="785" t="n"/>
      <c r="Q249" s="772" t="n"/>
      <c r="R249" s="756">
        <f>SUM(K249:Q249)</f>
        <v/>
      </c>
      <c r="S249" s="756">
        <f>J249*55000</f>
        <v/>
      </c>
    </row>
    <row r="250">
      <c r="A250" s="79" t="inlineStr">
        <is>
          <t>베이비히터</t>
        </is>
      </c>
      <c r="B250" s="548" t="inlineStr">
        <is>
          <t>P00000VK</t>
        </is>
      </c>
      <c r="C250" s="233" t="n">
        <v>6</v>
      </c>
      <c r="D250" s="235" t="n"/>
      <c r="E250" s="234" t="n"/>
      <c r="F250" s="215" t="n">
        <v>1</v>
      </c>
      <c r="G250" s="229" t="n"/>
      <c r="H250" s="231" t="n"/>
      <c r="I250" s="215" t="n">
        <v>2</v>
      </c>
      <c r="J250" s="35">
        <f>SUM(C250:I250)</f>
        <v/>
      </c>
      <c r="K250" s="815" t="n">
        <v>270600</v>
      </c>
      <c r="L250" s="790">
        <f>D250*44000</f>
        <v/>
      </c>
      <c r="M250" s="770">
        <f>E250*44000</f>
        <v/>
      </c>
      <c r="N250" s="757" t="n"/>
      <c r="O250" s="757">
        <f>F250*36520</f>
        <v/>
      </c>
      <c r="P250" s="785" t="n"/>
      <c r="Q250" s="772">
        <f>I250*30800</f>
        <v/>
      </c>
      <c r="R250" s="756">
        <f>SUM(K250:Q250)</f>
        <v/>
      </c>
      <c r="S250" s="756">
        <f>J250*13500</f>
        <v/>
      </c>
    </row>
    <row r="251">
      <c r="A251" s="79" t="inlineStr">
        <is>
          <t>컵500</t>
        </is>
      </c>
      <c r="B251" s="715" t="inlineStr">
        <is>
          <t>P00000DY</t>
        </is>
      </c>
      <c r="C251" s="233" t="n">
        <v>25</v>
      </c>
      <c r="D251" s="235" t="n"/>
      <c r="E251" s="234" t="n">
        <v>2</v>
      </c>
      <c r="F251" s="229" t="n"/>
      <c r="G251" s="236" t="n"/>
      <c r="H251" s="231" t="n"/>
      <c r="I251" s="231" t="n"/>
      <c r="J251" s="35">
        <f>SUM(C251:I251)</f>
        <v/>
      </c>
      <c r="K251" s="815" t="n">
        <v>521000</v>
      </c>
      <c r="L251" s="790">
        <f>D251*15400</f>
        <v/>
      </c>
      <c r="M251" s="770">
        <f>E251*15400</f>
        <v/>
      </c>
      <c r="N251" s="757" t="n"/>
      <c r="P251" s="785" t="n"/>
      <c r="Q251" s="772" t="n"/>
      <c r="R251" s="756">
        <f>SUM(K251:Q251)</f>
        <v/>
      </c>
      <c r="S251" s="756">
        <f>J251*4500</f>
        <v/>
      </c>
    </row>
    <row r="252">
      <c r="A252" s="128" t="inlineStr">
        <is>
          <t>컵1000</t>
        </is>
      </c>
      <c r="B252" s="715" t="inlineStr">
        <is>
          <t>P00000DY</t>
        </is>
      </c>
      <c r="C252" s="233" t="n">
        <v>22</v>
      </c>
      <c r="D252" s="235" t="n"/>
      <c r="E252" s="234" t="n">
        <v>2</v>
      </c>
      <c r="F252" s="230" t="n"/>
      <c r="G252" s="236" t="n"/>
      <c r="H252" s="231" t="n"/>
      <c r="I252" s="231" t="n"/>
      <c r="J252" s="35">
        <f>SUM(C252:I252)</f>
        <v/>
      </c>
      <c r="K252" s="815" t="n">
        <v>453000</v>
      </c>
      <c r="L252" s="790">
        <f>D252*15400</f>
        <v/>
      </c>
      <c r="M252" s="770">
        <f>E252*15400</f>
        <v/>
      </c>
      <c r="N252" s="757" t="n"/>
      <c r="P252" s="785" t="n"/>
      <c r="Q252" s="772" t="n"/>
      <c r="R252" s="756">
        <f>SUM(K252:Q252)</f>
        <v/>
      </c>
      <c r="S252" s="756">
        <f>J252*4700</f>
        <v/>
      </c>
    </row>
    <row r="253">
      <c r="A253" s="128" t="inlineStr">
        <is>
          <t>베이비컵</t>
        </is>
      </c>
      <c r="B253" s="715" t="inlineStr">
        <is>
          <t>P00000DY</t>
        </is>
      </c>
      <c r="C253" s="233" t="n">
        <v>6</v>
      </c>
      <c r="D253" s="235" t="n"/>
      <c r="E253" s="234" t="n"/>
      <c r="F253" s="230" t="n"/>
      <c r="G253" s="236" t="n"/>
      <c r="H253" s="231" t="n"/>
      <c r="I253" s="230" t="n"/>
      <c r="J253" s="35">
        <f>SUM(C253:I253)</f>
        <v/>
      </c>
      <c r="K253" s="815">
        <f>C253*10400</f>
        <v/>
      </c>
      <c r="L253" s="790">
        <f>D253*10400</f>
        <v/>
      </c>
      <c r="M253" s="770">
        <f>E253*10400</f>
        <v/>
      </c>
      <c r="N253" s="757" t="n"/>
      <c r="P253" s="785" t="n"/>
      <c r="Q253" s="772" t="n"/>
      <c r="R253" s="756">
        <f>SUM(K253:Q253)</f>
        <v/>
      </c>
      <c r="S253" s="756">
        <f>J253*2700</f>
        <v/>
      </c>
    </row>
    <row r="254">
      <c r="A254" s="79" t="inlineStr">
        <is>
          <t>에어브러쉬건</t>
        </is>
      </c>
      <c r="B254" s="715" t="inlineStr">
        <is>
          <t>P00000QC</t>
        </is>
      </c>
      <c r="C254" s="237" t="n"/>
      <c r="D254" s="235" t="n"/>
      <c r="E254" s="234" t="n"/>
      <c r="F254" s="230" t="n"/>
      <c r="G254" s="236" t="n"/>
      <c r="H254" s="231" t="n"/>
      <c r="I254" s="231" t="n"/>
      <c r="J254" s="35">
        <f>SUM(C254:I254)</f>
        <v/>
      </c>
      <c r="K254" s="755">
        <f>C254*150000</f>
        <v/>
      </c>
      <c r="L254" s="790">
        <f>D254*120000</f>
        <v/>
      </c>
      <c r="M254" s="770">
        <f>E254*120000</f>
        <v/>
      </c>
      <c r="N254" s="757" t="n"/>
      <c r="P254" s="785" t="n"/>
      <c r="Q254" s="772" t="n"/>
      <c r="R254" s="756">
        <f>SUM(K254:Q254)</f>
        <v/>
      </c>
      <c r="S254" s="756">
        <f>J254*79000</f>
        <v/>
      </c>
    </row>
    <row r="255">
      <c r="A255" s="109" t="inlineStr">
        <is>
          <t>센서형손소독기</t>
        </is>
      </c>
      <c r="B255" s="378" t="inlineStr">
        <is>
          <t>P00000ZM</t>
        </is>
      </c>
      <c r="C255" s="230" t="n"/>
      <c r="D255" s="32" t="n"/>
      <c r="E255" s="33" t="n"/>
      <c r="F255" s="191" t="n"/>
      <c r="G255" s="197" t="n"/>
      <c r="H255" s="80" t="n"/>
      <c r="I255" s="80" t="n"/>
      <c r="J255" s="35">
        <f>SUM(C255:I255)</f>
        <v/>
      </c>
      <c r="K255" s="831">
        <f>C255*12000</f>
        <v/>
      </c>
      <c r="L255" s="790" t="n"/>
      <c r="M255" s="770" t="n"/>
      <c r="N255" s="757" t="n"/>
      <c r="P255" s="785" t="n"/>
      <c r="Q255" s="772">
        <f>F255*12000</f>
        <v/>
      </c>
      <c r="R255" s="756">
        <f>SUM(K255:Q255)</f>
        <v/>
      </c>
      <c r="S255" s="756">
        <f>J255*8230</f>
        <v/>
      </c>
    </row>
    <row r="256" customFormat="1" s="244">
      <c r="B256" s="245" t="n"/>
      <c r="C256" s="486" t="n"/>
      <c r="D256" s="475" t="n"/>
      <c r="E256" s="487" t="n"/>
      <c r="F256" s="488" t="n"/>
      <c r="G256" s="488" t="n"/>
      <c r="H256" s="488" t="n"/>
      <c r="I256" s="246" t="n"/>
      <c r="J256" s="247" t="n"/>
      <c r="K256" s="845" t="n"/>
      <c r="L256" s="846" t="n"/>
      <c r="M256" s="845" t="n"/>
      <c r="N256" s="845" t="n"/>
      <c r="O256" s="847" t="n"/>
      <c r="P256" s="845" t="n"/>
      <c r="Q256" s="845" t="n"/>
      <c r="R256" s="845" t="n"/>
      <c r="S256" s="874" t="n"/>
    </row>
    <row r="257" customFormat="1" s="24">
      <c r="B257" s="74" t="n"/>
      <c r="C257" s="74" t="n"/>
      <c r="D257" s="9" t="inlineStr">
        <is>
          <t>인증살롱</t>
        </is>
      </c>
      <c r="E257" s="10" t="n"/>
      <c r="F257" s="12" t="n"/>
      <c r="G257" s="12" t="n"/>
      <c r="H257" s="12" t="n"/>
      <c r="I257" s="12" t="n"/>
      <c r="J257" s="117" t="inlineStr">
        <is>
          <t>합계</t>
        </is>
      </c>
      <c r="K257" s="875">
        <f>SUM(K249:K256)</f>
        <v/>
      </c>
      <c r="L257" s="875">
        <f>SUM(L249:L256)</f>
        <v/>
      </c>
      <c r="M257" s="875">
        <f>SUM(M249:M256)</f>
        <v/>
      </c>
      <c r="N257" s="875">
        <f>SUM(N249:N256)</f>
        <v/>
      </c>
      <c r="O257" s="875">
        <f>SUM(O249:O256)</f>
        <v/>
      </c>
      <c r="P257" s="875">
        <f>SUM(P249:P256)</f>
        <v/>
      </c>
      <c r="Q257" s="875">
        <f>SUM(Q249:Q256)</f>
        <v/>
      </c>
      <c r="R257" s="875">
        <f>SUM(R249:R256)</f>
        <v/>
      </c>
      <c r="S257" s="875">
        <f>SUM(S249:S256)</f>
        <v/>
      </c>
    </row>
    <row r="258">
      <c r="C258" s="104" t="inlineStr">
        <is>
          <t>위생용품</t>
        </is>
      </c>
      <c r="D258" s="55" t="inlineStr">
        <is>
          <t>P00000WN</t>
        </is>
      </c>
      <c r="E258" s="10" t="inlineStr">
        <is>
          <t>마스터</t>
        </is>
      </c>
      <c r="F258" s="12" t="inlineStr">
        <is>
          <t>할인행사</t>
        </is>
      </c>
      <c r="G258" s="12" t="n"/>
      <c r="H258" s="12" t="n"/>
      <c r="I258" s="12" t="inlineStr">
        <is>
          <t>증정</t>
        </is>
      </c>
      <c r="J258" s="110" t="n"/>
      <c r="P258" s="785" t="n"/>
    </row>
    <row r="259">
      <c r="A259" s="74" t="inlineStr">
        <is>
          <t>소모품</t>
        </is>
      </c>
      <c r="C259" s="104" t="inlineStr">
        <is>
          <t>스파츌라</t>
        </is>
      </c>
      <c r="D259" s="55" t="inlineStr">
        <is>
          <t>P00000WL</t>
        </is>
      </c>
      <c r="E259" s="15" t="inlineStr">
        <is>
          <t>P00000QW</t>
        </is>
      </c>
      <c r="F259" s="20" t="n"/>
      <c r="G259" s="110" t="n"/>
      <c r="H259" s="137" t="n"/>
      <c r="I259" s="20" t="inlineStr">
        <is>
          <t>P00000YS</t>
        </is>
      </c>
      <c r="J259" s="110" t="inlineStr">
        <is>
          <t>스타터키트</t>
        </is>
      </c>
      <c r="P259" s="785" t="n"/>
    </row>
    <row r="260" ht="24" customHeight="1" s="754">
      <c r="C260" s="104" t="inlineStr">
        <is>
          <t>부직포</t>
        </is>
      </c>
      <c r="D260" s="105" t="inlineStr">
        <is>
          <t>P00000WM</t>
        </is>
      </c>
      <c r="E260" s="15" t="inlineStr">
        <is>
          <t>P00000QV</t>
        </is>
      </c>
      <c r="F260" s="19" t="inlineStr">
        <is>
          <t>P0000BMO</t>
        </is>
      </c>
      <c r="G260" s="146" t="n"/>
      <c r="H260" s="146" t="n"/>
      <c r="I260" s="20" t="inlineStr">
        <is>
          <t>P00000YU</t>
        </is>
      </c>
      <c r="J260" s="26" t="inlineStr">
        <is>
          <t>바디스타터키트</t>
        </is>
      </c>
      <c r="P260" s="785" t="n"/>
    </row>
    <row r="261">
      <c r="C261" s="552" t="n"/>
      <c r="D261" s="545" t="n"/>
      <c r="E261" s="19" t="inlineStr">
        <is>
          <t>P00000QX</t>
        </is>
      </c>
      <c r="F261" s="569" t="n"/>
      <c r="G261" s="146" t="n"/>
      <c r="H261" s="146" t="n"/>
      <c r="I261" s="20" t="n"/>
      <c r="J261" s="309" t="n"/>
      <c r="P261" s="785" t="n"/>
    </row>
    <row r="262">
      <c r="A262" s="148" t="n"/>
      <c r="B262" s="628" t="inlineStr">
        <is>
          <t>도매</t>
        </is>
      </c>
      <c r="C262" s="104" t="inlineStr">
        <is>
          <t>롤러,거울</t>
        </is>
      </c>
      <c r="D262" s="105" t="inlineStr">
        <is>
          <t>P00000NL</t>
        </is>
      </c>
      <c r="E262" s="19" t="inlineStr">
        <is>
          <t>P0000BLZ</t>
        </is>
      </c>
      <c r="F262" s="20" t="n"/>
      <c r="G262" s="26" t="n"/>
      <c r="H262" s="146" t="n"/>
      <c r="I262" s="124" t="inlineStr">
        <is>
          <t>증정행사</t>
        </is>
      </c>
      <c r="J262" s="140" t="n"/>
      <c r="K262" s="763" t="inlineStr">
        <is>
          <t>도매</t>
        </is>
      </c>
      <c r="L262" s="764" t="inlineStr">
        <is>
          <t>마스터/인증살롱</t>
        </is>
      </c>
      <c r="M262" s="765" t="n"/>
      <c r="N262" s="766" t="inlineStr">
        <is>
          <t xml:space="preserve">할인 </t>
        </is>
      </c>
      <c r="O262" s="766" t="inlineStr">
        <is>
          <t>세트할인</t>
        </is>
      </c>
      <c r="P262" s="766" t="inlineStr">
        <is>
          <t>할인+증정</t>
        </is>
      </c>
      <c r="Q262" s="767" t="n"/>
      <c r="R262" s="767" t="inlineStr">
        <is>
          <t>품목별합계</t>
        </is>
      </c>
      <c r="S262" s="873" t="inlineStr">
        <is>
          <t>도매,마스터원가</t>
        </is>
      </c>
    </row>
    <row r="263" customFormat="1" s="755">
      <c r="A263" s="115" t="inlineStr">
        <is>
          <t>위생시트(개수)</t>
        </is>
      </c>
      <c r="B263" s="532" t="inlineStr">
        <is>
          <t>P00000DB</t>
        </is>
      </c>
      <c r="C263" s="237" t="n">
        <v>6</v>
      </c>
      <c r="D263" s="235" t="n">
        <v>4</v>
      </c>
      <c r="E263" s="234" t="n">
        <v>6</v>
      </c>
      <c r="F263" s="230" t="n"/>
      <c r="G263" s="236" t="n"/>
      <c r="H263" s="231" t="n"/>
      <c r="I263" s="230" t="n"/>
      <c r="J263" s="35">
        <f>SUM(C263:I263)</f>
        <v/>
      </c>
      <c r="K263" s="815">
        <f>C263*25000</f>
        <v/>
      </c>
      <c r="L263" s="790">
        <f>D263*22000</f>
        <v/>
      </c>
      <c r="M263" s="770">
        <f>E263*22000</f>
        <v/>
      </c>
      <c r="N263" s="771">
        <f>F263*10000</f>
        <v/>
      </c>
      <c r="O263" s="771" t="n"/>
      <c r="P263" s="771" t="n"/>
      <c r="Q263" s="758" t="n"/>
      <c r="R263" s="756">
        <f>SUM(K263:Q263)</f>
        <v/>
      </c>
      <c r="S263" s="756">
        <f>J263*15400</f>
        <v/>
      </c>
    </row>
    <row r="264" customFormat="1" s="755">
      <c r="A264" s="115" t="inlineStr">
        <is>
          <t>제모미인항균시트</t>
        </is>
      </c>
      <c r="B264" s="775" t="n"/>
      <c r="C264" s="233" t="n">
        <v>47</v>
      </c>
      <c r="D264" s="235" t="n"/>
      <c r="E264" s="234" t="n"/>
      <c r="F264" s="230" t="n"/>
      <c r="G264" s="236" t="n"/>
      <c r="H264" s="231" t="n"/>
      <c r="I264" s="242" t="n"/>
      <c r="J264" s="35">
        <f>SUM(C264:I264)</f>
        <v/>
      </c>
      <c r="K264" s="815">
        <f>C264*12000</f>
        <v/>
      </c>
      <c r="L264" s="790">
        <f>D264*12000</f>
        <v/>
      </c>
      <c r="M264" s="770">
        <f>E264*12000</f>
        <v/>
      </c>
      <c r="N264" s="771" t="n"/>
      <c r="O264" s="771" t="n"/>
      <c r="P264" s="771" t="n"/>
      <c r="Q264" s="758" t="n"/>
      <c r="R264" s="756">
        <f>SUM(K264:Q264)</f>
        <v/>
      </c>
      <c r="S264" s="756">
        <f>J264*7150</f>
        <v/>
      </c>
    </row>
    <row r="265" customFormat="1" s="755">
      <c r="A265" s="115" t="inlineStr">
        <is>
          <t>5겹솜</t>
        </is>
      </c>
      <c r="B265" s="369" t="inlineStr">
        <is>
          <t>P00000PS</t>
        </is>
      </c>
      <c r="C265" s="233" t="n">
        <v>16</v>
      </c>
      <c r="D265" s="235" t="n"/>
      <c r="E265" s="234" t="n">
        <v>9</v>
      </c>
      <c r="F265" s="229" t="n"/>
      <c r="G265" s="236" t="n"/>
      <c r="H265" s="231" t="n"/>
      <c r="I265" s="230" t="n"/>
      <c r="J265" s="35">
        <f>SUM(C265:I265)</f>
        <v/>
      </c>
      <c r="K265" s="815">
        <f>C265*22000</f>
        <v/>
      </c>
      <c r="L265" s="790">
        <f>D265*22000</f>
        <v/>
      </c>
      <c r="M265" s="770">
        <f>E265*15000</f>
        <v/>
      </c>
      <c r="N265" s="771" t="n"/>
      <c r="O265" s="771" t="n"/>
      <c r="P265" s="771" t="n"/>
      <c r="Q265" s="758" t="n"/>
      <c r="R265" s="756">
        <f>SUM(K265:Q265)</f>
        <v/>
      </c>
      <c r="S265" s="756">
        <f>J265*10835</f>
        <v/>
      </c>
    </row>
    <row r="266" customFormat="1" s="755">
      <c r="A266" s="115" t="inlineStr">
        <is>
          <t>깃털천</t>
        </is>
      </c>
      <c r="B266" s="370" t="inlineStr">
        <is>
          <t>P00000CZ</t>
        </is>
      </c>
      <c r="C266" s="233" t="n">
        <v>21</v>
      </c>
      <c r="D266" s="235" t="n"/>
      <c r="E266" s="234" t="n">
        <v>2</v>
      </c>
      <c r="F266" s="230" t="n"/>
      <c r="G266" s="236" t="n"/>
      <c r="H266" s="231" t="n"/>
      <c r="I266" s="242" t="n"/>
      <c r="J266" s="35">
        <f>SUM(C266:I266)</f>
        <v/>
      </c>
      <c r="K266" s="815">
        <f>C266*22000</f>
        <v/>
      </c>
      <c r="L266" s="790">
        <f>D266*22000</f>
        <v/>
      </c>
      <c r="M266" s="770">
        <f>E266*22000</f>
        <v/>
      </c>
      <c r="N266" s="771" t="n"/>
      <c r="O266" s="771" t="n"/>
      <c r="P266" s="771" t="n"/>
      <c r="Q266" s="758" t="n"/>
      <c r="R266" s="756">
        <f>SUM(K266:Q266)</f>
        <v/>
      </c>
      <c r="S266" s="756">
        <f>J266*9361</f>
        <v/>
      </c>
    </row>
    <row r="267" customFormat="1" s="755">
      <c r="A267" s="115" t="inlineStr">
        <is>
          <t>부직포250</t>
        </is>
      </c>
      <c r="B267" s="370" t="inlineStr">
        <is>
          <t>P00000DD</t>
        </is>
      </c>
      <c r="C267" s="257" t="n">
        <v>6</v>
      </c>
      <c r="D267" s="235" t="n"/>
      <c r="E267" s="234" t="n"/>
      <c r="F267" s="230" t="n"/>
      <c r="G267" s="236" t="n"/>
      <c r="H267" s="231" t="n"/>
      <c r="I267" s="215" t="n">
        <v>4</v>
      </c>
      <c r="J267" s="35">
        <f>SUM(C267:I267)</f>
        <v/>
      </c>
      <c r="K267" s="815" t="n">
        <v>105000</v>
      </c>
      <c r="L267" s="790">
        <f>D267*15000</f>
        <v/>
      </c>
      <c r="M267" s="770">
        <f>E267*14000</f>
        <v/>
      </c>
      <c r="N267" s="771" t="n"/>
      <c r="O267" s="771">
        <f>I267*14400</f>
        <v/>
      </c>
      <c r="P267" s="771" t="n"/>
      <c r="Q267" s="796" t="n"/>
      <c r="R267" s="756">
        <f>SUM(K267:Q267)</f>
        <v/>
      </c>
      <c r="S267" s="756">
        <f>J267*4238</f>
        <v/>
      </c>
    </row>
    <row r="268" customFormat="1" s="755">
      <c r="A268" s="115" t="inlineStr">
        <is>
          <t>라이콘롤50m</t>
        </is>
      </c>
      <c r="B268" s="370" t="inlineStr">
        <is>
          <t>P00000DA</t>
        </is>
      </c>
      <c r="C268" s="237" t="n">
        <v>5</v>
      </c>
      <c r="D268" s="235" t="n"/>
      <c r="E268" s="234" t="n">
        <v>1</v>
      </c>
      <c r="F268" s="230" t="n"/>
      <c r="G268" s="236" t="n"/>
      <c r="H268" s="231" t="n"/>
      <c r="I268" s="215" t="n"/>
      <c r="J268" s="35">
        <f>SUM(C268:I268)</f>
        <v/>
      </c>
      <c r="K268" s="815" t="n">
        <v>72000</v>
      </c>
      <c r="L268" s="790">
        <f>D268*11600</f>
        <v/>
      </c>
      <c r="M268" s="770">
        <f>E268*11600</f>
        <v/>
      </c>
      <c r="N268" s="771" t="n"/>
      <c r="O268" s="771" t="n"/>
      <c r="P268" s="771" t="n"/>
      <c r="Q268" s="758" t="n"/>
      <c r="R268" s="756">
        <f>SUM(K268:Q268)</f>
        <v/>
      </c>
      <c r="S268" s="756">
        <f>J268*3719</f>
        <v/>
      </c>
    </row>
    <row r="269" customFormat="1" s="755">
      <c r="A269" s="115" t="inlineStr">
        <is>
          <t>픽미트위저</t>
        </is>
      </c>
      <c r="B269" s="383" t="inlineStr">
        <is>
          <t>P0000BBL</t>
        </is>
      </c>
      <c r="C269" s="237" t="n">
        <v>4</v>
      </c>
      <c r="D269" s="235" t="n"/>
      <c r="E269" s="234" t="n"/>
      <c r="F269" s="230" t="n"/>
      <c r="G269" s="236" t="n"/>
      <c r="H269" s="231" t="n"/>
      <c r="I269" s="215" t="n"/>
      <c r="J269" s="35">
        <f>SUM(C269:I269)</f>
        <v/>
      </c>
      <c r="K269" s="815">
        <f>C269*33000</f>
        <v/>
      </c>
      <c r="L269" s="790">
        <f>D269*33000</f>
        <v/>
      </c>
      <c r="M269" s="839">
        <f>E269*33000</f>
        <v/>
      </c>
      <c r="N269" s="820" t="n"/>
      <c r="O269" s="820" t="n"/>
      <c r="P269" s="820" t="n"/>
      <c r="Q269" s="758" t="n"/>
      <c r="R269" s="756">
        <f>SUM(K269:Q269)</f>
        <v/>
      </c>
      <c r="S269" s="756">
        <f>J269*16500</f>
        <v/>
      </c>
    </row>
    <row r="270" customFormat="1" s="755">
      <c r="A270" s="211" t="inlineStr">
        <is>
          <t>인그로운족집게</t>
        </is>
      </c>
      <c r="B270" s="383" t="inlineStr">
        <is>
          <t>P00000ZL</t>
        </is>
      </c>
      <c r="C270" s="237" t="n">
        <v>1</v>
      </c>
      <c r="D270" s="235" t="n"/>
      <c r="E270" s="234" t="n"/>
      <c r="F270" s="230" t="n"/>
      <c r="G270" s="236" t="n"/>
      <c r="H270" s="231" t="n"/>
      <c r="I270" s="215" t="n"/>
      <c r="J270" s="35">
        <f>SUM(C270:I270)</f>
        <v/>
      </c>
      <c r="K270" s="755">
        <f>C270*77000</f>
        <v/>
      </c>
      <c r="L270" s="790">
        <f>D270*77000</f>
        <v/>
      </c>
      <c r="M270" s="839">
        <f>E270*77000</f>
        <v/>
      </c>
      <c r="N270" s="820" t="n"/>
      <c r="O270" s="820" t="n"/>
      <c r="P270" s="820" t="n"/>
      <c r="Q270" s="796" t="n"/>
      <c r="R270" s="756">
        <f>SUM(K270:Q270)</f>
        <v/>
      </c>
      <c r="S270" s="756">
        <f>J270*38500</f>
        <v/>
      </c>
    </row>
    <row r="271" ht="21.75" customFormat="1" customHeight="1" s="755">
      <c r="A271" s="149" t="inlineStr">
        <is>
          <t>바디스파츌라</t>
        </is>
      </c>
      <c r="B271" s="383" t="inlineStr">
        <is>
          <t>P00000DH</t>
        </is>
      </c>
      <c r="C271" s="233" t="n">
        <v>104</v>
      </c>
      <c r="D271" s="235" t="n"/>
      <c r="E271" s="234" t="n"/>
      <c r="F271" s="230" t="n"/>
      <c r="G271" s="236" t="n"/>
      <c r="H271" s="231" t="n"/>
      <c r="I271" s="214" t="n"/>
      <c r="J271" s="35">
        <f>SUM(C271:I271)</f>
        <v/>
      </c>
      <c r="K271" s="836">
        <f>C271*2500</f>
        <v/>
      </c>
      <c r="L271" s="790" t="n"/>
      <c r="M271" s="770" t="n"/>
      <c r="N271" s="771" t="n"/>
      <c r="O271" s="771" t="n"/>
      <c r="P271" s="771" t="n"/>
      <c r="Q271" s="796" t="n"/>
      <c r="R271" s="756">
        <f>SUM(K271:Q271)</f>
        <v/>
      </c>
      <c r="S271" s="756">
        <f>J271*1070</f>
        <v/>
      </c>
    </row>
    <row r="272" customFormat="1" s="755">
      <c r="A272" s="150" t="inlineStr">
        <is>
          <t>바디스파츌라(묶음)</t>
        </is>
      </c>
      <c r="B272" s="371" t="inlineStr">
        <is>
          <t>P00000TX</t>
        </is>
      </c>
      <c r="C272" s="215" t="n"/>
      <c r="D272" s="235" t="n"/>
      <c r="E272" s="234" t="n">
        <v>100</v>
      </c>
      <c r="F272" s="230" t="n"/>
      <c r="G272" s="236" t="n"/>
      <c r="H272" s="231" t="n"/>
      <c r="I272" s="215" t="n">
        <v>4</v>
      </c>
      <c r="J272" s="35">
        <f>SUM(C272:I272)</f>
        <v/>
      </c>
      <c r="K272" s="820">
        <f>C272*1700</f>
        <v/>
      </c>
      <c r="L272" s="790">
        <f>D272*1700</f>
        <v/>
      </c>
      <c r="M272" s="770">
        <f>E272*1700</f>
        <v/>
      </c>
      <c r="N272" s="771" t="n"/>
      <c r="O272" s="771">
        <f>I272*2000</f>
        <v/>
      </c>
      <c r="P272" s="771" t="n"/>
      <c r="Q272" s="796" t="n"/>
      <c r="R272" s="756">
        <f>SUM(K272:Q272)</f>
        <v/>
      </c>
      <c r="S272" s="756">
        <f>J272*1070</f>
        <v/>
      </c>
    </row>
    <row r="273" customFormat="1" s="755">
      <c r="A273" s="151" t="inlineStr">
        <is>
          <t>패들팝</t>
        </is>
      </c>
      <c r="B273" s="383" t="inlineStr">
        <is>
          <t>P00000DE</t>
        </is>
      </c>
      <c r="C273" s="239" t="n">
        <v>37</v>
      </c>
      <c r="D273" s="235" t="n"/>
      <c r="E273" s="234" t="n"/>
      <c r="F273" s="230" t="n"/>
      <c r="G273" s="236" t="n"/>
      <c r="H273" s="231" t="n"/>
      <c r="I273" s="215" t="n"/>
      <c r="J273" s="35">
        <f>SUM(C273:I273)</f>
        <v/>
      </c>
      <c r="K273" s="836">
        <f>C273*2500</f>
        <v/>
      </c>
      <c r="L273" s="790" t="n"/>
      <c r="M273" s="770">
        <f>E273*1500</f>
        <v/>
      </c>
      <c r="N273" s="771" t="n"/>
      <c r="O273" s="771" t="n"/>
      <c r="P273" s="771" t="n"/>
      <c r="Q273" s="758" t="n"/>
      <c r="R273" s="756">
        <f>SUM(K273:Q273)</f>
        <v/>
      </c>
      <c r="S273" s="756">
        <f>J273*495</f>
        <v/>
      </c>
    </row>
    <row r="274" customFormat="1" s="755">
      <c r="A274" s="152" t="inlineStr">
        <is>
          <t>패들팝(묶음)</t>
        </is>
      </c>
      <c r="B274" s="372" t="inlineStr">
        <is>
          <t>P00000TX</t>
        </is>
      </c>
      <c r="C274" s="215" t="n">
        <v>100</v>
      </c>
      <c r="D274" s="235" t="n"/>
      <c r="E274" s="234" t="n"/>
      <c r="F274" s="230" t="n"/>
      <c r="G274" s="236" t="n"/>
      <c r="H274" s="231" t="n"/>
      <c r="I274" s="215" t="n"/>
      <c r="J274" s="35">
        <f>SUM(C274:I274)</f>
        <v/>
      </c>
      <c r="K274" s="820" t="n">
        <v>150000</v>
      </c>
      <c r="L274" s="790">
        <f>D274*1700</f>
        <v/>
      </c>
      <c r="M274" s="770">
        <f>E274*1700</f>
        <v/>
      </c>
      <c r="N274" s="771" t="n"/>
      <c r="O274" s="771">
        <f>I274*2000</f>
        <v/>
      </c>
      <c r="P274" s="771" t="n"/>
      <c r="Q274" s="758" t="n"/>
      <c r="R274" s="756">
        <f>SUM(K274:Q274)</f>
        <v/>
      </c>
      <c r="S274" s="756">
        <f>J274*495</f>
        <v/>
      </c>
    </row>
    <row r="275" customFormat="1" s="755">
      <c r="A275" s="153" t="inlineStr">
        <is>
          <t>페이스스파츌라</t>
        </is>
      </c>
      <c r="B275" s="384" t="inlineStr">
        <is>
          <t>P00000LA</t>
        </is>
      </c>
      <c r="C275" s="239" t="n">
        <v>212</v>
      </c>
      <c r="D275" s="235" t="n"/>
      <c r="E275" s="234" t="n"/>
      <c r="F275" s="230" t="n"/>
      <c r="G275" s="236" t="n"/>
      <c r="H275" s="231" t="n"/>
      <c r="I275" s="214" t="n"/>
      <c r="J275" s="35">
        <f>SUM(C275:I275)</f>
        <v/>
      </c>
      <c r="K275" s="836">
        <f>C275*2500</f>
        <v/>
      </c>
      <c r="L275" s="790" t="n"/>
      <c r="M275" s="770" t="n"/>
      <c r="N275" s="771" t="n"/>
      <c r="O275" s="771" t="n"/>
      <c r="P275" s="771" t="n"/>
      <c r="Q275" s="796" t="n"/>
      <c r="R275" s="756">
        <f>SUM(K275:Q275)</f>
        <v/>
      </c>
      <c r="S275" s="756">
        <f>J275*310</f>
        <v/>
      </c>
    </row>
    <row r="276" customFormat="1" s="755">
      <c r="A276" s="154" t="inlineStr">
        <is>
          <t>페이스스파츌라(묶음)</t>
        </is>
      </c>
      <c r="B276" s="372" t="inlineStr">
        <is>
          <t>P00000TX</t>
        </is>
      </c>
      <c r="C276" s="215" t="n">
        <v>100</v>
      </c>
      <c r="D276" s="235" t="n"/>
      <c r="E276" s="234" t="n"/>
      <c r="F276" s="229" t="n"/>
      <c r="G276" s="236" t="n"/>
      <c r="H276" s="231" t="n"/>
      <c r="I276" s="215" t="n">
        <v>5</v>
      </c>
      <c r="J276" s="35">
        <f>SUM(C276:I276)</f>
        <v/>
      </c>
      <c r="K276" s="820" t="n">
        <v>150000</v>
      </c>
      <c r="L276" s="790">
        <f>D276*1700</f>
        <v/>
      </c>
      <c r="M276" s="770">
        <f>E276*1700</f>
        <v/>
      </c>
      <c r="N276" s="771" t="n"/>
      <c r="O276" s="771">
        <f>I276*2000</f>
        <v/>
      </c>
      <c r="P276" s="771" t="n"/>
      <c r="Q276" s="796" t="n"/>
      <c r="R276" s="756">
        <f>SUM(K276:Q276)</f>
        <v/>
      </c>
      <c r="S276" s="756">
        <f>J276*310</f>
        <v/>
      </c>
    </row>
    <row r="277" customFormat="1" s="755">
      <c r="A277" s="260" t="inlineStr">
        <is>
          <t>메탈스파츌라(라이콘)</t>
        </is>
      </c>
      <c r="B277" s="876" t="inlineStr">
        <is>
          <t>P00000DG</t>
        </is>
      </c>
      <c r="C277" s="239" t="n">
        <v>5</v>
      </c>
      <c r="D277" s="235" t="n"/>
      <c r="E277" s="234" t="n">
        <v>2</v>
      </c>
      <c r="F277" s="233" t="n"/>
      <c r="G277" s="233" t="n"/>
      <c r="H277" s="242" t="n"/>
      <c r="I277" s="215" t="n">
        <v>4</v>
      </c>
      <c r="J277" s="35">
        <f>SUM(C277:I277)</f>
        <v/>
      </c>
      <c r="K277" s="815" t="n">
        <v>93600</v>
      </c>
      <c r="L277" s="790">
        <f>D277*15400</f>
        <v/>
      </c>
      <c r="M277" s="839">
        <f>E277*15400</f>
        <v/>
      </c>
      <c r="N277" s="820" t="n"/>
      <c r="O277" s="877">
        <f>I277*15120</f>
        <v/>
      </c>
      <c r="P277" s="820" t="n"/>
      <c r="Q277" s="820" t="n"/>
      <c r="R277" s="756">
        <f>SUM(K277:Q277)</f>
        <v/>
      </c>
      <c r="S277" s="756">
        <f>J277*4794</f>
        <v/>
      </c>
    </row>
    <row r="278" customFormat="1" s="755">
      <c r="A278" s="155" t="inlineStr">
        <is>
          <t>메탈스파츌라(제모)</t>
        </is>
      </c>
      <c r="B278" s="775" t="n"/>
      <c r="C278" s="239" t="n"/>
      <c r="D278" s="235" t="n"/>
      <c r="E278" s="234" t="n"/>
      <c r="F278" s="229" t="n"/>
      <c r="G278" s="236" t="n"/>
      <c r="H278" s="231" t="n"/>
      <c r="I278" s="215" t="n"/>
      <c r="J278" s="35">
        <f>SUM(C278:I278)</f>
        <v/>
      </c>
      <c r="K278" s="755">
        <f>C278*11000</f>
        <v/>
      </c>
      <c r="L278" s="790">
        <f>D278*7000</f>
        <v/>
      </c>
      <c r="M278" s="770">
        <f>E278*7000</f>
        <v/>
      </c>
      <c r="N278" s="771" t="n"/>
      <c r="O278" s="771" t="n"/>
      <c r="P278" s="771" t="n"/>
      <c r="Q278" s="758" t="n"/>
      <c r="R278" s="756">
        <f>SUM(K278:Q278)</f>
        <v/>
      </c>
      <c r="S278" s="756">
        <f>J278*1200</f>
        <v/>
      </c>
    </row>
    <row r="279">
      <c r="A279" s="115" t="inlineStr">
        <is>
          <t>스파앞치마</t>
        </is>
      </c>
      <c r="B279" s="383" t="inlineStr">
        <is>
          <t>P00000LD</t>
        </is>
      </c>
      <c r="C279" s="237" t="n">
        <v>2</v>
      </c>
      <c r="D279" s="235" t="n"/>
      <c r="E279" s="234" t="n"/>
      <c r="F279" s="230" t="n"/>
      <c r="G279" s="236" t="n"/>
      <c r="H279" s="231" t="n"/>
      <c r="I279" s="238" t="n"/>
      <c r="J279" s="35">
        <f>SUM(C279:I279)</f>
        <v/>
      </c>
      <c r="K279" s="815">
        <f>C279*25000</f>
        <v/>
      </c>
      <c r="L279" s="790">
        <f>D279*20000</f>
        <v/>
      </c>
      <c r="M279" s="770">
        <f>E279*20000</f>
        <v/>
      </c>
      <c r="N279" s="771" t="n"/>
      <c r="O279" s="771" t="n"/>
      <c r="P279" s="771" t="n"/>
      <c r="R279" s="756">
        <f>SUM(K279:Q279)</f>
        <v/>
      </c>
      <c r="S279" s="756">
        <f>J279*12400</f>
        <v/>
      </c>
    </row>
    <row r="280">
      <c r="A280" s="155" t="inlineStr">
        <is>
          <t>스파타올(대)</t>
        </is>
      </c>
      <c r="B280" s="876" t="inlineStr">
        <is>
          <t>P0000BES</t>
        </is>
      </c>
      <c r="C280" s="237" t="n"/>
      <c r="D280" s="235" t="n"/>
      <c r="E280" s="234" t="n"/>
      <c r="F280" s="237" t="n"/>
      <c r="G280" s="236" t="n"/>
      <c r="H280" s="241" t="n"/>
      <c r="I280" s="237" t="n"/>
      <c r="J280" s="35">
        <f>SUM(C280:I280)</f>
        <v/>
      </c>
      <c r="K280" s="815">
        <f>C280*40000</f>
        <v/>
      </c>
      <c r="L280" s="790">
        <f>D280*40000</f>
        <v/>
      </c>
      <c r="M280" s="770">
        <f>E280*38000</f>
        <v/>
      </c>
      <c r="N280" s="771" t="n"/>
      <c r="O280" s="877" t="n"/>
      <c r="P280" s="771" t="n"/>
      <c r="R280" s="756">
        <f>SUM(K280:Q280)</f>
        <v/>
      </c>
      <c r="S280" s="756">
        <f>J280*26400</f>
        <v/>
      </c>
    </row>
    <row r="281">
      <c r="A281" s="155" t="inlineStr">
        <is>
          <t>스파타올(중)</t>
        </is>
      </c>
      <c r="B281" s="774" t="n"/>
      <c r="C281" s="237" t="n">
        <v>2</v>
      </c>
      <c r="D281" s="235" t="n"/>
      <c r="E281" s="234" t="n"/>
      <c r="F281" s="237" t="n"/>
      <c r="G281" s="236" t="n"/>
      <c r="H281" s="241" t="n"/>
      <c r="I281" s="237" t="n"/>
      <c r="J281" s="35">
        <f>SUM(C281:I281)</f>
        <v/>
      </c>
      <c r="K281" s="815">
        <f>C281*22000</f>
        <v/>
      </c>
      <c r="L281" s="790">
        <f>D281*22000</f>
        <v/>
      </c>
      <c r="M281" s="770">
        <f>E281*18000</f>
        <v/>
      </c>
      <c r="N281" s="771" t="n"/>
      <c r="O281" s="771" t="n"/>
      <c r="P281" s="771" t="n"/>
      <c r="R281" s="756">
        <f>SUM(K281:Q281)</f>
        <v/>
      </c>
      <c r="S281" s="756">
        <f>J281*11000</f>
        <v/>
      </c>
    </row>
    <row r="282">
      <c r="A282" s="155" t="inlineStr">
        <is>
          <t>스파타올(소)</t>
        </is>
      </c>
      <c r="B282" s="775" t="n"/>
      <c r="C282" s="237" t="n">
        <v>10</v>
      </c>
      <c r="D282" s="235" t="n"/>
      <c r="E282" s="234" t="n"/>
      <c r="F282" s="237" t="n"/>
      <c r="G282" s="236" t="n"/>
      <c r="H282" s="241" t="n"/>
      <c r="I282" s="237" t="n"/>
      <c r="J282" s="35">
        <f>SUM(C282:I282)</f>
        <v/>
      </c>
      <c r="K282" s="755">
        <f>C282*4000</f>
        <v/>
      </c>
      <c r="L282" s="790">
        <f>D282*4000</f>
        <v/>
      </c>
      <c r="M282" s="770">
        <f>E282*3000</f>
        <v/>
      </c>
      <c r="N282" s="771" t="n"/>
      <c r="O282" s="771" t="n"/>
      <c r="P282" s="771" t="n"/>
      <c r="R282" s="756">
        <f>SUM(K282:Q282)</f>
        <v/>
      </c>
      <c r="S282" s="756">
        <f>J282*1760</f>
        <v/>
      </c>
    </row>
    <row r="283">
      <c r="A283" s="155" t="inlineStr">
        <is>
          <t>케이프세트</t>
        </is>
      </c>
      <c r="B283" s="385" t="inlineStr">
        <is>
          <t>P00000ED</t>
        </is>
      </c>
      <c r="C283" s="233" t="n">
        <v>2</v>
      </c>
      <c r="D283" s="237" t="n"/>
      <c r="E283" s="234" t="n"/>
      <c r="F283" s="237" t="n"/>
      <c r="G283" s="236" t="n"/>
      <c r="H283" s="241" t="n"/>
      <c r="I283" s="237" t="n"/>
      <c r="J283" s="35">
        <f>SUM(C283:I283)</f>
        <v/>
      </c>
      <c r="K283" s="815">
        <f>C283*25000</f>
        <v/>
      </c>
      <c r="L283" s="790">
        <f>D283*25000</f>
        <v/>
      </c>
      <c r="M283" s="770">
        <f>E283*25000</f>
        <v/>
      </c>
      <c r="N283" s="771" t="n"/>
      <c r="O283" s="771" t="n"/>
      <c r="P283" s="771" t="n"/>
      <c r="R283" s="756">
        <f>SUM(K283:Q283)</f>
        <v/>
      </c>
      <c r="S283" s="756">
        <f>J283*18000</f>
        <v/>
      </c>
    </row>
    <row r="284">
      <c r="A284" s="155" t="inlineStr">
        <is>
          <t>제모미인터번</t>
        </is>
      </c>
      <c r="B284" s="385" t="inlineStr">
        <is>
          <t>P0000BFC</t>
        </is>
      </c>
      <c r="C284" s="237" t="n"/>
      <c r="D284" s="235" t="n"/>
      <c r="E284" s="234" t="n"/>
      <c r="F284" s="237" t="n"/>
      <c r="G284" s="236" t="n"/>
      <c r="H284" s="241" t="n"/>
      <c r="I284" s="237" t="n"/>
      <c r="J284" s="35">
        <f>SUM(C284:I284)</f>
        <v/>
      </c>
      <c r="K284" s="815">
        <f>C284*5000</f>
        <v/>
      </c>
      <c r="L284" s="790">
        <f>D284*5000</f>
        <v/>
      </c>
      <c r="M284" s="770">
        <f>E284*4500</f>
        <v/>
      </c>
      <c r="N284" s="771" t="n"/>
      <c r="O284" s="771" t="n"/>
      <c r="P284" s="771" t="n"/>
      <c r="R284" s="756">
        <f>SUM(K284:Q284)</f>
        <v/>
      </c>
      <c r="S284" s="756">
        <f>J284*1800</f>
        <v/>
      </c>
    </row>
    <row r="285">
      <c r="A285" s="128" t="inlineStr">
        <is>
          <t>제모미인앞치마</t>
        </is>
      </c>
      <c r="B285" s="156" t="n"/>
      <c r="C285" s="237" t="n"/>
      <c r="D285" s="235" t="n"/>
      <c r="E285" s="234" t="n"/>
      <c r="F285" s="237" t="n"/>
      <c r="G285" s="236" t="n"/>
      <c r="H285" s="241" t="n"/>
      <c r="I285" s="241" t="n"/>
      <c r="J285" s="35">
        <f>SUM(C285:I285)</f>
        <v/>
      </c>
      <c r="L285" s="790">
        <f>D285*20000</f>
        <v/>
      </c>
      <c r="M285" s="770">
        <f>E285*20000</f>
        <v/>
      </c>
      <c r="N285" s="771" t="n"/>
      <c r="O285" s="771" t="n"/>
      <c r="P285" s="771" t="n"/>
      <c r="R285" s="756">
        <f>SUM(K285:Q285)</f>
        <v/>
      </c>
      <c r="S285" s="756">
        <f>J285*13000</f>
        <v/>
      </c>
    </row>
    <row r="286">
      <c r="A286" s="155" t="inlineStr">
        <is>
          <t>mts롤러</t>
        </is>
      </c>
      <c r="B286" s="373" t="n"/>
      <c r="C286" s="237" t="n"/>
      <c r="D286" s="235" t="n"/>
      <c r="E286" s="234" t="n"/>
      <c r="F286" s="237" t="n"/>
      <c r="G286" s="236" t="n"/>
      <c r="H286" s="241" t="n"/>
      <c r="I286" s="237" t="n"/>
      <c r="J286" s="35">
        <f>SUM(C286:I286)</f>
        <v/>
      </c>
      <c r="K286" s="755">
        <f>C286*4000</f>
        <v/>
      </c>
      <c r="L286" s="790">
        <f>D286*4000</f>
        <v/>
      </c>
      <c r="M286" s="770">
        <f>E286*4000</f>
        <v/>
      </c>
      <c r="N286" s="771" t="n"/>
      <c r="O286" s="771" t="n"/>
      <c r="P286" s="771" t="n"/>
      <c r="R286" s="756">
        <f>SUM(K286:Q286)</f>
        <v/>
      </c>
      <c r="S286" s="756">
        <f>J286*2600</f>
        <v/>
      </c>
    </row>
    <row r="287">
      <c r="A287" s="155" t="inlineStr">
        <is>
          <t>위생장갑</t>
        </is>
      </c>
      <c r="B287" s="385" t="inlineStr">
        <is>
          <t>P0000BBR</t>
        </is>
      </c>
      <c r="C287" s="233" t="n">
        <v>94</v>
      </c>
      <c r="D287" s="235" t="n"/>
      <c r="E287" s="234" t="n"/>
      <c r="F287" s="237" t="n"/>
      <c r="G287" s="236" t="n"/>
      <c r="H287" s="241" t="n"/>
      <c r="I287" s="230" t="n"/>
      <c r="J287" s="35">
        <f>SUM(C287:I287)</f>
        <v/>
      </c>
      <c r="K287" s="755">
        <f>C287*3900</f>
        <v/>
      </c>
      <c r="L287" s="790">
        <f>D287*3900</f>
        <v/>
      </c>
      <c r="M287" s="770">
        <f>E287*3900</f>
        <v/>
      </c>
      <c r="N287" s="771" t="n"/>
      <c r="O287" s="771" t="n"/>
      <c r="P287" s="771" t="n"/>
      <c r="R287" s="756">
        <f>SUM(K287:Q287)</f>
        <v/>
      </c>
      <c r="S287" s="756">
        <f>J287*3000</f>
        <v/>
      </c>
    </row>
    <row r="288">
      <c r="A288" s="155" t="inlineStr">
        <is>
          <t>라텍스장갑</t>
        </is>
      </c>
      <c r="B288" s="385" t="inlineStr">
        <is>
          <t>P0000BLQ</t>
        </is>
      </c>
      <c r="C288" s="233" t="n">
        <v>13</v>
      </c>
      <c r="D288" s="235" t="n"/>
      <c r="E288" s="234" t="n"/>
      <c r="F288" s="237" t="n"/>
      <c r="G288" s="236" t="n"/>
      <c r="H288" s="241" t="n"/>
      <c r="I288" s="230" t="n"/>
      <c r="J288" s="35">
        <f>SUM(C288:I288)</f>
        <v/>
      </c>
      <c r="K288" s="755">
        <f>C288*6600</f>
        <v/>
      </c>
      <c r="L288" s="790">
        <f>D288*6600</f>
        <v/>
      </c>
      <c r="M288" s="770">
        <f>E288*6600</f>
        <v/>
      </c>
      <c r="N288" s="771" t="n"/>
      <c r="O288" s="771" t="n"/>
      <c r="P288" s="771" t="n"/>
      <c r="R288" s="756">
        <f>SUM(K288:Q288)</f>
        <v/>
      </c>
      <c r="S288" s="756">
        <f>J288*4400</f>
        <v/>
      </c>
    </row>
    <row r="289">
      <c r="A289" s="155" t="inlineStr">
        <is>
          <t>아이스쿨러</t>
        </is>
      </c>
      <c r="B289" s="373" t="n"/>
      <c r="C289" s="237" t="n"/>
      <c r="D289" s="235" t="n"/>
      <c r="E289" s="234" t="n"/>
      <c r="F289" s="237" t="n"/>
      <c r="G289" s="236" t="n"/>
      <c r="H289" s="241" t="n"/>
      <c r="I289" s="241" t="n"/>
      <c r="J289" s="35">
        <f>SUM(C289:I289)</f>
        <v/>
      </c>
      <c r="K289" s="755">
        <f>C289*25000</f>
        <v/>
      </c>
      <c r="L289" s="790">
        <f>D289*20000</f>
        <v/>
      </c>
      <c r="M289" s="770">
        <f>E289*20000</f>
        <v/>
      </c>
      <c r="N289" s="771" t="n"/>
      <c r="O289" s="771" t="n"/>
      <c r="P289" s="771" t="n"/>
      <c r="R289" s="756">
        <f>SUM(K289:Q289)</f>
        <v/>
      </c>
      <c r="S289" s="756">
        <f>J289*8800</f>
        <v/>
      </c>
    </row>
    <row r="290">
      <c r="A290" s="155" t="inlineStr">
        <is>
          <t>롤러아이스쿨러(바디)</t>
        </is>
      </c>
      <c r="B290" s="370" t="inlineStr">
        <is>
          <t>P00000KD</t>
        </is>
      </c>
      <c r="C290" s="237" t="n">
        <v>1</v>
      </c>
      <c r="D290" s="235" t="n"/>
      <c r="E290" s="234" t="n"/>
      <c r="F290" s="237" t="n"/>
      <c r="G290" s="236" t="n"/>
      <c r="H290" s="241" t="n"/>
      <c r="I290" s="241" t="n"/>
      <c r="J290" s="35">
        <f>SUM(C290:I290)</f>
        <v/>
      </c>
      <c r="K290" s="815">
        <f>C290*15000</f>
        <v/>
      </c>
      <c r="L290" s="790">
        <f>D290*10000</f>
        <v/>
      </c>
      <c r="M290" s="770">
        <f>E290*10000</f>
        <v/>
      </c>
      <c r="N290" s="771" t="n"/>
      <c r="O290" s="771" t="n"/>
      <c r="P290" s="771" t="n"/>
      <c r="R290" s="756">
        <f>SUM(K290:Q290)</f>
        <v/>
      </c>
      <c r="S290" s="756">
        <f>J290*4000</f>
        <v/>
      </c>
    </row>
    <row r="291">
      <c r="A291" s="155" t="inlineStr">
        <is>
          <t>롤러아이스쿨러(얼굴)</t>
        </is>
      </c>
      <c r="B291" s="370" t="inlineStr">
        <is>
          <t>P00000KE</t>
        </is>
      </c>
      <c r="C291" s="237" t="n"/>
      <c r="D291" s="235" t="n"/>
      <c r="E291" s="234" t="n"/>
      <c r="F291" s="237" t="n"/>
      <c r="G291" s="236" t="n"/>
      <c r="H291" s="241" t="n"/>
      <c r="I291" s="241" t="n"/>
      <c r="J291" s="35">
        <f>SUM(C291:I291)</f>
        <v/>
      </c>
      <c r="K291" s="815">
        <f>C291*15000</f>
        <v/>
      </c>
      <c r="L291" s="790">
        <f>D291*10000</f>
        <v/>
      </c>
      <c r="M291" s="770">
        <f>E291*10000</f>
        <v/>
      </c>
      <c r="N291" s="771" t="n"/>
      <c r="O291" s="771" t="n"/>
      <c r="P291" s="771" t="n"/>
      <c r="R291" s="756">
        <f>SUM(K291:Q291)</f>
        <v/>
      </c>
      <c r="S291" s="756">
        <f>J291*4000</f>
        <v/>
      </c>
    </row>
    <row r="292" customFormat="1" s="161">
      <c r="A292" s="128" t="inlineStr">
        <is>
          <t>가위</t>
        </is>
      </c>
      <c r="B292" s="385" t="inlineStr">
        <is>
          <t>P00000OE</t>
        </is>
      </c>
      <c r="C292" s="237" t="n"/>
      <c r="D292" s="237" t="n"/>
      <c r="E292" s="234" t="n"/>
      <c r="F292" s="237" t="n"/>
      <c r="G292" s="236" t="n"/>
      <c r="H292" s="243" t="n"/>
      <c r="I292" s="243" t="n"/>
      <c r="J292" s="35">
        <f>SUM(C292:I292)</f>
        <v/>
      </c>
      <c r="K292" s="836">
        <f>C292*30000</f>
        <v/>
      </c>
      <c r="L292" s="790">
        <f>D292*25000</f>
        <v/>
      </c>
      <c r="M292" s="770">
        <f>E292*25000</f>
        <v/>
      </c>
      <c r="N292" s="771" t="n"/>
      <c r="O292" s="771" t="n"/>
      <c r="P292" s="771" t="n"/>
      <c r="Q292" s="878" t="n"/>
      <c r="R292" s="756">
        <f>SUM(K292:Q292)</f>
        <v/>
      </c>
      <c r="S292" s="756">
        <f>J292*16500</f>
        <v/>
      </c>
    </row>
    <row r="293">
      <c r="A293" s="128" t="inlineStr">
        <is>
          <t>온도계</t>
        </is>
      </c>
      <c r="B293" s="385" t="inlineStr">
        <is>
          <t>P00000KG</t>
        </is>
      </c>
      <c r="C293" s="237" t="n">
        <v>1</v>
      </c>
      <c r="D293" s="237" t="n"/>
      <c r="E293" s="234" t="n"/>
      <c r="F293" s="237" t="n"/>
      <c r="G293" s="236" t="n"/>
      <c r="H293" s="241" t="n"/>
      <c r="I293" s="241" t="n"/>
      <c r="J293" s="35">
        <f>SUM(C293:I293)</f>
        <v/>
      </c>
      <c r="K293" s="755">
        <f>C293*24000</f>
        <v/>
      </c>
      <c r="L293" s="790">
        <f>D293*20000</f>
        <v/>
      </c>
      <c r="M293" s="770">
        <f>E293*18000</f>
        <v/>
      </c>
      <c r="N293" s="771" t="n"/>
      <c r="O293" s="771" t="n"/>
      <c r="P293" s="771" t="n"/>
      <c r="R293" s="756">
        <f>SUM(K293:Q293)</f>
        <v/>
      </c>
      <c r="S293" s="756">
        <f>J293*9945</f>
        <v/>
      </c>
    </row>
    <row r="294">
      <c r="A294" s="0" t="inlineStr">
        <is>
          <t>파우치</t>
        </is>
      </c>
      <c r="B294" s="876" t="inlineStr">
        <is>
          <t>P00000ED</t>
        </is>
      </c>
      <c r="C294" s="237" t="n"/>
      <c r="D294" s="235" t="n"/>
      <c r="E294" s="234" t="n"/>
      <c r="F294" s="230" t="n"/>
      <c r="G294" s="236" t="n"/>
      <c r="H294" s="231" t="n"/>
      <c r="I294" s="215" t="n"/>
      <c r="J294" s="35">
        <f>SUM(C294:I294)</f>
        <v/>
      </c>
      <c r="K294" s="755">
        <f>C294*25000</f>
        <v/>
      </c>
      <c r="L294" s="790">
        <f>D294*25000</f>
        <v/>
      </c>
      <c r="M294" s="770">
        <f>E294*25000</f>
        <v/>
      </c>
      <c r="N294" s="771" t="n"/>
      <c r="O294" s="771" t="n"/>
      <c r="P294" s="771" t="n"/>
      <c r="R294" s="756">
        <f>SUM(K294:Q294)</f>
        <v/>
      </c>
      <c r="S294" s="756">
        <f>J294*18000</f>
        <v/>
      </c>
    </row>
    <row r="295">
      <c r="A295" s="128" t="inlineStr">
        <is>
          <t>브러쉬</t>
        </is>
      </c>
      <c r="B295" s="774" t="n"/>
      <c r="C295" s="237" t="n"/>
      <c r="D295" s="237" t="n"/>
      <c r="E295" s="234" t="n"/>
      <c r="F295" s="237" t="n"/>
      <c r="G295" s="236" t="n"/>
      <c r="H295" s="241" t="n"/>
      <c r="I295" s="241" t="n"/>
      <c r="J295" s="35">
        <f>SUM(C295:I295)</f>
        <v/>
      </c>
      <c r="K295" s="815">
        <f>C295*10000</f>
        <v/>
      </c>
      <c r="L295" s="790" t="n"/>
      <c r="M295" s="770" t="n"/>
      <c r="N295" s="771" t="n"/>
      <c r="O295" s="771" t="n"/>
      <c r="P295" s="771" t="n"/>
      <c r="R295" s="756">
        <f>SUM(K295:Q295)</f>
        <v/>
      </c>
      <c r="S295" s="756">
        <f>J295*9000</f>
        <v/>
      </c>
    </row>
    <row r="296">
      <c r="A296" s="128" t="inlineStr">
        <is>
          <t>브로우펜슬</t>
        </is>
      </c>
      <c r="B296" s="774" t="n"/>
      <c r="C296" s="237" t="n"/>
      <c r="D296" s="237" t="n"/>
      <c r="E296" s="234" t="n"/>
      <c r="F296" s="237" t="n"/>
      <c r="G296" s="236" t="n"/>
      <c r="H296" s="241" t="n"/>
      <c r="I296" s="241" t="n"/>
      <c r="J296" s="35">
        <f>SUM(C296:I296)</f>
        <v/>
      </c>
      <c r="K296" s="755">
        <f>C296*24000</f>
        <v/>
      </c>
      <c r="L296" s="790" t="n"/>
      <c r="M296" s="770" t="n"/>
      <c r="N296" s="771" t="n"/>
      <c r="O296" s="771" t="n"/>
      <c r="P296" s="771" t="n"/>
      <c r="R296" s="756">
        <f>SUM(K296:Q296)</f>
        <v/>
      </c>
      <c r="S296" s="756">
        <f>J296*18000</f>
        <v/>
      </c>
    </row>
    <row r="297">
      <c r="A297" s="128" t="inlineStr">
        <is>
          <t>거울</t>
        </is>
      </c>
      <c r="B297" s="775" t="n"/>
      <c r="C297" s="237" t="n">
        <v>1</v>
      </c>
      <c r="D297" s="237" t="n"/>
      <c r="E297" s="234" t="n"/>
      <c r="F297" s="237" t="n"/>
      <c r="G297" s="236" t="n"/>
      <c r="H297" s="241" t="n"/>
      <c r="I297" s="241" t="n"/>
      <c r="J297" s="35">
        <f>SUM(C297:I297)</f>
        <v/>
      </c>
      <c r="K297" s="755">
        <f>C297*7000</f>
        <v/>
      </c>
      <c r="L297" s="790">
        <f>D297*7000</f>
        <v/>
      </c>
      <c r="M297" s="770">
        <f>E297*7000</f>
        <v/>
      </c>
      <c r="N297" s="771" t="n"/>
      <c r="O297" s="771" t="n"/>
      <c r="P297" s="771" t="n"/>
      <c r="R297" s="756">
        <f>SUM(K297:Q297)</f>
        <v/>
      </c>
      <c r="S297" s="756">
        <f>J297*4000</f>
        <v/>
      </c>
    </row>
    <row r="298">
      <c r="A298" s="128" t="inlineStr">
        <is>
          <t>브로우펜슬(컨실러)</t>
        </is>
      </c>
      <c r="B298" s="598" t="n"/>
      <c r="C298" s="237" t="n"/>
      <c r="D298" s="237" t="n"/>
      <c r="E298" s="234" t="n"/>
      <c r="F298" s="237" t="n"/>
      <c r="G298" s="236" t="n"/>
      <c r="H298" s="241" t="n"/>
      <c r="I298" s="241" t="n"/>
      <c r="J298" s="35">
        <f>SUM(C298:I298)</f>
        <v/>
      </c>
      <c r="K298" s="755">
        <f>C298*10000</f>
        <v/>
      </c>
      <c r="L298" s="790">
        <f>D298*10000</f>
        <v/>
      </c>
      <c r="M298" s="770">
        <f>E298*10000</f>
        <v/>
      </c>
      <c r="N298" s="771" t="n"/>
      <c r="O298" s="771" t="n"/>
      <c r="P298" s="771" t="n"/>
      <c r="R298" s="756">
        <f>SUM(K298:Q298)</f>
        <v/>
      </c>
      <c r="S298" s="756">
        <f>J298*2664</f>
        <v/>
      </c>
    </row>
    <row r="299">
      <c r="A299" s="128" t="inlineStr">
        <is>
          <t xml:space="preserve">워머기카라 </t>
        </is>
      </c>
      <c r="B299" s="386" t="inlineStr">
        <is>
          <t>P00000OR</t>
        </is>
      </c>
      <c r="C299" s="237" t="n">
        <v>220</v>
      </c>
      <c r="D299" s="237" t="n"/>
      <c r="E299" s="234" t="n"/>
      <c r="F299" s="237" t="n"/>
      <c r="G299" s="236" t="n"/>
      <c r="H299" s="241" t="n"/>
      <c r="I299" s="242" t="n"/>
      <c r="J299" s="35">
        <f>SUM(C299:I299)</f>
        <v/>
      </c>
      <c r="K299" s="815">
        <f>C299*200</f>
        <v/>
      </c>
      <c r="L299" s="790">
        <f>D299*200</f>
        <v/>
      </c>
      <c r="M299" s="770">
        <f>E299*200</f>
        <v/>
      </c>
      <c r="N299" s="771" t="n"/>
      <c r="O299" s="771" t="n"/>
      <c r="P299" s="771" t="n"/>
      <c r="R299" s="756">
        <f>SUM(K299:Q299)</f>
        <v/>
      </c>
      <c r="S299" s="756">
        <f>J299*110</f>
        <v/>
      </c>
    </row>
    <row r="300">
      <c r="A300" s="162" t="inlineStr">
        <is>
          <t>왁스네임텍</t>
        </is>
      </c>
      <c r="B300" s="386" t="inlineStr">
        <is>
          <t>P00000OQ</t>
        </is>
      </c>
      <c r="C300" s="237" t="n">
        <v>20</v>
      </c>
      <c r="D300" s="237" t="n"/>
      <c r="E300" s="234" t="n"/>
      <c r="F300" s="237" t="n"/>
      <c r="G300" s="236" t="n"/>
      <c r="H300" s="241" t="n"/>
      <c r="I300" s="241" t="n"/>
      <c r="J300" s="35">
        <f>SUM(C300:I300)</f>
        <v/>
      </c>
      <c r="K300" s="815">
        <f>C300*200</f>
        <v/>
      </c>
      <c r="L300" s="790">
        <f>D300*200</f>
        <v/>
      </c>
      <c r="M300" s="770">
        <f>E300*200</f>
        <v/>
      </c>
      <c r="N300" s="771" t="n"/>
      <c r="O300" s="771" t="n"/>
      <c r="P300" s="771" t="n"/>
      <c r="R300" s="756">
        <f>SUM(K300:Q300)</f>
        <v/>
      </c>
      <c r="S300" s="756">
        <f>J300*110</f>
        <v/>
      </c>
    </row>
    <row r="301">
      <c r="A301" s="162" t="inlineStr">
        <is>
          <t>오일공용라벨</t>
        </is>
      </c>
      <c r="B301" s="386" t="n"/>
      <c r="C301" s="237" t="n"/>
      <c r="D301" s="237" t="n"/>
      <c r="E301" s="234" t="n"/>
      <c r="F301" s="237" t="n"/>
      <c r="G301" s="236" t="n"/>
      <c r="H301" s="241" t="n"/>
      <c r="I301" s="241" t="n"/>
      <c r="J301" s="35">
        <f>SUM(C301:I301)</f>
        <v/>
      </c>
      <c r="K301" s="815" t="n"/>
      <c r="L301" s="790" t="n"/>
      <c r="M301" s="770">
        <f>E301*150</f>
        <v/>
      </c>
      <c r="N301" s="771" t="n"/>
      <c r="O301" s="771" t="n"/>
      <c r="P301" s="771" t="n"/>
      <c r="R301" s="756">
        <f>SUM(K301:Q301)</f>
        <v/>
      </c>
      <c r="S301" s="756">
        <f>J301*127</f>
        <v/>
      </c>
    </row>
    <row r="302">
      <c r="A302" s="162" t="inlineStr">
        <is>
          <t>아로마교육책자</t>
        </is>
      </c>
      <c r="B302" s="386" t="n"/>
      <c r="C302" s="237" t="n"/>
      <c r="D302" s="237" t="n"/>
      <c r="E302" s="234" t="n">
        <v>1</v>
      </c>
      <c r="F302" s="237" t="n"/>
      <c r="G302" s="236" t="n"/>
      <c r="H302" s="241" t="n"/>
      <c r="I302" s="241" t="n"/>
      <c r="J302" s="35">
        <f>SUM(C302:I302)</f>
        <v/>
      </c>
      <c r="K302" s="815" t="n"/>
      <c r="L302" s="790" t="n"/>
      <c r="M302" s="770">
        <f>E302*15000</f>
        <v/>
      </c>
      <c r="N302" s="771" t="n"/>
      <c r="O302" s="771" t="n"/>
      <c r="P302" s="771" t="n"/>
      <c r="R302" s="756">
        <f>SUM(K302:Q302)</f>
        <v/>
      </c>
      <c r="S302" s="756">
        <f>J302*9680</f>
        <v/>
      </c>
    </row>
    <row r="303">
      <c r="A303" s="128" t="inlineStr">
        <is>
          <t>실리콘팩브러쉬</t>
        </is>
      </c>
      <c r="B303" s="385" t="inlineStr">
        <is>
          <t>P0000BDI</t>
        </is>
      </c>
      <c r="C303" s="237" t="n"/>
      <c r="D303" s="235" t="n"/>
      <c r="E303" s="234" t="n"/>
      <c r="F303" s="237" t="n"/>
      <c r="G303" s="236" t="n"/>
      <c r="H303" s="241" t="n"/>
      <c r="I303" s="241" t="n"/>
      <c r="J303" s="35">
        <f>SUM(C303:I303)</f>
        <v/>
      </c>
      <c r="K303" s="755">
        <f>C303*3000</f>
        <v/>
      </c>
      <c r="L303" s="790">
        <f>D303*3000</f>
        <v/>
      </c>
      <c r="M303" s="770">
        <f>E303*3000</f>
        <v/>
      </c>
      <c r="N303" s="771" t="n"/>
      <c r="O303" s="771" t="n"/>
      <c r="P303" s="771" t="n"/>
      <c r="R303" s="756">
        <f>SUM(K303:Q303)</f>
        <v/>
      </c>
      <c r="S303" s="756">
        <f>J303*1320</f>
        <v/>
      </c>
    </row>
    <row r="304" customFormat="1" s="755">
      <c r="A304" s="155" t="inlineStr">
        <is>
          <t>쇼핑백(소)</t>
        </is>
      </c>
      <c r="B304" s="876" t="inlineStr">
        <is>
          <t>P00000GH</t>
        </is>
      </c>
      <c r="C304" s="237" t="n">
        <v>20</v>
      </c>
      <c r="D304" s="237" t="n"/>
      <c r="E304" s="234" t="n"/>
      <c r="F304" s="237" t="n"/>
      <c r="G304" s="236" t="n"/>
      <c r="H304" s="241" t="n"/>
      <c r="I304" s="240" t="n"/>
      <c r="J304" s="35">
        <f>SUM(C304:I304)</f>
        <v/>
      </c>
      <c r="K304" s="815">
        <f>C304*1100</f>
        <v/>
      </c>
      <c r="L304" s="790">
        <f>D304*850</f>
        <v/>
      </c>
      <c r="M304" s="770">
        <f>E304*850</f>
        <v/>
      </c>
      <c r="N304" s="771" t="n"/>
      <c r="O304" s="771" t="n"/>
      <c r="P304" s="771" t="n"/>
      <c r="Q304" s="758" t="n"/>
      <c r="R304" s="756">
        <f>SUM(K304:Q304)</f>
        <v/>
      </c>
      <c r="S304" s="756">
        <f>J304*780</f>
        <v/>
      </c>
    </row>
    <row r="305" customFormat="1" s="755">
      <c r="A305" s="155" t="inlineStr">
        <is>
          <t>쇼핑백(중)</t>
        </is>
      </c>
      <c r="B305" s="775" t="n"/>
      <c r="C305" s="237" t="n"/>
      <c r="D305" s="237" t="n"/>
      <c r="E305" s="234" t="n"/>
      <c r="F305" s="237" t="n"/>
      <c r="G305" s="236" t="n"/>
      <c r="H305" s="241" t="n"/>
      <c r="I305" s="237" t="n"/>
      <c r="J305" s="35">
        <f>SUM(C305:I305)</f>
        <v/>
      </c>
      <c r="K305" s="815">
        <f>C305*1200</f>
        <v/>
      </c>
      <c r="L305" s="790">
        <f>D305*980</f>
        <v/>
      </c>
      <c r="M305" s="770">
        <f>E305*980</f>
        <v/>
      </c>
      <c r="N305" s="771" t="n"/>
      <c r="O305" s="771" t="n"/>
      <c r="P305" s="771" t="n"/>
      <c r="Q305" s="758" t="n"/>
      <c r="R305" s="756">
        <f>SUM(K305:Q305)</f>
        <v/>
      </c>
      <c r="S305" s="756">
        <f>J305*836</f>
        <v/>
      </c>
    </row>
    <row r="306" customFormat="1" s="755">
      <c r="A306" s="155" t="inlineStr">
        <is>
          <t>자디니쇼핑백</t>
        </is>
      </c>
      <c r="B306" s="385" t="inlineStr">
        <is>
          <t>P0000BMM</t>
        </is>
      </c>
      <c r="C306" s="237" t="n"/>
      <c r="D306" s="237" t="n"/>
      <c r="E306" s="234" t="n"/>
      <c r="F306" s="237" t="n"/>
      <c r="G306" s="236" t="n"/>
      <c r="H306" s="241" t="n"/>
      <c r="I306" s="242" t="n"/>
      <c r="J306" s="35">
        <f>SUM(C306:I306)</f>
        <v/>
      </c>
      <c r="K306" s="815">
        <f>C306*1100</f>
        <v/>
      </c>
      <c r="L306" s="790">
        <f>D306*1100</f>
        <v/>
      </c>
      <c r="M306" s="770">
        <f>E306*1100</f>
        <v/>
      </c>
      <c r="N306" s="771" t="n"/>
      <c r="O306" s="771" t="n"/>
      <c r="P306" s="771" t="n"/>
      <c r="Q306" s="758" t="n"/>
      <c r="R306" s="756">
        <f>SUM(K306:Q306)</f>
        <v/>
      </c>
      <c r="S306" s="756">
        <f>J306*968</f>
        <v/>
      </c>
    </row>
    <row r="307" customFormat="1" s="755">
      <c r="A307" s="155" t="inlineStr">
        <is>
          <t>제모미인단상자(대)</t>
        </is>
      </c>
      <c r="B307" s="879" t="inlineStr">
        <is>
          <t>P0000BGT</t>
        </is>
      </c>
      <c r="C307" s="237" t="n"/>
      <c r="D307" s="237" t="n"/>
      <c r="E307" s="234" t="n"/>
      <c r="F307" s="237" t="n"/>
      <c r="G307" s="236" t="n"/>
      <c r="H307" s="241" t="n"/>
      <c r="I307" s="237" t="n"/>
      <c r="J307" s="35">
        <f>SUM(C307:I307)</f>
        <v/>
      </c>
      <c r="K307" s="755">
        <f>C307*550</f>
        <v/>
      </c>
      <c r="L307" s="790">
        <f>D307*550</f>
        <v/>
      </c>
      <c r="M307" s="770">
        <f>E307*550</f>
        <v/>
      </c>
      <c r="N307" s="771" t="n"/>
      <c r="O307" s="771" t="n"/>
      <c r="P307" s="771" t="n"/>
      <c r="Q307" s="758" t="n"/>
      <c r="R307" s="756">
        <f>SUM(K307:Q307)</f>
        <v/>
      </c>
      <c r="S307" s="756">
        <f>J307*389</f>
        <v/>
      </c>
    </row>
    <row r="308" customFormat="1" s="755">
      <c r="A308" s="155" t="inlineStr">
        <is>
          <t>제모미인단상자(중)</t>
        </is>
      </c>
      <c r="B308" s="774" t="n"/>
      <c r="C308" s="237" t="n"/>
      <c r="D308" s="237" t="n"/>
      <c r="E308" s="234" t="n"/>
      <c r="F308" s="237" t="n"/>
      <c r="G308" s="236" t="n"/>
      <c r="H308" s="241" t="n"/>
      <c r="I308" s="237" t="n"/>
      <c r="J308" s="35">
        <f>SUM(C308:I308)</f>
        <v/>
      </c>
      <c r="K308" s="755">
        <f>C308*550</f>
        <v/>
      </c>
      <c r="L308" s="790">
        <f>D308*550</f>
        <v/>
      </c>
      <c r="M308" s="770">
        <f>E308*550</f>
        <v/>
      </c>
      <c r="N308" s="771" t="n"/>
      <c r="O308" s="771" t="n"/>
      <c r="P308" s="771" t="n"/>
      <c r="Q308" s="758" t="n"/>
      <c r="R308" s="756">
        <f>SUM(K308:Q308)</f>
        <v/>
      </c>
      <c r="S308" s="756">
        <f>J308*389</f>
        <v/>
      </c>
    </row>
    <row r="309" customFormat="1" s="755">
      <c r="A309" s="155" t="inlineStr">
        <is>
          <t>제모미인단상자(소)</t>
        </is>
      </c>
      <c r="B309" s="775" t="n"/>
      <c r="C309" s="237" t="n"/>
      <c r="D309" s="237" t="n"/>
      <c r="E309" s="234" t="n"/>
      <c r="F309" s="237" t="n"/>
      <c r="G309" s="236" t="n"/>
      <c r="H309" s="241" t="n"/>
      <c r="I309" s="237" t="n"/>
      <c r="J309" s="35">
        <f>SUM(C309:I309)</f>
        <v/>
      </c>
      <c r="K309" s="755">
        <f>C309*550</f>
        <v/>
      </c>
      <c r="L309" s="790">
        <f>D309*550</f>
        <v/>
      </c>
      <c r="M309" s="770">
        <f>E309*550</f>
        <v/>
      </c>
      <c r="N309" s="771" t="n"/>
      <c r="O309" s="771" t="n"/>
      <c r="P309" s="771" t="n"/>
      <c r="Q309" s="758" t="n"/>
      <c r="R309" s="756">
        <f>SUM(K309:Q309)</f>
        <v/>
      </c>
      <c r="S309" s="756">
        <f>J309*389</f>
        <v/>
      </c>
    </row>
    <row r="310" customFormat="1" s="755">
      <c r="A310" s="155" t="inlineStr">
        <is>
          <t>Y존패드리필용기</t>
        </is>
      </c>
      <c r="B310" s="387" t="inlineStr">
        <is>
          <t>P0000BIJ</t>
        </is>
      </c>
      <c r="C310" s="237" t="n">
        <v>6</v>
      </c>
      <c r="D310" s="235" t="n"/>
      <c r="E310" s="234" t="n"/>
      <c r="F310" s="237" t="n"/>
      <c r="G310" s="236" t="n"/>
      <c r="H310" s="241" t="n"/>
      <c r="I310" s="242" t="n"/>
      <c r="J310" s="35">
        <f>SUM(C310:I310)</f>
        <v/>
      </c>
      <c r="K310" s="815">
        <f>C310*2500</f>
        <v/>
      </c>
      <c r="L310" s="790">
        <f>D310*2500</f>
        <v/>
      </c>
      <c r="M310" s="770">
        <f>E310*2500</f>
        <v/>
      </c>
      <c r="N310" s="771" t="n"/>
      <c r="O310" s="771" t="n"/>
      <c r="P310" s="771" t="n"/>
      <c r="Q310" s="758" t="n"/>
      <c r="R310" s="756">
        <f>SUM(K310:Q310)</f>
        <v/>
      </c>
      <c r="S310" s="756">
        <f>J310*1412</f>
        <v/>
      </c>
    </row>
    <row r="311" customFormat="1" s="755">
      <c r="A311" s="155" t="inlineStr">
        <is>
          <t>y존패드파우치</t>
        </is>
      </c>
      <c r="B311" s="386" t="inlineStr">
        <is>
          <t>P0000BIP</t>
        </is>
      </c>
      <c r="C311" s="237" t="n"/>
      <c r="D311" s="237" t="n"/>
      <c r="E311" s="234" t="n"/>
      <c r="F311" s="237" t="n"/>
      <c r="G311" s="236" t="n"/>
      <c r="H311" s="241" t="n"/>
      <c r="I311" s="242" t="n">
        <v>87</v>
      </c>
      <c r="J311" s="35">
        <f>SUM(C311:I311)</f>
        <v/>
      </c>
      <c r="K311" s="815">
        <f>C311*110</f>
        <v/>
      </c>
      <c r="L311" s="790" t="n"/>
      <c r="M311" s="770" t="n"/>
      <c r="N311" s="771" t="n"/>
      <c r="O311" s="771" t="n"/>
      <c r="P311" s="771" t="n"/>
      <c r="Q311" s="758" t="n"/>
      <c r="R311" s="756">
        <f>SUM(K311:Q311)</f>
        <v/>
      </c>
      <c r="S311" s="756">
        <f>J311*60</f>
        <v/>
      </c>
    </row>
    <row r="312" customFormat="1" s="755">
      <c r="A312" s="155" t="inlineStr">
        <is>
          <t>A2가로판넬</t>
        </is>
      </c>
      <c r="B312" s="386" t="inlineStr">
        <is>
          <t>P00000DM</t>
        </is>
      </c>
      <c r="C312" s="237" t="n"/>
      <c r="D312" s="237" t="n"/>
      <c r="E312" s="234" t="n"/>
      <c r="F312" s="237" t="n"/>
      <c r="G312" s="236" t="n"/>
      <c r="H312" s="241" t="n"/>
      <c r="I312" s="242" t="n"/>
      <c r="J312" s="35">
        <f>SUM(C312:I312)</f>
        <v/>
      </c>
      <c r="K312" s="815">
        <f>C312*75000</f>
        <v/>
      </c>
      <c r="L312" s="790" t="n"/>
      <c r="M312" s="770" t="n"/>
      <c r="N312" s="771" t="n"/>
      <c r="O312" s="771" t="n"/>
      <c r="P312" s="771" t="n"/>
      <c r="Q312" s="758" t="n"/>
      <c r="R312" s="756">
        <f>SUM(K312:Q312)</f>
        <v/>
      </c>
      <c r="S312" s="756">
        <f>J312*27500</f>
        <v/>
      </c>
    </row>
    <row r="313" customFormat="1" s="755">
      <c r="A313" s="155" t="inlineStr">
        <is>
          <t>A1 세로,가로판넬</t>
        </is>
      </c>
      <c r="B313" s="879" t="inlineStr">
        <is>
          <t>P00000DU</t>
        </is>
      </c>
      <c r="C313" s="237" t="n"/>
      <c r="D313" s="237" t="n"/>
      <c r="E313" s="234" t="n"/>
      <c r="F313" s="237" t="n"/>
      <c r="G313" s="236" t="n"/>
      <c r="H313" s="241" t="n"/>
      <c r="I313" s="242" t="n"/>
      <c r="J313" s="35">
        <f>SUM(C313:I313)</f>
        <v/>
      </c>
      <c r="K313" s="815">
        <f>C313*120000</f>
        <v/>
      </c>
      <c r="L313" s="790" t="n"/>
      <c r="M313" s="770" t="n"/>
      <c r="N313" s="771" t="n"/>
      <c r="O313" s="771" t="n"/>
      <c r="P313" s="771" t="n"/>
      <c r="Q313" s="758" t="n"/>
      <c r="R313" s="756">
        <f>SUM(K313:Q313)</f>
        <v/>
      </c>
      <c r="S313" s="756">
        <f>J313*59400</f>
        <v/>
      </c>
    </row>
    <row r="314" customFormat="1" s="755">
      <c r="A314" s="155" t="inlineStr">
        <is>
          <t>A2 세로,가로판넬</t>
        </is>
      </c>
      <c r="B314" s="775" t="n"/>
      <c r="C314" s="237" t="n">
        <v>1</v>
      </c>
      <c r="D314" s="237" t="n"/>
      <c r="E314" s="234" t="n"/>
      <c r="F314" s="237" t="n"/>
      <c r="G314" s="236" t="n"/>
      <c r="H314" s="241" t="n"/>
      <c r="I314" s="242" t="n"/>
      <c r="J314" s="35">
        <f>SUM(C314:I314)</f>
        <v/>
      </c>
      <c r="K314" s="815">
        <f>C314*75000</f>
        <v/>
      </c>
      <c r="L314" s="790" t="n"/>
      <c r="M314" s="770" t="n"/>
      <c r="N314" s="771" t="n"/>
      <c r="O314" s="771" t="n"/>
      <c r="P314" s="771" t="n"/>
      <c r="Q314" s="758" t="n"/>
      <c r="R314" s="756">
        <f>SUM(K314:Q314)</f>
        <v/>
      </c>
      <c r="S314" s="756">
        <f>J314*33000</f>
        <v/>
      </c>
    </row>
    <row r="315" customFormat="1" s="755">
      <c r="A315" s="155" t="inlineStr">
        <is>
          <t>A3사후관리액자</t>
        </is>
      </c>
      <c r="B315" s="386" t="inlineStr">
        <is>
          <t>P00000DS</t>
        </is>
      </c>
      <c r="C315" s="237" t="n">
        <v>1</v>
      </c>
      <c r="D315" s="237" t="n"/>
      <c r="E315" s="234" t="n"/>
      <c r="F315" s="237" t="n"/>
      <c r="G315" s="236" t="n"/>
      <c r="H315" s="241" t="n"/>
      <c r="I315" s="242" t="n"/>
      <c r="J315" s="35">
        <f>SUM(C315:I315)</f>
        <v/>
      </c>
      <c r="K315" s="815">
        <f>C315*35000</f>
        <v/>
      </c>
      <c r="L315" s="790" t="n"/>
      <c r="M315" s="770" t="n"/>
      <c r="N315" s="771" t="n"/>
      <c r="O315" s="771" t="n"/>
      <c r="P315" s="771" t="n"/>
      <c r="Q315" s="758" t="n"/>
      <c r="R315" s="756">
        <f>SUM(K315:Q315)</f>
        <v/>
      </c>
      <c r="S315" s="756">
        <f>J315*15400</f>
        <v/>
      </c>
    </row>
    <row r="316" customFormat="1" s="755">
      <c r="A316" s="155" t="inlineStr">
        <is>
          <t>라이콘핑키니배너</t>
        </is>
      </c>
      <c r="B316" s="879" t="inlineStr">
        <is>
          <t>P00000PM</t>
        </is>
      </c>
      <c r="C316" s="237" t="n"/>
      <c r="D316" s="237" t="n"/>
      <c r="E316" s="234" t="n"/>
      <c r="F316" s="237" t="n"/>
      <c r="G316" s="236" t="n"/>
      <c r="H316" s="241" t="n"/>
      <c r="I316" s="242" t="n"/>
      <c r="J316" s="35">
        <f>SUM(C316:I316)</f>
        <v/>
      </c>
      <c r="K316" s="815">
        <f>C316*36000</f>
        <v/>
      </c>
      <c r="L316" s="790" t="n"/>
      <c r="M316" s="770" t="n"/>
      <c r="N316" s="771" t="n"/>
      <c r="O316" s="771" t="n"/>
      <c r="P316" s="771" t="n"/>
      <c r="Q316" s="758" t="n"/>
      <c r="R316" s="756">
        <f>SUM(K316:Q316)</f>
        <v/>
      </c>
      <c r="S316" s="756">
        <f>J316*12000</f>
        <v/>
      </c>
    </row>
    <row r="317" customFormat="1" s="755">
      <c r="A317" s="155" t="inlineStr">
        <is>
          <t>라이콘핑키니배너세트</t>
        </is>
      </c>
      <c r="B317" s="775" t="n"/>
      <c r="C317" s="237" t="n"/>
      <c r="D317" s="237" t="n"/>
      <c r="E317" s="234" t="n"/>
      <c r="F317" s="237" t="n"/>
      <c r="G317" s="236" t="n"/>
      <c r="H317" s="241" t="n"/>
      <c r="I317" s="242" t="n"/>
      <c r="J317" s="35">
        <f>SUM(C317:I317)</f>
        <v/>
      </c>
      <c r="K317" s="815">
        <f>C317*81000</f>
        <v/>
      </c>
      <c r="L317" s="790" t="n"/>
      <c r="M317" s="770" t="n"/>
      <c r="N317" s="771" t="n"/>
      <c r="O317" s="771" t="n"/>
      <c r="P317" s="771" t="n"/>
      <c r="Q317" s="758" t="n"/>
      <c r="R317" s="756">
        <f>SUM(K317:Q317)</f>
        <v/>
      </c>
      <c r="S317" s="756">
        <f>J317*34000</f>
        <v/>
      </c>
    </row>
    <row r="318" customFormat="1" s="755">
      <c r="A318" s="155" t="inlineStr">
        <is>
          <t>배너단품,세트</t>
        </is>
      </c>
      <c r="B318" s="386" t="inlineStr">
        <is>
          <t>P00000EF</t>
        </is>
      </c>
      <c r="C318" s="237" t="n"/>
      <c r="D318" s="237" t="n"/>
      <c r="E318" s="234" t="n"/>
      <c r="F318" s="237" t="n"/>
      <c r="G318" s="236" t="n"/>
      <c r="H318" s="241" t="n"/>
      <c r="I318" s="242" t="n"/>
      <c r="J318" s="35">
        <f>SUM(C318:I318)</f>
        <v/>
      </c>
      <c r="K318" s="815">
        <f>C318*72000</f>
        <v/>
      </c>
      <c r="L318" s="790" t="n"/>
      <c r="M318" s="770" t="n"/>
      <c r="N318" s="771" t="n"/>
      <c r="O318" s="771" t="n"/>
      <c r="P318" s="771" t="n"/>
      <c r="Q318" s="758" t="n"/>
      <c r="R318" s="756">
        <f>SUM(K318:Q318)</f>
        <v/>
      </c>
      <c r="S318" s="756">
        <f>J318*12000</f>
        <v/>
      </c>
    </row>
    <row r="319" customFormat="1" s="755">
      <c r="A319" s="155" t="inlineStr">
        <is>
          <t>벨리테라피배너</t>
        </is>
      </c>
      <c r="B319" s="386" t="inlineStr">
        <is>
          <t>P0000BJU</t>
        </is>
      </c>
      <c r="C319" s="237" t="n"/>
      <c r="D319" s="237" t="n"/>
      <c r="E319" s="234" t="n"/>
      <c r="F319" s="237" t="n"/>
      <c r="G319" s="236" t="n"/>
      <c r="H319" s="241" t="n"/>
      <c r="I319" s="242" t="n"/>
      <c r="J319" s="35">
        <f>SUM(C319:I319)</f>
        <v/>
      </c>
      <c r="K319" s="815">
        <f>C319*81000</f>
        <v/>
      </c>
      <c r="L319" s="790" t="n"/>
      <c r="M319" s="770" t="n"/>
      <c r="N319" s="771" t="n"/>
      <c r="O319" s="771" t="n"/>
      <c r="P319" s="771" t="n"/>
      <c r="Q319" s="758" t="n"/>
      <c r="R319" s="756">
        <f>SUM(K319:Q319)</f>
        <v/>
      </c>
      <c r="S319" s="756">
        <f>J319*12000</f>
        <v/>
      </c>
    </row>
    <row r="320" customFormat="1" s="755">
      <c r="A320" s="155" t="inlineStr">
        <is>
          <t>라이콘카다록</t>
        </is>
      </c>
      <c r="B320" s="386" t="inlineStr">
        <is>
          <t>P0000BLB</t>
        </is>
      </c>
      <c r="C320" s="237" t="n">
        <v>10</v>
      </c>
      <c r="D320" s="237" t="n"/>
      <c r="E320" s="234" t="n"/>
      <c r="F320" s="237" t="n"/>
      <c r="G320" s="236" t="n"/>
      <c r="H320" s="241" t="n"/>
      <c r="I320" s="242" t="n"/>
      <c r="J320" s="35">
        <f>SUM(C320:I320)</f>
        <v/>
      </c>
      <c r="K320" s="815">
        <f>C320*1100</f>
        <v/>
      </c>
      <c r="L320" s="790" t="n"/>
      <c r="M320" s="770" t="n"/>
      <c r="N320" s="771" t="n"/>
      <c r="O320" s="771" t="n"/>
      <c r="P320" s="771" t="n"/>
      <c r="Q320" s="758" t="n"/>
      <c r="R320" s="756">
        <f>SUM(K320:Q320)</f>
        <v/>
      </c>
      <c r="S320" s="756">
        <f>J320*915</f>
        <v/>
      </c>
    </row>
    <row r="321">
      <c r="A321" s="155" t="inlineStr">
        <is>
          <t>실리콘컵2종</t>
        </is>
      </c>
      <c r="B321" s="386" t="inlineStr">
        <is>
          <t>P0000BLX</t>
        </is>
      </c>
      <c r="C321" s="237" t="n">
        <v>16</v>
      </c>
      <c r="D321" s="237" t="n"/>
      <c r="E321" s="234" t="n"/>
      <c r="F321" s="237" t="n"/>
      <c r="G321" s="236" t="n"/>
      <c r="H321" s="241" t="n"/>
      <c r="I321" s="242" t="n"/>
      <c r="J321" s="35">
        <f>SUM(C321:I321)</f>
        <v/>
      </c>
      <c r="K321" s="880">
        <f>C321*3000</f>
        <v/>
      </c>
      <c r="L321" s="790" t="n"/>
      <c r="M321" s="770" t="n"/>
      <c r="N321" s="771" t="n"/>
      <c r="O321" s="771" t="n"/>
      <c r="P321" s="771" t="n"/>
      <c r="R321" s="756">
        <f>SUM(K321:Q321)</f>
        <v/>
      </c>
      <c r="S321" s="756">
        <f>J321*2000</f>
        <v/>
      </c>
    </row>
    <row r="322">
      <c r="A322" s="128" t="inlineStr">
        <is>
          <t>복주머니</t>
        </is>
      </c>
      <c r="B322" s="385" t="inlineStr">
        <is>
          <t>P00000FN</t>
        </is>
      </c>
      <c r="C322" s="257" t="n"/>
      <c r="D322" s="237" t="n"/>
      <c r="E322" s="234" t="n"/>
      <c r="F322" s="237" t="n"/>
      <c r="G322" s="236" t="n"/>
      <c r="H322" s="241" t="n"/>
      <c r="I322" s="241" t="n"/>
      <c r="J322" s="35">
        <f>SUM(C322:I322)</f>
        <v/>
      </c>
      <c r="K322" s="880">
        <f>C322*1000</f>
        <v/>
      </c>
      <c r="L322" s="790">
        <f>D322*10000</f>
        <v/>
      </c>
      <c r="M322" s="770">
        <f>E322*10000</f>
        <v/>
      </c>
      <c r="N322" s="771" t="n"/>
      <c r="O322" s="771" t="n"/>
      <c r="P322" s="771" t="n"/>
      <c r="R322" s="756">
        <f>SUM(K322:Q322)</f>
        <v/>
      </c>
      <c r="S322" s="756">
        <f>J322*528</f>
        <v/>
      </c>
    </row>
    <row r="323">
      <c r="A323" s="79" t="inlineStr">
        <is>
          <t>지퍼백(대)</t>
        </is>
      </c>
      <c r="B323" s="876" t="inlineStr">
        <is>
          <t>P00000FO</t>
        </is>
      </c>
      <c r="C323" s="237" t="n"/>
      <c r="D323" s="237" t="n"/>
      <c r="E323" s="234" t="n"/>
      <c r="F323" s="237" t="n"/>
      <c r="G323" s="236" t="n"/>
      <c r="H323" s="241" t="n"/>
      <c r="I323" s="241" t="n"/>
      <c r="J323" s="35">
        <f>SUM(C323:I323)</f>
        <v/>
      </c>
      <c r="K323" s="755">
        <f>C323*600</f>
        <v/>
      </c>
      <c r="L323" s="790">
        <f>D323*600</f>
        <v/>
      </c>
      <c r="M323" s="770">
        <f>E323*600</f>
        <v/>
      </c>
      <c r="N323" s="771" t="n"/>
      <c r="O323" s="771" t="n"/>
      <c r="P323" s="771" t="n"/>
      <c r="R323" s="756">
        <f>SUM(K323:Q323)</f>
        <v/>
      </c>
      <c r="S323" s="756">
        <f>J323*484</f>
        <v/>
      </c>
    </row>
    <row r="324" customFormat="1" s="638">
      <c r="A324" s="128" t="inlineStr">
        <is>
          <t>지퍼백(밑면삼각)</t>
        </is>
      </c>
      <c r="B324" s="775" t="n"/>
      <c r="C324" s="237" t="n">
        <v>10</v>
      </c>
      <c r="D324" s="237" t="n"/>
      <c r="E324" s="234" t="n"/>
      <c r="F324" s="237" t="n"/>
      <c r="G324" s="236" t="n"/>
      <c r="H324" s="241" t="n"/>
      <c r="I324" s="242" t="n"/>
      <c r="J324" s="35">
        <f>SUM(C324:I324)</f>
        <v/>
      </c>
      <c r="K324" s="815">
        <f>C324*1500</f>
        <v/>
      </c>
      <c r="L324" s="790">
        <f>D324*1500</f>
        <v/>
      </c>
      <c r="M324" s="770">
        <f>E324*1500</f>
        <v/>
      </c>
      <c r="N324" s="771" t="n"/>
      <c r="O324" s="771" t="n"/>
      <c r="P324" s="771" t="n"/>
      <c r="Q324" s="758" t="n"/>
      <c r="R324" s="756">
        <f>SUM(K324:Q324)</f>
        <v/>
      </c>
      <c r="S324" s="756">
        <f>J324*1155</f>
        <v/>
      </c>
    </row>
    <row r="325" customFormat="1" s="638">
      <c r="A325" s="79" t="inlineStr">
        <is>
          <t>pp박스</t>
        </is>
      </c>
      <c r="B325" s="385" t="inlineStr">
        <is>
          <t>P00000JI</t>
        </is>
      </c>
      <c r="C325" s="237" t="n"/>
      <c r="D325" s="237" t="n"/>
      <c r="E325" s="234" t="n"/>
      <c r="F325" s="237" t="n"/>
      <c r="G325" s="236" t="n"/>
      <c r="H325" s="241" t="n"/>
      <c r="I325" s="241" t="n"/>
      <c r="J325" s="35">
        <f>SUM(C325:I325)</f>
        <v/>
      </c>
      <c r="K325" s="755">
        <f>C325*1100</f>
        <v/>
      </c>
      <c r="L325" s="790">
        <f>D325*110</f>
        <v/>
      </c>
      <c r="M325" s="770">
        <f>E325*110</f>
        <v/>
      </c>
      <c r="N325" s="771" t="n"/>
      <c r="O325" s="771" t="n"/>
      <c r="P325" s="771" t="n"/>
      <c r="Q325" s="758" t="n"/>
      <c r="R325" s="756">
        <f>SUM(K325:Q325)</f>
        <v/>
      </c>
      <c r="S325" s="756">
        <f>J325*968</f>
        <v/>
      </c>
    </row>
    <row r="326" customFormat="1" s="638">
      <c r="A326" s="0" t="inlineStr">
        <is>
          <t>아크릴진열대</t>
        </is>
      </c>
      <c r="B326" s="385" t="inlineStr">
        <is>
          <t>P00000LO</t>
        </is>
      </c>
      <c r="C326" s="237" t="n"/>
      <c r="D326" s="237" t="n"/>
      <c r="E326" s="234" t="n"/>
      <c r="F326" s="237" t="n"/>
      <c r="G326" s="236" t="n"/>
      <c r="H326" s="241" t="n"/>
      <c r="I326" s="241" t="n"/>
      <c r="J326" s="35">
        <f>SUM(C326:I326)</f>
        <v/>
      </c>
      <c r="K326" s="755">
        <f>C326*88000</f>
        <v/>
      </c>
      <c r="L326" s="790">
        <f>D326*88000</f>
        <v/>
      </c>
      <c r="M326" s="839">
        <f>E326*88000</f>
        <v/>
      </c>
      <c r="N326" s="820" t="n"/>
      <c r="O326" s="771" t="n"/>
      <c r="P326" s="771" t="n"/>
      <c r="Q326" s="758" t="n"/>
      <c r="R326" s="756">
        <f>SUM(K326:Q326)</f>
        <v/>
      </c>
      <c r="S326" s="756">
        <f>J326*66000</f>
        <v/>
      </c>
    </row>
    <row r="327" customFormat="1" s="638">
      <c r="A327" s="128" t="inlineStr">
        <is>
          <t>제모미인쇼핑백</t>
        </is>
      </c>
      <c r="B327" s="385" t="inlineStr">
        <is>
          <t>P0000BGU</t>
        </is>
      </c>
      <c r="C327" s="237" t="n"/>
      <c r="D327" s="235" t="n"/>
      <c r="E327" s="234" t="n"/>
      <c r="F327" s="237" t="n"/>
      <c r="G327" s="236" t="n"/>
      <c r="H327" s="241" t="n"/>
      <c r="I327" s="241" t="n"/>
      <c r="J327" s="35">
        <f>SUM(C327:I327)</f>
        <v/>
      </c>
      <c r="K327" s="815">
        <f>C327*650</f>
        <v/>
      </c>
      <c r="L327" s="790">
        <f>D327*650</f>
        <v/>
      </c>
      <c r="M327" s="770">
        <f>E327*650</f>
        <v/>
      </c>
      <c r="N327" s="771" t="n"/>
      <c r="O327" s="771" t="n"/>
      <c r="P327" s="771" t="n"/>
      <c r="Q327" s="758" t="n"/>
      <c r="R327" s="756">
        <f>SUM(K327:Q327)</f>
        <v/>
      </c>
      <c r="S327" s="756">
        <f>J327*517</f>
        <v/>
      </c>
    </row>
    <row r="328" customFormat="1" s="638">
      <c r="A328" s="0" t="n"/>
      <c r="C328" s="628" t="n"/>
      <c r="K328" s="875">
        <f>SUM(K263:K327)</f>
        <v/>
      </c>
      <c r="L328" s="881">
        <f>SUM(L263:L327)</f>
        <v/>
      </c>
      <c r="M328" s="881">
        <f>SUM(M263:M327)</f>
        <v/>
      </c>
      <c r="N328" s="881">
        <f>SUM(N263:N327)</f>
        <v/>
      </c>
      <c r="O328" s="881">
        <f>SUM(O263:O327)</f>
        <v/>
      </c>
      <c r="P328" s="881">
        <f>SUM(P263:P327)</f>
        <v/>
      </c>
      <c r="Q328" s="881">
        <f>SUM(Q263:Q327)</f>
        <v/>
      </c>
      <c r="R328" s="881">
        <f>SUM(R263:R327)</f>
        <v/>
      </c>
      <c r="S328" s="881">
        <f>SUM(S263:S327)</f>
        <v/>
      </c>
    </row>
    <row r="329" customFormat="1" s="244">
      <c r="B329" s="245" t="n"/>
      <c r="C329" s="113" t="n"/>
      <c r="D329" s="274" t="n"/>
      <c r="E329" s="407" t="n"/>
      <c r="F329" s="272" t="n"/>
      <c r="G329" s="272" t="n"/>
      <c r="H329" s="272" t="n"/>
      <c r="I329" s="246" t="n"/>
      <c r="J329" s="247" t="n"/>
      <c r="K329" s="845" t="n"/>
      <c r="L329" s="845" t="n"/>
      <c r="M329" s="849" t="n"/>
      <c r="N329" s="849" t="n"/>
      <c r="O329" s="882" t="n"/>
      <c r="P329" s="883" t="n"/>
      <c r="Q329" s="884" t="n"/>
      <c r="R329" s="849" t="n"/>
      <c r="S329" s="849" t="n"/>
    </row>
    <row r="330" customFormat="1" s="244">
      <c r="B330" s="245" t="n"/>
      <c r="C330" s="271" t="n"/>
      <c r="D330" s="274" t="n"/>
      <c r="E330" s="407" t="n"/>
      <c r="F330" s="272" t="n"/>
      <c r="G330" s="272" t="n"/>
      <c r="H330" s="272" t="n"/>
      <c r="I330" s="246" t="n"/>
      <c r="J330" s="247" t="n"/>
      <c r="K330" s="845" t="n"/>
      <c r="L330" s="845" t="n"/>
      <c r="M330" s="849" t="n"/>
      <c r="N330" s="849" t="n"/>
      <c r="O330" s="882" t="n"/>
      <c r="P330" s="883" t="n"/>
      <c r="Q330" s="884" t="n"/>
      <c r="R330" s="849" t="n"/>
      <c r="S330" s="849" t="n"/>
    </row>
    <row r="331" customFormat="1" s="244">
      <c r="B331" s="245" t="n"/>
      <c r="C331" s="409" t="inlineStr">
        <is>
          <t>도매</t>
        </is>
      </c>
      <c r="D331" s="409" t="n"/>
      <c r="E331" s="489" t="inlineStr">
        <is>
          <t>마스터</t>
        </is>
      </c>
      <c r="F331" s="272" t="n"/>
      <c r="G331" s="272" t="n"/>
      <c r="H331" s="272" t="n"/>
      <c r="I331" s="246" t="n"/>
      <c r="J331" s="247" t="n"/>
      <c r="K331" s="845" t="n"/>
      <c r="L331" s="845" t="n"/>
      <c r="M331" s="849" t="n"/>
      <c r="N331" s="849" t="n"/>
      <c r="O331" s="882" t="n"/>
      <c r="P331" s="883" t="n"/>
      <c r="Q331" s="884" t="n"/>
      <c r="R331" s="849" t="n"/>
      <c r="S331" s="849" t="n"/>
    </row>
    <row r="332">
      <c r="D332" s="696" t="n"/>
      <c r="E332" s="408" t="n"/>
      <c r="F332" s="272" t="n"/>
      <c r="G332" s="272" t="n"/>
      <c r="H332" s="138" t="n"/>
      <c r="I332" s="138" t="n"/>
      <c r="J332" s="139" t="n"/>
      <c r="P332" s="785" t="n"/>
    </row>
    <row r="333">
      <c r="A333" s="74" t="inlineStr">
        <is>
          <t>자디니아로마오일</t>
        </is>
      </c>
      <c r="D333" s="696" t="n"/>
      <c r="E333" s="408" t="n"/>
      <c r="F333" s="272" t="n"/>
      <c r="G333" s="272" t="n"/>
      <c r="I333" s="20" t="n"/>
      <c r="J333" s="140" t="n"/>
      <c r="P333" s="785" t="n"/>
    </row>
    <row r="334" ht="48" customHeight="1" s="754">
      <c r="A334" s="111" t="inlineStr">
        <is>
          <t>에센셜오일1kg</t>
        </is>
      </c>
      <c r="B334" s="688" t="inlineStr">
        <is>
          <t>P0000BIB  / P0000BKE / P0000BMA</t>
        </is>
      </c>
      <c r="C334" s="696" t="n"/>
      <c r="D334" s="275" t="n"/>
      <c r="E334" s="408" t="n"/>
      <c r="F334" s="272" t="n"/>
      <c r="G334" s="272" t="n"/>
      <c r="H334" s="141" t="n"/>
      <c r="I334" s="141" t="inlineStr">
        <is>
          <t>증정</t>
        </is>
      </c>
      <c r="J334" s="140" t="n"/>
      <c r="K334" s="828" t="inlineStr">
        <is>
          <t>도매</t>
        </is>
      </c>
      <c r="L334" s="830" t="n"/>
      <c r="M334" s="830" t="inlineStr">
        <is>
          <t>마스터</t>
        </is>
      </c>
      <c r="N334" s="830" t="n"/>
      <c r="O334" s="772" t="n"/>
      <c r="P334" s="885" t="n"/>
      <c r="R334" s="828" t="inlineStr">
        <is>
          <t>품목별합계</t>
        </is>
      </c>
      <c r="S334" s="756" t="inlineStr">
        <is>
          <t>도매,마스터원가</t>
        </is>
      </c>
    </row>
    <row r="335" customFormat="1" s="638">
      <c r="A335" s="356" t="inlineStr">
        <is>
          <t>라벤다에센셜3ml</t>
        </is>
      </c>
      <c r="B335" s="374" t="n"/>
      <c r="C335" s="237" t="n"/>
      <c r="D335" s="234" t="n"/>
      <c r="E335" s="242" t="n"/>
      <c r="F335" s="230" t="n"/>
      <c r="G335" s="345" t="n"/>
      <c r="H335" s="80" t="n"/>
      <c r="I335" s="64" t="n"/>
      <c r="J335" s="35">
        <f>SUM(B335:I335)</f>
        <v/>
      </c>
      <c r="K335" s="755">
        <f>C335*4400</f>
        <v/>
      </c>
      <c r="L335" s="839" t="n"/>
      <c r="M335" s="770" t="n"/>
      <c r="N335" s="863" t="n"/>
      <c r="O335" s="757" t="n"/>
      <c r="P335" s="854" t="n"/>
      <c r="Q335" s="758" t="n"/>
      <c r="R335" s="755">
        <f>SUM(K335:Q335)</f>
        <v/>
      </c>
      <c r="S335" s="755">
        <f>J335*1340</f>
        <v/>
      </c>
    </row>
    <row r="336" customFormat="1" s="638">
      <c r="A336" s="356" t="inlineStr">
        <is>
          <t>페퍼민트에센셜3ml</t>
        </is>
      </c>
      <c r="B336" s="568" t="n"/>
      <c r="C336" s="237" t="n"/>
      <c r="D336" s="234" t="n"/>
      <c r="E336" s="242" t="n"/>
      <c r="F336" s="230" t="n"/>
      <c r="G336" s="345" t="n"/>
      <c r="H336" s="80" t="n"/>
      <c r="I336" s="64" t="n"/>
      <c r="J336" s="35">
        <f>SUM(B336:I336)</f>
        <v/>
      </c>
      <c r="K336" s="755" t="n"/>
      <c r="L336" s="839" t="n"/>
      <c r="M336" s="770" t="n"/>
      <c r="N336" s="863" t="n"/>
      <c r="O336" s="757" t="n"/>
      <c r="P336" s="854" t="n"/>
      <c r="Q336" s="758" t="n"/>
      <c r="R336" s="755">
        <f>SUM(K336:Q336)</f>
        <v/>
      </c>
      <c r="S336" s="755">
        <f>J336*1349</f>
        <v/>
      </c>
    </row>
    <row r="337" customFormat="1" s="638">
      <c r="A337" s="356" t="inlineStr">
        <is>
          <t>갈바넘</t>
        </is>
      </c>
      <c r="B337" s="568" t="n"/>
      <c r="C337" s="237" t="n"/>
      <c r="D337" s="234" t="n"/>
      <c r="E337" s="242" t="n"/>
      <c r="F337" s="230" t="n"/>
      <c r="G337" s="345" t="n"/>
      <c r="H337" s="80" t="n"/>
      <c r="I337" s="64" t="n"/>
      <c r="J337" s="35">
        <f>SUM(B337:I337)</f>
        <v/>
      </c>
      <c r="K337" s="755">
        <f>C337*60000</f>
        <v/>
      </c>
      <c r="L337" s="839" t="n"/>
      <c r="M337" s="770" t="n"/>
      <c r="N337" s="863">
        <f>F337*54000</f>
        <v/>
      </c>
      <c r="O337" s="757" t="n"/>
      <c r="P337" s="854" t="n"/>
      <c r="Q337" s="758" t="n"/>
      <c r="R337" s="755">
        <f>SUM(K337:Q337)</f>
        <v/>
      </c>
      <c r="S337" s="755">
        <f>J337*5060</f>
        <v/>
      </c>
    </row>
    <row r="338" ht="16.5" customFormat="1" customHeight="1" s="638">
      <c r="A338" s="356" t="inlineStr">
        <is>
          <t>그레이프루잇</t>
        </is>
      </c>
      <c r="B338" s="547" t="inlineStr">
        <is>
          <t>P0000BJT  /  P0000BKH   /  P0000BMF  / P0000BMG  /  P0000BMH</t>
        </is>
      </c>
      <c r="C338" s="218" t="n"/>
      <c r="D338" s="234" t="n"/>
      <c r="E338" s="234" t="n"/>
      <c r="F338" s="191" t="n"/>
      <c r="G338" s="345" t="n"/>
      <c r="H338" s="80" t="n"/>
      <c r="I338" s="114" t="n"/>
      <c r="J338" s="35">
        <f>SUM(B338:I338)</f>
        <v/>
      </c>
      <c r="K338" s="755" t="n">
        <v>0</v>
      </c>
      <c r="L338" s="839" t="n"/>
      <c r="M338" s="770" t="n"/>
      <c r="N338" s="863" t="n">
        <v>0</v>
      </c>
      <c r="O338" s="757" t="n"/>
      <c r="P338" s="854" t="n"/>
      <c r="Q338" s="758" t="n"/>
      <c r="R338" s="755">
        <f>SUM(K338:Q338)</f>
        <v/>
      </c>
      <c r="S338" s="755">
        <f>J338*2850</f>
        <v/>
      </c>
    </row>
    <row r="339" ht="16.5" customFormat="1" customHeight="1" s="638">
      <c r="A339" s="356" t="inlineStr">
        <is>
          <t>넛맥</t>
        </is>
      </c>
      <c r="B339" s="774" t="n"/>
      <c r="C339" s="218" t="n"/>
      <c r="D339" s="234" t="n"/>
      <c r="E339" s="234" t="n"/>
      <c r="F339" s="191" t="n"/>
      <c r="G339" s="345" t="n"/>
      <c r="H339" s="80" t="n"/>
      <c r="I339" s="114" t="n"/>
      <c r="J339" s="35">
        <f>SUM(B339:I339)</f>
        <v/>
      </c>
      <c r="K339" s="755">
        <f>C339*17000</f>
        <v/>
      </c>
      <c r="L339" s="839" t="n"/>
      <c r="M339" s="770" t="n"/>
      <c r="N339" s="863">
        <f>F339*15000</f>
        <v/>
      </c>
      <c r="O339" s="757" t="n"/>
      <c r="P339" s="854" t="n"/>
      <c r="Q339" s="758" t="n"/>
      <c r="R339" s="755">
        <f>SUM(K339:Q339)</f>
        <v/>
      </c>
      <c r="S339" s="755">
        <f>J339*2670</f>
        <v/>
      </c>
    </row>
    <row r="340" customFormat="1" s="638">
      <c r="A340" s="356" t="inlineStr">
        <is>
          <t xml:space="preserve">네롤리 </t>
        </is>
      </c>
      <c r="B340" s="774" t="n"/>
      <c r="C340" s="237" t="n"/>
      <c r="D340" s="234" t="n"/>
      <c r="E340" s="234" t="n"/>
      <c r="F340" s="230" t="n"/>
      <c r="G340" s="345" t="n"/>
      <c r="H340" s="80" t="n"/>
      <c r="I340" s="114" t="n"/>
      <c r="J340" s="35">
        <f>SUM(B340:I340)</f>
        <v/>
      </c>
      <c r="K340" s="755" t="n">
        <v>0</v>
      </c>
      <c r="L340" s="839" t="n"/>
      <c r="M340" s="770" t="n"/>
      <c r="N340" s="863" t="n">
        <v>0</v>
      </c>
      <c r="O340" s="757" t="n"/>
      <c r="P340" s="854" t="n"/>
      <c r="Q340" s="758" t="n"/>
      <c r="R340" s="755">
        <f>SUM(K340:Q340)</f>
        <v/>
      </c>
      <c r="S340" s="755">
        <f>J340*2870</f>
        <v/>
      </c>
    </row>
    <row r="341" customFormat="1" s="638">
      <c r="A341" s="356" t="inlineStr">
        <is>
          <t>딜시드</t>
        </is>
      </c>
      <c r="B341" s="774" t="n"/>
      <c r="C341" s="237" t="n"/>
      <c r="D341" s="234" t="n"/>
      <c r="E341" s="234" t="n"/>
      <c r="F341" s="230" t="n"/>
      <c r="G341" s="345" t="n"/>
      <c r="H341" s="80" t="n"/>
      <c r="I341" s="114" t="n"/>
      <c r="J341" s="35">
        <f>SUM(B341:I341)</f>
        <v/>
      </c>
      <c r="K341" s="755">
        <f>C341*16000</f>
        <v/>
      </c>
      <c r="L341" s="839" t="n"/>
      <c r="M341" s="770" t="n"/>
      <c r="N341" s="863">
        <f>F341*14000</f>
        <v/>
      </c>
      <c r="O341" s="757" t="n"/>
      <c r="P341" s="854" t="n"/>
      <c r="Q341" s="758" t="n"/>
      <c r="R341" s="755">
        <f>SUM(K341:Q341)</f>
        <v/>
      </c>
      <c r="S341" s="755">
        <f>J341*2380</f>
        <v/>
      </c>
    </row>
    <row r="342" customFormat="1" s="638">
      <c r="A342" s="354" t="inlineStr">
        <is>
          <t>라벤다(불가리아)</t>
        </is>
      </c>
      <c r="B342" s="774" t="n"/>
      <c r="C342" s="233" t="n">
        <v>1</v>
      </c>
      <c r="D342" s="242" t="n"/>
      <c r="E342" s="234" t="n"/>
      <c r="F342" s="230" t="n"/>
      <c r="G342" s="345" t="n"/>
      <c r="H342" s="80" t="n"/>
      <c r="I342" s="114" t="n"/>
      <c r="J342" s="35">
        <f>SUM(B342:I342)</f>
        <v/>
      </c>
      <c r="K342" s="755" t="n">
        <v>14000</v>
      </c>
      <c r="L342" s="839" t="n"/>
      <c r="M342" s="770" t="n"/>
      <c r="N342" s="863" t="n">
        <v>0</v>
      </c>
      <c r="O342" s="757" t="n"/>
      <c r="P342" s="854" t="n"/>
      <c r="Q342" s="758" t="n"/>
      <c r="R342" s="755">
        <f>SUM(K342:Q342)</f>
        <v/>
      </c>
      <c r="S342" s="755">
        <f>J342*2440</f>
        <v/>
      </c>
    </row>
    <row r="343" customFormat="1" s="638">
      <c r="A343" s="354" t="inlineStr">
        <is>
          <t>라임</t>
        </is>
      </c>
      <c r="B343" s="774" t="n"/>
      <c r="C343" s="233" t="n"/>
      <c r="D343" s="234" t="n"/>
      <c r="E343" s="234" t="n"/>
      <c r="F343" s="230" t="n"/>
      <c r="G343" s="345" t="n"/>
      <c r="H343" s="80" t="n"/>
      <c r="I343" s="114" t="n"/>
      <c r="J343" s="35">
        <f>SUM(B343:I343)</f>
        <v/>
      </c>
      <c r="K343" s="755" t="n">
        <v>0</v>
      </c>
      <c r="L343" s="839" t="n"/>
      <c r="M343" s="770" t="n"/>
      <c r="N343" s="863" t="n">
        <v>0</v>
      </c>
      <c r="O343" s="757" t="n"/>
      <c r="P343" s="854" t="n"/>
      <c r="Q343" s="758" t="n"/>
      <c r="R343" s="755">
        <f>SUM(K343:Q343)</f>
        <v/>
      </c>
      <c r="S343" s="755">
        <f>J343*2740</f>
        <v/>
      </c>
    </row>
    <row r="344" customFormat="1" s="638">
      <c r="A344" s="355" t="inlineStr">
        <is>
          <t>로즈마리오일</t>
        </is>
      </c>
      <c r="B344" s="774" t="n"/>
      <c r="C344" s="233" t="n"/>
      <c r="D344" s="242" t="n"/>
      <c r="E344" s="234" t="n"/>
      <c r="F344" s="230" t="n"/>
      <c r="G344" s="345" t="n"/>
      <c r="H344" s="80" t="n"/>
      <c r="I344" s="114" t="n"/>
      <c r="J344" s="35">
        <f>SUM(B344:I344)</f>
        <v/>
      </c>
      <c r="K344" s="755">
        <f>C344*20000</f>
        <v/>
      </c>
      <c r="L344" s="839" t="n"/>
      <c r="M344" s="770" t="n"/>
      <c r="N344" s="863">
        <f>F344*18000</f>
        <v/>
      </c>
      <c r="O344" s="757" t="n"/>
      <c r="P344" s="854" t="n"/>
      <c r="Q344" s="758" t="n"/>
      <c r="R344" s="755">
        <f>SUM(K344:Q344)</f>
        <v/>
      </c>
      <c r="S344" s="755">
        <f>J344*4940</f>
        <v/>
      </c>
    </row>
    <row r="345" customFormat="1" s="638">
      <c r="A345" s="354" t="inlineStr">
        <is>
          <t>로즈제라늄</t>
        </is>
      </c>
      <c r="B345" s="774" t="n"/>
      <c r="C345" s="233" t="n"/>
      <c r="D345" s="242" t="n"/>
      <c r="E345" s="234" t="n"/>
      <c r="F345" s="230" t="n"/>
      <c r="G345" s="345" t="n"/>
      <c r="H345" s="80" t="n"/>
      <c r="I345" s="114" t="n"/>
      <c r="J345" s="35">
        <f>SUM(B345:I345)</f>
        <v/>
      </c>
      <c r="K345" s="755" t="n">
        <v>0</v>
      </c>
      <c r="L345" s="839" t="n"/>
      <c r="M345" s="770" t="n"/>
      <c r="N345" s="863" t="n">
        <v>0</v>
      </c>
      <c r="O345" s="757" t="n"/>
      <c r="P345" s="854" t="n"/>
      <c r="Q345" s="758" t="n"/>
      <c r="R345" s="755">
        <f>SUM(K345:Q345)</f>
        <v/>
      </c>
      <c r="S345" s="755">
        <f>J345*2470</f>
        <v/>
      </c>
    </row>
    <row r="346" customFormat="1" s="638">
      <c r="A346" s="354" t="inlineStr">
        <is>
          <t>로만캐모마일(오가닉)</t>
        </is>
      </c>
      <c r="B346" s="774" t="n"/>
      <c r="C346" s="233" t="n"/>
      <c r="D346" s="234" t="n"/>
      <c r="E346" s="234" t="n"/>
      <c r="F346" s="230" t="n"/>
      <c r="G346" s="345" t="n"/>
      <c r="H346" s="80" t="n"/>
      <c r="I346" s="114" t="n"/>
      <c r="J346" s="35">
        <f>SUM(B346:I346)</f>
        <v/>
      </c>
      <c r="K346" s="755" t="n">
        <v>0</v>
      </c>
      <c r="L346" s="839" t="n"/>
      <c r="M346" s="770" t="n"/>
      <c r="N346" s="863" t="n">
        <v>0</v>
      </c>
      <c r="O346" s="757" t="n"/>
      <c r="P346" s="854" t="n"/>
      <c r="Q346" s="758" t="n"/>
      <c r="R346" s="755">
        <f>SUM(K346:Q346)</f>
        <v/>
      </c>
      <c r="S346" s="755">
        <f>J346*28700</f>
        <v/>
      </c>
    </row>
    <row r="347" customFormat="1" s="638">
      <c r="A347" s="354" t="inlineStr">
        <is>
          <t>루</t>
        </is>
      </c>
      <c r="B347" s="774" t="n"/>
      <c r="C347" s="233" t="n"/>
      <c r="D347" s="234" t="n"/>
      <c r="E347" s="234" t="n"/>
      <c r="F347" s="230" t="n"/>
      <c r="G347" s="345" t="n"/>
      <c r="H347" s="80" t="n"/>
      <c r="I347" s="114" t="n"/>
      <c r="J347" s="35">
        <f>SUM(B347:I347)</f>
        <v/>
      </c>
      <c r="K347" s="755">
        <f>C347*23000</f>
        <v/>
      </c>
      <c r="L347" s="839" t="n"/>
      <c r="M347" s="770" t="n"/>
      <c r="N347" s="863">
        <f>F347*21000</f>
        <v/>
      </c>
      <c r="O347" s="757" t="n"/>
      <c r="P347" s="854" t="n"/>
      <c r="Q347" s="758" t="n"/>
      <c r="R347" s="755">
        <f>SUM(K347:Q347)</f>
        <v/>
      </c>
      <c r="S347" s="755">
        <f>J347*3170</f>
        <v/>
      </c>
    </row>
    <row r="348" customFormat="1" s="638">
      <c r="A348" s="354" t="inlineStr">
        <is>
          <t>레몬오일</t>
        </is>
      </c>
      <c r="B348" s="774" t="n"/>
      <c r="C348" s="233" t="n"/>
      <c r="D348" s="234" t="n"/>
      <c r="E348" s="234" t="n"/>
      <c r="F348" s="230" t="n"/>
      <c r="G348" s="345" t="n"/>
      <c r="H348" s="80" t="n"/>
      <c r="I348" s="114" t="n"/>
      <c r="J348" s="35">
        <f>SUM(B348:I348)</f>
        <v/>
      </c>
      <c r="K348" s="755" t="n">
        <v>0</v>
      </c>
      <c r="L348" s="839" t="n"/>
      <c r="M348" s="770" t="n"/>
      <c r="N348" s="863" t="n">
        <v>0</v>
      </c>
      <c r="O348" s="757" t="n"/>
      <c r="P348" s="854" t="n"/>
      <c r="Q348" s="758" t="n"/>
      <c r="R348" s="755">
        <f>SUM(K348:Q348)</f>
        <v/>
      </c>
      <c r="S348" s="755">
        <f>J348*2300</f>
        <v/>
      </c>
    </row>
    <row r="349" customFormat="1" s="638">
      <c r="A349" s="354" t="inlineStr">
        <is>
          <t>레몬그라스오일</t>
        </is>
      </c>
      <c r="B349" s="774" t="n"/>
      <c r="C349" s="233" t="n"/>
      <c r="D349" s="234" t="n"/>
      <c r="E349" s="234" t="n"/>
      <c r="F349" s="230" t="n"/>
      <c r="G349" s="345" t="n"/>
      <c r="H349" s="80" t="n"/>
      <c r="I349" s="114" t="n"/>
      <c r="J349" s="35">
        <f>SUM(B349:I349)</f>
        <v/>
      </c>
      <c r="K349" s="755" t="n">
        <v>0</v>
      </c>
      <c r="L349" s="839" t="n"/>
      <c r="M349" s="770" t="n"/>
      <c r="N349" s="863" t="n">
        <v>0</v>
      </c>
      <c r="O349" s="757" t="n"/>
      <c r="P349" s="854" t="n"/>
      <c r="Q349" s="758" t="n"/>
      <c r="R349" s="755">
        <f>SUM(K349:Q349)</f>
        <v/>
      </c>
      <c r="S349" s="755">
        <f>J349*1670</f>
        <v/>
      </c>
    </row>
    <row r="350" customFormat="1" s="638">
      <c r="A350" s="356" t="inlineStr">
        <is>
          <t>마조람</t>
        </is>
      </c>
      <c r="B350" s="774" t="n"/>
      <c r="C350" s="218" t="n"/>
      <c r="D350" s="234" t="n"/>
      <c r="E350" s="234" t="n"/>
      <c r="F350" s="191" t="n"/>
      <c r="G350" s="195" t="n"/>
      <c r="H350" s="80" t="n"/>
      <c r="I350" s="114" t="n"/>
      <c r="J350" s="35">
        <f>SUM(B350:I350)</f>
        <v/>
      </c>
      <c r="K350" s="755" t="n">
        <v>0</v>
      </c>
      <c r="L350" s="839" t="n"/>
      <c r="M350" s="770" t="n"/>
      <c r="N350" s="863" t="n">
        <v>0</v>
      </c>
      <c r="O350" s="757" t="n"/>
      <c r="P350" s="854" t="n"/>
      <c r="Q350" s="758" t="n"/>
      <c r="R350" s="755">
        <f>SUM(K350:Q350)</f>
        <v/>
      </c>
      <c r="S350" s="755">
        <f>J350*5710</f>
        <v/>
      </c>
    </row>
    <row r="351" customFormat="1" s="638">
      <c r="A351" s="356" t="inlineStr">
        <is>
          <t>만다린</t>
        </is>
      </c>
      <c r="B351" s="774" t="n"/>
      <c r="C351" s="218" t="n"/>
      <c r="D351" s="234" t="n"/>
      <c r="E351" s="234" t="n"/>
      <c r="F351" s="191" t="n"/>
      <c r="G351" s="195" t="n"/>
      <c r="H351" s="80" t="n"/>
      <c r="I351" s="114" t="n"/>
      <c r="J351" s="35">
        <f>SUM(B351:I351)</f>
        <v/>
      </c>
      <c r="K351" s="755" t="n">
        <v>0</v>
      </c>
      <c r="L351" s="839" t="n"/>
      <c r="M351" s="770" t="n"/>
      <c r="N351" s="863" t="n">
        <v>0</v>
      </c>
      <c r="O351" s="757" t="n"/>
      <c r="P351" s="854" t="n"/>
      <c r="Q351" s="758" t="n"/>
      <c r="R351" s="755">
        <f>SUM(K351:Q351)</f>
        <v/>
      </c>
      <c r="S351" s="755">
        <f>J351*4170</f>
        <v/>
      </c>
    </row>
    <row r="352" customFormat="1" s="638">
      <c r="A352" s="356" t="inlineStr">
        <is>
          <t>머그워트(쑥)</t>
        </is>
      </c>
      <c r="B352" s="774" t="n"/>
      <c r="C352" s="218" t="n"/>
      <c r="D352" s="234" t="n"/>
      <c r="E352" s="234" t="n"/>
      <c r="F352" s="191" t="n"/>
      <c r="G352" s="195" t="n"/>
      <c r="H352" s="80" t="n"/>
      <c r="I352" s="114" t="n"/>
      <c r="J352" s="35">
        <f>SUM(B352:I352)</f>
        <v/>
      </c>
      <c r="K352" s="755" t="n">
        <v>0</v>
      </c>
      <c r="L352" s="839" t="n"/>
      <c r="M352" s="770" t="n"/>
      <c r="N352" s="863" t="n">
        <v>0</v>
      </c>
      <c r="O352" s="757" t="n"/>
      <c r="P352" s="854" t="n"/>
      <c r="Q352" s="758" t="n"/>
      <c r="R352" s="755">
        <f>SUM(K352:Q352)</f>
        <v/>
      </c>
      <c r="S352" s="755">
        <f>J352*8570</f>
        <v/>
      </c>
    </row>
    <row r="353" customFormat="1" s="638">
      <c r="A353" s="356" t="inlineStr">
        <is>
          <t>머틀</t>
        </is>
      </c>
      <c r="B353" s="774" t="n"/>
      <c r="C353" s="218" t="n"/>
      <c r="D353" s="234" t="n"/>
      <c r="E353" s="234" t="n"/>
      <c r="F353" s="191" t="n"/>
      <c r="G353" s="195" t="n"/>
      <c r="H353" s="80" t="n"/>
      <c r="I353" s="114" t="n"/>
      <c r="J353" s="35">
        <f>SUM(B353:I353)</f>
        <v/>
      </c>
      <c r="K353" s="755" t="n">
        <v>0</v>
      </c>
      <c r="L353" s="839" t="n"/>
      <c r="M353" s="770" t="n"/>
      <c r="N353" s="863" t="n">
        <v>0</v>
      </c>
      <c r="O353" s="757" t="n"/>
      <c r="P353" s="854" t="n"/>
      <c r="Q353" s="758" t="n"/>
      <c r="R353" s="755">
        <f>SUM(K353:Q353)</f>
        <v/>
      </c>
      <c r="S353" s="755">
        <f>J353*2260</f>
        <v/>
      </c>
    </row>
    <row r="354" customFormat="1" s="638">
      <c r="A354" s="354" t="inlineStr">
        <is>
          <t>멜리사오일</t>
        </is>
      </c>
      <c r="B354" s="774" t="n"/>
      <c r="C354" s="233" t="n"/>
      <c r="D354" s="242" t="n"/>
      <c r="E354" s="234" t="n"/>
      <c r="F354" s="230" t="n"/>
      <c r="G354" s="345" t="n"/>
      <c r="H354" s="80" t="n"/>
      <c r="I354" s="114" t="n"/>
      <c r="J354" s="35">
        <f>SUM(B354:I354)</f>
        <v/>
      </c>
      <c r="K354" s="755" t="n">
        <v>0</v>
      </c>
      <c r="L354" s="839" t="n"/>
      <c r="M354" s="770" t="n"/>
      <c r="N354" s="863" t="n">
        <v>0</v>
      </c>
      <c r="O354" s="757" t="n"/>
      <c r="P354" s="854" t="n"/>
      <c r="Q354" s="758" t="n"/>
      <c r="R354" s="755">
        <f>SUM(K354:Q354)</f>
        <v/>
      </c>
      <c r="S354" s="755">
        <f>J354*16916</f>
        <v/>
      </c>
    </row>
    <row r="355" customFormat="1" s="638">
      <c r="A355" s="356" t="inlineStr">
        <is>
          <t>미르오일</t>
        </is>
      </c>
      <c r="B355" s="774" t="n"/>
      <c r="C355" s="218" t="n"/>
      <c r="D355" s="234" t="n"/>
      <c r="E355" s="234" t="n"/>
      <c r="F355" s="191" t="n"/>
      <c r="G355" s="195" t="n"/>
      <c r="H355" s="80" t="n"/>
      <c r="I355" s="114" t="n"/>
      <c r="J355" s="35">
        <f>SUM(B355:I355)</f>
        <v/>
      </c>
      <c r="K355" s="755" t="n">
        <v>0</v>
      </c>
      <c r="L355" s="839" t="n"/>
      <c r="M355" s="770" t="n"/>
      <c r="N355" s="863" t="n">
        <v>0</v>
      </c>
      <c r="O355" s="757" t="n"/>
      <c r="P355" s="854" t="n"/>
      <c r="Q355" s="758" t="n"/>
      <c r="R355" s="755">
        <f>SUM(K355:Q355)</f>
        <v/>
      </c>
      <c r="S355" s="755">
        <f>J355*2470</f>
        <v/>
      </c>
    </row>
    <row r="356" customFormat="1" s="638">
      <c r="A356" s="356" t="inlineStr">
        <is>
          <t>바질</t>
        </is>
      </c>
      <c r="B356" s="774" t="n"/>
      <c r="C356" s="218" t="n"/>
      <c r="D356" s="234" t="n"/>
      <c r="E356" s="234" t="n"/>
      <c r="F356" s="191" t="n"/>
      <c r="G356" s="195" t="n"/>
      <c r="H356" s="80" t="n"/>
      <c r="I356" s="114" t="n"/>
      <c r="J356" s="35">
        <f>SUM(B356:I356)</f>
        <v/>
      </c>
      <c r="K356" s="755" t="n">
        <v>0</v>
      </c>
      <c r="L356" s="839" t="n"/>
      <c r="M356" s="770" t="n"/>
      <c r="N356" s="863" t="n">
        <v>0</v>
      </c>
      <c r="O356" s="757" t="n"/>
      <c r="P356" s="854" t="n"/>
      <c r="Q356" s="758" t="n"/>
      <c r="R356" s="755">
        <f>SUM(K356:Q356)</f>
        <v/>
      </c>
      <c r="S356" s="755">
        <f>J356*2160</f>
        <v/>
      </c>
    </row>
    <row r="357" customFormat="1" s="638">
      <c r="A357" s="356" t="inlineStr">
        <is>
          <t>버치스윗</t>
        </is>
      </c>
      <c r="B357" s="774" t="n"/>
      <c r="C357" s="218" t="n"/>
      <c r="D357" s="234" t="n"/>
      <c r="E357" s="234" t="n"/>
      <c r="F357" s="191" t="n"/>
      <c r="G357" s="195" t="n"/>
      <c r="H357" s="80" t="n"/>
      <c r="I357" s="114" t="n"/>
      <c r="J357" s="35">
        <f>SUM(B357:I357)</f>
        <v/>
      </c>
      <c r="K357" s="755">
        <f>C357*23000</f>
        <v/>
      </c>
      <c r="L357" s="839" t="n"/>
      <c r="M357" s="770" t="n"/>
      <c r="N357" s="863">
        <f>F357*21000</f>
        <v/>
      </c>
      <c r="O357" s="757" t="n"/>
      <c r="P357" s="854" t="n"/>
      <c r="Q357" s="758" t="n"/>
      <c r="R357" s="755">
        <f>SUM(K357:Q357)</f>
        <v/>
      </c>
      <c r="S357" s="755">
        <f>J357*2540</f>
        <v/>
      </c>
    </row>
    <row r="358" customFormat="1" s="638">
      <c r="A358" s="354" t="inlineStr">
        <is>
          <t>베르가모트</t>
        </is>
      </c>
      <c r="B358" s="774" t="n"/>
      <c r="C358" s="233" t="n">
        <v>1</v>
      </c>
      <c r="D358" s="234" t="n"/>
      <c r="E358" s="234" t="n"/>
      <c r="F358" s="230" t="n"/>
      <c r="G358" s="345" t="n"/>
      <c r="H358" s="80" t="n"/>
      <c r="I358" s="114" t="n"/>
      <c r="J358" s="35">
        <f>SUM(B358:I358)</f>
        <v/>
      </c>
      <c r="K358" s="755" t="n">
        <v>17000</v>
      </c>
      <c r="L358" s="839" t="n"/>
      <c r="M358" s="770" t="n"/>
      <c r="N358" s="863" t="n">
        <v>0</v>
      </c>
      <c r="O358" s="757" t="n"/>
      <c r="P358" s="854" t="n"/>
      <c r="Q358" s="758" t="n"/>
      <c r="R358" s="755">
        <f>SUM(K358:Q358)</f>
        <v/>
      </c>
      <c r="S358" s="755">
        <f>J358*1690</f>
        <v/>
      </c>
    </row>
    <row r="359" customFormat="1" s="638">
      <c r="A359" s="356" t="inlineStr">
        <is>
          <t>베티버오일</t>
        </is>
      </c>
      <c r="B359" s="774" t="n"/>
      <c r="C359" s="218" t="n"/>
      <c r="D359" s="234" t="n"/>
      <c r="E359" s="234" t="n"/>
      <c r="F359" s="191" t="n"/>
      <c r="G359" s="195" t="n"/>
      <c r="H359" s="80" t="n"/>
      <c r="I359" s="114" t="n"/>
      <c r="J359" s="35">
        <f>SUM(B359:I359)</f>
        <v/>
      </c>
      <c r="K359" s="755" t="n">
        <v>0</v>
      </c>
      <c r="L359" s="839" t="n"/>
      <c r="M359" s="770" t="n"/>
      <c r="N359" s="863" t="n">
        <v>0</v>
      </c>
      <c r="O359" s="757" t="n"/>
      <c r="P359" s="854" t="n"/>
      <c r="Q359" s="758" t="n"/>
      <c r="R359" s="755">
        <f>SUM(K359:Q359)</f>
        <v/>
      </c>
      <c r="S359" s="755">
        <f>J359*10990</f>
        <v/>
      </c>
    </row>
    <row r="360" customFormat="1" s="638">
      <c r="A360" s="356" t="inlineStr">
        <is>
          <t>벤조인</t>
        </is>
      </c>
      <c r="B360" s="774" t="n"/>
      <c r="C360" s="218" t="n"/>
      <c r="D360" s="234" t="n"/>
      <c r="E360" s="234" t="n"/>
      <c r="F360" s="191" t="n"/>
      <c r="G360" s="195" t="n"/>
      <c r="H360" s="80" t="n"/>
      <c r="I360" s="114" t="n"/>
      <c r="J360" s="35">
        <f>SUM(B360:I360)</f>
        <v/>
      </c>
      <c r="K360" s="755" t="n">
        <v>0</v>
      </c>
      <c r="L360" s="839" t="n"/>
      <c r="M360" s="770" t="n"/>
      <c r="N360" s="863" t="n">
        <v>0</v>
      </c>
      <c r="O360" s="757" t="n"/>
      <c r="P360" s="854" t="n"/>
      <c r="Q360" s="758" t="n"/>
      <c r="R360" s="755">
        <f>SUM(K360:Q360)</f>
        <v/>
      </c>
      <c r="S360" s="755">
        <f>J360*2180</f>
        <v/>
      </c>
    </row>
    <row r="361" customFormat="1" s="638">
      <c r="A361" s="356" t="inlineStr">
        <is>
          <t>블렉페퍼오일</t>
        </is>
      </c>
      <c r="B361" s="774" t="n"/>
      <c r="C361" s="218" t="n"/>
      <c r="D361" s="234" t="n"/>
      <c r="E361" s="234" t="n"/>
      <c r="F361" s="191" t="n"/>
      <c r="G361" s="195" t="n"/>
      <c r="H361" s="80" t="n"/>
      <c r="I361" s="114" t="n"/>
      <c r="J361" s="35">
        <f>SUM(B361:I361)</f>
        <v/>
      </c>
      <c r="K361" s="755" t="n">
        <v>0</v>
      </c>
      <c r="L361" s="839" t="n"/>
      <c r="M361" s="770" t="n"/>
      <c r="N361" s="863" t="n">
        <v>0</v>
      </c>
      <c r="O361" s="757" t="n"/>
      <c r="P361" s="854" t="n"/>
      <c r="Q361" s="758" t="n"/>
      <c r="R361" s="755">
        <f>SUM(K361:Q361)</f>
        <v/>
      </c>
      <c r="S361" s="755">
        <f>J361*7800</f>
        <v/>
      </c>
    </row>
    <row r="362" customFormat="1" s="638">
      <c r="A362" s="354" t="inlineStr">
        <is>
          <t>샌달우드오일</t>
        </is>
      </c>
      <c r="B362" s="774" t="n"/>
      <c r="C362" s="233" t="n"/>
      <c r="D362" s="234" t="n"/>
      <c r="E362" s="234" t="n"/>
      <c r="F362" s="230" t="n"/>
      <c r="G362" s="345" t="n"/>
      <c r="H362" s="80" t="n"/>
      <c r="I362" s="114" t="n"/>
      <c r="J362" s="35">
        <f>SUM(B362:I362)</f>
        <v/>
      </c>
      <c r="K362" s="755" t="n">
        <v>0</v>
      </c>
      <c r="L362" s="839" t="n"/>
      <c r="M362" s="770" t="n"/>
      <c r="N362" s="863" t="n">
        <v>0</v>
      </c>
      <c r="O362" s="757" t="n"/>
      <c r="P362" s="854" t="n"/>
      <c r="Q362" s="758" t="n"/>
      <c r="R362" s="755">
        <f>SUM(K362:Q362)</f>
        <v/>
      </c>
      <c r="S362" s="755">
        <f>J362*4225</f>
        <v/>
      </c>
    </row>
    <row r="363" customFormat="1" s="638">
      <c r="A363" s="356" t="inlineStr">
        <is>
          <t>스피아민트</t>
        </is>
      </c>
      <c r="B363" s="774" t="n"/>
      <c r="C363" s="218" t="n"/>
      <c r="D363" s="234" t="n"/>
      <c r="E363" s="234" t="n"/>
      <c r="F363" s="191" t="n"/>
      <c r="G363" s="195" t="n"/>
      <c r="H363" s="80" t="n"/>
      <c r="I363" s="114" t="n"/>
      <c r="J363" s="35">
        <f>SUM(B363:I363)</f>
        <v/>
      </c>
      <c r="K363" s="755" t="n">
        <v>0</v>
      </c>
      <c r="L363" s="839" t="n"/>
      <c r="M363" s="770" t="n"/>
      <c r="N363" s="863" t="n">
        <v>0</v>
      </c>
      <c r="O363" s="757" t="n"/>
      <c r="P363" s="854" t="n"/>
      <c r="Q363" s="758" t="n"/>
      <c r="R363" s="755">
        <f>SUM(K363:Q363)</f>
        <v/>
      </c>
      <c r="S363" s="755">
        <f>J363*2652</f>
        <v/>
      </c>
    </row>
    <row r="364" customFormat="1" s="638">
      <c r="A364" s="356" t="inlineStr">
        <is>
          <t>시더우드</t>
        </is>
      </c>
      <c r="B364" s="774" t="n"/>
      <c r="C364" s="218" t="n"/>
      <c r="D364" s="234" t="n"/>
      <c r="E364" s="234" t="n"/>
      <c r="F364" s="191" t="n"/>
      <c r="G364" s="195" t="n"/>
      <c r="H364" s="80" t="n"/>
      <c r="I364" s="114" t="n"/>
      <c r="J364" s="35">
        <f>SUM(B364:I364)</f>
        <v/>
      </c>
      <c r="K364" s="755" t="n">
        <v>0</v>
      </c>
      <c r="L364" s="839" t="n"/>
      <c r="M364" s="770" t="n"/>
      <c r="N364" s="863" t="n">
        <v>0</v>
      </c>
      <c r="O364" s="757" t="n"/>
      <c r="P364" s="854" t="n"/>
      <c r="Q364" s="758" t="n"/>
      <c r="R364" s="755">
        <f>SUM(K364:Q364)</f>
        <v/>
      </c>
      <c r="S364" s="755">
        <f>J364*2410</f>
        <v/>
      </c>
    </row>
    <row r="365" customFormat="1" s="638">
      <c r="A365" s="356" t="inlineStr">
        <is>
          <t>시트로넬라</t>
        </is>
      </c>
      <c r="B365" s="774" t="n"/>
      <c r="C365" s="218" t="n"/>
      <c r="D365" s="234" t="n"/>
      <c r="E365" s="234" t="n"/>
      <c r="F365" s="191" t="n"/>
      <c r="G365" s="195" t="n"/>
      <c r="H365" s="80" t="n"/>
      <c r="I365" s="114" t="n"/>
      <c r="J365" s="35">
        <f>SUM(B365:I365)</f>
        <v/>
      </c>
      <c r="K365" s="755" t="n">
        <v>0</v>
      </c>
      <c r="L365" s="839" t="n"/>
      <c r="M365" s="770" t="n"/>
      <c r="N365" s="863" t="n">
        <v>0</v>
      </c>
      <c r="O365" s="757" t="n"/>
      <c r="P365" s="854" t="n"/>
      <c r="Q365" s="758" t="n"/>
      <c r="R365" s="755">
        <f>SUM(K365:Q365)</f>
        <v/>
      </c>
      <c r="S365" s="755">
        <f>J365*1820</f>
        <v/>
      </c>
    </row>
    <row r="366" customFormat="1" s="638">
      <c r="A366" s="354" t="inlineStr">
        <is>
          <t>싸이프러스</t>
        </is>
      </c>
      <c r="B366" s="774" t="n"/>
      <c r="C366" s="233" t="n"/>
      <c r="D366" s="234" t="n"/>
      <c r="E366" s="234" t="n"/>
      <c r="F366" s="230" t="n"/>
      <c r="G366" s="345" t="n"/>
      <c r="H366" s="80" t="n"/>
      <c r="I366" s="114" t="n"/>
      <c r="J366" s="35">
        <f>SUM(B366:I366)</f>
        <v/>
      </c>
      <c r="K366" s="755" t="n">
        <v>0</v>
      </c>
      <c r="L366" s="839" t="n"/>
      <c r="M366" s="770" t="n"/>
      <c r="N366" s="863" t="n">
        <v>0</v>
      </c>
      <c r="O366" s="757" t="n"/>
      <c r="P366" s="854" t="n"/>
      <c r="Q366" s="758" t="n"/>
      <c r="R366" s="755">
        <f>SUM(K366:Q366)</f>
        <v/>
      </c>
      <c r="S366" s="755">
        <f>J366*4170</f>
        <v/>
      </c>
    </row>
    <row r="367" customFormat="1" s="638">
      <c r="A367" s="354" t="inlineStr">
        <is>
          <t>아가우드</t>
        </is>
      </c>
      <c r="B367" s="774" t="n"/>
      <c r="C367" s="233" t="n">
        <v>1</v>
      </c>
      <c r="D367" s="234" t="n"/>
      <c r="E367" s="234" t="n"/>
      <c r="F367" s="230" t="n"/>
      <c r="G367" s="345" t="n"/>
      <c r="H367" s="80" t="n"/>
      <c r="I367" s="114" t="n"/>
      <c r="J367" s="35">
        <f>SUM(B367:I367)</f>
        <v/>
      </c>
      <c r="K367" s="755">
        <f>C367*125000</f>
        <v/>
      </c>
      <c r="L367" s="839" t="n"/>
      <c r="M367" s="770" t="n"/>
      <c r="N367" s="863">
        <f>F367*113000</f>
        <v/>
      </c>
      <c r="O367" s="757" t="n"/>
      <c r="P367" s="854" t="n"/>
      <c r="Q367" s="758" t="n"/>
      <c r="R367" s="755">
        <f>SUM(K367:Q367)</f>
        <v/>
      </c>
      <c r="S367" s="755">
        <f>J367*9020</f>
        <v/>
      </c>
    </row>
    <row r="368" customFormat="1" s="638">
      <c r="A368" s="354" t="inlineStr">
        <is>
          <t>안젤리카</t>
        </is>
      </c>
      <c r="B368" s="774" t="n"/>
      <c r="C368" s="233" t="n">
        <v>1</v>
      </c>
      <c r="D368" s="234" t="n"/>
      <c r="E368" s="234" t="n"/>
      <c r="F368" s="230" t="n"/>
      <c r="G368" s="345" t="n"/>
      <c r="H368" s="80" t="n"/>
      <c r="I368" s="114" t="n"/>
      <c r="J368" s="35">
        <f>SUM(B368:I368)</f>
        <v/>
      </c>
      <c r="K368" s="755">
        <f>C368*110000</f>
        <v/>
      </c>
      <c r="L368" s="839" t="n"/>
      <c r="M368" s="770" t="n"/>
      <c r="N368" s="863">
        <f>F368*99000</f>
        <v/>
      </c>
      <c r="O368" s="757" t="n"/>
      <c r="P368" s="854" t="n"/>
      <c r="Q368" s="758" t="n"/>
      <c r="R368" s="755">
        <f>SUM(K368:Q368)</f>
        <v/>
      </c>
      <c r="S368" s="755">
        <f>J368*5930</f>
        <v/>
      </c>
    </row>
    <row r="369" customFormat="1" s="638">
      <c r="A369" s="356" t="inlineStr">
        <is>
          <t>야로우</t>
        </is>
      </c>
      <c r="B369" s="774" t="n"/>
      <c r="C369" s="218" t="n"/>
      <c r="D369" s="234" t="n"/>
      <c r="E369" s="234" t="n"/>
      <c r="F369" s="191" t="n"/>
      <c r="G369" s="195" t="n"/>
      <c r="H369" s="80" t="n"/>
      <c r="I369" s="114" t="n"/>
      <c r="J369" s="35">
        <f>SUM(B369:I369)</f>
        <v/>
      </c>
      <c r="K369" s="755" t="n">
        <v>0</v>
      </c>
      <c r="L369" s="839" t="n"/>
      <c r="M369" s="770" t="n"/>
      <c r="N369" s="863" t="n">
        <v>0</v>
      </c>
      <c r="O369" s="757" t="n"/>
      <c r="P369" s="854" t="n"/>
      <c r="Q369" s="758" t="n"/>
      <c r="R369" s="755">
        <f>SUM(K369:Q369)</f>
        <v/>
      </c>
      <c r="S369" s="755">
        <f>J369*17940</f>
        <v/>
      </c>
    </row>
    <row r="370" customFormat="1" s="638">
      <c r="A370" s="356" t="inlineStr">
        <is>
          <t>오레가노(60%)</t>
        </is>
      </c>
      <c r="B370" s="774" t="n"/>
      <c r="C370" s="218" t="n"/>
      <c r="D370" s="234" t="n"/>
      <c r="E370" s="234" t="n"/>
      <c r="F370" s="191" t="n"/>
      <c r="G370" s="195" t="n"/>
      <c r="H370" s="80" t="n"/>
      <c r="I370" s="114" t="n"/>
      <c r="J370" s="35">
        <f>SUM(B370:I370)</f>
        <v/>
      </c>
      <c r="K370" s="755" t="n">
        <v>0</v>
      </c>
      <c r="L370" s="839" t="n"/>
      <c r="M370" s="770" t="n"/>
      <c r="N370" s="863" t="n">
        <v>0</v>
      </c>
      <c r="O370" s="757" t="n"/>
      <c r="P370" s="854" t="n"/>
      <c r="Q370" s="758" t="n"/>
      <c r="R370" s="755">
        <f>SUM(K370:Q370)</f>
        <v/>
      </c>
      <c r="S370" s="755">
        <f>J370*2110</f>
        <v/>
      </c>
    </row>
    <row r="371" customFormat="1" s="638">
      <c r="A371" s="354" t="inlineStr">
        <is>
          <t>오렌지스윗</t>
        </is>
      </c>
      <c r="B371" s="774" t="n"/>
      <c r="C371" s="233" t="n"/>
      <c r="D371" s="234" t="n"/>
      <c r="E371" s="234" t="n"/>
      <c r="F371" s="230" t="n"/>
      <c r="G371" s="345" t="n"/>
      <c r="H371" s="80" t="n"/>
      <c r="I371" s="114" t="n"/>
      <c r="J371" s="35">
        <f>SUM(B371:I371)</f>
        <v/>
      </c>
      <c r="K371" s="755" t="n">
        <v>0</v>
      </c>
      <c r="L371" s="839" t="n"/>
      <c r="M371" s="770" t="n"/>
      <c r="N371" s="863" t="n">
        <v>0</v>
      </c>
      <c r="O371" s="757" t="n"/>
      <c r="P371" s="854" t="n"/>
      <c r="Q371" s="758" t="n"/>
      <c r="R371" s="755">
        <f>SUM(K371:Q371)</f>
        <v/>
      </c>
      <c r="S371" s="755">
        <f>J371*1728</f>
        <v/>
      </c>
    </row>
    <row r="372" customFormat="1" s="638">
      <c r="A372" s="354" t="inlineStr">
        <is>
          <t>유즈</t>
        </is>
      </c>
      <c r="B372" s="774" t="n"/>
      <c r="C372" s="233" t="n"/>
      <c r="D372" s="234" t="n"/>
      <c r="E372" s="234" t="n"/>
      <c r="F372" s="230" t="n"/>
      <c r="G372" s="345" t="n"/>
      <c r="H372" s="80" t="n"/>
      <c r="I372" s="114" t="n"/>
      <c r="J372" s="35">
        <f>SUM(B372:I372)</f>
        <v/>
      </c>
      <c r="K372" s="755">
        <f>C372*17000</f>
        <v/>
      </c>
      <c r="L372" s="839" t="n"/>
      <c r="M372" s="770" t="n"/>
      <c r="N372" s="863">
        <f>F372*15000</f>
        <v/>
      </c>
      <c r="O372" s="757" t="n"/>
      <c r="P372" s="854" t="n"/>
      <c r="Q372" s="758" t="n"/>
      <c r="R372" s="755">
        <f>SUM(K372:Q372)</f>
        <v/>
      </c>
      <c r="S372" s="755">
        <f>J372*2620</f>
        <v/>
      </c>
    </row>
    <row r="373" customFormat="1" s="638">
      <c r="A373" s="354" t="inlineStr">
        <is>
          <t>유칼리투스(블루마레)</t>
        </is>
      </c>
      <c r="B373" s="774" t="n"/>
      <c r="C373" s="233" t="n"/>
      <c r="D373" s="234" t="n"/>
      <c r="E373" s="234" t="n"/>
      <c r="F373" s="230" t="n"/>
      <c r="G373" s="345" t="n"/>
      <c r="H373" s="80" t="n"/>
      <c r="I373" s="114" t="n"/>
      <c r="J373" s="35">
        <f>SUM(B373:I373)</f>
        <v/>
      </c>
      <c r="K373" s="755" t="n">
        <v>0</v>
      </c>
      <c r="L373" s="839" t="n"/>
      <c r="M373" s="770" t="n"/>
      <c r="N373" s="863" t="n">
        <v>0</v>
      </c>
      <c r="O373" s="757" t="n"/>
      <c r="P373" s="854" t="n"/>
      <c r="Q373" s="758" t="n"/>
      <c r="R373" s="755">
        <f>SUM(K373:Q373)</f>
        <v/>
      </c>
      <c r="S373" s="755">
        <f>J373*1996</f>
        <v/>
      </c>
    </row>
    <row r="374" customFormat="1" s="638">
      <c r="A374" s="354" t="inlineStr">
        <is>
          <t>윈터그린</t>
        </is>
      </c>
      <c r="B374" s="774" t="n"/>
      <c r="C374" s="233" t="n"/>
      <c r="D374" s="234" t="n"/>
      <c r="E374" s="234" t="n"/>
      <c r="F374" s="230" t="n"/>
      <c r="G374" s="345" t="n"/>
      <c r="H374" s="80" t="n"/>
      <c r="I374" s="114" t="n"/>
      <c r="J374" s="35">
        <f>SUM(B374:I374)</f>
        <v/>
      </c>
      <c r="K374" s="755" t="n">
        <v>0</v>
      </c>
      <c r="L374" s="839" t="n"/>
      <c r="M374" s="770" t="n"/>
      <c r="N374" s="863" t="n">
        <v>0</v>
      </c>
      <c r="O374" s="757" t="n"/>
      <c r="P374" s="854" t="n"/>
      <c r="Q374" s="758" t="n"/>
      <c r="R374" s="755">
        <f>SUM(K374:Q374)</f>
        <v/>
      </c>
      <c r="S374" s="755">
        <f>J374*2080</f>
        <v/>
      </c>
    </row>
    <row r="375" customFormat="1" s="638">
      <c r="A375" s="356" t="inlineStr">
        <is>
          <t>일랑일랑</t>
        </is>
      </c>
      <c r="B375" s="774" t="n"/>
      <c r="C375" s="218" t="n"/>
      <c r="D375" s="33" t="n"/>
      <c r="E375" s="33" t="n"/>
      <c r="F375" s="191" t="n"/>
      <c r="G375" s="195" t="n"/>
      <c r="H375" s="80" t="n"/>
      <c r="I375" s="114" t="n"/>
      <c r="J375" s="35">
        <f>SUM(B375:I375)</f>
        <v/>
      </c>
      <c r="K375" s="755" t="n">
        <v>0</v>
      </c>
      <c r="L375" s="839" t="n"/>
      <c r="M375" s="770" t="n"/>
      <c r="N375" s="863" t="n">
        <v>0</v>
      </c>
      <c r="O375" s="757" t="n"/>
      <c r="P375" s="854" t="n"/>
      <c r="Q375" s="758" t="n"/>
      <c r="R375" s="755">
        <f>SUM(K375:Q375)</f>
        <v/>
      </c>
      <c r="S375" s="755">
        <f>J375*5556</f>
        <v/>
      </c>
    </row>
    <row r="376" customFormat="1" s="638">
      <c r="A376" s="356" t="inlineStr">
        <is>
          <t>자스민(sambac)</t>
        </is>
      </c>
      <c r="B376" s="774" t="n"/>
      <c r="C376" s="218" t="n"/>
      <c r="D376" s="234" t="n"/>
      <c r="E376" s="234" t="n"/>
      <c r="F376" s="191" t="n"/>
      <c r="G376" s="195" t="n"/>
      <c r="H376" s="80" t="n"/>
      <c r="I376" s="114" t="n"/>
      <c r="J376" s="35">
        <f>SUM(B376:I376)</f>
        <v/>
      </c>
      <c r="K376" s="755" t="n">
        <v>0</v>
      </c>
      <c r="L376" s="839" t="n"/>
      <c r="M376" s="770" t="n"/>
      <c r="N376" s="863" t="n">
        <v>0</v>
      </c>
      <c r="O376" s="757" t="n"/>
      <c r="P376" s="854" t="n"/>
      <c r="Q376" s="758" t="n"/>
      <c r="R376" s="755">
        <f>SUM(K376:Q376)</f>
        <v/>
      </c>
      <c r="S376" s="755">
        <f>J376*5480</f>
        <v/>
      </c>
    </row>
    <row r="377" customFormat="1" s="638">
      <c r="A377" s="354" t="inlineStr">
        <is>
          <t>제라늄오일</t>
        </is>
      </c>
      <c r="B377" s="774" t="n"/>
      <c r="C377" s="233" t="n"/>
      <c r="D377" s="234" t="n"/>
      <c r="E377" s="234" t="n"/>
      <c r="F377" s="230" t="n"/>
      <c r="G377" s="345" t="n"/>
      <c r="H377" s="80" t="n"/>
      <c r="I377" s="114" t="n"/>
      <c r="J377" s="35">
        <f>SUM(B377:I377)</f>
        <v/>
      </c>
      <c r="K377" s="755" t="n">
        <v>0</v>
      </c>
      <c r="L377" s="839" t="n"/>
      <c r="M377" s="770" t="n"/>
      <c r="N377" s="863" t="n">
        <v>0</v>
      </c>
      <c r="O377" s="757" t="n"/>
      <c r="P377" s="854" t="n"/>
      <c r="Q377" s="758" t="n"/>
      <c r="R377" s="755">
        <f>SUM(K377:Q377)</f>
        <v/>
      </c>
      <c r="S377" s="755">
        <f>J377*6700</f>
        <v/>
      </c>
    </row>
    <row r="378" customFormat="1" s="638">
      <c r="A378" s="356" t="inlineStr">
        <is>
          <t>주니퍼베리(두송열매)</t>
        </is>
      </c>
      <c r="B378" s="774" t="n"/>
      <c r="C378" s="218" t="n"/>
      <c r="D378" s="234" t="n"/>
      <c r="E378" s="234" t="n"/>
      <c r="F378" s="191" t="n"/>
      <c r="G378" s="195" t="n"/>
      <c r="H378" s="80" t="n"/>
      <c r="I378" s="114" t="n"/>
      <c r="J378" s="35">
        <f>SUM(B378:I378)</f>
        <v/>
      </c>
      <c r="K378" s="755" t="n">
        <v>0</v>
      </c>
      <c r="L378" s="839" t="n"/>
      <c r="M378" s="770" t="n"/>
      <c r="N378" s="863" t="n">
        <v>0</v>
      </c>
      <c r="O378" s="757" t="n"/>
      <c r="P378" s="854" t="n"/>
      <c r="Q378" s="758" t="n"/>
      <c r="R378" s="755">
        <f>SUM(K378:Q378)</f>
        <v/>
      </c>
      <c r="S378" s="755">
        <f>J378*4225</f>
        <v/>
      </c>
    </row>
    <row r="379" customFormat="1" s="638">
      <c r="A379" s="356" t="inlineStr">
        <is>
          <t>진저</t>
        </is>
      </c>
      <c r="B379" s="774" t="n"/>
      <c r="C379" s="218" t="n"/>
      <c r="D379" s="234" t="n"/>
      <c r="E379" s="234" t="n"/>
      <c r="F379" s="191" t="n"/>
      <c r="G379" s="195" t="n"/>
      <c r="H379" s="80" t="n"/>
      <c r="I379" s="114" t="n"/>
      <c r="J379" s="35">
        <f>SUM(B379:I379)</f>
        <v/>
      </c>
      <c r="K379" s="755" t="n">
        <v>0</v>
      </c>
      <c r="L379" s="839" t="n"/>
      <c r="M379" s="770" t="n"/>
      <c r="N379" s="863" t="n">
        <v>0</v>
      </c>
      <c r="O379" s="757" t="n"/>
      <c r="P379" s="854" t="n"/>
      <c r="Q379" s="758" t="n"/>
      <c r="R379" s="755">
        <f>SUM(K379:Q379)</f>
        <v/>
      </c>
      <c r="S379" s="755">
        <f>J379*5380</f>
        <v/>
      </c>
    </row>
    <row r="380" customFormat="1" s="638">
      <c r="A380" s="356" t="inlineStr">
        <is>
          <t>카누카</t>
        </is>
      </c>
      <c r="B380" s="774" t="n"/>
      <c r="C380" s="218" t="n"/>
      <c r="D380" s="234" t="n"/>
      <c r="E380" s="234" t="n"/>
      <c r="F380" s="191" t="n"/>
      <c r="G380" s="195" t="n"/>
      <c r="H380" s="80" t="n"/>
      <c r="I380" s="114" t="n"/>
      <c r="J380" s="35">
        <f>SUM(B380:I380)</f>
        <v/>
      </c>
      <c r="K380" s="755">
        <f>C380*23000</f>
        <v/>
      </c>
      <c r="L380" s="839" t="n"/>
      <c r="M380" s="770" t="n"/>
      <c r="N380" s="863">
        <f>F380*21000</f>
        <v/>
      </c>
      <c r="O380" s="757" t="n"/>
      <c r="P380" s="854" t="n"/>
      <c r="Q380" s="758" t="n"/>
      <c r="R380" s="755">
        <f>SUM(K380:Q380)</f>
        <v/>
      </c>
      <c r="S380" s="755">
        <f>J380*3220</f>
        <v/>
      </c>
    </row>
    <row r="381" customFormat="1" s="638">
      <c r="A381" s="356" t="inlineStr">
        <is>
          <t>카다멈</t>
        </is>
      </c>
      <c r="B381" s="774" t="n"/>
      <c r="C381" s="218" t="n"/>
      <c r="D381" s="234" t="n"/>
      <c r="E381" s="234" t="n"/>
      <c r="F381" s="191" t="n"/>
      <c r="G381" s="195" t="n"/>
      <c r="H381" s="80" t="n"/>
      <c r="I381" s="114" t="n"/>
      <c r="J381" s="35">
        <f>SUM(B381:I381)</f>
        <v/>
      </c>
      <c r="K381" s="755">
        <f>C381*29000</f>
        <v/>
      </c>
      <c r="L381" s="839" t="n"/>
      <c r="M381" s="770" t="n"/>
      <c r="N381" s="863">
        <f>F381*26000</f>
        <v/>
      </c>
      <c r="O381" s="757" t="n"/>
      <c r="P381" s="854" t="n"/>
      <c r="Q381" s="758" t="n"/>
      <c r="R381" s="755">
        <f>SUM(K381:Q381)</f>
        <v/>
      </c>
      <c r="S381" s="755">
        <f>J381*5340</f>
        <v/>
      </c>
    </row>
    <row r="382" customFormat="1" s="638">
      <c r="A382" s="356" t="inlineStr">
        <is>
          <t>코파이바발삼</t>
        </is>
      </c>
      <c r="B382" s="774" t="n"/>
      <c r="C382" s="218" t="n"/>
      <c r="D382" s="234" t="n"/>
      <c r="E382" s="234" t="n"/>
      <c r="F382" s="191" t="n"/>
      <c r="G382" s="195" t="n"/>
      <c r="H382" s="80" t="n"/>
      <c r="I382" s="114" t="n"/>
      <c r="J382" s="35">
        <f>SUM(B382:I382)</f>
        <v/>
      </c>
      <c r="K382" s="755" t="n">
        <v>0</v>
      </c>
      <c r="L382" s="839" t="n"/>
      <c r="M382" s="770" t="n"/>
      <c r="N382" s="863" t="n">
        <v>0</v>
      </c>
      <c r="O382" s="757" t="n"/>
      <c r="P382" s="854" t="n"/>
      <c r="Q382" s="758" t="n"/>
      <c r="R382" s="755">
        <f>SUM(K382:Q382)</f>
        <v/>
      </c>
      <c r="S382" s="755">
        <f>J382*5600</f>
        <v/>
      </c>
    </row>
    <row r="383" customFormat="1" s="638">
      <c r="A383" s="356" t="inlineStr">
        <is>
          <t>캐롯시드</t>
        </is>
      </c>
      <c r="B383" s="774" t="n"/>
      <c r="C383" s="218" t="n"/>
      <c r="D383" s="234" t="n"/>
      <c r="E383" s="234" t="n"/>
      <c r="F383" s="191" t="n"/>
      <c r="G383" s="195" t="n"/>
      <c r="H383" s="80" t="n"/>
      <c r="I383" s="114" t="n"/>
      <c r="J383" s="35">
        <f>SUM(B383:I383)</f>
        <v/>
      </c>
      <c r="K383" s="755" t="n">
        <v>0</v>
      </c>
      <c r="L383" s="839" t="n"/>
      <c r="M383" s="770" t="n"/>
      <c r="N383" s="863" t="n">
        <v>0</v>
      </c>
      <c r="O383" s="757" t="n"/>
      <c r="P383" s="854" t="n"/>
      <c r="Q383" s="758" t="n"/>
      <c r="R383" s="755">
        <f>SUM(K383:Q383)</f>
        <v/>
      </c>
      <c r="S383" s="755">
        <f>J383*2570</f>
        <v/>
      </c>
    </row>
    <row r="384" customFormat="1" s="638">
      <c r="A384" s="356" t="inlineStr">
        <is>
          <t>캐시플라워</t>
        </is>
      </c>
      <c r="B384" s="774" t="n"/>
      <c r="C384" s="218" t="n">
        <v>1</v>
      </c>
      <c r="D384" s="234" t="n"/>
      <c r="E384" s="234" t="n"/>
      <c r="F384" s="191" t="n"/>
      <c r="G384" s="195" t="n"/>
      <c r="H384" s="80" t="n"/>
      <c r="I384" s="114" t="n"/>
      <c r="J384" s="35">
        <f>SUM(B384:I384)</f>
        <v/>
      </c>
      <c r="K384" s="755">
        <f>C384*23000</f>
        <v/>
      </c>
      <c r="L384" s="839" t="n"/>
      <c r="M384" s="770" t="n"/>
      <c r="N384" s="863">
        <f>F384*21000</f>
        <v/>
      </c>
      <c r="O384" s="757" t="n"/>
      <c r="P384" s="854" t="n"/>
      <c r="Q384" s="758" t="n"/>
      <c r="R384" s="755">
        <f>SUM(K384:Q384)</f>
        <v/>
      </c>
      <c r="S384" s="755">
        <f>J384*3330</f>
        <v/>
      </c>
    </row>
    <row r="385" customFormat="1" s="638">
      <c r="A385" s="356" t="inlineStr">
        <is>
          <t>캠퍼</t>
        </is>
      </c>
      <c r="B385" s="774" t="n"/>
      <c r="C385" s="218" t="n"/>
      <c r="D385" s="234" t="n"/>
      <c r="E385" s="234" t="n"/>
      <c r="F385" s="191" t="n"/>
      <c r="G385" s="195" t="n"/>
      <c r="H385" s="80" t="n"/>
      <c r="I385" s="114" t="n"/>
      <c r="J385" s="35">
        <f>SUM(B385:I385)</f>
        <v/>
      </c>
      <c r="K385" s="755">
        <f>C385*16000</f>
        <v/>
      </c>
      <c r="L385" s="839" t="n"/>
      <c r="M385" s="770" t="n"/>
      <c r="N385" s="863">
        <f>F385*14000</f>
        <v/>
      </c>
      <c r="O385" s="757" t="n"/>
      <c r="P385" s="854" t="n"/>
      <c r="Q385" s="758" t="n"/>
      <c r="R385" s="755">
        <f>SUM(K385:Q385)</f>
        <v/>
      </c>
      <c r="S385" s="755">
        <f>J385*2090</f>
        <v/>
      </c>
    </row>
    <row r="386" customFormat="1" s="638">
      <c r="A386" s="356" t="inlineStr">
        <is>
          <t>코리안더</t>
        </is>
      </c>
      <c r="B386" s="774" t="n"/>
      <c r="C386" s="218" t="n"/>
      <c r="D386" s="234" t="n"/>
      <c r="E386" s="234" t="n"/>
      <c r="F386" s="191" t="n"/>
      <c r="G386" s="195" t="n"/>
      <c r="H386" s="80" t="n"/>
      <c r="I386" s="114" t="n"/>
      <c r="J386" s="35">
        <f>SUM(B386:I386)</f>
        <v/>
      </c>
      <c r="K386" s="755">
        <f>C386*23000</f>
        <v/>
      </c>
      <c r="L386" s="839" t="n"/>
      <c r="M386" s="770" t="n"/>
      <c r="N386" s="863">
        <f>F386*21000</f>
        <v/>
      </c>
      <c r="O386" s="757" t="n"/>
      <c r="P386" s="854" t="n"/>
      <c r="Q386" s="758" t="n"/>
      <c r="R386" s="755">
        <f>SUM(K386:Q386)</f>
        <v/>
      </c>
      <c r="S386" s="755">
        <f>J386*3170</f>
        <v/>
      </c>
    </row>
    <row r="387" customFormat="1" s="638">
      <c r="A387" s="356" t="inlineStr">
        <is>
          <t>클라리세이지</t>
        </is>
      </c>
      <c r="B387" s="774" t="n"/>
      <c r="C387" s="218" t="n"/>
      <c r="D387" s="234" t="n"/>
      <c r="E387" s="234" t="n"/>
      <c r="F387" s="191" t="n"/>
      <c r="G387" s="195" t="n"/>
      <c r="H387" s="80" t="n"/>
      <c r="I387" s="114" t="n"/>
      <c r="J387" s="35">
        <f>SUM(B387:I387)</f>
        <v/>
      </c>
      <c r="K387" s="755" t="n">
        <v>0</v>
      </c>
      <c r="L387" s="839" t="n"/>
      <c r="M387" s="770" t="n"/>
      <c r="N387" s="863" t="n">
        <v>0</v>
      </c>
      <c r="O387" s="757" t="n"/>
      <c r="P387" s="854" t="n"/>
      <c r="Q387" s="758" t="n"/>
      <c r="R387" s="755">
        <f>SUM(K387:Q387)</f>
        <v/>
      </c>
      <c r="S387" s="755">
        <f>J387*4720</f>
        <v/>
      </c>
    </row>
    <row r="388" customFormat="1" s="638">
      <c r="A388" s="356" t="inlineStr">
        <is>
          <t>클로브리프</t>
        </is>
      </c>
      <c r="B388" s="774" t="n"/>
      <c r="C388" s="218" t="n"/>
      <c r="D388" s="234" t="n"/>
      <c r="E388" s="234" t="n"/>
      <c r="F388" s="191" t="n"/>
      <c r="G388" s="195" t="n"/>
      <c r="H388" s="80" t="n"/>
      <c r="I388" s="114" t="n"/>
      <c r="J388" s="35">
        <f>SUM(B388:I388)</f>
        <v/>
      </c>
      <c r="K388" s="755" t="n">
        <v>0</v>
      </c>
      <c r="L388" s="839" t="n"/>
      <c r="M388" s="770" t="n"/>
      <c r="N388" s="863" t="n">
        <v>0</v>
      </c>
      <c r="O388" s="757" t="n"/>
      <c r="P388" s="854" t="n"/>
      <c r="Q388" s="758" t="n"/>
      <c r="R388" s="755">
        <f>SUM(K388:Q388)</f>
        <v/>
      </c>
      <c r="S388" s="755">
        <f>J388*3048</f>
        <v/>
      </c>
    </row>
    <row r="389" customFormat="1" s="638">
      <c r="A389" s="356" t="inlineStr">
        <is>
          <t>타임</t>
        </is>
      </c>
      <c r="B389" s="774" t="n"/>
      <c r="C389" s="218" t="n"/>
      <c r="D389" s="234" t="n"/>
      <c r="E389" s="234" t="n"/>
      <c r="F389" s="191" t="n"/>
      <c r="G389" s="195" t="n"/>
      <c r="H389" s="80" t="n"/>
      <c r="I389" s="114" t="n"/>
      <c r="J389" s="35">
        <f>SUM(B389:I389)</f>
        <v/>
      </c>
      <c r="K389" s="755" t="n">
        <v>0</v>
      </c>
      <c r="L389" s="839" t="n"/>
      <c r="M389" s="770" t="n"/>
      <c r="N389" s="863" t="n">
        <v>0</v>
      </c>
      <c r="O389" s="757" t="n"/>
      <c r="P389" s="854" t="n"/>
      <c r="Q389" s="758" t="n"/>
      <c r="R389" s="755">
        <f>SUM(K389:Q389)</f>
        <v/>
      </c>
      <c r="S389" s="755">
        <f>J389*2740</f>
        <v/>
      </c>
    </row>
    <row r="390" customFormat="1" s="638">
      <c r="A390" s="356" t="inlineStr">
        <is>
          <t>투메릭</t>
        </is>
      </c>
      <c r="B390" s="774" t="n"/>
      <c r="C390" s="218" t="n"/>
      <c r="D390" s="234" t="n"/>
      <c r="E390" s="234" t="n"/>
      <c r="F390" s="191" t="n"/>
      <c r="G390" s="195" t="n"/>
      <c r="H390" s="80" t="n"/>
      <c r="I390" s="114" t="n"/>
      <c r="J390" s="35">
        <f>SUM(B390:I390)</f>
        <v/>
      </c>
      <c r="K390" s="755">
        <f>C390*16000</f>
        <v/>
      </c>
      <c r="L390" s="839" t="n"/>
      <c r="M390" s="770" t="n"/>
      <c r="N390" s="863">
        <f>F390*14000</f>
        <v/>
      </c>
      <c r="O390" s="757" t="n"/>
      <c r="P390" s="854" t="n"/>
      <c r="Q390" s="758" t="n"/>
      <c r="R390" s="755">
        <f>SUM(K390:Q390)</f>
        <v/>
      </c>
      <c r="S390" s="755">
        <f>J390*2160</f>
        <v/>
      </c>
    </row>
    <row r="391" customFormat="1" s="638">
      <c r="A391" s="354" t="inlineStr">
        <is>
          <t>티트리프리미엄</t>
        </is>
      </c>
      <c r="B391" s="774" t="n"/>
      <c r="C391" s="233" t="n"/>
      <c r="D391" s="234" t="n"/>
      <c r="E391" s="234" t="n"/>
      <c r="F391" s="230" t="n"/>
      <c r="G391" s="345" t="n"/>
      <c r="H391" s="80" t="n"/>
      <c r="I391" s="114" t="n"/>
      <c r="J391" s="35">
        <f>SUM(B391:I391)</f>
        <v/>
      </c>
      <c r="K391" s="755" t="n">
        <v>0</v>
      </c>
      <c r="L391" s="839" t="n"/>
      <c r="M391" s="770" t="n"/>
      <c r="N391" s="863" t="n">
        <v>0</v>
      </c>
      <c r="O391" s="757" t="n"/>
      <c r="P391" s="854" t="n"/>
      <c r="Q391" s="758" t="n"/>
      <c r="R391" s="755">
        <f>SUM(K391:Q391)</f>
        <v/>
      </c>
      <c r="S391" s="755">
        <f>J391*2060</f>
        <v/>
      </c>
    </row>
    <row r="392" customFormat="1" s="638">
      <c r="A392" s="356" t="inlineStr">
        <is>
          <t>파인</t>
        </is>
      </c>
      <c r="B392" s="774" t="n"/>
      <c r="C392" s="218" t="n"/>
      <c r="D392" s="234" t="n"/>
      <c r="E392" s="234" t="n"/>
      <c r="F392" s="191" t="n"/>
      <c r="G392" s="195" t="n"/>
      <c r="H392" s="80" t="n"/>
      <c r="I392" s="114" t="n"/>
      <c r="J392" s="35">
        <f>SUM(B392:I392)</f>
        <v/>
      </c>
      <c r="K392" s="755" t="n">
        <v>0</v>
      </c>
      <c r="L392" s="839" t="n"/>
      <c r="M392" s="770" t="n"/>
      <c r="N392" s="863" t="n">
        <v>0</v>
      </c>
      <c r="O392" s="757" t="n"/>
      <c r="P392" s="854" t="n"/>
      <c r="Q392" s="758" t="n"/>
      <c r="R392" s="755">
        <f>SUM(K392:Q392)</f>
        <v/>
      </c>
      <c r="S392" s="755">
        <f>J392*3730</f>
        <v/>
      </c>
    </row>
    <row r="393" customFormat="1" s="638">
      <c r="A393" s="356" t="inlineStr">
        <is>
          <t>팔마로사</t>
        </is>
      </c>
      <c r="B393" s="774" t="n"/>
      <c r="C393" s="218" t="n"/>
      <c r="D393" s="234" t="n"/>
      <c r="E393" s="234" t="n"/>
      <c r="F393" s="191" t="n"/>
      <c r="G393" s="195" t="n"/>
      <c r="H393" s="80" t="n"/>
      <c r="I393" s="114" t="n"/>
      <c r="J393" s="35">
        <f>SUM(B393:I393)</f>
        <v/>
      </c>
      <c r="K393" s="755" t="n">
        <v>0</v>
      </c>
      <c r="L393" s="839" t="n"/>
      <c r="M393" s="770" t="n"/>
      <c r="N393" s="863" t="n">
        <v>0</v>
      </c>
      <c r="O393" s="757" t="n"/>
      <c r="P393" s="854" t="n"/>
      <c r="Q393" s="758" t="n"/>
      <c r="R393" s="755">
        <f>SUM(K393:Q393)</f>
        <v/>
      </c>
      <c r="S393" s="755">
        <f>J393*2160</f>
        <v/>
      </c>
    </row>
    <row r="394" customFormat="1" s="638">
      <c r="A394" s="354" t="inlineStr">
        <is>
          <t>페퍼민트</t>
        </is>
      </c>
      <c r="B394" s="774" t="n"/>
      <c r="C394" s="233" t="n">
        <v>1</v>
      </c>
      <c r="D394" s="234" t="n"/>
      <c r="E394" s="234" t="n"/>
      <c r="F394" s="230" t="n"/>
      <c r="G394" s="345" t="n"/>
      <c r="H394" s="80" t="n"/>
      <c r="I394" s="114" t="n"/>
      <c r="J394" s="35">
        <f>SUM(B394:I394)</f>
        <v/>
      </c>
      <c r="K394" s="755" t="n">
        <v>10000</v>
      </c>
      <c r="L394" s="839" t="n"/>
      <c r="M394" s="770" t="n"/>
      <c r="N394" s="863" t="n">
        <v>0</v>
      </c>
      <c r="O394" s="757" t="n"/>
      <c r="P394" s="854" t="n"/>
      <c r="Q394" s="758" t="n"/>
      <c r="R394" s="755">
        <f>SUM(K394:Q394)</f>
        <v/>
      </c>
      <c r="S394" s="755">
        <f>J394*1790</f>
        <v/>
      </c>
    </row>
    <row r="395" customFormat="1" s="638">
      <c r="A395" s="356" t="inlineStr">
        <is>
          <t>페티그레인</t>
        </is>
      </c>
      <c r="B395" s="774" t="n"/>
      <c r="C395" s="218" t="n"/>
      <c r="D395" s="234" t="n"/>
      <c r="E395" s="234" t="n"/>
      <c r="F395" s="191" t="n"/>
      <c r="G395" s="195" t="n"/>
      <c r="H395" s="80" t="n"/>
      <c r="I395" s="114" t="n"/>
      <c r="J395" s="35">
        <f>SUM(B395:I395)</f>
        <v/>
      </c>
      <c r="K395" s="755" t="n">
        <v>0</v>
      </c>
      <c r="L395" s="839" t="n"/>
      <c r="M395" s="770" t="n"/>
      <c r="N395" s="863" t="n">
        <v>0</v>
      </c>
      <c r="O395" s="757" t="n"/>
      <c r="P395" s="854" t="n"/>
      <c r="Q395" s="758" t="n"/>
      <c r="R395" s="755">
        <f>SUM(K395:Q395)</f>
        <v/>
      </c>
      <c r="S395" s="755">
        <f>J395*4060</f>
        <v/>
      </c>
    </row>
    <row r="396" customFormat="1" s="638">
      <c r="A396" s="356" t="inlineStr">
        <is>
          <t>패츌리</t>
        </is>
      </c>
      <c r="B396" s="774" t="n"/>
      <c r="C396" s="218" t="n"/>
      <c r="D396" s="234" t="n"/>
      <c r="E396" s="234" t="n"/>
      <c r="F396" s="191" t="n"/>
      <c r="G396" s="195" t="n"/>
      <c r="H396" s="80" t="n"/>
      <c r="I396" s="114" t="n"/>
      <c r="J396" s="35">
        <f>SUM(B396:I396)</f>
        <v/>
      </c>
      <c r="K396" s="755" t="n">
        <v>0</v>
      </c>
      <c r="L396" s="839" t="n"/>
      <c r="M396" s="770" t="n"/>
      <c r="N396" s="863" t="n">
        <v>0</v>
      </c>
      <c r="O396" s="757" t="n"/>
      <c r="P396" s="854" t="n"/>
      <c r="Q396" s="758" t="n"/>
      <c r="R396" s="755">
        <f>SUM(K396:Q396)</f>
        <v/>
      </c>
      <c r="S396" s="755">
        <f>J396*7690</f>
        <v/>
      </c>
    </row>
    <row r="397" customFormat="1" s="638">
      <c r="A397" s="356" t="inlineStr">
        <is>
          <t>펜넬</t>
        </is>
      </c>
      <c r="B397" s="774" t="n"/>
      <c r="C397" s="218" t="n"/>
      <c r="D397" s="234" t="n"/>
      <c r="E397" s="234" t="n"/>
      <c r="F397" s="191" t="n"/>
      <c r="G397" s="195" t="n"/>
      <c r="H397" s="80" t="n"/>
      <c r="I397" s="114" t="n"/>
      <c r="J397" s="35">
        <f>SUM(B397:I397)</f>
        <v/>
      </c>
      <c r="K397" s="755" t="n">
        <v>0</v>
      </c>
      <c r="L397" s="839" t="n"/>
      <c r="M397" s="770" t="n"/>
      <c r="N397" s="863" t="n">
        <v>0</v>
      </c>
      <c r="O397" s="757" t="n"/>
      <c r="P397" s="854" t="n"/>
      <c r="Q397" s="758" t="n"/>
      <c r="R397" s="755">
        <f>SUM(K397:Q397)</f>
        <v/>
      </c>
      <c r="S397" s="755">
        <f>J397*3730</f>
        <v/>
      </c>
    </row>
    <row r="398" customFormat="1" s="638">
      <c r="A398" s="356" t="inlineStr">
        <is>
          <t>프랑킨센스(유향나무)</t>
        </is>
      </c>
      <c r="B398" s="774" t="n"/>
      <c r="C398" s="233" t="n"/>
      <c r="D398" s="234" t="n"/>
      <c r="E398" s="234" t="n"/>
      <c r="F398" s="230" t="n"/>
      <c r="G398" s="345" t="n"/>
      <c r="H398" s="80" t="n"/>
      <c r="I398" s="114" t="n"/>
      <c r="J398" s="35">
        <f>SUM(B398:I398)</f>
        <v/>
      </c>
      <c r="K398" s="755" t="n">
        <v>0</v>
      </c>
      <c r="L398" s="839" t="n"/>
      <c r="M398" s="770" t="n"/>
      <c r="N398" s="863" t="n">
        <v>0</v>
      </c>
      <c r="O398" s="757" t="n"/>
      <c r="P398" s="854" t="n"/>
      <c r="Q398" s="758" t="n"/>
      <c r="R398" s="755">
        <f>SUM(K398:Q398)</f>
        <v/>
      </c>
      <c r="S398" s="755">
        <f>J398*5160</f>
        <v/>
      </c>
    </row>
    <row r="399" customFormat="1" s="638">
      <c r="A399" s="356" t="inlineStr">
        <is>
          <t>헬리크리섬</t>
        </is>
      </c>
      <c r="B399" s="774" t="n"/>
      <c r="C399" s="233" t="n"/>
      <c r="D399" s="234" t="n"/>
      <c r="E399" s="234" t="n"/>
      <c r="F399" s="230" t="n"/>
      <c r="G399" s="345" t="n"/>
      <c r="H399" s="80" t="n"/>
      <c r="I399" s="114" t="n"/>
      <c r="J399" s="35">
        <f>SUM(B399:I399)</f>
        <v/>
      </c>
      <c r="K399" s="755">
        <f>C399*125000</f>
        <v/>
      </c>
      <c r="L399" s="839" t="n"/>
      <c r="M399" s="770" t="n"/>
      <c r="N399" s="863">
        <f>F399*113000</f>
        <v/>
      </c>
      <c r="O399" s="757" t="n"/>
      <c r="P399" s="854" t="n"/>
      <c r="Q399" s="758" t="n"/>
      <c r="R399" s="755">
        <f>SUM(K399:Q399)</f>
        <v/>
      </c>
      <c r="S399" s="755">
        <f>J399*3640</f>
        <v/>
      </c>
    </row>
    <row r="400" customFormat="1" s="638">
      <c r="A400" s="356" t="inlineStr">
        <is>
          <t>히솝</t>
        </is>
      </c>
      <c r="B400" s="774" t="n"/>
      <c r="C400" s="233" t="n"/>
      <c r="D400" s="234" t="n"/>
      <c r="E400" s="234" t="n"/>
      <c r="F400" s="230" t="n"/>
      <c r="G400" s="345" t="n"/>
      <c r="H400" s="80" t="n"/>
      <c r="I400" s="114" t="n"/>
      <c r="J400" s="35">
        <f>SUM(B400:I400)</f>
        <v/>
      </c>
      <c r="K400" s="755">
        <f>C400*23000</f>
        <v/>
      </c>
      <c r="L400" s="839" t="n"/>
      <c r="M400" s="770" t="n"/>
      <c r="N400" s="863">
        <f>F400*21000</f>
        <v/>
      </c>
      <c r="O400" s="757" t="n"/>
      <c r="P400" s="854" t="n"/>
      <c r="Q400" s="758" t="n"/>
      <c r="R400" s="755">
        <f>SUM(K400:Q400)</f>
        <v/>
      </c>
      <c r="S400" s="755">
        <f>J400*3220</f>
        <v/>
      </c>
    </row>
    <row r="401" customFormat="1" s="638">
      <c r="A401" s="356" t="inlineStr">
        <is>
          <t>히노키</t>
        </is>
      </c>
      <c r="B401" s="774" t="n"/>
      <c r="C401" s="35" t="n"/>
      <c r="D401" s="234" t="n"/>
      <c r="E401" s="234" t="n"/>
      <c r="F401" s="191" t="n"/>
      <c r="G401" s="195" t="n"/>
      <c r="H401" s="80" t="n"/>
      <c r="I401" s="114" t="n"/>
      <c r="J401" s="35">
        <f>SUM(B401:I401)</f>
        <v/>
      </c>
      <c r="K401" s="755" t="n">
        <v>0</v>
      </c>
      <c r="L401" s="839" t="n"/>
      <c r="M401" s="770" t="n"/>
      <c r="N401" s="863" t="n">
        <v>0</v>
      </c>
      <c r="O401" s="757" t="n"/>
      <c r="P401" s="854" t="n"/>
      <c r="Q401" s="758" t="n"/>
      <c r="R401" s="755">
        <f>SUM(K401:Q401)</f>
        <v/>
      </c>
      <c r="S401" s="755">
        <f>J401*8130</f>
        <v/>
      </c>
    </row>
    <row r="402" customFormat="1" s="638">
      <c r="A402" s="356" t="inlineStr">
        <is>
          <t xml:space="preserve"> 발삼전나무오가닉</t>
        </is>
      </c>
      <c r="B402" s="774" t="n"/>
      <c r="C402" s="35" t="n"/>
      <c r="D402" s="234" t="n"/>
      <c r="E402" s="234" t="n"/>
      <c r="F402" s="191" t="n"/>
      <c r="G402" s="195" t="n"/>
      <c r="H402" s="80" t="n"/>
      <c r="I402" s="114" t="n"/>
      <c r="J402" s="35">
        <f>SUM(B402:I402)</f>
        <v/>
      </c>
      <c r="K402" s="755" t="n">
        <v>0</v>
      </c>
      <c r="L402" s="839" t="n"/>
      <c r="M402" s="770" t="n"/>
      <c r="N402" s="863" t="n">
        <v>0</v>
      </c>
      <c r="O402" s="757" t="n"/>
      <c r="P402" s="854" t="n"/>
      <c r="Q402" s="758" t="n"/>
      <c r="R402" s="755">
        <f>SUM(K402:Q402)</f>
        <v/>
      </c>
      <c r="S402" s="755">
        <f>J402*2960</f>
        <v/>
      </c>
    </row>
    <row r="403" customFormat="1" s="638">
      <c r="A403" s="356" t="inlineStr">
        <is>
          <t>잭파인에스엠오가닉</t>
        </is>
      </c>
      <c r="B403" s="774" t="n"/>
      <c r="C403" s="35" t="n"/>
      <c r="D403" s="234" t="n"/>
      <c r="E403" s="234" t="n"/>
      <c r="F403" s="191" t="n"/>
      <c r="G403" s="195" t="n"/>
      <c r="H403" s="80" t="n"/>
      <c r="I403" s="114" t="n"/>
      <c r="J403" s="35">
        <f>SUM(B403:I403)</f>
        <v/>
      </c>
      <c r="K403" s="755" t="n">
        <v>0</v>
      </c>
      <c r="L403" s="839" t="n"/>
      <c r="M403" s="770" t="n"/>
      <c r="N403" s="863" t="n">
        <v>0</v>
      </c>
      <c r="O403" s="757" t="n"/>
      <c r="P403" s="854" t="n"/>
      <c r="Q403" s="758" t="n"/>
      <c r="R403" s="755">
        <f>SUM(K403:Q403)</f>
        <v/>
      </c>
      <c r="S403" s="755">
        <f>J403*4270</f>
        <v/>
      </c>
    </row>
    <row r="404" customFormat="1" s="638">
      <c r="A404" s="356" t="inlineStr">
        <is>
          <t>(W)가문비나무오가닉</t>
        </is>
      </c>
      <c r="B404" s="774" t="n"/>
      <c r="C404" s="35" t="n"/>
      <c r="D404" s="234" t="n"/>
      <c r="E404" s="234" t="n"/>
      <c r="F404" s="191" t="n"/>
      <c r="G404" s="195" t="n"/>
      <c r="H404" s="80" t="n"/>
      <c r="I404" s="114" t="n"/>
      <c r="J404" s="35">
        <f>SUM(B404:I404)</f>
        <v/>
      </c>
      <c r="K404" s="755" t="n">
        <v>0</v>
      </c>
      <c r="L404" s="839" t="n"/>
      <c r="M404" s="770" t="n"/>
      <c r="N404" s="863" t="n">
        <v>0</v>
      </c>
      <c r="O404" s="757" t="n"/>
      <c r="P404" s="854" t="n"/>
      <c r="Q404" s="758" t="n"/>
      <c r="R404" s="755">
        <f>SUM(K404:Q404)</f>
        <v/>
      </c>
      <c r="S404" s="755">
        <f>J404*5610</f>
        <v/>
      </c>
    </row>
    <row r="405" customFormat="1" s="638">
      <c r="A405" s="356" t="inlineStr">
        <is>
          <t>타마락낙엽송오가닉</t>
        </is>
      </c>
      <c r="B405" s="774" t="n"/>
      <c r="C405" s="35" t="n"/>
      <c r="D405" s="234" t="n"/>
      <c r="E405" s="234" t="n"/>
      <c r="F405" s="191" t="n"/>
      <c r="G405" s="195" t="n"/>
      <c r="H405" s="80" t="n"/>
      <c r="I405" s="114" t="n"/>
      <c r="J405" s="35">
        <f>SUM(B405:I405)</f>
        <v/>
      </c>
      <c r="K405" s="755" t="n">
        <v>0</v>
      </c>
      <c r="L405" s="839" t="n"/>
      <c r="M405" s="770" t="n"/>
      <c r="N405" s="863" t="n">
        <v>0</v>
      </c>
      <c r="O405" s="757" t="n"/>
      <c r="P405" s="854" t="n"/>
      <c r="Q405" s="758" t="n"/>
      <c r="R405" s="755">
        <f>SUM(K405:Q405)</f>
        <v/>
      </c>
      <c r="S405" s="755">
        <f>J405*7310</f>
        <v/>
      </c>
    </row>
    <row r="406" customFormat="1" s="638">
      <c r="A406" s="356" t="inlineStr">
        <is>
          <t>동백삼나무잎</t>
        </is>
      </c>
      <c r="B406" s="774" t="n"/>
      <c r="C406" s="35" t="n"/>
      <c r="D406" s="234" t="n"/>
      <c r="E406" s="234" t="n"/>
      <c r="F406" s="191" t="n"/>
      <c r="G406" s="195" t="n"/>
      <c r="H406" s="80" t="n"/>
      <c r="I406" s="114" t="n"/>
      <c r="J406" s="35">
        <f>SUM(B406:I406)</f>
        <v/>
      </c>
      <c r="K406" s="755" t="n">
        <v>0</v>
      </c>
      <c r="L406" s="839" t="n"/>
      <c r="M406" s="770" t="n"/>
      <c r="N406" s="863" t="n">
        <v>0</v>
      </c>
      <c r="O406" s="757" t="n"/>
      <c r="P406" s="854" t="n"/>
      <c r="Q406" s="758" t="n"/>
      <c r="R406" s="755">
        <f>SUM(K406:Q406)</f>
        <v/>
      </c>
      <c r="S406" s="755">
        <f>J406*3980</f>
        <v/>
      </c>
    </row>
    <row r="407" customFormat="1" s="638">
      <c r="A407" s="356" t="inlineStr">
        <is>
          <t>노르웨이소나무</t>
        </is>
      </c>
      <c r="B407" s="775" t="n"/>
      <c r="C407" s="35" t="n"/>
      <c r="D407" s="234" t="n"/>
      <c r="E407" s="234" t="n"/>
      <c r="F407" s="191" t="n"/>
      <c r="G407" s="195" t="n"/>
      <c r="H407" s="80" t="n"/>
      <c r="I407" s="114" t="n"/>
      <c r="J407" s="35">
        <f>SUM(B407:I407)</f>
        <v/>
      </c>
      <c r="K407" s="755" t="n">
        <v>0</v>
      </c>
      <c r="L407" s="839" t="n"/>
      <c r="M407" s="770" t="n"/>
      <c r="N407" s="863" t="n">
        <v>0</v>
      </c>
      <c r="O407" s="757" t="n"/>
      <c r="P407" s="854" t="n"/>
      <c r="Q407" s="758" t="n"/>
      <c r="R407" s="755">
        <f>SUM(K407:Q407)</f>
        <v/>
      </c>
      <c r="S407" s="755">
        <f>J407*3920</f>
        <v/>
      </c>
    </row>
    <row r="408" customFormat="1" s="638">
      <c r="A408" s="356" t="n"/>
      <c r="B408" s="417" t="n"/>
      <c r="C408" s="35" t="n"/>
      <c r="D408" s="234" t="n"/>
      <c r="E408" s="234" t="n"/>
      <c r="F408" s="191" t="n"/>
      <c r="G408" s="195" t="n"/>
      <c r="H408" s="80" t="n"/>
      <c r="I408" s="114" t="n"/>
      <c r="J408" s="35" t="n"/>
      <c r="K408" s="755" t="n"/>
      <c r="L408" s="839" t="n"/>
      <c r="M408" s="770" t="n"/>
      <c r="N408" s="863" t="n"/>
      <c r="O408" s="757" t="n"/>
      <c r="P408" s="854" t="n"/>
      <c r="Q408" s="758" t="n"/>
      <c r="R408" s="755" t="n"/>
      <c r="S408" s="755" t="n"/>
    </row>
    <row r="409" customFormat="1" s="74">
      <c r="A409" s="504" t="inlineStr">
        <is>
          <t>10ml 합계</t>
        </is>
      </c>
      <c r="B409" s="503" t="n"/>
      <c r="C409" s="450">
        <f>SUM(C338:C408)</f>
        <v/>
      </c>
      <c r="D409" s="450">
        <f>SUM(D338:D408)</f>
        <v/>
      </c>
      <c r="E409" s="450">
        <f>SUM(E338:E408)</f>
        <v/>
      </c>
      <c r="F409" s="450">
        <f>SUM(F338:F408)</f>
        <v/>
      </c>
      <c r="G409" s="450">
        <f>SUM(G338:G408)</f>
        <v/>
      </c>
      <c r="H409" s="450">
        <f>SUM(H338:H408)</f>
        <v/>
      </c>
      <c r="I409" s="450">
        <f>SUM(I338:I408)</f>
        <v/>
      </c>
      <c r="J409" s="450">
        <f>SUM(J338:J408)</f>
        <v/>
      </c>
      <c r="K409" s="886">
        <f>SUM(K335:K408)</f>
        <v/>
      </c>
      <c r="L409" s="886">
        <f>SUM(L335:L408)</f>
        <v/>
      </c>
      <c r="M409" s="886">
        <f>SUM(M335:M408)</f>
        <v/>
      </c>
      <c r="N409" s="887">
        <f>SUM(N335:N408)</f>
        <v/>
      </c>
      <c r="O409" s="886">
        <f>SUM(O335:O408)</f>
        <v/>
      </c>
      <c r="P409" s="886">
        <f>SUM(P335:P408)</f>
        <v/>
      </c>
      <c r="Q409" s="886">
        <f>SUM(Q335:Q408)</f>
        <v/>
      </c>
      <c r="R409" s="886">
        <f>SUM(K409:Q409)</f>
        <v/>
      </c>
      <c r="S409" s="886">
        <f>SUM(S335:S408)</f>
        <v/>
      </c>
    </row>
    <row r="410" customFormat="1" s="245">
      <c r="A410" s="570" t="inlineStr">
        <is>
          <t>갈바넘</t>
        </is>
      </c>
      <c r="B410" s="571" t="n"/>
      <c r="C410" s="237" t="n"/>
      <c r="D410" s="237" t="n"/>
      <c r="E410" s="237" t="n"/>
      <c r="F410" s="237" t="n"/>
      <c r="G410" s="237" t="n"/>
      <c r="H410" s="237" t="n"/>
      <c r="I410" s="237" t="n"/>
      <c r="J410" s="35">
        <f>SUM(B410:I410)</f>
        <v/>
      </c>
      <c r="K410" s="810">
        <f>C410*480000</f>
        <v/>
      </c>
      <c r="L410" s="810" t="n"/>
      <c r="M410" s="810" t="n"/>
      <c r="N410" s="813">
        <f>F410*432000</f>
        <v/>
      </c>
      <c r="O410" s="810" t="n"/>
      <c r="P410" s="810" t="n"/>
      <c r="Q410" s="810" t="n"/>
      <c r="R410" s="755">
        <f>SUM(K410:Q410)</f>
        <v/>
      </c>
      <c r="S410" s="810">
        <f>J410*40100</f>
        <v/>
      </c>
    </row>
    <row r="411" ht="16.5" customFormat="1" customHeight="1" s="638">
      <c r="A411" s="356" t="inlineStr">
        <is>
          <t>그레이프루잇</t>
        </is>
      </c>
      <c r="B411" s="547" t="inlineStr">
        <is>
          <t>P0000BID  /  P0000BKF    /  P0000BME   /  P0000BMD   /   P0000BMC</t>
        </is>
      </c>
      <c r="C411" s="237" t="n"/>
      <c r="D411" s="234" t="n"/>
      <c r="E411" s="234" t="n"/>
      <c r="F411" s="230" t="n"/>
      <c r="G411" s="345" t="n"/>
      <c r="H411" s="80" t="n"/>
      <c r="I411" s="114" t="n"/>
      <c r="J411" s="35">
        <f>SUM(B411:I411)</f>
        <v/>
      </c>
      <c r="K411" s="755" t="n">
        <v>0</v>
      </c>
      <c r="L411" s="839" t="n"/>
      <c r="M411" s="770" t="n"/>
      <c r="N411" s="863" t="n">
        <v>0</v>
      </c>
      <c r="O411" s="757" t="n"/>
      <c r="P411" s="854" t="n"/>
      <c r="Q411" s="758" t="n"/>
      <c r="R411" s="755">
        <f>SUM(K411:Q411)</f>
        <v/>
      </c>
      <c r="S411" s="755">
        <f>J411*18000</f>
        <v/>
      </c>
    </row>
    <row r="412" ht="16.5" customFormat="1" customHeight="1" s="638">
      <c r="A412" s="356" t="inlineStr">
        <is>
          <t>넛맥</t>
        </is>
      </c>
      <c r="B412" s="774" t="n"/>
      <c r="C412" s="237" t="n"/>
      <c r="D412" s="234" t="n"/>
      <c r="E412" s="234" t="n"/>
      <c r="F412" s="230" t="n"/>
      <c r="G412" s="345" t="n"/>
      <c r="H412" s="80" t="n"/>
      <c r="I412" s="114" t="n"/>
      <c r="J412" s="35">
        <f>SUM(B412:I412)</f>
        <v/>
      </c>
      <c r="K412" s="755">
        <f>C412*136000</f>
        <v/>
      </c>
      <c r="L412" s="839" t="n"/>
      <c r="M412" s="770" t="n"/>
      <c r="N412" s="863">
        <f>F412*122000</f>
        <v/>
      </c>
      <c r="O412" s="757" t="n"/>
      <c r="P412" s="854" t="n"/>
      <c r="Q412" s="758" t="n"/>
      <c r="R412" s="755">
        <f>SUM(K412:Q412)</f>
        <v/>
      </c>
      <c r="S412" s="755">
        <f>J412*16200</f>
        <v/>
      </c>
    </row>
    <row r="413" customFormat="1" s="638">
      <c r="A413" s="356" t="inlineStr">
        <is>
          <t xml:space="preserve">네롤리 </t>
        </is>
      </c>
      <c r="B413" s="774" t="n"/>
      <c r="C413" s="237" t="n"/>
      <c r="D413" s="234" t="n"/>
      <c r="E413" s="234" t="n"/>
      <c r="F413" s="230" t="n"/>
      <c r="G413" s="345" t="n"/>
      <c r="H413" s="80" t="n"/>
      <c r="I413" s="114" t="n"/>
      <c r="J413" s="35">
        <f>SUM(B413:I413)</f>
        <v/>
      </c>
      <c r="K413" s="755" t="n">
        <v>0</v>
      </c>
      <c r="L413" s="839" t="n"/>
      <c r="M413" s="770" t="n"/>
      <c r="N413" s="863" t="n">
        <v>0</v>
      </c>
      <c r="O413" s="757" t="n"/>
      <c r="P413" s="854" t="n"/>
      <c r="Q413" s="758" t="n"/>
      <c r="R413" s="755">
        <f>SUM(K413:Q413)</f>
        <v/>
      </c>
      <c r="S413" s="755">
        <f>J413*18200</f>
        <v/>
      </c>
    </row>
    <row r="414" customFormat="1" s="638">
      <c r="A414" s="356" t="inlineStr">
        <is>
          <t>딜시드</t>
        </is>
      </c>
      <c r="B414" s="774" t="n"/>
      <c r="C414" s="237" t="n"/>
      <c r="D414" s="234" t="n"/>
      <c r="E414" s="234" t="n"/>
      <c r="F414" s="230" t="n"/>
      <c r="G414" s="345" t="n"/>
      <c r="H414" s="80" t="n"/>
      <c r="I414" s="114" t="n"/>
      <c r="J414" s="35">
        <f>SUM(B414:I414)</f>
        <v/>
      </c>
      <c r="K414" s="755">
        <f>C414*128000</f>
        <v/>
      </c>
      <c r="L414" s="839" t="n"/>
      <c r="M414" s="770" t="n"/>
      <c r="N414" s="863">
        <f>F414*115000</f>
        <v/>
      </c>
      <c r="O414" s="757" t="n"/>
      <c r="P414" s="854" t="n"/>
      <c r="Q414" s="758" t="n"/>
      <c r="R414" s="755">
        <f>SUM(K414:Q414)</f>
        <v/>
      </c>
      <c r="S414" s="755">
        <f>J414*13300</f>
        <v/>
      </c>
    </row>
    <row r="415" customFormat="1" s="638">
      <c r="A415" s="354" t="inlineStr">
        <is>
          <t>라벤다(불가리아)</t>
        </is>
      </c>
      <c r="B415" s="774" t="n"/>
      <c r="C415" s="237" t="n">
        <v>1</v>
      </c>
      <c r="D415" s="242" t="n"/>
      <c r="E415" s="234" t="n"/>
      <c r="F415" s="230" t="n"/>
      <c r="G415" s="345" t="n"/>
      <c r="H415" s="80" t="n"/>
      <c r="I415" s="114" t="n"/>
      <c r="J415" s="35">
        <f>SUM(B415:I415)</f>
        <v/>
      </c>
      <c r="K415" s="755" t="n">
        <v>88000</v>
      </c>
      <c r="L415" s="839" t="n"/>
      <c r="M415" s="770" t="n"/>
      <c r="N415" s="863" t="n">
        <v>0</v>
      </c>
      <c r="O415" s="757" t="n"/>
      <c r="P415" s="854" t="n"/>
      <c r="Q415" s="758" t="n"/>
      <c r="R415" s="755">
        <f>SUM(K415:Q415)</f>
        <v/>
      </c>
      <c r="S415" s="755">
        <f>J415*13900</f>
        <v/>
      </c>
    </row>
    <row r="416" customFormat="1" s="638">
      <c r="A416" s="354" t="inlineStr">
        <is>
          <t>라임</t>
        </is>
      </c>
      <c r="B416" s="774" t="n"/>
      <c r="C416" s="237" t="n"/>
      <c r="D416" s="234" t="n"/>
      <c r="E416" s="234" t="n"/>
      <c r="F416" s="230" t="n"/>
      <c r="G416" s="345" t="n"/>
      <c r="H416" s="80" t="n"/>
      <c r="I416" s="114" t="n"/>
      <c r="J416" s="35">
        <f>SUM(B416:I416)</f>
        <v/>
      </c>
      <c r="K416" s="755" t="n">
        <v>0</v>
      </c>
      <c r="L416" s="839" t="n"/>
      <c r="M416" s="770" t="n"/>
      <c r="N416" s="863" t="n">
        <v>0</v>
      </c>
      <c r="O416" s="757" t="n"/>
      <c r="P416" s="854" t="n"/>
      <c r="Q416" s="758" t="n"/>
      <c r="R416" s="755">
        <f>SUM(K416:Q416)</f>
        <v/>
      </c>
      <c r="S416" s="755">
        <f>J416*16900</f>
        <v/>
      </c>
    </row>
    <row r="417" customFormat="1" s="638">
      <c r="A417" s="355" t="inlineStr">
        <is>
          <t>로즈마리오일</t>
        </is>
      </c>
      <c r="B417" s="774" t="n"/>
      <c r="C417" s="237" t="n"/>
      <c r="D417" s="242" t="n"/>
      <c r="E417" s="234" t="n"/>
      <c r="F417" s="230" t="n"/>
      <c r="G417" s="345" t="n"/>
      <c r="H417" s="80" t="n"/>
      <c r="I417" s="114" t="n"/>
      <c r="J417" s="35">
        <f>SUM(B417:I417)</f>
        <v/>
      </c>
      <c r="K417" s="755">
        <f>C417*146000</f>
        <v/>
      </c>
      <c r="L417" s="839" t="n"/>
      <c r="M417" s="770" t="n"/>
      <c r="N417" s="863">
        <f>F417*131000</f>
        <v/>
      </c>
      <c r="O417" s="757" t="n"/>
      <c r="P417" s="854" t="n"/>
      <c r="Q417" s="758" t="n"/>
      <c r="R417" s="755">
        <f>SUM(K417:Q417)</f>
        <v/>
      </c>
      <c r="S417" s="755">
        <f>J417*38900</f>
        <v/>
      </c>
    </row>
    <row r="418" customFormat="1" s="638">
      <c r="A418" s="354" t="inlineStr">
        <is>
          <t>로즈제라늄</t>
        </is>
      </c>
      <c r="B418" s="774" t="n"/>
      <c r="C418" s="237" t="n"/>
      <c r="D418" s="242" t="n"/>
      <c r="E418" s="234" t="n"/>
      <c r="F418" s="230" t="n"/>
      <c r="G418" s="345" t="n"/>
      <c r="H418" s="80" t="n"/>
      <c r="I418" s="114" t="n"/>
      <c r="J418" s="35">
        <f>SUM(B418:I418)</f>
        <v/>
      </c>
      <c r="K418" s="755" t="n">
        <v>0</v>
      </c>
      <c r="L418" s="839" t="n"/>
      <c r="M418" s="770" t="n"/>
      <c r="N418" s="863" t="n">
        <v>0</v>
      </c>
      <c r="O418" s="757" t="n"/>
      <c r="P418" s="854" t="n"/>
      <c r="Q418" s="758" t="n"/>
      <c r="R418" s="755">
        <f>SUM(K418:Q418)</f>
        <v/>
      </c>
      <c r="S418" s="755">
        <f>J418*14200</f>
        <v/>
      </c>
    </row>
    <row r="419" customFormat="1" s="638">
      <c r="A419" s="354" t="inlineStr">
        <is>
          <t>로만캐모마일(오가닉)</t>
        </is>
      </c>
      <c r="B419" s="774" t="n"/>
      <c r="C419" s="237" t="n"/>
      <c r="D419" s="234" t="n"/>
      <c r="E419" s="234" t="n"/>
      <c r="F419" s="230" t="n"/>
      <c r="G419" s="345" t="n"/>
      <c r="H419" s="80" t="n"/>
      <c r="I419" s="114" t="n"/>
      <c r="J419" s="35">
        <f>SUM(B419:I419)</f>
        <v/>
      </c>
      <c r="K419" s="755" t="n">
        <v>0</v>
      </c>
      <c r="L419" s="839" t="n"/>
      <c r="M419" s="770" t="n"/>
      <c r="N419" s="863" t="n">
        <v>0</v>
      </c>
      <c r="O419" s="757" t="n"/>
      <c r="P419" s="854" t="n"/>
      <c r="Q419" s="758" t="n"/>
      <c r="R419" s="755">
        <f>SUM(K419:Q419)</f>
        <v/>
      </c>
      <c r="S419" s="755">
        <f>J419*276500</f>
        <v/>
      </c>
    </row>
    <row r="420" customFormat="1" s="638">
      <c r="A420" s="354" t="inlineStr">
        <is>
          <t>루</t>
        </is>
      </c>
      <c r="B420" s="774" t="n"/>
      <c r="C420" s="237" t="n"/>
      <c r="D420" s="234" t="n"/>
      <c r="E420" s="234" t="n"/>
      <c r="F420" s="230" t="n"/>
      <c r="G420" s="345" t="n"/>
      <c r="H420" s="80" t="n"/>
      <c r="I420" s="114" t="n"/>
      <c r="J420" s="35">
        <f>SUM(B420:I420)</f>
        <v/>
      </c>
      <c r="K420" s="755">
        <f>C420*184000</f>
        <v/>
      </c>
      <c r="L420" s="839" t="n"/>
      <c r="M420" s="770" t="n"/>
      <c r="N420" s="863">
        <f>F420*166000</f>
        <v/>
      </c>
      <c r="O420" s="757" t="n"/>
      <c r="P420" s="854" t="n"/>
      <c r="Q420" s="758" t="n"/>
      <c r="R420" s="755">
        <f>SUM(K420:Q420)</f>
        <v/>
      </c>
      <c r="S420" s="755">
        <f>J420*21200</f>
        <v/>
      </c>
    </row>
    <row r="421" customFormat="1" s="638">
      <c r="A421" s="354" t="inlineStr">
        <is>
          <t>레몬오일</t>
        </is>
      </c>
      <c r="B421" s="774" t="n"/>
      <c r="C421" s="237" t="n"/>
      <c r="D421" s="234" t="n"/>
      <c r="E421" s="234" t="n"/>
      <c r="F421" s="230" t="n"/>
      <c r="G421" s="345" t="n"/>
      <c r="H421" s="80" t="n"/>
      <c r="I421" s="114" t="n"/>
      <c r="J421" s="35">
        <f>SUM(B421:I421)</f>
        <v/>
      </c>
      <c r="K421" s="755" t="n">
        <v>0</v>
      </c>
      <c r="L421" s="839" t="n"/>
      <c r="M421" s="770" t="n"/>
      <c r="N421" s="863" t="n">
        <v>0</v>
      </c>
      <c r="O421" s="757" t="n"/>
      <c r="P421" s="854" t="n"/>
      <c r="Q421" s="758" t="n"/>
      <c r="R421" s="755">
        <f>SUM(K421:Q421)</f>
        <v/>
      </c>
      <c r="S421" s="755">
        <f>J421*12500</f>
        <v/>
      </c>
    </row>
    <row r="422" customFormat="1" s="638">
      <c r="A422" s="354" t="inlineStr">
        <is>
          <t>레몬그라스오일</t>
        </is>
      </c>
      <c r="B422" s="774" t="n"/>
      <c r="C422" s="237" t="n"/>
      <c r="D422" s="234" t="n"/>
      <c r="E422" s="234" t="n"/>
      <c r="F422" s="230" t="n"/>
      <c r="G422" s="345" t="n"/>
      <c r="H422" s="80" t="n"/>
      <c r="I422" s="114" t="n"/>
      <c r="J422" s="35">
        <f>SUM(B422:I422)</f>
        <v/>
      </c>
      <c r="K422" s="755" t="n">
        <v>0</v>
      </c>
      <c r="L422" s="839" t="n"/>
      <c r="M422" s="770" t="n"/>
      <c r="N422" s="863" t="n">
        <v>0</v>
      </c>
      <c r="O422" s="757" t="n"/>
      <c r="P422" s="854" t="n"/>
      <c r="Q422" s="758" t="n"/>
      <c r="R422" s="755">
        <f>SUM(K422:Q422)</f>
        <v/>
      </c>
      <c r="S422" s="755">
        <f>J422*6200</f>
        <v/>
      </c>
    </row>
    <row r="423" customFormat="1" s="638">
      <c r="A423" s="356" t="inlineStr">
        <is>
          <t>마조람</t>
        </is>
      </c>
      <c r="B423" s="774" t="n"/>
      <c r="C423" s="35" t="n"/>
      <c r="D423" s="234" t="n"/>
      <c r="E423" s="234" t="n"/>
      <c r="F423" s="191" t="n"/>
      <c r="G423" s="195" t="n"/>
      <c r="H423" s="80" t="n"/>
      <c r="I423" s="114" t="n"/>
      <c r="J423" s="35">
        <f>SUM(B423:I423)</f>
        <v/>
      </c>
      <c r="K423" s="755" t="n">
        <v>0</v>
      </c>
      <c r="L423" s="839" t="n"/>
      <c r="M423" s="770" t="n"/>
      <c r="N423" s="863" t="n">
        <v>0</v>
      </c>
      <c r="O423" s="757" t="n"/>
      <c r="P423" s="854" t="n"/>
      <c r="Q423" s="758" t="n"/>
      <c r="R423" s="755">
        <f>SUM(K423:Q423)</f>
        <v/>
      </c>
      <c r="S423" s="755">
        <f>J423*46600</f>
        <v/>
      </c>
    </row>
    <row r="424" customFormat="1" s="638">
      <c r="A424" s="356" t="inlineStr">
        <is>
          <t>만다린</t>
        </is>
      </c>
      <c r="B424" s="774" t="n"/>
      <c r="C424" s="35" t="n"/>
      <c r="D424" s="234" t="n"/>
      <c r="E424" s="234" t="n"/>
      <c r="F424" s="191" t="n"/>
      <c r="G424" s="195" t="n"/>
      <c r="H424" s="80" t="n"/>
      <c r="I424" s="114" t="n"/>
      <c r="J424" s="35">
        <f>SUM(B424:I424)</f>
        <v/>
      </c>
      <c r="K424" s="755" t="n">
        <v>0</v>
      </c>
      <c r="L424" s="839" t="n"/>
      <c r="M424" s="770" t="n"/>
      <c r="N424" s="863" t="n">
        <v>0</v>
      </c>
      <c r="O424" s="757" t="n"/>
      <c r="P424" s="854" t="n"/>
      <c r="Q424" s="758" t="n"/>
      <c r="R424" s="755">
        <f>SUM(K424:Q424)</f>
        <v/>
      </c>
      <c r="S424" s="755">
        <f>J424*31200</f>
        <v/>
      </c>
    </row>
    <row r="425" customFormat="1" s="638">
      <c r="A425" s="356" t="inlineStr">
        <is>
          <t>머그워트(쑥)</t>
        </is>
      </c>
      <c r="B425" s="774" t="n"/>
      <c r="C425" s="35" t="n"/>
      <c r="D425" s="234" t="n"/>
      <c r="E425" s="234" t="n"/>
      <c r="F425" s="191" t="n"/>
      <c r="G425" s="195" t="n"/>
      <c r="H425" s="80" t="n"/>
      <c r="I425" s="114" t="n"/>
      <c r="J425" s="35">
        <f>SUM(B425:I425)</f>
        <v/>
      </c>
      <c r="K425" s="755" t="n">
        <v>0</v>
      </c>
      <c r="L425" s="839" t="n"/>
      <c r="M425" s="770" t="n"/>
      <c r="N425" s="863" t="n">
        <v>0</v>
      </c>
      <c r="O425" s="757" t="n"/>
      <c r="P425" s="854" t="n"/>
      <c r="Q425" s="758" t="n"/>
      <c r="R425" s="755">
        <f>SUM(K425:Q425)</f>
        <v/>
      </c>
      <c r="S425" s="755">
        <f>J425*75200</f>
        <v/>
      </c>
    </row>
    <row r="426" customFormat="1" s="638">
      <c r="A426" s="356" t="inlineStr">
        <is>
          <t>머틀</t>
        </is>
      </c>
      <c r="B426" s="774" t="n"/>
      <c r="C426" s="35" t="n"/>
      <c r="D426" s="234" t="n"/>
      <c r="E426" s="234" t="n"/>
      <c r="F426" s="191" t="n"/>
      <c r="G426" s="195" t="n"/>
      <c r="H426" s="80" t="n"/>
      <c r="I426" s="114" t="n"/>
      <c r="J426" s="35">
        <f>SUM(B426:I426)</f>
        <v/>
      </c>
      <c r="K426" s="755" t="n">
        <v>0</v>
      </c>
      <c r="L426" s="839" t="n"/>
      <c r="M426" s="770" t="n"/>
      <c r="N426" s="863" t="n">
        <v>0</v>
      </c>
      <c r="O426" s="757" t="n"/>
      <c r="P426" s="854" t="n"/>
      <c r="Q426" s="758" t="n"/>
      <c r="R426" s="755">
        <f>SUM(K426:Q426)</f>
        <v/>
      </c>
      <c r="S426" s="755">
        <f>J426*12100</f>
        <v/>
      </c>
    </row>
    <row r="427" customFormat="1" s="638">
      <c r="A427" s="354" t="inlineStr">
        <is>
          <t>멜리사오일</t>
        </is>
      </c>
      <c r="B427" s="774" t="n"/>
      <c r="C427" s="237" t="n"/>
      <c r="D427" s="242" t="n"/>
      <c r="E427" s="234" t="n"/>
      <c r="F427" s="230" t="n"/>
      <c r="G427" s="345" t="n"/>
      <c r="H427" s="80" t="n"/>
      <c r="I427" s="114" t="n"/>
      <c r="J427" s="35">
        <f>SUM(B427:I427)</f>
        <v/>
      </c>
      <c r="K427" s="755" t="n">
        <v>0</v>
      </c>
      <c r="L427" s="839" t="n"/>
      <c r="M427" s="770" t="n"/>
      <c r="N427" s="863" t="n">
        <v>0</v>
      </c>
      <c r="O427" s="757" t="n"/>
      <c r="P427" s="854" t="n"/>
      <c r="Q427" s="758" t="n"/>
      <c r="R427" s="755">
        <f>SUM(K427:Q427)</f>
        <v/>
      </c>
      <c r="S427" s="755">
        <f>J427*158660</f>
        <v/>
      </c>
    </row>
    <row r="428" customFormat="1" s="638">
      <c r="A428" s="356" t="inlineStr">
        <is>
          <t>미르오일</t>
        </is>
      </c>
      <c r="B428" s="774" t="n"/>
      <c r="C428" s="35" t="n"/>
      <c r="D428" s="234" t="n"/>
      <c r="E428" s="234" t="n"/>
      <c r="F428" s="191" t="n"/>
      <c r="G428" s="195" t="n"/>
      <c r="H428" s="80" t="n"/>
      <c r="I428" s="114" t="n"/>
      <c r="J428" s="35">
        <f>SUM(B428:I428)</f>
        <v/>
      </c>
      <c r="K428" s="755" t="n">
        <v>0</v>
      </c>
      <c r="L428" s="839" t="n"/>
      <c r="M428" s="770" t="n"/>
      <c r="N428" s="863" t="n">
        <v>0</v>
      </c>
      <c r="O428" s="757" t="n"/>
      <c r="P428" s="854" t="n"/>
      <c r="Q428" s="758" t="n"/>
      <c r="R428" s="755">
        <f>SUM(K428:Q428)</f>
        <v/>
      </c>
      <c r="S428" s="755">
        <f>J428*14200</f>
        <v/>
      </c>
    </row>
    <row r="429" customFormat="1" s="638">
      <c r="A429" s="356" t="inlineStr">
        <is>
          <t>바질</t>
        </is>
      </c>
      <c r="B429" s="774" t="n"/>
      <c r="C429" s="35" t="n"/>
      <c r="D429" s="234" t="n"/>
      <c r="E429" s="234" t="n"/>
      <c r="F429" s="191" t="n"/>
      <c r="G429" s="195" t="n"/>
      <c r="H429" s="80" t="n"/>
      <c r="I429" s="114" t="n"/>
      <c r="J429" s="35">
        <f>SUM(B429:I429)</f>
        <v/>
      </c>
      <c r="K429" s="755" t="n">
        <v>0</v>
      </c>
      <c r="L429" s="839" t="n"/>
      <c r="M429" s="770" t="n"/>
      <c r="N429" s="863" t="n">
        <v>0</v>
      </c>
      <c r="O429" s="757" t="n"/>
      <c r="P429" s="854" t="n"/>
      <c r="Q429" s="758" t="n"/>
      <c r="R429" s="755">
        <f>SUM(K429:Q429)</f>
        <v/>
      </c>
      <c r="S429" s="755">
        <f>J429*11100</f>
        <v/>
      </c>
    </row>
    <row r="430" customFormat="1" s="638">
      <c r="A430" s="356" t="inlineStr">
        <is>
          <t>버치스윗</t>
        </is>
      </c>
      <c r="B430" s="774" t="n"/>
      <c r="C430" s="35" t="n"/>
      <c r="D430" s="234" t="n"/>
      <c r="E430" s="234" t="n"/>
      <c r="F430" s="191" t="n"/>
      <c r="G430" s="195" t="n"/>
      <c r="H430" s="80" t="n"/>
      <c r="I430" s="114" t="n"/>
      <c r="J430" s="35">
        <f>SUM(B430:I430)</f>
        <v/>
      </c>
      <c r="K430" s="755">
        <f>C430*184000</f>
        <v/>
      </c>
      <c r="L430" s="839" t="n"/>
      <c r="M430" s="770" t="n"/>
      <c r="N430" s="863">
        <f>F430*166000</f>
        <v/>
      </c>
      <c r="O430" s="757" t="n"/>
      <c r="P430" s="854" t="n"/>
      <c r="Q430" s="758" t="n"/>
      <c r="R430" s="755">
        <f>SUM(K430:Q430)</f>
        <v/>
      </c>
      <c r="S430" s="755">
        <f>J430*14900</f>
        <v/>
      </c>
    </row>
    <row r="431" customFormat="1" s="638">
      <c r="A431" s="354" t="inlineStr">
        <is>
          <t>베르가모트</t>
        </is>
      </c>
      <c r="B431" s="774" t="n"/>
      <c r="C431" s="237" t="n"/>
      <c r="D431" s="234" t="n"/>
      <c r="E431" s="234" t="n"/>
      <c r="F431" s="230" t="n"/>
      <c r="G431" s="345" t="n"/>
      <c r="H431" s="80" t="n"/>
      <c r="I431" s="114" t="n"/>
      <c r="J431" s="35">
        <f>SUM(B431:I431)</f>
        <v/>
      </c>
      <c r="K431" s="755" t="n">
        <v>0</v>
      </c>
      <c r="L431" s="839" t="n"/>
      <c r="M431" s="770" t="n"/>
      <c r="N431" s="863" t="n">
        <v>0</v>
      </c>
      <c r="O431" s="757" t="n"/>
      <c r="P431" s="854" t="n"/>
      <c r="Q431" s="758" t="n"/>
      <c r="R431" s="755">
        <f>SUM(K431:Q431)</f>
        <v/>
      </c>
      <c r="S431" s="755">
        <f>J431*6400</f>
        <v/>
      </c>
    </row>
    <row r="432" customFormat="1" s="638">
      <c r="A432" s="356" t="inlineStr">
        <is>
          <t>베티버오일</t>
        </is>
      </c>
      <c r="B432" s="774" t="n"/>
      <c r="C432" s="35" t="n"/>
      <c r="D432" s="234" t="n"/>
      <c r="E432" s="234" t="n"/>
      <c r="F432" s="191" t="n"/>
      <c r="G432" s="195" t="n"/>
      <c r="H432" s="80" t="n"/>
      <c r="I432" s="114" t="n"/>
      <c r="J432" s="35">
        <f>SUM(B432:I432)</f>
        <v/>
      </c>
      <c r="K432" s="755" t="n">
        <v>0</v>
      </c>
      <c r="L432" s="839" t="n"/>
      <c r="M432" s="770" t="n"/>
      <c r="N432" s="863" t="n">
        <v>0</v>
      </c>
      <c r="O432" s="757" t="n"/>
      <c r="P432" s="854" t="n"/>
      <c r="Q432" s="758" t="n"/>
      <c r="R432" s="755">
        <f>SUM(K432:Q432)</f>
        <v/>
      </c>
      <c r="S432" s="755">
        <f>J432*99400</f>
        <v/>
      </c>
    </row>
    <row r="433" customFormat="1" s="638">
      <c r="A433" s="356" t="inlineStr">
        <is>
          <t>벤조인</t>
        </is>
      </c>
      <c r="B433" s="774" t="n"/>
      <c r="C433" s="35" t="n"/>
      <c r="D433" s="234" t="n"/>
      <c r="E433" s="234" t="n"/>
      <c r="F433" s="191" t="n"/>
      <c r="G433" s="195" t="n"/>
      <c r="H433" s="80" t="n"/>
      <c r="I433" s="114" t="n"/>
      <c r="J433" s="35">
        <f>SUM(B433:I433)</f>
        <v/>
      </c>
      <c r="K433" s="755" t="n">
        <v>0</v>
      </c>
      <c r="L433" s="839" t="n"/>
      <c r="M433" s="770" t="n"/>
      <c r="N433" s="863" t="n">
        <v>0</v>
      </c>
      <c r="O433" s="757" t="n"/>
      <c r="P433" s="854" t="n"/>
      <c r="Q433" s="758" t="n"/>
      <c r="R433" s="755">
        <f>SUM(K433:Q433)</f>
        <v/>
      </c>
      <c r="S433" s="755">
        <f>J433*11300</f>
        <v/>
      </c>
    </row>
    <row r="434" customFormat="1" s="638">
      <c r="A434" s="356" t="inlineStr">
        <is>
          <t>블렉페퍼오일</t>
        </is>
      </c>
      <c r="B434" s="774" t="n"/>
      <c r="C434" s="35" t="n"/>
      <c r="D434" s="234" t="n"/>
      <c r="E434" s="234" t="n"/>
      <c r="F434" s="191" t="n"/>
      <c r="G434" s="195" t="n"/>
      <c r="H434" s="80" t="n"/>
      <c r="I434" s="114" t="n"/>
      <c r="J434" s="35">
        <f>SUM(B434:I434)</f>
        <v/>
      </c>
      <c r="K434" s="755" t="n">
        <v>0</v>
      </c>
      <c r="L434" s="839" t="n"/>
      <c r="M434" s="770" t="n"/>
      <c r="N434" s="863" t="n">
        <v>0</v>
      </c>
      <c r="O434" s="757" t="n"/>
      <c r="P434" s="854" t="n"/>
      <c r="Q434" s="758" t="n"/>
      <c r="R434" s="755">
        <f>SUM(K434:Q434)</f>
        <v/>
      </c>
      <c r="S434" s="755">
        <f>J434*67500</f>
        <v/>
      </c>
    </row>
    <row r="435" customFormat="1" s="638">
      <c r="A435" s="354" t="inlineStr">
        <is>
          <t>샌달우드오일</t>
        </is>
      </c>
      <c r="B435" s="774" t="n"/>
      <c r="C435" s="237" t="n"/>
      <c r="D435" s="234" t="n"/>
      <c r="E435" s="234" t="n"/>
      <c r="F435" s="230" t="n"/>
      <c r="G435" s="345" t="n"/>
      <c r="H435" s="80" t="n"/>
      <c r="I435" s="114" t="n"/>
      <c r="J435" s="35">
        <f>SUM(B435:I435)</f>
        <v/>
      </c>
      <c r="K435" s="755" t="n">
        <v>0</v>
      </c>
      <c r="L435" s="839" t="n"/>
      <c r="M435" s="770" t="n"/>
      <c r="N435" s="863" t="n">
        <v>0</v>
      </c>
      <c r="O435" s="757" t="n"/>
      <c r="P435" s="854" t="n"/>
      <c r="Q435" s="758" t="n"/>
      <c r="R435" s="755">
        <f>SUM(K435:Q435)</f>
        <v/>
      </c>
      <c r="S435" s="755">
        <f>J435*31750</f>
        <v/>
      </c>
    </row>
    <row r="436" customFormat="1" s="638">
      <c r="A436" s="356" t="inlineStr">
        <is>
          <t>스피아민트</t>
        </is>
      </c>
      <c r="B436" s="774" t="n"/>
      <c r="C436" s="35" t="n"/>
      <c r="D436" s="234" t="n"/>
      <c r="E436" s="234" t="n"/>
      <c r="F436" s="191" t="n"/>
      <c r="G436" s="195" t="n"/>
      <c r="H436" s="80" t="n"/>
      <c r="I436" s="114" t="n"/>
      <c r="J436" s="35">
        <f>SUM(B436:I436)</f>
        <v/>
      </c>
      <c r="K436" s="755" t="n">
        <v>0</v>
      </c>
      <c r="L436" s="839" t="n"/>
      <c r="M436" s="770" t="n"/>
      <c r="N436" s="863" t="n">
        <v>0</v>
      </c>
      <c r="O436" s="757" t="n"/>
      <c r="P436" s="854" t="n"/>
      <c r="Q436" s="758" t="n"/>
      <c r="R436" s="755">
        <f>SUM(K436:Q436)</f>
        <v/>
      </c>
      <c r="S436" s="755">
        <f>J436*16020</f>
        <v/>
      </c>
    </row>
    <row r="437" customFormat="1" s="638">
      <c r="A437" s="356" t="inlineStr">
        <is>
          <t>시더우드</t>
        </is>
      </c>
      <c r="B437" s="774" t="n"/>
      <c r="C437" s="35" t="n"/>
      <c r="D437" s="234" t="n"/>
      <c r="E437" s="234" t="n"/>
      <c r="F437" s="191" t="n"/>
      <c r="G437" s="195" t="n"/>
      <c r="H437" s="80" t="n"/>
      <c r="I437" s="114" t="n"/>
      <c r="J437" s="35">
        <f>SUM(B437:I437)</f>
        <v/>
      </c>
      <c r="K437" s="755" t="n">
        <v>0</v>
      </c>
      <c r="L437" s="839" t="n"/>
      <c r="M437" s="770" t="n"/>
      <c r="N437" s="863" t="n">
        <v>0</v>
      </c>
      <c r="O437" s="757" t="n"/>
      <c r="P437" s="854" t="n"/>
      <c r="Q437" s="758" t="n"/>
      <c r="R437" s="755">
        <f>SUM(K437:Q437)</f>
        <v/>
      </c>
      <c r="S437" s="755">
        <f>J437*13600</f>
        <v/>
      </c>
    </row>
    <row r="438" customFormat="1" s="638">
      <c r="A438" s="356" t="inlineStr">
        <is>
          <t>시트로넬라</t>
        </is>
      </c>
      <c r="B438" s="774" t="n"/>
      <c r="C438" s="35" t="n"/>
      <c r="D438" s="234" t="n"/>
      <c r="E438" s="234" t="n"/>
      <c r="F438" s="191" t="n"/>
      <c r="G438" s="195" t="n"/>
      <c r="H438" s="80" t="n"/>
      <c r="I438" s="114" t="n"/>
      <c r="J438" s="35">
        <f>SUM(B438:I438)</f>
        <v/>
      </c>
      <c r="K438" s="755" t="n">
        <v>0</v>
      </c>
      <c r="L438" s="839" t="n"/>
      <c r="M438" s="770" t="n"/>
      <c r="N438" s="863" t="n">
        <v>0</v>
      </c>
      <c r="O438" s="757" t="n"/>
      <c r="P438" s="854" t="n"/>
      <c r="Q438" s="758" t="n"/>
      <c r="R438" s="755">
        <f>SUM(K438:Q438)</f>
        <v/>
      </c>
      <c r="S438" s="755">
        <f>J438*13600</f>
        <v/>
      </c>
    </row>
    <row r="439" customFormat="1" s="638">
      <c r="A439" s="354" t="inlineStr">
        <is>
          <t>싸이프러스</t>
        </is>
      </c>
      <c r="B439" s="774" t="n"/>
      <c r="C439" s="237" t="n"/>
      <c r="D439" s="234" t="n"/>
      <c r="E439" s="234" t="n"/>
      <c r="F439" s="230" t="n"/>
      <c r="G439" s="345" t="n"/>
      <c r="H439" s="80" t="n"/>
      <c r="I439" s="114" t="n"/>
      <c r="J439" s="35">
        <f>SUM(B439:I439)</f>
        <v/>
      </c>
      <c r="K439" s="755" t="n">
        <v>0</v>
      </c>
      <c r="L439" s="839" t="n"/>
      <c r="M439" s="770" t="n"/>
      <c r="N439" s="863" t="n">
        <v>0</v>
      </c>
      <c r="O439" s="757" t="n"/>
      <c r="P439" s="854" t="n"/>
      <c r="Q439" s="758" t="n"/>
      <c r="R439" s="755">
        <f>SUM(K439:Q439)</f>
        <v/>
      </c>
      <c r="S439" s="755">
        <f>J439*31200</f>
        <v/>
      </c>
    </row>
    <row r="440" customFormat="1" s="638">
      <c r="A440" s="354" t="inlineStr">
        <is>
          <t>안젤리카</t>
        </is>
      </c>
      <c r="B440" s="774" t="n"/>
      <c r="C440" s="237" t="n"/>
      <c r="D440" s="234" t="n"/>
      <c r="E440" s="234" t="n"/>
      <c r="F440" s="230" t="n"/>
      <c r="G440" s="345" t="n"/>
      <c r="H440" s="80" t="n"/>
      <c r="I440" s="114" t="n"/>
      <c r="J440" s="35">
        <f>SUM(B440:I440)</f>
        <v/>
      </c>
      <c r="K440" s="755">
        <f>C440*880000</f>
        <v/>
      </c>
      <c r="L440" s="839" t="n"/>
      <c r="M440" s="770" t="n"/>
      <c r="N440" s="863">
        <f>F440*792000</f>
        <v/>
      </c>
      <c r="O440" s="757" t="n"/>
      <c r="P440" s="854" t="n"/>
      <c r="Q440" s="758" t="n"/>
      <c r="R440" s="755">
        <f>SUM(K440:Q440)</f>
        <v/>
      </c>
      <c r="S440" s="755">
        <f>J440*48800</f>
        <v/>
      </c>
    </row>
    <row r="441" customFormat="1" s="638">
      <c r="A441" s="354" t="inlineStr">
        <is>
          <t>아가우드</t>
        </is>
      </c>
      <c r="B441" s="774" t="n"/>
      <c r="C441" s="237" t="n"/>
      <c r="D441" s="234" t="n"/>
      <c r="E441" s="234" t="n"/>
      <c r="F441" s="230" t="n"/>
      <c r="G441" s="345" t="n"/>
      <c r="H441" s="80" t="n"/>
      <c r="I441" s="114" t="n"/>
      <c r="J441" s="35">
        <f>SUM(B441:I441)</f>
        <v/>
      </c>
      <c r="K441" s="755">
        <f>C441*1000000</f>
        <v/>
      </c>
      <c r="L441" s="839" t="n"/>
      <c r="M441" s="770" t="n"/>
      <c r="N441" s="863">
        <f>F441*900000</f>
        <v/>
      </c>
      <c r="O441" s="757" t="n"/>
      <c r="P441" s="854" t="n"/>
      <c r="Q441" s="758" t="n"/>
      <c r="R441" s="755">
        <f>SUM(K441:Q441)</f>
        <v/>
      </c>
      <c r="S441" s="755">
        <f>J441*79700</f>
        <v/>
      </c>
    </row>
    <row r="442" customFormat="1" s="638">
      <c r="A442" s="356" t="inlineStr">
        <is>
          <t>야로우</t>
        </is>
      </c>
      <c r="B442" s="774" t="n"/>
      <c r="C442" s="35" t="n"/>
      <c r="D442" s="234" t="n"/>
      <c r="E442" s="234" t="n"/>
      <c r="F442" s="191" t="n"/>
      <c r="G442" s="195" t="n"/>
      <c r="H442" s="80" t="n"/>
      <c r="I442" s="114" t="n"/>
      <c r="J442" s="35">
        <f>SUM(B442:I442)</f>
        <v/>
      </c>
      <c r="K442" s="755" t="n">
        <v>0</v>
      </c>
      <c r="L442" s="839" t="n"/>
      <c r="M442" s="770" t="n"/>
      <c r="N442" s="863" t="n">
        <v>0</v>
      </c>
      <c r="O442" s="757" t="n"/>
      <c r="P442" s="854" t="n"/>
      <c r="Q442" s="758" t="n"/>
      <c r="R442" s="755">
        <f>SUM(K442:Q442)</f>
        <v/>
      </c>
      <c r="S442" s="755">
        <f>J442*168900</f>
        <v/>
      </c>
    </row>
    <row r="443" customFormat="1" s="638">
      <c r="A443" s="356" t="inlineStr">
        <is>
          <t>오레가노(60%)</t>
        </is>
      </c>
      <c r="B443" s="774" t="n"/>
      <c r="C443" s="35" t="n"/>
      <c r="D443" s="234" t="n"/>
      <c r="E443" s="234" t="n"/>
      <c r="F443" s="191" t="n"/>
      <c r="G443" s="195" t="n"/>
      <c r="H443" s="80" t="n"/>
      <c r="I443" s="114" t="n"/>
      <c r="J443" s="35">
        <f>SUM(B443:I443)</f>
        <v/>
      </c>
      <c r="K443" s="755" t="n">
        <v>0</v>
      </c>
      <c r="L443" s="839" t="n"/>
      <c r="M443" s="770" t="n"/>
      <c r="N443" s="863" t="n">
        <v>0</v>
      </c>
      <c r="O443" s="757" t="n"/>
      <c r="P443" s="854" t="n"/>
      <c r="Q443" s="758" t="n"/>
      <c r="R443" s="755">
        <f>SUM(K443:Q443)</f>
        <v/>
      </c>
      <c r="S443" s="755">
        <f>J443*10600</f>
        <v/>
      </c>
    </row>
    <row r="444" customFormat="1" s="638">
      <c r="A444" s="354" t="inlineStr">
        <is>
          <t>오렌지스윗</t>
        </is>
      </c>
      <c r="B444" s="774" t="n"/>
      <c r="C444" s="237" t="n"/>
      <c r="D444" s="234" t="n"/>
      <c r="E444" s="234" t="n"/>
      <c r="F444" s="230" t="n"/>
      <c r="G444" s="345" t="n"/>
      <c r="H444" s="80" t="n"/>
      <c r="I444" s="114" t="n"/>
      <c r="J444" s="35">
        <f>SUM(B444:I444)</f>
        <v/>
      </c>
      <c r="K444" s="755" t="n">
        <v>0</v>
      </c>
      <c r="L444" s="839" t="n"/>
      <c r="M444" s="770" t="n"/>
      <c r="N444" s="863" t="n">
        <v>0</v>
      </c>
      <c r="O444" s="757" t="n"/>
      <c r="P444" s="854" t="n"/>
      <c r="Q444" s="758" t="n"/>
      <c r="R444" s="755">
        <f>SUM(K444:Q444)</f>
        <v/>
      </c>
      <c r="S444" s="755">
        <f>J444*6780</f>
        <v/>
      </c>
    </row>
    <row r="445" customFormat="1" s="638">
      <c r="A445" s="354" t="inlineStr">
        <is>
          <t>유즈</t>
        </is>
      </c>
      <c r="B445" s="774" t="n"/>
      <c r="C445" s="237" t="n"/>
      <c r="D445" s="234" t="n"/>
      <c r="E445" s="234" t="n"/>
      <c r="F445" s="230" t="n"/>
      <c r="G445" s="345" t="n"/>
      <c r="H445" s="80" t="n"/>
      <c r="I445" s="114" t="n"/>
      <c r="J445" s="35">
        <f>SUM(B445:I445)</f>
        <v/>
      </c>
      <c r="K445" s="755">
        <f>C445*136000</f>
        <v/>
      </c>
      <c r="L445" s="839" t="n"/>
      <c r="M445" s="770" t="n"/>
      <c r="N445" s="863">
        <f>F445*122000</f>
        <v/>
      </c>
      <c r="O445" s="757" t="n"/>
      <c r="P445" s="854" t="n"/>
      <c r="Q445" s="758" t="n"/>
      <c r="R445" s="755">
        <f>SUM(K445:Q445)</f>
        <v/>
      </c>
      <c r="S445" s="755">
        <f>J445*15700</f>
        <v/>
      </c>
    </row>
    <row r="446" customFormat="1" s="638">
      <c r="A446" s="354" t="inlineStr">
        <is>
          <t>유칼리투스(블루마레)</t>
        </is>
      </c>
      <c r="B446" s="774" t="n"/>
      <c r="C446" s="237" t="n">
        <v>1</v>
      </c>
      <c r="D446" s="234" t="n"/>
      <c r="E446" s="234" t="n"/>
      <c r="F446" s="230" t="n"/>
      <c r="G446" s="345" t="n"/>
      <c r="H446" s="80" t="n"/>
      <c r="I446" s="114" t="n"/>
      <c r="J446" s="35">
        <f>SUM(B446:I446)</f>
        <v/>
      </c>
      <c r="K446" s="755" t="n">
        <v>80000</v>
      </c>
      <c r="L446" s="839" t="n"/>
      <c r="M446" s="770" t="n"/>
      <c r="N446" s="863" t="n">
        <v>0</v>
      </c>
      <c r="O446" s="757" t="n"/>
      <c r="P446" s="854" t="n"/>
      <c r="Q446" s="758" t="n"/>
      <c r="R446" s="755">
        <f>SUM(K446:Q446)</f>
        <v/>
      </c>
      <c r="S446" s="755">
        <f>J446*9459</f>
        <v/>
      </c>
    </row>
    <row r="447" customFormat="1" s="638">
      <c r="A447" s="354" t="inlineStr">
        <is>
          <t>윈터그린</t>
        </is>
      </c>
      <c r="B447" s="774" t="n"/>
      <c r="C447" s="237" t="n"/>
      <c r="D447" s="234" t="n"/>
      <c r="E447" s="234" t="n"/>
      <c r="F447" s="191" t="n"/>
      <c r="G447" s="195" t="n"/>
      <c r="H447" s="80" t="n"/>
      <c r="I447" s="114" t="n"/>
      <c r="J447" s="35">
        <f>SUM(B447:I447)</f>
        <v/>
      </c>
      <c r="K447" s="755" t="n">
        <v>0</v>
      </c>
      <c r="L447" s="839" t="n"/>
      <c r="M447" s="770" t="n"/>
      <c r="N447" s="863" t="n">
        <v>0</v>
      </c>
      <c r="O447" s="757" t="n"/>
      <c r="P447" s="854" t="n"/>
      <c r="Q447" s="758" t="n"/>
      <c r="R447" s="755">
        <f>SUM(K447:Q447)</f>
        <v/>
      </c>
      <c r="S447" s="755">
        <f>J447*13600</f>
        <v/>
      </c>
    </row>
    <row r="448" customFormat="1" s="638">
      <c r="A448" s="356" t="inlineStr">
        <is>
          <t>일랑일랑</t>
        </is>
      </c>
      <c r="B448" s="774" t="n"/>
      <c r="C448" s="35" t="n"/>
      <c r="D448" s="33" t="n"/>
      <c r="E448" s="33" t="n"/>
      <c r="F448" s="191" t="n"/>
      <c r="G448" s="195" t="n"/>
      <c r="H448" s="80" t="n"/>
      <c r="I448" s="114" t="n"/>
      <c r="J448" s="35">
        <f>SUM(B448:I448)</f>
        <v/>
      </c>
      <c r="K448" s="755" t="n">
        <v>0</v>
      </c>
      <c r="L448" s="839" t="n"/>
      <c r="M448" s="770" t="n"/>
      <c r="N448" s="863" t="n">
        <v>0</v>
      </c>
      <c r="O448" s="757" t="n"/>
      <c r="P448" s="854" t="n"/>
      <c r="Q448" s="758" t="n"/>
      <c r="R448" s="755">
        <f>SUM(K448:Q448)</f>
        <v/>
      </c>
      <c r="S448" s="755">
        <f>J448*45060</f>
        <v/>
      </c>
    </row>
    <row r="449" customFormat="1" s="638">
      <c r="A449" s="356" t="inlineStr">
        <is>
          <t>자스민(sambac)</t>
        </is>
      </c>
      <c r="B449" s="774" t="n"/>
      <c r="C449" s="35" t="n"/>
      <c r="D449" s="234" t="n"/>
      <c r="E449" s="234" t="n"/>
      <c r="F449" s="191" t="n"/>
      <c r="G449" s="195" t="n"/>
      <c r="H449" s="80" t="n"/>
      <c r="I449" s="114" t="n"/>
      <c r="J449" s="35">
        <f>SUM(B449:I449)</f>
        <v/>
      </c>
      <c r="K449" s="755" t="n">
        <v>0</v>
      </c>
      <c r="L449" s="839" t="n"/>
      <c r="M449" s="770" t="n"/>
      <c r="N449" s="863" t="n">
        <v>0</v>
      </c>
      <c r="O449" s="757" t="n"/>
      <c r="P449" s="854" t="n"/>
      <c r="Q449" s="758" t="n"/>
      <c r="R449" s="755">
        <f>SUM(K449:Q449)</f>
        <v/>
      </c>
      <c r="S449" s="755">
        <f>J449*44300</f>
        <v/>
      </c>
    </row>
    <row r="450" customFormat="1" s="638">
      <c r="A450" s="354" t="inlineStr">
        <is>
          <t>제라늄오일</t>
        </is>
      </c>
      <c r="B450" s="774" t="n"/>
      <c r="C450" s="237" t="n"/>
      <c r="D450" s="234" t="n"/>
      <c r="E450" s="234" t="n"/>
      <c r="F450" s="230" t="n"/>
      <c r="G450" s="345" t="n"/>
      <c r="H450" s="80" t="n"/>
      <c r="I450" s="114" t="n"/>
      <c r="J450" s="35">
        <f>SUM(B450:I450)</f>
        <v/>
      </c>
      <c r="K450" s="755" t="n">
        <v>0</v>
      </c>
      <c r="L450" s="839" t="n"/>
      <c r="M450" s="770" t="n"/>
      <c r="N450" s="863" t="n">
        <v>0</v>
      </c>
      <c r="O450" s="757" t="n"/>
      <c r="P450" s="854" t="n"/>
      <c r="Q450" s="758" t="n"/>
      <c r="R450" s="755">
        <f>SUM(K450:Q450)</f>
        <v/>
      </c>
      <c r="S450" s="755">
        <f>J450*56500</f>
        <v/>
      </c>
    </row>
    <row r="451" customFormat="1" s="638">
      <c r="A451" s="356" t="inlineStr">
        <is>
          <t>주니퍼베리(두송열매)</t>
        </is>
      </c>
      <c r="B451" s="774" t="n"/>
      <c r="C451" s="35" t="n"/>
      <c r="D451" s="234" t="n"/>
      <c r="E451" s="234" t="n"/>
      <c r="F451" s="191" t="n"/>
      <c r="G451" s="195" t="n"/>
      <c r="H451" s="80" t="n"/>
      <c r="I451" s="114" t="n"/>
      <c r="J451" s="35">
        <f>SUM(B451:I451)</f>
        <v/>
      </c>
      <c r="K451" s="755" t="n">
        <v>0</v>
      </c>
      <c r="L451" s="839" t="n"/>
      <c r="M451" s="770" t="n"/>
      <c r="N451" s="863" t="n">
        <v>0</v>
      </c>
      <c r="O451" s="757" t="n"/>
      <c r="P451" s="854" t="n"/>
      <c r="Q451" s="758" t="n"/>
      <c r="R451" s="755">
        <f>SUM(K451:Q451)</f>
        <v/>
      </c>
      <c r="S451" s="755">
        <f>J451*31750</f>
        <v/>
      </c>
    </row>
    <row r="452" customFormat="1" s="638">
      <c r="A452" s="356" t="inlineStr">
        <is>
          <t>진저</t>
        </is>
      </c>
      <c r="B452" s="774" t="n"/>
      <c r="C452" s="35" t="n"/>
      <c r="D452" s="234" t="n"/>
      <c r="E452" s="234" t="n"/>
      <c r="F452" s="191" t="n"/>
      <c r="G452" s="195" t="n"/>
      <c r="H452" s="80" t="n"/>
      <c r="I452" s="114" t="n"/>
      <c r="J452" s="35">
        <f>SUM(B452:I452)</f>
        <v/>
      </c>
      <c r="K452" s="755" t="n">
        <v>0</v>
      </c>
      <c r="L452" s="839" t="n"/>
      <c r="M452" s="770" t="n"/>
      <c r="N452" s="863" t="n">
        <v>0</v>
      </c>
      <c r="O452" s="757" t="n"/>
      <c r="P452" s="854" t="n"/>
      <c r="Q452" s="758" t="n"/>
      <c r="R452" s="755">
        <f>SUM(K452:Q452)</f>
        <v/>
      </c>
      <c r="S452" s="755">
        <f>J452*43300</f>
        <v/>
      </c>
    </row>
    <row r="453" customFormat="1" s="638">
      <c r="A453" s="356" t="inlineStr">
        <is>
          <t>카누카</t>
        </is>
      </c>
      <c r="B453" s="774" t="n"/>
      <c r="C453" s="35" t="n"/>
      <c r="D453" s="234" t="n"/>
      <c r="E453" s="234" t="n"/>
      <c r="F453" s="191" t="n"/>
      <c r="G453" s="195" t="n"/>
      <c r="H453" s="80" t="n"/>
      <c r="I453" s="114" t="n"/>
      <c r="J453" s="35">
        <f>SUM(B453:I453)</f>
        <v/>
      </c>
      <c r="K453" s="755">
        <f>C453*184000</f>
        <v/>
      </c>
      <c r="L453" s="839" t="n"/>
      <c r="M453" s="770" t="n"/>
      <c r="N453" s="863">
        <f>F453*166000</f>
        <v/>
      </c>
      <c r="O453" s="757" t="n"/>
      <c r="P453" s="854" t="n"/>
      <c r="Q453" s="758" t="n"/>
      <c r="R453" s="755">
        <f>SUM(K453:Q453)</f>
        <v/>
      </c>
      <c r="S453" s="755">
        <f>J453*21700</f>
        <v/>
      </c>
    </row>
    <row r="454" customFormat="1" s="638">
      <c r="A454" s="356" t="inlineStr">
        <is>
          <t>카다멈</t>
        </is>
      </c>
      <c r="B454" s="774" t="n"/>
      <c r="C454" s="35" t="n"/>
      <c r="D454" s="234" t="n"/>
      <c r="E454" s="234" t="n"/>
      <c r="F454" s="191" t="n"/>
      <c r="G454" s="195" t="n"/>
      <c r="H454" s="80" t="n"/>
      <c r="I454" s="114" t="n"/>
      <c r="J454" s="35">
        <f>SUM(B454:I454)</f>
        <v/>
      </c>
      <c r="K454" s="755">
        <f>C454*228000</f>
        <v/>
      </c>
      <c r="L454" s="839" t="n"/>
      <c r="M454" s="770" t="n"/>
      <c r="N454" s="863">
        <f>F454*205000</f>
        <v/>
      </c>
      <c r="O454" s="757" t="n"/>
      <c r="P454" s="854" t="n"/>
      <c r="Q454" s="758" t="n"/>
      <c r="R454" s="755">
        <f>SUM(K454:Q454)</f>
        <v/>
      </c>
      <c r="S454" s="755">
        <f>J454*42900</f>
        <v/>
      </c>
    </row>
    <row r="455" customFormat="1" s="638">
      <c r="A455" s="356" t="inlineStr">
        <is>
          <t>코리안더리프</t>
        </is>
      </c>
      <c r="B455" s="774" t="n"/>
      <c r="C455" s="35" t="n"/>
      <c r="D455" s="234" t="n"/>
      <c r="E455" s="234" t="n"/>
      <c r="F455" s="191" t="n"/>
      <c r="G455" s="195" t="n"/>
      <c r="H455" s="80" t="n"/>
      <c r="I455" s="114" t="n"/>
      <c r="J455" s="35">
        <f>SUM(B455:I455)</f>
        <v/>
      </c>
      <c r="K455" s="755">
        <f>C455*184000</f>
        <v/>
      </c>
      <c r="L455" s="839" t="n"/>
      <c r="M455" s="770" t="n"/>
      <c r="N455" s="863">
        <f>F455*166000</f>
        <v/>
      </c>
      <c r="O455" s="757" t="n"/>
      <c r="P455" s="854" t="n"/>
      <c r="Q455" s="758" t="n"/>
      <c r="R455" s="755">
        <f>SUM(K455:Q455)</f>
        <v/>
      </c>
      <c r="S455" s="755">
        <f>J455*21200</f>
        <v/>
      </c>
    </row>
    <row r="456" customFormat="1" s="638">
      <c r="A456" s="356" t="inlineStr">
        <is>
          <t>코파이바발삼</t>
        </is>
      </c>
      <c r="B456" s="774" t="n"/>
      <c r="C456" s="35" t="n"/>
      <c r="D456" s="234" t="n"/>
      <c r="E456" s="234" t="n"/>
      <c r="F456" s="191" t="n"/>
      <c r="G456" s="195" t="n"/>
      <c r="H456" s="80" t="n"/>
      <c r="I456" s="114" t="n"/>
      <c r="J456" s="35">
        <f>SUM(B456:I456)</f>
        <v/>
      </c>
      <c r="K456" s="755" t="n">
        <v>0</v>
      </c>
      <c r="L456" s="839" t="n"/>
      <c r="M456" s="770" t="n"/>
      <c r="N456" s="863" t="n">
        <v>0</v>
      </c>
      <c r="O456" s="757" t="n"/>
      <c r="P456" s="854" t="n"/>
      <c r="Q456" s="758" t="n"/>
      <c r="R456" s="755">
        <f>SUM(K456:Q456)</f>
        <v/>
      </c>
      <c r="S456" s="755">
        <f>J456*45500</f>
        <v/>
      </c>
    </row>
    <row r="457" customFormat="1" s="638">
      <c r="A457" s="356" t="inlineStr">
        <is>
          <t>캐롯시드</t>
        </is>
      </c>
      <c r="B457" s="774" t="n"/>
      <c r="C457" s="35" t="n"/>
      <c r="D457" s="234" t="n"/>
      <c r="E457" s="234" t="n"/>
      <c r="F457" s="191" t="n"/>
      <c r="G457" s="195" t="n"/>
      <c r="H457" s="80" t="n"/>
      <c r="I457" s="114" t="n"/>
      <c r="J457" s="35">
        <f>SUM(B457:I457)</f>
        <v/>
      </c>
      <c r="K457" s="755" t="n">
        <v>0</v>
      </c>
      <c r="L457" s="839" t="n"/>
      <c r="M457" s="770" t="n"/>
      <c r="N457" s="863" t="n">
        <v>0</v>
      </c>
      <c r="O457" s="757" t="n"/>
      <c r="P457" s="854" t="n"/>
      <c r="Q457" s="758" t="n"/>
      <c r="R457" s="755">
        <f>SUM(K457:Q457)</f>
        <v/>
      </c>
      <c r="S457" s="755">
        <f>J457*15200</f>
        <v/>
      </c>
    </row>
    <row r="458" customFormat="1" s="638">
      <c r="A458" s="356" t="inlineStr">
        <is>
          <t>캐시플라워</t>
        </is>
      </c>
      <c r="B458" s="774" t="n"/>
      <c r="C458" s="35" t="n"/>
      <c r="D458" s="234" t="n"/>
      <c r="E458" s="234" t="n"/>
      <c r="F458" s="191" t="n"/>
      <c r="G458" s="195" t="n"/>
      <c r="H458" s="80" t="n"/>
      <c r="I458" s="114" t="n"/>
      <c r="J458" s="35">
        <f>SUM(B458:I458)</f>
        <v/>
      </c>
      <c r="K458" s="755">
        <f>C458*184000</f>
        <v/>
      </c>
      <c r="L458" s="839" t="n"/>
      <c r="M458" s="770" t="n"/>
      <c r="N458" s="863">
        <f>F458*166000</f>
        <v/>
      </c>
      <c r="O458" s="757" t="n"/>
      <c r="P458" s="854" t="n"/>
      <c r="Q458" s="758" t="n"/>
      <c r="R458" s="755">
        <f>SUM(K458:Q458)</f>
        <v/>
      </c>
      <c r="S458" s="755">
        <f>J458*22800</f>
        <v/>
      </c>
    </row>
    <row r="459" customFormat="1" s="638">
      <c r="A459" s="356" t="inlineStr">
        <is>
          <t>캠퍼</t>
        </is>
      </c>
      <c r="B459" s="774" t="n"/>
      <c r="C459" s="35" t="n"/>
      <c r="D459" s="234" t="n"/>
      <c r="E459" s="234" t="n"/>
      <c r="F459" s="191" t="n"/>
      <c r="G459" s="195" t="n"/>
      <c r="H459" s="80" t="n"/>
      <c r="I459" s="114" t="n"/>
      <c r="J459" s="35">
        <f>SUM(B459:I459)</f>
        <v/>
      </c>
      <c r="K459" s="755">
        <f>C459*128000</f>
        <v/>
      </c>
      <c r="L459" s="839" t="n"/>
      <c r="M459" s="770" t="n"/>
      <c r="N459" s="863">
        <f>F459*115000</f>
        <v/>
      </c>
      <c r="O459" s="757" t="n"/>
      <c r="P459" s="854" t="n"/>
      <c r="Q459" s="758" t="n"/>
      <c r="R459" s="755">
        <f>SUM(K459:Q459)</f>
        <v/>
      </c>
      <c r="S459" s="755">
        <f>J459*10400</f>
        <v/>
      </c>
    </row>
    <row r="460" customFormat="1" s="638">
      <c r="A460" s="356" t="inlineStr">
        <is>
          <t>클라리세이지</t>
        </is>
      </c>
      <c r="B460" s="774" t="n"/>
      <c r="C460" s="35" t="n"/>
      <c r="D460" s="234" t="n"/>
      <c r="E460" s="234" t="n"/>
      <c r="F460" s="191" t="n"/>
      <c r="G460" s="195" t="n"/>
      <c r="H460" s="80" t="n"/>
      <c r="I460" s="114" t="n"/>
      <c r="J460" s="35">
        <f>SUM(B460:I460)</f>
        <v/>
      </c>
      <c r="K460" s="755" t="n">
        <v>0</v>
      </c>
      <c r="L460" s="839" t="n"/>
      <c r="M460" s="770" t="n"/>
      <c r="N460" s="863" t="n">
        <v>0</v>
      </c>
      <c r="O460" s="757" t="n"/>
      <c r="P460" s="854" t="n"/>
      <c r="Q460" s="758" t="n"/>
      <c r="R460" s="755">
        <f>SUM(K460:Q460)</f>
        <v/>
      </c>
      <c r="S460" s="755">
        <f>J460*36700</f>
        <v/>
      </c>
    </row>
    <row r="461" customFormat="1" s="638">
      <c r="A461" s="356" t="inlineStr">
        <is>
          <t>클로브리프</t>
        </is>
      </c>
      <c r="B461" s="774" t="n"/>
      <c r="C461" s="35" t="n"/>
      <c r="D461" s="234" t="n"/>
      <c r="E461" s="234" t="n"/>
      <c r="F461" s="191" t="n"/>
      <c r="G461" s="195" t="n"/>
      <c r="H461" s="80" t="n"/>
      <c r="I461" s="114" t="n"/>
      <c r="J461" s="35">
        <f>SUM(B461:I461)</f>
        <v/>
      </c>
      <c r="K461" s="755" t="n">
        <v>0</v>
      </c>
      <c r="L461" s="839" t="n"/>
      <c r="M461" s="770" t="n"/>
      <c r="N461" s="863" t="n">
        <v>0</v>
      </c>
      <c r="O461" s="757" t="n"/>
      <c r="P461" s="854" t="n"/>
      <c r="Q461" s="758" t="n"/>
      <c r="R461" s="755">
        <f>SUM(K461:Q461)</f>
        <v/>
      </c>
      <c r="S461" s="755">
        <f>J461*19980</f>
        <v/>
      </c>
    </row>
    <row r="462" customFormat="1" s="638">
      <c r="A462" s="356" t="inlineStr">
        <is>
          <t>타임</t>
        </is>
      </c>
      <c r="B462" s="774" t="n"/>
      <c r="C462" s="35" t="n"/>
      <c r="D462" s="234" t="n"/>
      <c r="E462" s="234" t="n"/>
      <c r="F462" s="191" t="n"/>
      <c r="G462" s="195" t="n"/>
      <c r="H462" s="80" t="n"/>
      <c r="I462" s="114" t="n"/>
      <c r="J462" s="35">
        <f>SUM(B462:I462)</f>
        <v/>
      </c>
      <c r="K462" s="755" t="n">
        <v>0</v>
      </c>
      <c r="L462" s="839" t="n"/>
      <c r="M462" s="770" t="n"/>
      <c r="N462" s="863" t="n">
        <v>0</v>
      </c>
      <c r="O462" s="757" t="n"/>
      <c r="P462" s="854" t="n"/>
      <c r="Q462" s="758" t="n"/>
      <c r="R462" s="755">
        <f>SUM(K462:Q462)</f>
        <v/>
      </c>
      <c r="S462" s="755">
        <f>J462*16900</f>
        <v/>
      </c>
    </row>
    <row r="463" customFormat="1" s="638">
      <c r="A463" s="356" t="inlineStr">
        <is>
          <t>투메릭</t>
        </is>
      </c>
      <c r="B463" s="774" t="n"/>
      <c r="C463" s="35" t="n"/>
      <c r="D463" s="234" t="n"/>
      <c r="E463" s="234" t="n"/>
      <c r="F463" s="191" t="n"/>
      <c r="G463" s="195" t="n"/>
      <c r="H463" s="80" t="n"/>
      <c r="I463" s="114" t="n"/>
      <c r="J463" s="35">
        <f>SUM(B463:I463)</f>
        <v/>
      </c>
      <c r="K463" s="755">
        <f>C463*128000</f>
        <v/>
      </c>
      <c r="L463" s="839" t="n"/>
      <c r="M463" s="770" t="n"/>
      <c r="N463" s="863">
        <f>F463*115000</f>
        <v/>
      </c>
      <c r="O463" s="757" t="n"/>
      <c r="P463" s="854" t="n"/>
      <c r="Q463" s="758" t="n"/>
      <c r="R463" s="755">
        <f>SUM(K463:Q463)</f>
        <v/>
      </c>
      <c r="S463" s="755">
        <f>J463*11100</f>
        <v/>
      </c>
    </row>
    <row r="464" customFormat="1" s="638">
      <c r="A464" s="354" t="inlineStr">
        <is>
          <t>티트리프리미엄</t>
        </is>
      </c>
      <c r="B464" s="774" t="n"/>
      <c r="C464" s="237" t="n"/>
      <c r="D464" s="234" t="n"/>
      <c r="E464" s="234" t="n"/>
      <c r="F464" s="230" t="n"/>
      <c r="G464" s="345" t="n"/>
      <c r="H464" s="80" t="n"/>
      <c r="I464" s="114" t="n"/>
      <c r="J464" s="35">
        <f>SUM(B464:I464)</f>
        <v/>
      </c>
      <c r="K464" s="755" t="n">
        <v>0</v>
      </c>
      <c r="L464" s="839" t="n"/>
      <c r="M464" s="770" t="n"/>
      <c r="N464" s="863" t="n">
        <v>0</v>
      </c>
      <c r="O464" s="757" t="n"/>
      <c r="P464" s="854" t="n"/>
      <c r="Q464" s="758" t="n"/>
      <c r="R464" s="755">
        <f>SUM(K464:Q464)</f>
        <v/>
      </c>
      <c r="S464" s="755">
        <f>J464*10100</f>
        <v/>
      </c>
    </row>
    <row r="465" customFormat="1" s="638">
      <c r="A465" s="356" t="inlineStr">
        <is>
          <t>파인</t>
        </is>
      </c>
      <c r="B465" s="774" t="n"/>
      <c r="C465" s="35" t="n"/>
      <c r="D465" s="234" t="n"/>
      <c r="E465" s="234" t="n"/>
      <c r="F465" s="191" t="n"/>
      <c r="G465" s="195" t="n"/>
      <c r="H465" s="80" t="n"/>
      <c r="I465" s="114" t="n"/>
      <c r="J465" s="35">
        <f>SUM(B465:I465)</f>
        <v/>
      </c>
      <c r="K465" s="755" t="n">
        <v>0</v>
      </c>
      <c r="L465" s="839" t="n"/>
      <c r="M465" s="770" t="n"/>
      <c r="N465" s="863" t="n">
        <v>0</v>
      </c>
      <c r="O465" s="757" t="n"/>
      <c r="P465" s="854" t="n"/>
      <c r="Q465" s="758" t="n"/>
      <c r="R465" s="755">
        <f>SUM(K465:Q465)</f>
        <v/>
      </c>
      <c r="S465" s="755">
        <f>J465*26800</f>
        <v/>
      </c>
    </row>
    <row r="466" customFormat="1" s="638">
      <c r="A466" s="356" t="inlineStr">
        <is>
          <t>팔마로사</t>
        </is>
      </c>
      <c r="B466" s="774" t="n"/>
      <c r="C466" s="35" t="n"/>
      <c r="D466" s="234" t="n"/>
      <c r="E466" s="234" t="n"/>
      <c r="F466" s="191" t="n"/>
      <c r="G466" s="195" t="n"/>
      <c r="H466" s="80" t="n"/>
      <c r="I466" s="114" t="n"/>
      <c r="J466" s="35">
        <f>SUM(B466:I466)</f>
        <v/>
      </c>
      <c r="K466" s="755" t="n">
        <v>0</v>
      </c>
      <c r="L466" s="839" t="n"/>
      <c r="M466" s="770" t="n"/>
      <c r="N466" s="863" t="n">
        <v>0</v>
      </c>
      <c r="O466" s="757" t="n"/>
      <c r="P466" s="854" t="n"/>
      <c r="Q466" s="758" t="n"/>
      <c r="R466" s="755">
        <f>SUM(K466:Q466)</f>
        <v/>
      </c>
      <c r="S466" s="755">
        <f>J466*13600</f>
        <v/>
      </c>
    </row>
    <row r="467" customFormat="1" s="638">
      <c r="A467" s="354" t="inlineStr">
        <is>
          <t>페퍼민트</t>
        </is>
      </c>
      <c r="B467" s="774" t="n"/>
      <c r="C467" s="237" t="n"/>
      <c r="D467" s="234" t="n"/>
      <c r="E467" s="234" t="n"/>
      <c r="F467" s="230" t="n"/>
      <c r="G467" s="345" t="n"/>
      <c r="H467" s="80" t="n"/>
      <c r="I467" s="114" t="n"/>
      <c r="J467" s="35">
        <f>SUM(B467:I467)</f>
        <v/>
      </c>
      <c r="K467" s="755" t="n">
        <v>0</v>
      </c>
      <c r="L467" s="839" t="n"/>
      <c r="M467" s="770" t="n"/>
      <c r="N467" s="863" t="n">
        <v>0</v>
      </c>
      <c r="O467" s="757" t="n"/>
      <c r="P467" s="854" t="n"/>
      <c r="Q467" s="758" t="n"/>
      <c r="R467" s="755">
        <f>SUM(K467:Q467)</f>
        <v/>
      </c>
      <c r="S467" s="755">
        <f>J467*7400</f>
        <v/>
      </c>
    </row>
    <row r="468" customFormat="1" s="638">
      <c r="A468" s="356" t="inlineStr">
        <is>
          <t>페티그레인</t>
        </is>
      </c>
      <c r="B468" s="774" t="n"/>
      <c r="C468" s="35" t="n"/>
      <c r="D468" s="234" t="n"/>
      <c r="E468" s="234" t="n"/>
      <c r="F468" s="191" t="n"/>
      <c r="G468" s="195" t="n"/>
      <c r="H468" s="80" t="n"/>
      <c r="I468" s="114" t="n"/>
      <c r="J468" s="35">
        <f>SUM(B468:I468)</f>
        <v/>
      </c>
      <c r="K468" s="755" t="n">
        <v>0</v>
      </c>
      <c r="L468" s="839" t="n"/>
      <c r="M468" s="770" t="n"/>
      <c r="N468" s="863" t="n">
        <v>0</v>
      </c>
      <c r="O468" s="757" t="n"/>
      <c r="P468" s="854" t="n"/>
      <c r="Q468" s="758" t="n"/>
      <c r="R468" s="755">
        <f>SUM(K468:Q468)</f>
        <v/>
      </c>
      <c r="S468" s="755">
        <f>J468*30100</f>
        <v/>
      </c>
    </row>
    <row r="469" customFormat="1" s="638">
      <c r="A469" s="356" t="inlineStr">
        <is>
          <t>패츌리</t>
        </is>
      </c>
      <c r="B469" s="774" t="n"/>
      <c r="C469" s="35" t="n"/>
      <c r="D469" s="234" t="n"/>
      <c r="E469" s="234" t="n"/>
      <c r="F469" s="191" t="n"/>
      <c r="G469" s="195" t="n"/>
      <c r="H469" s="80" t="n"/>
      <c r="I469" s="114" t="n"/>
      <c r="J469" s="35">
        <f>SUM(B469:I469)</f>
        <v/>
      </c>
      <c r="K469" s="755" t="n">
        <v>0</v>
      </c>
      <c r="L469" s="839" t="n"/>
      <c r="M469" s="770" t="n"/>
      <c r="N469" s="863" t="n">
        <v>0</v>
      </c>
      <c r="O469" s="757" t="n"/>
      <c r="P469" s="854" t="n"/>
      <c r="Q469" s="758" t="n"/>
      <c r="R469" s="755">
        <f>SUM(K469:Q469)</f>
        <v/>
      </c>
      <c r="S469" s="755">
        <f>J469*66400</f>
        <v/>
      </c>
    </row>
    <row r="470" customFormat="1" s="638">
      <c r="A470" s="356" t="inlineStr">
        <is>
          <t>펜넬</t>
        </is>
      </c>
      <c r="B470" s="774" t="n"/>
      <c r="C470" s="35" t="n"/>
      <c r="D470" s="234" t="n"/>
      <c r="E470" s="234" t="n"/>
      <c r="F470" s="191" t="n"/>
      <c r="G470" s="195" t="n"/>
      <c r="H470" s="80" t="n"/>
      <c r="I470" s="114" t="n"/>
      <c r="J470" s="35">
        <f>SUM(B470:I470)</f>
        <v/>
      </c>
      <c r="K470" s="755" t="n">
        <v>0</v>
      </c>
      <c r="L470" s="839" t="n"/>
      <c r="M470" s="770" t="n"/>
      <c r="N470" s="863" t="n">
        <v>0</v>
      </c>
      <c r="O470" s="757" t="n"/>
      <c r="P470" s="854" t="n"/>
      <c r="Q470" s="758" t="n"/>
      <c r="R470" s="755">
        <f>SUM(K470:Q470)</f>
        <v/>
      </c>
      <c r="S470" s="755">
        <f>J470*26800</f>
        <v/>
      </c>
    </row>
    <row r="471" customFormat="1" s="638">
      <c r="A471" s="356" t="inlineStr">
        <is>
          <t>프랑킨센스(유향나무)</t>
        </is>
      </c>
      <c r="B471" s="774" t="n"/>
      <c r="C471" s="237" t="n"/>
      <c r="D471" s="234" t="n"/>
      <c r="E471" s="234" t="n"/>
      <c r="F471" s="230" t="n"/>
      <c r="G471" s="345" t="n"/>
      <c r="H471" s="80" t="n"/>
      <c r="I471" s="114" t="n"/>
      <c r="J471" s="35">
        <f>SUM(B471:I471)</f>
        <v/>
      </c>
      <c r="K471" s="755" t="n">
        <v>0</v>
      </c>
      <c r="L471" s="839" t="n"/>
      <c r="M471" s="770" t="n"/>
      <c r="N471" s="863" t="n">
        <v>0</v>
      </c>
      <c r="O471" s="757" t="n"/>
      <c r="P471" s="854" t="n"/>
      <c r="Q471" s="758" t="n"/>
      <c r="R471" s="755">
        <f>SUM(K471:Q471)</f>
        <v/>
      </c>
      <c r="S471" s="755">
        <f>J471*41100</f>
        <v/>
      </c>
    </row>
    <row r="472" customFormat="1" s="638">
      <c r="A472" s="356" t="inlineStr">
        <is>
          <t>헬리크리섬</t>
        </is>
      </c>
      <c r="B472" s="774" t="n"/>
      <c r="C472" s="237" t="n"/>
      <c r="D472" s="234" t="n"/>
      <c r="E472" s="234" t="n"/>
      <c r="F472" s="230" t="n"/>
      <c r="G472" s="345" t="n"/>
      <c r="H472" s="80" t="n"/>
      <c r="I472" s="114" t="n"/>
      <c r="J472" s="35">
        <f>SUM(B472:I472)</f>
        <v/>
      </c>
      <c r="K472" s="755">
        <f>C472*1000000</f>
        <v/>
      </c>
      <c r="L472" s="839" t="n"/>
      <c r="M472" s="770" t="n"/>
      <c r="N472" s="863">
        <f>F472*900000</f>
        <v/>
      </c>
      <c r="O472" s="757" t="n"/>
      <c r="P472" s="854" t="n"/>
      <c r="Q472" s="758" t="n"/>
      <c r="R472" s="755">
        <f>SUM(K472:Q472)</f>
        <v/>
      </c>
      <c r="S472" s="755">
        <f>J472*25900</f>
        <v/>
      </c>
    </row>
    <row r="473" customFormat="1" s="638">
      <c r="A473" s="356" t="inlineStr">
        <is>
          <t>히노키</t>
        </is>
      </c>
      <c r="B473" s="774" t="n"/>
      <c r="C473" s="35" t="n"/>
      <c r="D473" s="234" t="n"/>
      <c r="E473" s="234" t="n"/>
      <c r="F473" s="191" t="n"/>
      <c r="G473" s="195" t="n"/>
      <c r="H473" s="80" t="n"/>
      <c r="I473" s="114" t="n"/>
      <c r="J473" s="35">
        <f>SUM(B473:I473)</f>
        <v/>
      </c>
      <c r="K473" s="755" t="n">
        <v>0</v>
      </c>
      <c r="L473" s="839" t="n"/>
      <c r="M473" s="770" t="n"/>
      <c r="N473" s="863" t="n">
        <v>0</v>
      </c>
      <c r="O473" s="757" t="n"/>
      <c r="P473" s="854" t="n"/>
      <c r="Q473" s="758" t="n"/>
      <c r="R473" s="755">
        <f>SUM(K473:Q473)</f>
        <v/>
      </c>
      <c r="S473" s="755">
        <f>J473*70800</f>
        <v/>
      </c>
    </row>
    <row r="474" customFormat="1" s="638">
      <c r="A474" s="356" t="inlineStr">
        <is>
          <t>히솝</t>
        </is>
      </c>
      <c r="B474" s="774" t="n"/>
      <c r="C474" s="35" t="n"/>
      <c r="D474" s="234" t="n"/>
      <c r="E474" s="234" t="n"/>
      <c r="F474" s="191" t="n"/>
      <c r="G474" s="195" t="n"/>
      <c r="H474" s="80" t="n"/>
      <c r="I474" s="114" t="n"/>
      <c r="J474" s="35">
        <f>SUM(B474:I474)</f>
        <v/>
      </c>
      <c r="K474" s="755">
        <f>C474*184000</f>
        <v/>
      </c>
      <c r="L474" s="839" t="n"/>
      <c r="M474" s="770" t="n"/>
      <c r="N474" s="863">
        <f>F474*166000</f>
        <v/>
      </c>
      <c r="O474" s="757" t="n"/>
      <c r="P474" s="854" t="n"/>
      <c r="Q474" s="758" t="n"/>
      <c r="R474" s="755">
        <f>SUM(K474:Q474)</f>
        <v/>
      </c>
      <c r="S474" s="755">
        <f>J474*21700</f>
        <v/>
      </c>
    </row>
    <row r="475" customFormat="1" s="638">
      <c r="A475" s="356" t="inlineStr">
        <is>
          <t xml:space="preserve"> 발삼전나무오가닉</t>
        </is>
      </c>
      <c r="B475" s="774" t="n"/>
      <c r="C475" s="35" t="n"/>
      <c r="D475" s="234" t="n"/>
      <c r="E475" s="234" t="n"/>
      <c r="F475" s="191" t="n"/>
      <c r="G475" s="195" t="n"/>
      <c r="H475" s="80" t="n"/>
      <c r="I475" s="114" t="n"/>
      <c r="J475" s="35">
        <f>SUM(B475:I475)</f>
        <v/>
      </c>
      <c r="K475" s="755" t="n">
        <v>0</v>
      </c>
      <c r="L475" s="839" t="n"/>
      <c r="M475" s="770" t="n"/>
      <c r="N475" s="863" t="n">
        <v>0</v>
      </c>
      <c r="O475" s="757" t="n"/>
      <c r="P475" s="854" t="n"/>
      <c r="Q475" s="758" t="n"/>
      <c r="R475" s="755">
        <f>SUM(K475:Q475)</f>
        <v/>
      </c>
      <c r="S475" s="755">
        <f>J475*19100</f>
        <v/>
      </c>
    </row>
    <row r="476" customFormat="1" s="638">
      <c r="A476" s="356" t="inlineStr">
        <is>
          <t>잭파인에스엠오가닉</t>
        </is>
      </c>
      <c r="B476" s="774" t="n"/>
      <c r="C476" s="35" t="n"/>
      <c r="D476" s="234" t="n"/>
      <c r="E476" s="234" t="n"/>
      <c r="F476" s="191" t="n"/>
      <c r="G476" s="195" t="n"/>
      <c r="H476" s="80" t="n"/>
      <c r="I476" s="114" t="n"/>
      <c r="J476" s="35">
        <f>SUM(B476:I476)</f>
        <v/>
      </c>
      <c r="K476" s="755" t="n">
        <v>0</v>
      </c>
      <c r="L476" s="839" t="n"/>
      <c r="M476" s="770" t="n"/>
      <c r="N476" s="863" t="n">
        <v>0</v>
      </c>
      <c r="O476" s="757" t="n"/>
      <c r="P476" s="854" t="n"/>
      <c r="Q476" s="758" t="n"/>
      <c r="R476" s="755">
        <f>SUM(K476:Q476)</f>
        <v/>
      </c>
      <c r="S476" s="755">
        <f>J476*32200</f>
        <v/>
      </c>
    </row>
    <row r="477" customFormat="1" s="638">
      <c r="A477" s="356" t="inlineStr">
        <is>
          <t>(W)가문비나무오가닉</t>
        </is>
      </c>
      <c r="B477" s="774" t="n"/>
      <c r="C477" s="35" t="n"/>
      <c r="D477" s="234" t="n"/>
      <c r="E477" s="234" t="n"/>
      <c r="F477" s="191" t="n"/>
      <c r="G477" s="195" t="n"/>
      <c r="H477" s="80" t="n"/>
      <c r="I477" s="114" t="n"/>
      <c r="J477" s="35">
        <f>SUM(B477:I477)</f>
        <v/>
      </c>
      <c r="K477" s="755" t="n">
        <v>0</v>
      </c>
      <c r="L477" s="839" t="n"/>
      <c r="M477" s="770" t="n"/>
      <c r="N477" s="863" t="n">
        <v>0</v>
      </c>
      <c r="O477" s="757" t="n"/>
      <c r="P477" s="854" t="n"/>
      <c r="Q477" s="758" t="n"/>
      <c r="R477" s="755">
        <f>SUM(K477:Q477)</f>
        <v/>
      </c>
      <c r="S477" s="755">
        <f>J477*45600</f>
        <v/>
      </c>
    </row>
    <row r="478" customFormat="1" s="638">
      <c r="A478" s="356" t="inlineStr">
        <is>
          <t>타마락낙엽송오가닉</t>
        </is>
      </c>
      <c r="B478" s="774" t="n"/>
      <c r="C478" s="35" t="n"/>
      <c r="D478" s="234" t="n"/>
      <c r="E478" s="234" t="n"/>
      <c r="F478" s="191" t="n"/>
      <c r="G478" s="195" t="n"/>
      <c r="H478" s="80" t="n"/>
      <c r="I478" s="114" t="n"/>
      <c r="J478" s="35">
        <f>SUM(B478:I478)</f>
        <v/>
      </c>
      <c r="K478" s="755" t="n">
        <v>0</v>
      </c>
      <c r="L478" s="839" t="n"/>
      <c r="M478" s="770" t="n"/>
      <c r="N478" s="863" t="n">
        <v>0</v>
      </c>
      <c r="O478" s="757" t="n"/>
      <c r="P478" s="854" t="n"/>
      <c r="Q478" s="758" t="n"/>
      <c r="R478" s="755">
        <f>SUM(K478:Q478)</f>
        <v/>
      </c>
      <c r="S478" s="755">
        <f>J478*62600</f>
        <v/>
      </c>
    </row>
    <row r="479" customFormat="1" s="638">
      <c r="A479" s="356" t="inlineStr">
        <is>
          <t>동백삼나무잎</t>
        </is>
      </c>
      <c r="B479" s="774" t="n"/>
      <c r="C479" s="35" t="n"/>
      <c r="D479" s="234" t="n"/>
      <c r="E479" s="234" t="n"/>
      <c r="F479" s="191" t="n"/>
      <c r="G479" s="195" t="n"/>
      <c r="H479" s="80" t="n"/>
      <c r="I479" s="114" t="n"/>
      <c r="J479" s="35">
        <f>SUM(B479:I479)</f>
        <v/>
      </c>
      <c r="K479" s="755" t="n">
        <v>0</v>
      </c>
      <c r="L479" s="839" t="n"/>
      <c r="M479" s="770" t="n"/>
      <c r="N479" s="863" t="n">
        <v>0</v>
      </c>
      <c r="O479" s="757" t="n"/>
      <c r="P479" s="854" t="n"/>
      <c r="Q479" s="758" t="n"/>
      <c r="R479" s="755">
        <f>SUM(K479:Q479)</f>
        <v/>
      </c>
      <c r="S479" s="755">
        <f>J479*29300</f>
        <v/>
      </c>
    </row>
    <row r="480" customFormat="1" s="638">
      <c r="A480" s="356" t="inlineStr">
        <is>
          <t>노르웨이소나무</t>
        </is>
      </c>
      <c r="B480" s="775" t="n"/>
      <c r="C480" s="35" t="n"/>
      <c r="D480" s="234" t="n"/>
      <c r="E480" s="234" t="n"/>
      <c r="F480" s="191" t="n"/>
      <c r="G480" s="195" t="n"/>
      <c r="H480" s="80" t="n"/>
      <c r="I480" s="114" t="n"/>
      <c r="J480" s="35">
        <f>SUM(B480:I480)</f>
        <v/>
      </c>
      <c r="K480" s="755" t="n">
        <v>0</v>
      </c>
      <c r="L480" s="839" t="n"/>
      <c r="M480" s="770" t="n"/>
      <c r="N480" s="863" t="n">
        <v>0</v>
      </c>
      <c r="O480" s="757" t="n"/>
      <c r="P480" s="854" t="n"/>
      <c r="Q480" s="758" t="n"/>
      <c r="R480" s="755">
        <f>SUM(K480:Q480)</f>
        <v/>
      </c>
      <c r="S480" s="755">
        <f>J480*28700</f>
        <v/>
      </c>
    </row>
    <row r="481" customFormat="1" s="638">
      <c r="A481" s="356" t="n"/>
      <c r="B481" s="697" t="n"/>
      <c r="C481" s="35" t="n"/>
      <c r="D481" s="234" t="n"/>
      <c r="E481" s="234" t="n"/>
      <c r="F481" s="191" t="n"/>
      <c r="G481" s="195" t="n"/>
      <c r="H481" s="80" t="n"/>
      <c r="I481" s="114" t="n"/>
      <c r="J481" s="35" t="n"/>
      <c r="K481" s="755" t="n"/>
      <c r="L481" s="839" t="n"/>
      <c r="M481" s="770" t="n"/>
      <c r="N481" s="863" t="n"/>
      <c r="O481" s="757" t="n"/>
      <c r="P481" s="854" t="n"/>
      <c r="Q481" s="758" t="n"/>
      <c r="R481" s="755" t="n"/>
      <c r="S481" s="755" t="n"/>
    </row>
    <row r="482" customFormat="1" s="74">
      <c r="A482" s="504" t="inlineStr">
        <is>
          <t>100ml합계</t>
        </is>
      </c>
      <c r="B482" s="506" t="n"/>
      <c r="C482" s="450">
        <f>SUM(C411:C481)</f>
        <v/>
      </c>
      <c r="D482" s="450">
        <f>SUM(D411:D481)</f>
        <v/>
      </c>
      <c r="E482" s="450">
        <f>SUM(E411:E481)</f>
        <v/>
      </c>
      <c r="F482" s="450">
        <f>SUM(F411:F481)</f>
        <v/>
      </c>
      <c r="G482" s="450">
        <f>SUM(G411:G481)</f>
        <v/>
      </c>
      <c r="H482" s="450">
        <f>SUM(H411:H481)</f>
        <v/>
      </c>
      <c r="I482" s="450">
        <f>SUM(I411:I481)</f>
        <v/>
      </c>
      <c r="J482" s="450">
        <f>SUM(J411:J481)</f>
        <v/>
      </c>
      <c r="K482" s="886">
        <f>SUM(K411:K481)</f>
        <v/>
      </c>
      <c r="L482" s="886">
        <f>SUM(L411:L481)</f>
        <v/>
      </c>
      <c r="M482" s="886">
        <f>SUM(M411:M481)</f>
        <v/>
      </c>
      <c r="N482" s="886">
        <f>SUM(N411:N481)</f>
        <v/>
      </c>
      <c r="O482" s="886">
        <f>SUM(O411:O481)</f>
        <v/>
      </c>
      <c r="P482" s="886">
        <f>SUM(P411:P481)</f>
        <v/>
      </c>
      <c r="Q482" s="886">
        <f>SUM(Q411:Q481)</f>
        <v/>
      </c>
      <c r="R482" s="886">
        <f>SUM(K482:Q482)</f>
        <v/>
      </c>
      <c r="S482" s="886">
        <f>SUM(S411:S481)</f>
        <v/>
      </c>
    </row>
    <row r="483" customFormat="1" s="638">
      <c r="A483" s="356" t="n"/>
      <c r="B483" s="505" t="n"/>
      <c r="C483" s="35" t="n"/>
      <c r="D483" s="234" t="n"/>
      <c r="E483" s="234" t="n"/>
      <c r="F483" s="191" t="n"/>
      <c r="G483" s="195" t="n"/>
      <c r="H483" s="80" t="n"/>
      <c r="I483" s="114" t="n"/>
      <c r="J483" s="35" t="n"/>
      <c r="K483" s="836" t="n"/>
      <c r="L483" s="839" t="n"/>
      <c r="M483" s="770" t="n"/>
      <c r="N483" s="771" t="n"/>
      <c r="O483" s="757" t="n"/>
      <c r="P483" s="854" t="n"/>
      <c r="Q483" s="758" t="n"/>
      <c r="R483" s="755" t="n"/>
      <c r="S483" s="755" t="n"/>
    </row>
    <row r="484" ht="16.5" customFormat="1" customHeight="1" s="638">
      <c r="A484" s="356" t="inlineStr">
        <is>
          <t>호호바골든1KG</t>
        </is>
      </c>
      <c r="B484" s="547" t="inlineStr">
        <is>
          <t>P0000BJR  /  P0000BKG</t>
        </is>
      </c>
      <c r="C484" s="35" t="n"/>
      <c r="D484" s="234" t="n"/>
      <c r="E484" s="234" t="n"/>
      <c r="F484" s="191" t="n"/>
      <c r="G484" s="195" t="n"/>
      <c r="H484" s="80" t="n"/>
      <c r="I484" s="114" t="n"/>
      <c r="J484" s="35">
        <f>SUM(B484:I484)</f>
        <v/>
      </c>
      <c r="K484" s="836">
        <f>C484*156000</f>
        <v/>
      </c>
      <c r="L484" s="839" t="n"/>
      <c r="M484" s="770">
        <f>E484*156000</f>
        <v/>
      </c>
      <c r="N484" s="771">
        <f>F484*124800</f>
        <v/>
      </c>
      <c r="O484" s="757" t="n"/>
      <c r="P484" s="854" t="n"/>
      <c r="Q484" s="758" t="n"/>
      <c r="R484" s="755">
        <f>SUM(K484:Q484)</f>
        <v/>
      </c>
      <c r="S484" s="755">
        <f>J484*22320</f>
        <v/>
      </c>
    </row>
    <row r="485" customFormat="1" s="275">
      <c r="A485" s="356" t="inlineStr">
        <is>
          <t>썬플라워오일1KG</t>
        </is>
      </c>
      <c r="B485" s="774" t="n"/>
      <c r="C485" s="539" t="n"/>
      <c r="D485" s="233" t="n"/>
      <c r="E485" s="233" t="n"/>
      <c r="F485" s="218" t="n"/>
      <c r="G485" s="413" t="n"/>
      <c r="H485" s="413" t="n"/>
      <c r="I485" s="413" t="n"/>
      <c r="J485" s="218">
        <f>SUM(B485:I485)</f>
        <v/>
      </c>
      <c r="K485" s="836">
        <f>C485*44000</f>
        <v/>
      </c>
      <c r="L485" s="888" t="n"/>
      <c r="M485" s="770">
        <f>E485*44000</f>
        <v/>
      </c>
      <c r="N485" s="771">
        <f>F485*35200</f>
        <v/>
      </c>
      <c r="O485" s="888" t="n"/>
      <c r="P485" s="889" t="n"/>
      <c r="Q485" s="890" t="n"/>
      <c r="R485" s="755">
        <f>SUM(K485:Q485)</f>
        <v/>
      </c>
      <c r="S485" s="755">
        <f>J485*10230</f>
        <v/>
      </c>
    </row>
    <row r="486" customFormat="1" s="275">
      <c r="A486" s="356" t="inlineStr">
        <is>
          <t>포도씨오일1KG</t>
        </is>
      </c>
      <c r="B486" s="774" t="n"/>
      <c r="C486" s="539" t="n"/>
      <c r="D486" s="233" t="n"/>
      <c r="E486" s="233" t="n"/>
      <c r="F486" s="218" t="n"/>
      <c r="G486" s="413" t="n"/>
      <c r="H486" s="413" t="n"/>
      <c r="I486" s="413" t="n"/>
      <c r="J486" s="218">
        <f>SUM(B486:I486)</f>
        <v/>
      </c>
      <c r="K486" s="836">
        <f>C486*44000</f>
        <v/>
      </c>
      <c r="L486" s="888" t="n"/>
      <c r="M486" s="770">
        <f>E486*44000</f>
        <v/>
      </c>
      <c r="N486" s="771">
        <f>F486*35200</f>
        <v/>
      </c>
      <c r="O486" s="888" t="n"/>
      <c r="P486" s="889" t="n"/>
      <c r="Q486" s="890" t="n"/>
      <c r="R486" s="755">
        <f>SUM(K486:Q486)</f>
        <v/>
      </c>
      <c r="S486" s="755">
        <f>J486*10780</f>
        <v/>
      </c>
    </row>
    <row r="487" customFormat="1" s="275">
      <c r="A487" s="356" t="inlineStr">
        <is>
          <t>스윗아몬드오일1KG</t>
        </is>
      </c>
      <c r="B487" s="774" t="n"/>
      <c r="C487" s="218" t="n"/>
      <c r="D487" s="233" t="n"/>
      <c r="E487" s="234" t="n"/>
      <c r="F487" s="218" t="n"/>
      <c r="G487" s="413" t="n"/>
      <c r="H487" s="413" t="n"/>
      <c r="I487" s="413" t="n"/>
      <c r="J487" s="218">
        <f>SUM(B487:I487)</f>
        <v/>
      </c>
      <c r="K487" s="836">
        <f>C487*66000</f>
        <v/>
      </c>
      <c r="L487" s="888" t="n"/>
      <c r="M487" s="770">
        <f>E487*66000</f>
        <v/>
      </c>
      <c r="N487" s="771">
        <f>F487*52800</f>
        <v/>
      </c>
      <c r="O487" s="888" t="n"/>
      <c r="P487" s="889" t="n"/>
      <c r="Q487" s="890" t="n"/>
      <c r="R487" s="755">
        <f>SUM(K487:Q487)</f>
        <v/>
      </c>
      <c r="S487" s="755">
        <f>J487*14300</f>
        <v/>
      </c>
    </row>
    <row r="488" customFormat="1" s="412">
      <c r="A488" s="356" t="inlineStr">
        <is>
          <t>코코넛오일1KG</t>
        </is>
      </c>
      <c r="B488" s="775" t="n"/>
      <c r="C488" s="218" t="n"/>
      <c r="D488" s="233" t="n"/>
      <c r="E488" s="234" t="n"/>
      <c r="F488" s="191" t="n"/>
      <c r="G488" s="413" t="n"/>
      <c r="H488" s="413" t="n"/>
      <c r="I488" s="413" t="n"/>
      <c r="J488" s="218">
        <f>SUM(B488:I488)</f>
        <v/>
      </c>
      <c r="K488" s="836">
        <f>C488*36000</f>
        <v/>
      </c>
      <c r="L488" s="888" t="n"/>
      <c r="M488" s="770">
        <f>E488*36000</f>
        <v/>
      </c>
      <c r="N488" s="771">
        <f>F488*28800</f>
        <v/>
      </c>
      <c r="O488" s="888" t="n"/>
      <c r="P488" s="889" t="n"/>
      <c r="Q488" s="890" t="n"/>
      <c r="R488" s="755">
        <f>SUM(K488:Q488)</f>
        <v/>
      </c>
      <c r="S488" s="755">
        <f>J488*6600</f>
        <v/>
      </c>
    </row>
    <row r="489">
      <c r="A489" s="515" t="inlineStr">
        <is>
          <t>캐리어오일합계</t>
        </is>
      </c>
      <c r="B489" s="516" t="n"/>
      <c r="C489" s="541">
        <f>SUM(C484:C488)</f>
        <v/>
      </c>
      <c r="D489" s="541">
        <f>SUM(D484:D488)</f>
        <v/>
      </c>
      <c r="E489" s="541">
        <f>SUM(E484:E488)</f>
        <v/>
      </c>
      <c r="F489" s="541">
        <f>SUM(F484:F488)</f>
        <v/>
      </c>
      <c r="G489" s="541">
        <f>SUM(G484:G488)</f>
        <v/>
      </c>
      <c r="H489" s="541">
        <f>SUM(H484:H488)</f>
        <v/>
      </c>
      <c r="I489" s="541">
        <f>SUM(I484:I488)</f>
        <v/>
      </c>
      <c r="J489" s="541">
        <f>SUM(J484:J488)</f>
        <v/>
      </c>
      <c r="K489" s="891">
        <f>SUM(K483:K488)</f>
        <v/>
      </c>
      <c r="L489" s="891">
        <f>SUM(L483:L488)</f>
        <v/>
      </c>
      <c r="M489" s="891">
        <f>SUM(M483:M488)</f>
        <v/>
      </c>
      <c r="N489" s="891">
        <f>SUM(N483:N488)</f>
        <v/>
      </c>
      <c r="O489" s="891">
        <f>SUM(O483:O488)</f>
        <v/>
      </c>
      <c r="P489" s="891">
        <f>SUM(P483:P488)</f>
        <v/>
      </c>
      <c r="Q489" s="891">
        <f>SUM(Q483:Q488)</f>
        <v/>
      </c>
      <c r="R489" s="892">
        <f>SUM(K489:Q489)</f>
        <v/>
      </c>
      <c r="S489" s="893">
        <f>SUM(S483:S488)</f>
        <v/>
      </c>
    </row>
    <row r="490">
      <c r="A490" s="517" t="n"/>
      <c r="D490" s="142" t="n"/>
      <c r="E490" s="143" t="n"/>
      <c r="F490" s="691" t="n"/>
      <c r="G490" s="12" t="n"/>
      <c r="H490" s="691" t="n"/>
      <c r="I490" s="691" t="inlineStr">
        <is>
          <t>자디니아로마합계</t>
        </is>
      </c>
      <c r="K490" s="894">
        <f>K489+K482+K409</f>
        <v/>
      </c>
      <c r="L490" s="895" t="n"/>
      <c r="M490" s="896" t="n"/>
      <c r="N490" s="896" t="n"/>
      <c r="O490" s="896" t="n"/>
      <c r="P490" s="897" t="n"/>
      <c r="Q490" s="898" t="n"/>
      <c r="R490" s="894">
        <f>R489+R482+R409</f>
        <v/>
      </c>
      <c r="S490" s="899">
        <f>S489+S482+S409</f>
        <v/>
      </c>
    </row>
    <row r="491" customFormat="1" s="244">
      <c r="B491" s="245" t="n"/>
      <c r="C491" s="245" t="n"/>
      <c r="D491" s="514" t="n"/>
      <c r="E491" s="500" t="n"/>
      <c r="F491" s="501" t="n"/>
      <c r="G491" s="502" t="n"/>
      <c r="H491" s="491" t="n"/>
      <c r="I491" s="501" t="n"/>
      <c r="J491" s="501" t="n"/>
      <c r="K491" s="866" t="n"/>
      <c r="L491" s="866" t="n"/>
      <c r="M491" s="867" t="n"/>
      <c r="N491" s="867" t="n"/>
      <c r="O491" s="868" t="n"/>
      <c r="P491" s="869" t="n"/>
      <c r="Q491" s="870" t="n"/>
      <c r="R491" s="866" t="n"/>
      <c r="S491" s="871" t="n"/>
    </row>
    <row r="492" ht="17.25" customFormat="1" customHeight="1" s="638" thickBot="1">
      <c r="A492" s="0" t="inlineStr">
        <is>
          <t>고마쥐튜브</t>
        </is>
      </c>
      <c r="C492" s="628" t="n"/>
      <c r="F492" s="163" t="n"/>
      <c r="J492" s="164" t="n"/>
      <c r="K492" s="900" t="n"/>
      <c r="L492" s="900" t="n"/>
      <c r="M492" s="900" t="n"/>
      <c r="N492" s="900" t="n"/>
      <c r="O492" s="820" t="n"/>
      <c r="P492" s="900" t="n"/>
      <c r="Q492" s="900" t="n"/>
      <c r="R492" s="0" t="n"/>
    </row>
    <row r="493" customFormat="1" s="638">
      <c r="A493" s="0" t="inlineStr">
        <is>
          <t>히알공병</t>
        </is>
      </c>
      <c r="C493" s="628" t="n"/>
      <c r="F493" s="163" t="n"/>
      <c r="J493" s="141" t="n"/>
      <c r="K493" s="901" t="inlineStr">
        <is>
          <t>라이콘합계</t>
        </is>
      </c>
      <c r="L493" s="902" t="inlineStr">
        <is>
          <t>제모미인합계</t>
        </is>
      </c>
      <c r="M493" s="903" t="inlineStr">
        <is>
          <t>자디니아로마</t>
        </is>
      </c>
      <c r="N493" s="904" t="inlineStr">
        <is>
          <t>비품합계</t>
        </is>
      </c>
      <c r="O493" s="905" t="n"/>
      <c r="P493" s="906" t="inlineStr">
        <is>
          <t>총합계</t>
        </is>
      </c>
      <c r="Q493" s="907" t="n"/>
      <c r="R493" s="797" t="n"/>
      <c r="S493" s="0" t="n"/>
    </row>
    <row r="494" customFormat="1" s="638">
      <c r="A494" s="0" t="n"/>
      <c r="C494" s="628" t="n"/>
      <c r="F494" s="163" t="n"/>
      <c r="J494" s="141" t="inlineStr">
        <is>
          <t>매출</t>
        </is>
      </c>
      <c r="K494" s="908">
        <f>R24+R44+R61+R85+R102+R120+R127+R133+R141+R159</f>
        <v/>
      </c>
      <c r="L494" s="829">
        <f>R220+R230+R236+R244</f>
        <v/>
      </c>
      <c r="M494" s="796">
        <f>R490</f>
        <v/>
      </c>
      <c r="N494" s="909">
        <f>R257+R328</f>
        <v/>
      </c>
      <c r="O494" s="797" t="n"/>
      <c r="P494" s="910">
        <f>SUM(K494:O494)</f>
        <v/>
      </c>
      <c r="Q494" s="907" t="n"/>
      <c r="R494" s="797" t="n"/>
      <c r="S494" s="0" t="n"/>
    </row>
    <row r="495" ht="17.25" customFormat="1" customHeight="1" s="638" thickBot="1">
      <c r="A495" s="0" t="inlineStr">
        <is>
          <t>인그로운스프레이</t>
        </is>
      </c>
      <c r="C495" s="628" t="n"/>
      <c r="F495" s="163" t="n"/>
      <c r="J495" s="520" t="inlineStr">
        <is>
          <t>원가</t>
        </is>
      </c>
      <c r="K495" s="911">
        <f>S24+S44+S61+S85+S102+S120+S127+S133+S141+S159</f>
        <v/>
      </c>
      <c r="L495" s="912">
        <f>S220+S230+S236+S244</f>
        <v/>
      </c>
      <c r="M495" s="913">
        <f>S490</f>
        <v/>
      </c>
      <c r="N495" s="914">
        <f>S257+S328</f>
        <v/>
      </c>
      <c r="O495" s="915" t="n"/>
      <c r="P495" s="916">
        <f>SUM(K495:O495)</f>
        <v/>
      </c>
      <c r="Q495" s="907" t="n"/>
      <c r="R495" s="907" t="n"/>
      <c r="S495" s="0" t="n"/>
    </row>
    <row r="496" customFormat="1" s="638">
      <c r="A496" s="0" t="inlineStr">
        <is>
          <t>공병500ml</t>
        </is>
      </c>
      <c r="C496" s="628" t="n"/>
      <c r="F496" s="163" t="n"/>
      <c r="K496" s="755" t="n"/>
      <c r="L496" s="755" t="n"/>
      <c r="M496" s="756" t="n"/>
      <c r="N496" s="917" t="n"/>
      <c r="O496" s="837" t="inlineStr">
        <is>
          <t>도매매출</t>
        </is>
      </c>
      <c r="P496" s="918" t="inlineStr">
        <is>
          <t>원가</t>
        </is>
      </c>
      <c r="Q496" s="758" t="n"/>
      <c r="R496" s="756" t="n"/>
      <c r="S496" s="0" t="n"/>
    </row>
    <row r="497" customFormat="1" s="638">
      <c r="A497" s="0" t="n"/>
      <c r="C497" s="628" t="n"/>
      <c r="F497" s="163" t="n"/>
      <c r="K497" s="755" t="n"/>
      <c r="L497" s="755" t="n"/>
      <c r="M497" s="756" t="n"/>
      <c r="N497" s="917" t="inlineStr">
        <is>
          <t>라이콘</t>
        </is>
      </c>
      <c r="O497" s="838">
        <f>K494</f>
        <v/>
      </c>
      <c r="P497" s="919">
        <f>K495</f>
        <v/>
      </c>
      <c r="Q497" s="821" t="n"/>
      <c r="R497" s="786" t="n"/>
      <c r="S497" s="0" t="n"/>
    </row>
    <row r="498" customFormat="1" s="638">
      <c r="A498" s="0" t="inlineStr">
        <is>
          <t>샘플공병20ml</t>
        </is>
      </c>
      <c r="B498" s="144" t="n"/>
      <c r="C498" s="628" t="n"/>
      <c r="F498" s="163" t="n"/>
      <c r="H498" s="216" t="n"/>
      <c r="I498" s="216" t="n"/>
      <c r="J498" s="217" t="n"/>
      <c r="K498" s="755" t="n"/>
      <c r="L498" s="755" t="n"/>
      <c r="M498" s="756" t="n"/>
      <c r="N498" s="920" t="inlineStr">
        <is>
          <t>제모미인</t>
        </is>
      </c>
      <c r="O498" s="921">
        <f>L494</f>
        <v/>
      </c>
      <c r="P498" s="922">
        <f>L495</f>
        <v/>
      </c>
      <c r="Q498" s="923" t="n"/>
      <c r="R498" s="923" t="n"/>
      <c r="S498" s="0" t="n"/>
    </row>
    <row r="499" customFormat="1" s="638">
      <c r="A499" s="0" t="inlineStr">
        <is>
          <t>샘플튜브</t>
        </is>
      </c>
      <c r="C499" s="628" t="n"/>
      <c r="F499" s="163" t="n"/>
      <c r="K499" s="755" t="n"/>
      <c r="L499" s="755" t="n"/>
      <c r="M499" s="756" t="n"/>
      <c r="N499" s="924" t="inlineStr">
        <is>
          <t>비품</t>
        </is>
      </c>
      <c r="O499" s="888">
        <f>N494</f>
        <v/>
      </c>
      <c r="P499" s="925">
        <f>N495</f>
        <v/>
      </c>
      <c r="Q499" s="926" t="n"/>
      <c r="R499" s="926" t="n"/>
      <c r="S499" s="0" t="n"/>
    </row>
    <row r="500" customFormat="1" s="638">
      <c r="A500" s="0" t="inlineStr">
        <is>
          <t>MTS롤러</t>
        </is>
      </c>
      <c r="C500" s="628" t="n"/>
      <c r="F500" s="163" t="n"/>
      <c r="K500" s="755" t="n"/>
      <c r="L500" s="927" t="n"/>
      <c r="M500" s="756" t="n"/>
      <c r="N500" s="928" t="inlineStr">
        <is>
          <t>자디니아로마</t>
        </is>
      </c>
      <c r="O500" s="863">
        <f>M494</f>
        <v/>
      </c>
      <c r="P500" s="929">
        <f>M495</f>
        <v/>
      </c>
      <c r="Q500" s="863" t="n"/>
      <c r="R500" s="930" t="n"/>
      <c r="S500" s="0" t="n"/>
    </row>
    <row r="501" customFormat="1" s="638">
      <c r="A501" s="0" t="inlineStr">
        <is>
          <t>위생장갑(S)</t>
        </is>
      </c>
      <c r="C501" s="628" t="n"/>
      <c r="F501" s="213" t="n"/>
      <c r="G501" s="212" t="n"/>
      <c r="K501" s="755" t="n"/>
      <c r="L501" s="927" t="n"/>
      <c r="M501" s="756" t="n"/>
      <c r="N501" s="931" t="n"/>
      <c r="O501" s="932" t="n"/>
      <c r="P501" s="933" t="n"/>
      <c r="Q501" s="930" t="n"/>
      <c r="R501" s="934" t="n"/>
      <c r="S501" s="0" t="n"/>
    </row>
    <row r="502" customFormat="1" s="638">
      <c r="A502" s="0" t="inlineStr">
        <is>
          <t>위생장갑(M)</t>
        </is>
      </c>
      <c r="C502" s="628" t="n"/>
      <c r="F502" s="213" t="n"/>
      <c r="K502" s="755" t="n"/>
      <c r="L502" s="755" t="n"/>
      <c r="M502" s="756" t="n"/>
      <c r="N502" s="935" t="inlineStr">
        <is>
          <t>총합계</t>
        </is>
      </c>
      <c r="O502" s="936">
        <f>SUM(O497:O501)</f>
        <v/>
      </c>
      <c r="P502" s="937">
        <f>SUM(P497:P501)</f>
        <v/>
      </c>
      <c r="Q502" s="821" t="n"/>
      <c r="R502" s="756" t="n"/>
      <c r="S502" s="0" t="n"/>
    </row>
    <row r="503" customFormat="1" s="638">
      <c r="A503" s="0" t="inlineStr">
        <is>
          <t>라텍스장갑(S)</t>
        </is>
      </c>
      <c r="B503" s="572" t="n">
        <v>8</v>
      </c>
      <c r="C503" s="628" t="n"/>
      <c r="K503" s="756" t="n"/>
      <c r="L503" s="888" t="inlineStr">
        <is>
          <t>비품</t>
        </is>
      </c>
      <c r="M503" s="756" t="inlineStr">
        <is>
          <t>라이콘</t>
        </is>
      </c>
      <c r="N503" s="938" t="inlineStr">
        <is>
          <t>제모미인</t>
        </is>
      </c>
      <c r="O503" s="863" t="inlineStr">
        <is>
          <t>자디니아로마</t>
        </is>
      </c>
      <c r="P503" s="939" t="inlineStr">
        <is>
          <t>합계</t>
        </is>
      </c>
      <c r="Q503" s="828" t="inlineStr">
        <is>
          <t>아하</t>
        </is>
      </c>
      <c r="R503" s="638" t="inlineStr">
        <is>
          <t>카페24</t>
        </is>
      </c>
      <c r="S503" s="939" t="n"/>
    </row>
    <row r="504">
      <c r="A504" s="0" t="inlineStr">
        <is>
          <t>라텍스장갑(M)</t>
        </is>
      </c>
      <c r="B504" s="638" t="n">
        <v>5</v>
      </c>
      <c r="E504" s="270" t="n"/>
      <c r="K504" s="756" t="inlineStr">
        <is>
          <t>도매</t>
        </is>
      </c>
      <c r="L504" s="888" t="n">
        <v>8751700</v>
      </c>
      <c r="M504" s="756" t="n">
        <v>174458690</v>
      </c>
      <c r="N504" s="940" t="n">
        <v>28061490</v>
      </c>
      <c r="O504" s="863" t="n">
        <v>467000</v>
      </c>
      <c r="P504" s="941">
        <f>SUM(L504:O504)</f>
        <v/>
      </c>
      <c r="Q504" s="755" t="n">
        <v>211693976</v>
      </c>
      <c r="R504" s="266" t="n"/>
      <c r="S504" s="941" t="n"/>
    </row>
    <row r="505">
      <c r="A505" s="0" t="inlineStr">
        <is>
          <t>제모미인스파츌라</t>
        </is>
      </c>
      <c r="K505" s="756" t="n"/>
      <c r="L505" s="888" t="n">
        <v>3136594</v>
      </c>
      <c r="M505" s="756" t="n">
        <v>82065787</v>
      </c>
      <c r="N505" s="940" t="n">
        <v>6309778</v>
      </c>
      <c r="O505" s="863" t="n">
        <v>47559</v>
      </c>
      <c r="P505" s="941">
        <f>SUM(L505:O505)</f>
        <v/>
      </c>
      <c r="Q505" s="755" t="n"/>
      <c r="R505" s="266" t="n"/>
      <c r="S505" s="941" t="n"/>
    </row>
    <row r="506">
      <c r="K506" s="756" t="inlineStr">
        <is>
          <t>인증</t>
        </is>
      </c>
      <c r="L506" s="888" t="n">
        <v>264000</v>
      </c>
      <c r="M506" s="756" t="n">
        <v>1227800</v>
      </c>
      <c r="N506" s="940" t="n">
        <v>3820300</v>
      </c>
      <c r="O506" s="863" t="n"/>
      <c r="P506" s="941">
        <f>SUM(L506:O506)</f>
        <v/>
      </c>
      <c r="Q506" s="755" t="n">
        <v>5312217</v>
      </c>
      <c r="R506" s="266" t="n"/>
      <c r="S506" s="941" t="n"/>
    </row>
    <row r="507">
      <c r="K507" s="756" t="n"/>
      <c r="L507" s="888" t="n">
        <v>116600</v>
      </c>
      <c r="M507" s="756" t="n">
        <v>628581</v>
      </c>
      <c r="N507" s="940" t="n">
        <v>1141163</v>
      </c>
      <c r="O507" s="863" t="n"/>
      <c r="P507" s="941">
        <f>SUM(L507:O507)</f>
        <v/>
      </c>
      <c r="Q507" s="755" t="n"/>
      <c r="R507" s="266" t="n"/>
      <c r="S507" s="941" t="n"/>
    </row>
    <row r="508">
      <c r="K508" s="756" t="inlineStr">
        <is>
          <t>마스터</t>
        </is>
      </c>
      <c r="L508" s="888">
        <f>N494-L504-L506</f>
        <v/>
      </c>
      <c r="M508" s="756">
        <f>K494-M504-M506</f>
        <v/>
      </c>
      <c r="N508" s="940">
        <f>L494-N504-N506</f>
        <v/>
      </c>
      <c r="O508" s="863">
        <f>M494-O504-O506</f>
        <v/>
      </c>
      <c r="P508" s="941">
        <f>SUM(L508:O508)</f>
        <v/>
      </c>
      <c r="Q508" s="755" t="n">
        <v>27743522</v>
      </c>
      <c r="R508" s="266" t="n"/>
      <c r="S508" s="941" t="n"/>
    </row>
    <row r="509">
      <c r="K509" s="756" t="n"/>
      <c r="L509" s="888">
        <f>N495-L505-L507</f>
        <v/>
      </c>
      <c r="M509" s="756">
        <f>K495-M505-M507</f>
        <v/>
      </c>
      <c r="N509" s="940">
        <f>L495-N505-N507</f>
        <v/>
      </c>
      <c r="O509" s="863">
        <f>M495-O505-O507</f>
        <v/>
      </c>
      <c r="P509" s="941">
        <f>SUM(L509:O509)</f>
        <v/>
      </c>
      <c r="Q509" s="755" t="n"/>
      <c r="R509" s="266" t="n"/>
      <c r="S509" s="941" t="n"/>
    </row>
    <row r="510">
      <c r="K510" s="756" t="n"/>
      <c r="L510" s="888" t="n"/>
      <c r="N510" s="940" t="n"/>
      <c r="O510" s="863" t="n"/>
      <c r="P510" s="941" t="n"/>
      <c r="Q510" s="755" t="n"/>
      <c r="R510" s="0" t="n"/>
      <c r="S510" s="941" t="n"/>
    </row>
    <row r="511">
      <c r="K511" s="756" t="inlineStr">
        <is>
          <t>매출합계</t>
        </is>
      </c>
      <c r="L511" s="888">
        <f>L504+L506+L508</f>
        <v/>
      </c>
      <c r="M511" s="756">
        <f>M504+M506+M508</f>
        <v/>
      </c>
      <c r="N511" s="921">
        <f>N504+N506+N508</f>
        <v/>
      </c>
      <c r="O511" s="863">
        <f>O504+O506+O508</f>
        <v/>
      </c>
      <c r="P511" s="941">
        <f>SUM(L511:O511)</f>
        <v/>
      </c>
      <c r="Q511" s="817">
        <f>Q504+Q506+Q508</f>
        <v/>
      </c>
      <c r="R511" s="817" t="n">
        <v>255934800</v>
      </c>
      <c r="S511" s="941" t="n"/>
    </row>
    <row r="512" customFormat="1" s="638">
      <c r="A512" s="0" t="n"/>
      <c r="C512" s="628" t="n"/>
      <c r="K512" s="756" t="inlineStr">
        <is>
          <t>원가합계</t>
        </is>
      </c>
      <c r="L512" s="888">
        <f>L505+L507+L509</f>
        <v/>
      </c>
      <c r="M512" s="756">
        <f>M505+M507+M509</f>
        <v/>
      </c>
      <c r="N512" s="921">
        <f>N505+N507+N509</f>
        <v/>
      </c>
      <c r="O512" s="863">
        <f>O505+O507+O509</f>
        <v/>
      </c>
      <c r="P512" s="941">
        <f>SUM(L512:O512)</f>
        <v/>
      </c>
      <c r="Q512" s="817">
        <f>Q505+Q507+Q509</f>
        <v/>
      </c>
      <c r="R512" s="267">
        <f>R505+R507+R509</f>
        <v/>
      </c>
      <c r="S512" s="941" t="n"/>
    </row>
    <row r="514">
      <c r="R514" s="24" t="inlineStr">
        <is>
          <t>지사가매출</t>
        </is>
      </c>
    </row>
    <row r="515">
      <c r="R515" s="349" t="inlineStr">
        <is>
          <t>온오프지사주문</t>
        </is>
      </c>
      <c r="S515" s="756" t="n">
        <v>19915880</v>
      </c>
    </row>
    <row r="516" ht="25.5" customHeight="1" s="754">
      <c r="R516" s="349" t="inlineStr">
        <is>
          <t>오프라인주문(마스터)</t>
        </is>
      </c>
      <c r="S516" s="756" t="n">
        <v>387900</v>
      </c>
    </row>
    <row r="517">
      <c r="L517" s="926" t="inlineStr">
        <is>
          <t>비품</t>
        </is>
      </c>
      <c r="M517" s="756" t="inlineStr">
        <is>
          <t>라이콘</t>
        </is>
      </c>
      <c r="N517" s="923" t="inlineStr">
        <is>
          <t>제모미인</t>
        </is>
      </c>
      <c r="O517" s="863" t="inlineStr">
        <is>
          <t>아로마연구소</t>
        </is>
      </c>
      <c r="P517" s="758" t="inlineStr">
        <is>
          <t>합계</t>
        </is>
      </c>
      <c r="R517" s="349" t="inlineStr">
        <is>
          <t>오프라인주문(도매)</t>
        </is>
      </c>
    </row>
    <row r="518">
      <c r="K518" s="755" t="inlineStr">
        <is>
          <t>도매일반</t>
        </is>
      </c>
      <c r="L518" s="888" t="n">
        <v>7569500</v>
      </c>
      <c r="M518" s="756" t="n">
        <v>46789800</v>
      </c>
      <c r="N518" s="940" t="n">
        <v>22654160</v>
      </c>
      <c r="O518" s="863" t="n">
        <v>467000</v>
      </c>
      <c r="P518" s="755">
        <f>SUM(K518:O518)</f>
        <v/>
      </c>
      <c r="Q518" s="755" t="n"/>
      <c r="R518" s="68" t="inlineStr">
        <is>
          <t>온라인주문합계</t>
        </is>
      </c>
    </row>
    <row r="519">
      <c r="L519" s="888" t="n">
        <v>2748416</v>
      </c>
      <c r="M519" s="756" t="n">
        <v>18404894</v>
      </c>
      <c r="N519" s="940" t="n">
        <v>4974124</v>
      </c>
      <c r="O519" s="863" t="n">
        <v>47559</v>
      </c>
      <c r="P519" s="755">
        <f>SUM(K519:O519)</f>
        <v/>
      </c>
      <c r="Q519" s="755" t="n"/>
      <c r="R519" s="68" t="inlineStr">
        <is>
          <t>온라인&amp;오프라인합</t>
        </is>
      </c>
      <c r="S519" s="756">
        <f>Q512+S514+S515+S516+S517</f>
        <v/>
      </c>
    </row>
    <row r="520">
      <c r="K520" s="755" t="inlineStr">
        <is>
          <t>도매할인</t>
        </is>
      </c>
      <c r="L520" s="888" t="n">
        <v>1182200</v>
      </c>
      <c r="M520" s="756" t="n">
        <v>127668890</v>
      </c>
      <c r="N520" s="921" t="n">
        <v>5407330</v>
      </c>
      <c r="O520" s="863" t="n"/>
      <c r="P520" s="756">
        <f>SUM(K520:O520)</f>
        <v/>
      </c>
      <c r="Q520" s="756" t="n"/>
      <c r="R520" s="0" t="inlineStr">
        <is>
          <t>카페24&amp;엑셀차이</t>
        </is>
      </c>
      <c r="S520" s="756">
        <f>R511-P511-S519</f>
        <v/>
      </c>
    </row>
    <row r="521">
      <c r="L521" s="888" t="n">
        <v>388178</v>
      </c>
      <c r="M521" s="756" t="n">
        <v>63660893</v>
      </c>
      <c r="N521" s="921" t="n">
        <v>1335654</v>
      </c>
      <c r="O521" s="863" t="n"/>
      <c r="P521" s="756">
        <f>SUM(K521:O521)</f>
        <v/>
      </c>
      <c r="Q521" s="756" t="n"/>
      <c r="R521" s="942" t="n"/>
      <c r="S521" s="942" t="n"/>
    </row>
    <row r="522">
      <c r="L522" s="756" t="n"/>
      <c r="N522" s="757" t="n"/>
      <c r="O522" s="756" t="n"/>
      <c r="Q522" s="756" t="n"/>
    </row>
    <row r="523">
      <c r="L523" s="926">
        <f>L518+L520</f>
        <v/>
      </c>
      <c r="M523" s="756">
        <f>M518+M520</f>
        <v/>
      </c>
      <c r="N523" s="923">
        <f>N518+N520</f>
        <v/>
      </c>
      <c r="O523" s="757">
        <f>O518+O520</f>
        <v/>
      </c>
      <c r="P523" s="756">
        <f>SUM(K523:O523)</f>
        <v/>
      </c>
      <c r="Q523" s="756" t="n"/>
    </row>
    <row r="524" customFormat="1" s="756">
      <c r="A524" s="0" t="n"/>
      <c r="B524" s="638" t="n"/>
      <c r="C524" s="628" t="n"/>
      <c r="D524" s="638" t="n"/>
      <c r="E524" s="638" t="n"/>
      <c r="F524" s="638" t="n"/>
      <c r="G524" s="638" t="n"/>
      <c r="H524" s="638" t="n"/>
      <c r="I524" s="638" t="n"/>
      <c r="J524" s="638" t="n"/>
      <c r="K524" s="755" t="n"/>
      <c r="L524" s="926">
        <f>L519+L521</f>
        <v/>
      </c>
      <c r="M524" s="756">
        <f>M519+M521</f>
        <v/>
      </c>
      <c r="N524" s="923">
        <f>N519+N521</f>
        <v/>
      </c>
      <c r="O524" s="757">
        <f>O519+O521</f>
        <v/>
      </c>
      <c r="P524" s="756">
        <f>SUM(K524:O524)</f>
        <v/>
      </c>
    </row>
  </sheetData>
  <mergeCells count="37">
    <mergeCell ref="B199:B200"/>
    <mergeCell ref="L67:M67"/>
    <mergeCell ref="B323:B324"/>
    <mergeCell ref="L262:M262"/>
    <mergeCell ref="B13:B21"/>
    <mergeCell ref="B263:B264"/>
    <mergeCell ref="L225:N225"/>
    <mergeCell ref="B294:B297"/>
    <mergeCell ref="B217:B219"/>
    <mergeCell ref="L47:M47"/>
    <mergeCell ref="I490:J490"/>
    <mergeCell ref="L87:M87"/>
    <mergeCell ref="L106:M106"/>
    <mergeCell ref="L248:M248"/>
    <mergeCell ref="B280:B282"/>
    <mergeCell ref="D222:D224"/>
    <mergeCell ref="L136:M136"/>
    <mergeCell ref="H85:I85"/>
    <mergeCell ref="B177:B178"/>
    <mergeCell ref="B304:B305"/>
    <mergeCell ref="B313:B314"/>
    <mergeCell ref="B338:B407"/>
    <mergeCell ref="B307:B309"/>
    <mergeCell ref="B201:B202"/>
    <mergeCell ref="L122:M122"/>
    <mergeCell ref="L128:M128"/>
    <mergeCell ref="B484:B488"/>
    <mergeCell ref="B316:B317"/>
    <mergeCell ref="L149:M149"/>
    <mergeCell ref="B212:B213"/>
    <mergeCell ref="B277:B278"/>
    <mergeCell ref="L6:M6"/>
    <mergeCell ref="L232:M232"/>
    <mergeCell ref="B411:B480"/>
    <mergeCell ref="B25:B28"/>
    <mergeCell ref="B214:B215"/>
    <mergeCell ref="L170:M170"/>
  </mergeCells>
  <pageMargins left="0.7" right="0.7" top="0.75" bottom="0.75" header="0.511805555555555" footer="0.511805555555555"/>
  <pageSetup orientation="portrait" paperSize="9" firstPageNumber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26"/>
  <sheetViews>
    <sheetView zoomScale="86" zoomScaleNormal="86" workbookViewId="0">
      <pane xSplit="2" ySplit="6" topLeftCell="C498" activePane="bottomRight" state="frozen"/>
      <selection pane="topRight" activeCell="C1" sqref="C1"/>
      <selection pane="bottomLeft" activeCell="A7" sqref="A7"/>
      <selection pane="bottomRight" activeCell="P20" sqref="P20"/>
    </sheetView>
  </sheetViews>
  <sheetFormatPr baseColWidth="8" defaultRowHeight="16.5"/>
  <cols>
    <col width="17.125" customWidth="1" style="754" min="1" max="1"/>
    <col width="9" customWidth="1" style="638" min="2" max="2"/>
    <col width="9" customWidth="1" style="628" min="3" max="3"/>
    <col width="9.75" customWidth="1" style="638" min="4" max="4"/>
    <col width="12.375" customWidth="1" style="638" min="5" max="5"/>
    <col width="10.375" customWidth="1" style="638" min="6" max="6"/>
    <col width="10" customWidth="1" style="638" min="7" max="7"/>
    <col width="9.25" customWidth="1" style="638" min="8" max="8"/>
    <col width="9" customWidth="1" style="638" min="9" max="9"/>
    <col width="7.5" customWidth="1" style="638" min="10" max="10"/>
    <col width="14" customWidth="1" style="755" min="11" max="12"/>
    <col width="14" customWidth="1" style="756" min="13" max="14"/>
    <col width="14" customWidth="1" style="757" min="15" max="15"/>
    <col width="14" customWidth="1" style="756" min="16" max="16"/>
    <col width="15.25" customWidth="1" style="758" min="17" max="17"/>
    <col width="16.25" customWidth="1" style="756" min="18" max="18"/>
    <col width="16.125" customWidth="1" style="756" min="19" max="19"/>
    <col width="8.375" customWidth="1" style="754" min="20" max="1003"/>
  </cols>
  <sheetData>
    <row r="1">
      <c r="F1" s="381" t="inlineStr">
        <is>
          <t>P0000BLA</t>
        </is>
      </c>
      <c r="G1" s="546" t="inlineStr">
        <is>
          <t>지사비즈4종</t>
        </is>
      </c>
    </row>
    <row r="2" ht="24" customHeight="1" s="754">
      <c r="A2" s="6" t="n"/>
      <c r="F2" s="20" t="inlineStr">
        <is>
          <t>P00000ZC</t>
        </is>
      </c>
      <c r="G2" s="7" t="inlineStr">
        <is>
          <t>컵비즈왁스묶음(4종)</t>
        </is>
      </c>
    </row>
    <row r="3">
      <c r="A3" s="8" t="n"/>
      <c r="C3" s="638" t="inlineStr">
        <is>
          <t>도매</t>
        </is>
      </c>
      <c r="D3" s="9" t="inlineStr">
        <is>
          <t>인증살롱</t>
        </is>
      </c>
      <c r="E3" s="10" t="inlineStr">
        <is>
          <t>마스터</t>
        </is>
      </c>
      <c r="F3" s="7" t="inlineStr">
        <is>
          <t>P00000YZ</t>
        </is>
      </c>
      <c r="G3" s="7" t="inlineStr">
        <is>
          <t>컵비즈세트</t>
        </is>
      </c>
      <c r="H3" s="12" t="inlineStr">
        <is>
          <t>할인+증정</t>
        </is>
      </c>
      <c r="I3" s="7" t="n"/>
      <c r="J3" s="639" t="inlineStr">
        <is>
          <t>합계</t>
        </is>
      </c>
    </row>
    <row r="4" customFormat="1" s="185">
      <c r="B4" s="186" t="n"/>
      <c r="C4" s="187" t="n"/>
      <c r="D4" s="388" t="inlineStr">
        <is>
          <t>P00000VS</t>
        </is>
      </c>
      <c r="E4" s="15" t="inlineStr">
        <is>
          <t>P00000QE</t>
        </is>
      </c>
      <c r="F4" s="20" t="inlineStr">
        <is>
          <t>P00000VM</t>
        </is>
      </c>
      <c r="G4" s="378" t="inlineStr">
        <is>
          <t>묶음할인15%</t>
        </is>
      </c>
      <c r="H4" s="20" t="inlineStr">
        <is>
          <t>P0000BET</t>
        </is>
      </c>
      <c r="I4" s="7" t="n"/>
      <c r="J4" s="17" t="n"/>
      <c r="K4" s="759" t="n"/>
      <c r="L4" s="759" t="n"/>
      <c r="M4" s="760" t="n"/>
      <c r="N4" s="760" t="n"/>
      <c r="O4" s="761" t="n"/>
      <c r="P4" s="760" t="n"/>
      <c r="Q4" s="762" t="n"/>
      <c r="R4" s="760" t="n"/>
      <c r="S4" s="760" t="n"/>
    </row>
    <row r="5" ht="24" customHeight="1" s="754">
      <c r="C5" s="18" t="n"/>
      <c r="D5" s="389" t="inlineStr">
        <is>
          <t>P00000VR</t>
        </is>
      </c>
      <c r="E5" s="19" t="inlineStr">
        <is>
          <t>P00000QD</t>
        </is>
      </c>
      <c r="F5" s="20" t="inlineStr">
        <is>
          <t>P00000YS</t>
        </is>
      </c>
      <c r="G5" s="21" t="inlineStr">
        <is>
          <t>스타터키트</t>
        </is>
      </c>
      <c r="H5" s="575" t="inlineStr">
        <is>
          <t>비즈2종묶음+선샤인증정</t>
        </is>
      </c>
      <c r="I5" s="630" t="n"/>
      <c r="J5" s="640" t="n"/>
    </row>
    <row r="6" ht="24" customHeight="1" s="754">
      <c r="A6" s="24" t="inlineStr">
        <is>
          <t>하드왁스</t>
        </is>
      </c>
      <c r="C6" s="25" t="n"/>
      <c r="D6" s="19" t="n"/>
      <c r="E6" s="19" t="inlineStr">
        <is>
          <t>P0000BLR</t>
        </is>
      </c>
      <c r="F6" s="184" t="inlineStr">
        <is>
          <t>P00000YU</t>
        </is>
      </c>
      <c r="G6" s="26" t="inlineStr">
        <is>
          <t>바디스타터키트</t>
        </is>
      </c>
      <c r="H6" s="194" t="n"/>
      <c r="I6" s="26" t="n"/>
      <c r="J6" s="27" t="n"/>
      <c r="K6" s="763" t="inlineStr">
        <is>
          <t>도매</t>
        </is>
      </c>
      <c r="L6" s="764" t="inlineStr">
        <is>
          <t>인증살롱/마스터</t>
        </is>
      </c>
      <c r="M6" s="765" t="n"/>
      <c r="N6" s="766" t="inlineStr">
        <is>
          <t xml:space="preserve">할인 </t>
        </is>
      </c>
      <c r="O6" s="766" t="inlineStr">
        <is>
          <t>세트할인</t>
        </is>
      </c>
      <c r="P6" s="766" t="inlineStr">
        <is>
          <t>할인+증정</t>
        </is>
      </c>
      <c r="Q6" s="766" t="inlineStr">
        <is>
          <t>세트묶음할인</t>
        </is>
      </c>
      <c r="R6" s="767" t="inlineStr">
        <is>
          <t>품목별합계</t>
        </is>
      </c>
      <c r="S6" s="767" t="inlineStr">
        <is>
          <t>원가</t>
        </is>
      </c>
    </row>
    <row r="7">
      <c r="A7" s="29" t="inlineStr">
        <is>
          <t>아이브로우</t>
        </is>
      </c>
      <c r="B7" s="381" t="inlineStr">
        <is>
          <t>P00000HT</t>
        </is>
      </c>
      <c r="C7" s="263" t="n">
        <v>41</v>
      </c>
      <c r="D7" s="235" t="n"/>
      <c r="E7" s="234" t="n">
        <v>72</v>
      </c>
      <c r="F7" s="230" t="n"/>
      <c r="G7" s="322" t="n"/>
      <c r="H7" s="236" t="n"/>
      <c r="I7" s="322" t="n"/>
      <c r="J7" s="35">
        <f>C7+D7+E7+F7+G7+I7+H7</f>
        <v/>
      </c>
      <c r="K7" s="768">
        <f>C7*26300</f>
        <v/>
      </c>
      <c r="L7" s="769">
        <f>D7*19200</f>
        <v/>
      </c>
      <c r="M7" s="770">
        <f>E7*19200</f>
        <v/>
      </c>
      <c r="N7" s="771" t="n"/>
      <c r="O7" s="771">
        <f>F7*21040</f>
        <v/>
      </c>
      <c r="P7" s="771" t="n"/>
      <c r="Q7" s="772" t="n"/>
      <c r="R7" s="756">
        <f>SUM(K7:Q7)</f>
        <v/>
      </c>
      <c r="S7" s="756">
        <f>(C7+D7+E7+F7+I7+H7+G7)*8655</f>
        <v/>
      </c>
    </row>
    <row r="8">
      <c r="A8" s="29" t="inlineStr">
        <is>
          <t>하이브리드</t>
        </is>
      </c>
      <c r="B8" s="715" t="inlineStr">
        <is>
          <t>P00000BV</t>
        </is>
      </c>
      <c r="C8" s="310" t="n">
        <v>11</v>
      </c>
      <c r="D8" s="235" t="n"/>
      <c r="E8" s="234" t="n"/>
      <c r="F8" s="322" t="n"/>
      <c r="G8" s="322" t="n"/>
      <c r="H8" s="236" t="n"/>
      <c r="I8" s="322" t="n"/>
      <c r="J8" s="35">
        <f>C8+D8+E8+F8+G8+I8+H8</f>
        <v/>
      </c>
      <c r="K8" s="768">
        <f>C8*26300</f>
        <v/>
      </c>
      <c r="L8" s="769">
        <f>D8*19200</f>
        <v/>
      </c>
      <c r="M8" s="770">
        <f>E8*19200</f>
        <v/>
      </c>
      <c r="N8" s="771" t="n"/>
      <c r="O8" s="771">
        <f>F8*20000</f>
        <v/>
      </c>
      <c r="P8" s="771" t="n"/>
      <c r="Q8" s="772" t="n"/>
      <c r="R8" s="756">
        <f>SUM(K8:Q8)</f>
        <v/>
      </c>
      <c r="S8" s="756">
        <f>(C8+D8+E8+F8+I8+H8+G8)*8926</f>
        <v/>
      </c>
    </row>
    <row r="9">
      <c r="A9" s="29" t="inlineStr">
        <is>
          <t>화이트</t>
        </is>
      </c>
      <c r="B9" s="715" t="inlineStr">
        <is>
          <t>P00000CB</t>
        </is>
      </c>
      <c r="C9" s="310" t="n"/>
      <c r="D9" s="235" t="n"/>
      <c r="E9" s="234" t="n"/>
      <c r="F9" s="322" t="n"/>
      <c r="G9" s="322" t="n"/>
      <c r="H9" s="236" t="n"/>
      <c r="I9" s="322" t="n"/>
      <c r="J9" s="35">
        <f>C9+D9+E9+F9+G9+I9+H9</f>
        <v/>
      </c>
      <c r="K9" s="768">
        <f>C9*26300</f>
        <v/>
      </c>
      <c r="L9" s="769">
        <f>D9*19200</f>
        <v/>
      </c>
      <c r="M9" s="770">
        <f>E9*19200</f>
        <v/>
      </c>
      <c r="N9" s="771" t="n"/>
      <c r="O9" s="771">
        <f>F9*20000</f>
        <v/>
      </c>
      <c r="P9" s="771" t="n"/>
      <c r="Q9" s="772" t="n"/>
      <c r="R9" s="756">
        <f>SUM(K9:Q9)</f>
        <v/>
      </c>
      <c r="S9" s="756">
        <f>(C9+D9+E9+F9+I9+H9+G9)*8926</f>
        <v/>
      </c>
    </row>
    <row r="10">
      <c r="A10" s="29" t="inlineStr">
        <is>
          <t>슈퍼베리</t>
        </is>
      </c>
      <c r="B10" s="715" t="inlineStr">
        <is>
          <t>P00000BX</t>
        </is>
      </c>
      <c r="C10" s="310" t="n">
        <v>7</v>
      </c>
      <c r="D10" s="235" t="n"/>
      <c r="E10" s="234" t="n"/>
      <c r="F10" s="322" t="n"/>
      <c r="G10" s="322" t="n"/>
      <c r="H10" s="236" t="n"/>
      <c r="I10" s="322" t="n"/>
      <c r="J10" s="35">
        <f>C10+D10+E10+F10+G10+I10+H10</f>
        <v/>
      </c>
      <c r="K10" s="768">
        <f>C10*26300</f>
        <v/>
      </c>
      <c r="L10" s="769">
        <f>D10*19200</f>
        <v/>
      </c>
      <c r="M10" s="770">
        <f>E10*19200</f>
        <v/>
      </c>
      <c r="N10" s="771" t="n"/>
      <c r="O10" s="771">
        <f>F10*20000</f>
        <v/>
      </c>
      <c r="P10" s="771" t="n"/>
      <c r="Q10" s="772" t="n"/>
      <c r="R10" s="756">
        <f>SUM(K10:Q10)</f>
        <v/>
      </c>
      <c r="S10" s="756">
        <f>(C10+D10+E10+F10+I10+H10+G10)*8926</f>
        <v/>
      </c>
    </row>
    <row r="11">
      <c r="A11" s="29" t="inlineStr">
        <is>
          <t>루비500g</t>
        </is>
      </c>
      <c r="B11" s="715" t="n"/>
      <c r="C11" s="310" t="n"/>
      <c r="D11" s="235" t="n"/>
      <c r="E11" s="234" t="n"/>
      <c r="F11" s="215" t="n"/>
      <c r="G11" s="230" t="n"/>
      <c r="H11" s="236" t="n"/>
      <c r="I11" s="322" t="n"/>
      <c r="J11" s="35">
        <f>C11+D11+E11+F11+G11+I11+H11</f>
        <v/>
      </c>
      <c r="K11" s="768">
        <f>C11*26300</f>
        <v/>
      </c>
      <c r="L11" s="769">
        <f>D11*19200</f>
        <v/>
      </c>
      <c r="M11" s="770">
        <f>E11*19200</f>
        <v/>
      </c>
      <c r="N11" s="771" t="n"/>
      <c r="O11" s="771">
        <f>F11*20000</f>
        <v/>
      </c>
      <c r="P11" s="771" t="n"/>
      <c r="Q11" s="772" t="n"/>
      <c r="R11" s="756">
        <f>SUM(K11:Q11)</f>
        <v/>
      </c>
      <c r="S11" s="756">
        <f>(C11+D11+E11+G11+F11+I11+H11)*7042</f>
        <v/>
      </c>
    </row>
    <row r="12">
      <c r="A12" s="29" t="inlineStr">
        <is>
          <t>맨니하이브리드</t>
        </is>
      </c>
      <c r="B12" s="381" t="inlineStr">
        <is>
          <t>P00000XE</t>
        </is>
      </c>
      <c r="C12" s="263" t="n">
        <v>9</v>
      </c>
      <c r="D12" s="323" t="n"/>
      <c r="E12" s="324" t="n"/>
      <c r="F12" s="289" t="n"/>
      <c r="G12" s="289" t="n"/>
      <c r="H12" s="325" t="n"/>
      <c r="I12" s="289" t="n"/>
      <c r="J12" s="35">
        <f>C12+D12+E12+F12+G12+I12+H12</f>
        <v/>
      </c>
      <c r="K12" s="768">
        <f>C12*26300</f>
        <v/>
      </c>
      <c r="L12" s="769" t="n"/>
      <c r="M12" s="770" t="n"/>
      <c r="N12" s="771" t="n"/>
      <c r="O12" s="771">
        <f>F12*20000</f>
        <v/>
      </c>
      <c r="P12" s="771" t="n"/>
      <c r="Q12" s="772" t="n"/>
      <c r="R12" s="756">
        <f>SUM(K12:Q12)</f>
        <v/>
      </c>
      <c r="S12" s="756">
        <f>(C12+D12+E12+F12+I12+H12+G12)*8926</f>
        <v/>
      </c>
    </row>
    <row r="13" ht="16.5" customHeight="1" s="754">
      <c r="A13" s="29" t="inlineStr">
        <is>
          <t>비즈하이브리드800</t>
        </is>
      </c>
      <c r="B13" s="547" t="inlineStr">
        <is>
          <t>P0000BIF /     P0000BLD    /   P0000BMJ   P0000BMI</t>
        </is>
      </c>
      <c r="C13" s="263" t="n"/>
      <c r="D13" s="323" t="n"/>
      <c r="E13" s="324" t="n"/>
      <c r="F13" s="289" t="n"/>
      <c r="G13" s="289" t="n"/>
      <c r="H13" s="325" t="n"/>
      <c r="I13" s="289" t="n"/>
      <c r="J13" s="35">
        <f>C13+D13+E13+F13+G13+I13+H13</f>
        <v/>
      </c>
      <c r="K13" s="773">
        <f>C13*35500</f>
        <v/>
      </c>
      <c r="L13" s="769" t="n"/>
      <c r="M13" s="770" t="n"/>
      <c r="N13" s="771" t="n"/>
      <c r="O13" s="771">
        <f>F13*27300</f>
        <v/>
      </c>
      <c r="P13" s="771" t="n"/>
      <c r="Q13" s="772" t="n"/>
      <c r="R13" s="756">
        <f>SUM(K13:Q13)</f>
        <v/>
      </c>
      <c r="S13" s="756">
        <f>(C13+D13+E13+F13+I13+H13+G13)*14876</f>
        <v/>
      </c>
    </row>
    <row r="14">
      <c r="A14" s="29" t="inlineStr">
        <is>
          <t>비즈라벤다800</t>
        </is>
      </c>
      <c r="B14" s="774" t="n"/>
      <c r="C14" s="263" t="n">
        <v>1</v>
      </c>
      <c r="D14" s="323" t="n"/>
      <c r="E14" s="324" t="n">
        <v>1</v>
      </c>
      <c r="F14" s="326" t="n"/>
      <c r="G14" s="289" t="n"/>
      <c r="H14" s="325" t="n"/>
      <c r="I14" s="289" t="n"/>
      <c r="J14" s="35">
        <f>C14+D14+E14+F14+G14+I14+H14</f>
        <v/>
      </c>
      <c r="K14" s="773">
        <f>C14*35500</f>
        <v/>
      </c>
      <c r="L14" s="769" t="n"/>
      <c r="M14" s="770">
        <f>E14*33600</f>
        <v/>
      </c>
      <c r="N14" s="771" t="n"/>
      <c r="O14" s="771" t="n"/>
      <c r="P14" s="771">
        <f>H14*32000</f>
        <v/>
      </c>
      <c r="Q14" s="772" t="n"/>
      <c r="R14" s="756">
        <f>SUM(K14:Q14)</f>
        <v/>
      </c>
      <c r="S14" s="756">
        <f>(C14+D14+E14+F14+I14+H14+G14)*14065</f>
        <v/>
      </c>
    </row>
    <row r="15">
      <c r="A15" s="29" t="inlineStr">
        <is>
          <t>비즈로제트800</t>
        </is>
      </c>
      <c r="B15" s="774" t="n"/>
      <c r="C15" s="263" t="n">
        <v>4</v>
      </c>
      <c r="D15" s="323" t="n"/>
      <c r="E15" s="324" t="n">
        <v>1</v>
      </c>
      <c r="F15" s="326" t="n"/>
      <c r="G15" s="289" t="n"/>
      <c r="H15" s="325" t="n"/>
      <c r="I15" s="289" t="n"/>
      <c r="J15" s="35">
        <f>C15+D15+E15+F15+G15+I15+H15</f>
        <v/>
      </c>
      <c r="K15" s="773">
        <f>C15*35500</f>
        <v/>
      </c>
      <c r="L15" s="769" t="n"/>
      <c r="M15" s="770">
        <f>E15*33600</f>
        <v/>
      </c>
      <c r="N15" s="771" t="n"/>
      <c r="O15" s="771" t="n"/>
      <c r="P15" s="771">
        <f>H15*32000</f>
        <v/>
      </c>
      <c r="Q15" s="772" t="n"/>
      <c r="R15" s="756">
        <f>SUM(K15:Q15)</f>
        <v/>
      </c>
      <c r="S15" s="756">
        <f>(C15+D15+E15+F15+I15+H15+G15)*14876</f>
        <v/>
      </c>
    </row>
    <row r="16">
      <c r="A16" s="29" t="inlineStr">
        <is>
          <t>비즈핑키니800</t>
        </is>
      </c>
      <c r="B16" s="774" t="n"/>
      <c r="C16" s="263" t="n">
        <v>4</v>
      </c>
      <c r="D16" s="323" t="n"/>
      <c r="E16" s="324" t="n"/>
      <c r="F16" s="326" t="n"/>
      <c r="G16" s="289" t="n"/>
      <c r="H16" s="325" t="n"/>
      <c r="I16" s="289" t="n"/>
      <c r="J16" s="35">
        <f>C16+D16+E16+F16+G16+I16+H16</f>
        <v/>
      </c>
      <c r="K16" s="773">
        <f>C16*40000</f>
        <v/>
      </c>
      <c r="L16" s="769" t="n"/>
      <c r="M16" s="770">
        <f>E16*35500</f>
        <v/>
      </c>
      <c r="N16" s="771" t="n"/>
      <c r="O16" s="771" t="n"/>
      <c r="P16" s="771">
        <f>H16*32000</f>
        <v/>
      </c>
      <c r="Q16" s="772" t="n"/>
      <c r="R16" s="756">
        <f>SUM(K16:Q16)</f>
        <v/>
      </c>
      <c r="S16" s="756">
        <f>(C16+D16+E16+F16+I16+H16+G16)*15958</f>
        <v/>
      </c>
    </row>
    <row r="17">
      <c r="A17" s="29" t="inlineStr">
        <is>
          <t>선샤인비즈</t>
        </is>
      </c>
      <c r="B17" s="774" t="n"/>
      <c r="C17" s="263" t="n">
        <v>27</v>
      </c>
      <c r="D17" s="323" t="n"/>
      <c r="E17" s="324" t="n"/>
      <c r="F17" s="326" t="n">
        <v>54</v>
      </c>
      <c r="G17" s="574" t="n"/>
      <c r="H17" s="325" t="n"/>
      <c r="I17" s="564" t="n"/>
      <c r="J17" s="35">
        <f>C17+D17+E17+F17+G17+I17+H17</f>
        <v/>
      </c>
      <c r="K17" s="773">
        <f>C17*30000</f>
        <v/>
      </c>
      <c r="L17" s="769" t="n"/>
      <c r="M17" s="770">
        <f>E17*20000</f>
        <v/>
      </c>
      <c r="N17" s="771">
        <f>F17*20000</f>
        <v/>
      </c>
      <c r="O17" s="771" t="n"/>
      <c r="P17" s="771" t="n"/>
      <c r="Q17" s="772" t="n"/>
      <c r="R17" s="756">
        <f>SUM(K17:Q17)</f>
        <v/>
      </c>
      <c r="S17" s="756">
        <f>(C17+D17+E17+F17+I17+H17+G17)*13262</f>
        <v/>
      </c>
    </row>
    <row r="18">
      <c r="A18" s="29" t="inlineStr">
        <is>
          <t>비즈하이브리드5KG</t>
        </is>
      </c>
      <c r="B18" s="774" t="n"/>
      <c r="C18" s="263" t="n"/>
      <c r="D18" s="323" t="n"/>
      <c r="E18" s="324" t="n">
        <v>3</v>
      </c>
      <c r="F18" s="289" t="n"/>
      <c r="G18" s="289" t="n"/>
      <c r="H18" s="325" t="n"/>
      <c r="I18" s="289" t="n"/>
      <c r="J18" s="35">
        <f>C18+D18+E18+F18+G18+I18+H18</f>
        <v/>
      </c>
      <c r="K18" s="773">
        <f>C18*190000</f>
        <v/>
      </c>
      <c r="L18" s="769" t="n"/>
      <c r="M18" s="770">
        <f>E18*154000</f>
        <v/>
      </c>
      <c r="N18" s="771" t="n"/>
      <c r="O18" s="771" t="n"/>
      <c r="P18" s="771" t="n"/>
      <c r="Q18" s="772" t="n"/>
      <c r="R18" s="756">
        <f>SUM(K18:Q18)</f>
        <v/>
      </c>
      <c r="S18" s="756">
        <f>(C18+D18+E18+F18+I18+H18+G18)*89709</f>
        <v/>
      </c>
    </row>
    <row r="19">
      <c r="A19" s="29" t="inlineStr">
        <is>
          <t>비즈라벤다5KG</t>
        </is>
      </c>
      <c r="B19" s="774" t="n"/>
      <c r="C19" s="263" t="n">
        <v>3</v>
      </c>
      <c r="D19" s="323" t="n"/>
      <c r="E19" s="324" t="n">
        <v>2</v>
      </c>
      <c r="F19" s="289" t="n"/>
      <c r="G19" s="289" t="n"/>
      <c r="H19" s="325" t="n"/>
      <c r="I19" s="289" t="n"/>
      <c r="J19" s="35">
        <f>C19+D19+E19+F19+G19+I19+H19</f>
        <v/>
      </c>
      <c r="K19" s="773">
        <f>C19*190000</f>
        <v/>
      </c>
      <c r="L19" s="769" t="n"/>
      <c r="M19" s="770">
        <f>E19*154000</f>
        <v/>
      </c>
      <c r="N19" s="771" t="n"/>
      <c r="O19" s="771" t="n"/>
      <c r="P19" s="771" t="n"/>
      <c r="Q19" s="772" t="n"/>
      <c r="R19" s="756">
        <f>SUM(K19:Q19)</f>
        <v/>
      </c>
      <c r="S19" s="756">
        <f>(C19+D19+E19+F19+I19+H19+G19)*85201</f>
        <v/>
      </c>
    </row>
    <row r="20">
      <c r="A20" s="29" t="inlineStr">
        <is>
          <t>비즈로제트5KG</t>
        </is>
      </c>
      <c r="B20" s="774" t="n"/>
      <c r="C20" s="263" t="n">
        <v>3</v>
      </c>
      <c r="D20" s="323" t="n"/>
      <c r="E20" s="324" t="n">
        <v>1</v>
      </c>
      <c r="F20" s="289" t="n"/>
      <c r="G20" s="289" t="n"/>
      <c r="H20" s="325" t="n"/>
      <c r="I20" s="289" t="n"/>
      <c r="J20" s="35">
        <f>C20+D20+E20+F20+G20+I20+H20</f>
        <v/>
      </c>
      <c r="K20" s="773">
        <f>C20*190000</f>
        <v/>
      </c>
      <c r="L20" s="769" t="n"/>
      <c r="M20" s="770">
        <f>E20*154000</f>
        <v/>
      </c>
      <c r="N20" s="771" t="n"/>
      <c r="O20" s="771" t="n"/>
      <c r="P20" s="771" t="n"/>
      <c r="Q20" s="772" t="n"/>
      <c r="R20" s="756">
        <f>SUM(K20:Q20)</f>
        <v/>
      </c>
      <c r="S20" s="756">
        <f>(C20+D20+E20+F20+I20+H20+G20)*89709</f>
        <v/>
      </c>
    </row>
    <row r="21">
      <c r="A21" s="29" t="inlineStr">
        <is>
          <t>비즈핑키니5kg</t>
        </is>
      </c>
      <c r="B21" s="775" t="n"/>
      <c r="C21" s="263" t="n">
        <v>4</v>
      </c>
      <c r="D21" s="323" t="n"/>
      <c r="E21" s="324" t="n">
        <v>5</v>
      </c>
      <c r="F21" s="289" t="n"/>
      <c r="G21" s="289" t="n"/>
      <c r="H21" s="325" t="n"/>
      <c r="I21" s="289" t="n"/>
      <c r="J21" s="35">
        <f>C21+D21+E21+F21+G21+I21+H21</f>
        <v/>
      </c>
      <c r="K21" s="773">
        <f>C21*206000</f>
        <v/>
      </c>
      <c r="L21" s="769" t="n"/>
      <c r="M21" s="770">
        <f>E21*171000</f>
        <v/>
      </c>
      <c r="N21" s="771" t="n"/>
      <c r="O21" s="771" t="n"/>
      <c r="P21" s="771" t="n"/>
      <c r="Q21" s="772" t="n"/>
      <c r="R21" s="756">
        <f>SUM(K21:Q21)</f>
        <v/>
      </c>
      <c r="S21" s="756">
        <f>(C21+D21+E21+F21+I21+H21+G21)*96471</f>
        <v/>
      </c>
    </row>
    <row r="22">
      <c r="A22" s="29" t="inlineStr">
        <is>
          <t>데저트500</t>
        </is>
      </c>
      <c r="B22" s="222" t="n"/>
      <c r="C22" s="31" t="n"/>
      <c r="D22" s="37" t="n"/>
      <c r="E22" s="38" t="n"/>
      <c r="F22" s="40" t="n"/>
      <c r="G22" s="39" t="n"/>
      <c r="H22" s="196" t="n"/>
      <c r="I22" s="39" t="n"/>
      <c r="J22" s="35">
        <f>C22+D22+E22+F22+G22+I22+H22</f>
        <v/>
      </c>
      <c r="K22" s="773">
        <f>C22*25000</f>
        <v/>
      </c>
      <c r="L22" s="769" t="n"/>
      <c r="M22" s="770" t="n"/>
      <c r="N22" s="771" t="n"/>
      <c r="O22" s="771" t="n"/>
      <c r="P22" s="771" t="n"/>
      <c r="Q22" s="772" t="n"/>
      <c r="R22" s="756">
        <f>SUM(K22:Q22)</f>
        <v/>
      </c>
      <c r="S22" s="756">
        <f>(C22+D22+E22+F22+I22+H22+G22)*6110</f>
        <v/>
      </c>
    </row>
    <row r="23">
      <c r="A23" s="223" t="inlineStr">
        <is>
          <t>핑키니500g</t>
        </is>
      </c>
      <c r="B23" s="222" t="n"/>
      <c r="C23" s="31" t="n"/>
      <c r="D23" s="37" t="n"/>
      <c r="E23" s="38" t="n"/>
      <c r="F23" s="40" t="n"/>
      <c r="G23" s="39" t="n"/>
      <c r="H23" s="196" t="n"/>
      <c r="I23" s="39" t="n"/>
      <c r="J23" s="35">
        <f>C23+D23+E23+F23+G23+I23+H23</f>
        <v/>
      </c>
      <c r="K23" s="776">
        <f>C23*25000</f>
        <v/>
      </c>
      <c r="L23" s="769" t="n"/>
      <c r="M23" s="770" t="n"/>
      <c r="N23" s="771" t="n"/>
      <c r="O23" s="771" t="n"/>
      <c r="P23" s="771" t="n"/>
      <c r="Q23" s="772" t="n"/>
      <c r="R23" s="756">
        <f>SUM(K23:Q23)</f>
        <v/>
      </c>
      <c r="S23" s="756">
        <f>(C23+D23+E23+F23+I23+H23+G23)*7100</f>
        <v/>
      </c>
    </row>
    <row r="24" customFormat="1" s="24">
      <c r="A24" s="439" t="inlineStr">
        <is>
          <t>500g총합계</t>
        </is>
      </c>
      <c r="B24" s="440" t="n"/>
      <c r="C24" s="441">
        <f>SUM(C7:C23)</f>
        <v/>
      </c>
      <c r="D24" s="441">
        <f>SUM(D7:D23)</f>
        <v/>
      </c>
      <c r="E24" s="441">
        <f>SUM(E7:E23)</f>
        <v/>
      </c>
      <c r="F24" s="441">
        <f>SUM(F7:F23)</f>
        <v/>
      </c>
      <c r="G24" s="441">
        <f>SUM(G7:G23)</f>
        <v/>
      </c>
      <c r="H24" s="441">
        <f>SUM(H7:H23)</f>
        <v/>
      </c>
      <c r="I24" s="441">
        <f>SUM(I7:I23)</f>
        <v/>
      </c>
      <c r="J24" s="442">
        <f>SUM(J7:J23)</f>
        <v/>
      </c>
      <c r="K24" s="777">
        <f>SUM(K7:K23)</f>
        <v/>
      </c>
      <c r="L24" s="778">
        <f>SUM(L7:L23)</f>
        <v/>
      </c>
      <c r="M24" s="779">
        <f>SUM(M7:M23)</f>
        <v/>
      </c>
      <c r="N24" s="780">
        <f>SUM(N7:N23)</f>
        <v/>
      </c>
      <c r="O24" s="780">
        <f>SUM(O7:O23)</f>
        <v/>
      </c>
      <c r="P24" s="780">
        <f>SUM(P7:P23)</f>
        <v/>
      </c>
      <c r="Q24" s="780">
        <f>SUM(Q7:Q23)</f>
        <v/>
      </c>
      <c r="R24" s="781">
        <f>SUM(R7:R23)</f>
        <v/>
      </c>
      <c r="S24" s="782">
        <f>SUM(S7:S23)</f>
        <v/>
      </c>
    </row>
    <row r="25" customFormat="1" s="24">
      <c r="A25" s="85" t="inlineStr">
        <is>
          <t>컵비즈왁스(로제트)</t>
        </is>
      </c>
      <c r="B25" s="703" t="inlineStr">
        <is>
          <t>P00000ZB</t>
        </is>
      </c>
      <c r="C25" s="310" t="n">
        <v>3</v>
      </c>
      <c r="D25" s="326" t="n"/>
      <c r="E25" s="310" t="n"/>
      <c r="F25" s="327" t="n">
        <v>6</v>
      </c>
      <c r="G25" s="326" t="n">
        <v>1</v>
      </c>
      <c r="H25" s="325" t="n"/>
      <c r="I25" s="564" t="n"/>
      <c r="J25" s="35">
        <f>SUM(C25:I25)</f>
        <v/>
      </c>
      <c r="K25" s="768">
        <f>C25*6200</f>
        <v/>
      </c>
      <c r="L25" s="783" t="n"/>
      <c r="M25" s="784" t="n"/>
      <c r="N25" s="771">
        <f>F25*5580</f>
        <v/>
      </c>
      <c r="O25" s="771">
        <f>G25*4340</f>
        <v/>
      </c>
      <c r="P25" s="785" t="n"/>
      <c r="Q25" s="758" t="n"/>
      <c r="R25" s="756">
        <f>SUM(K25:Q25)</f>
        <v/>
      </c>
      <c r="S25" s="786">
        <f>(C25+D25+E25+F25+I25+G25+H25)*3923</f>
        <v/>
      </c>
    </row>
    <row r="26" customFormat="1" s="24">
      <c r="A26" s="85" t="inlineStr">
        <is>
          <t>컵비즈왁스(라벤다)</t>
        </is>
      </c>
      <c r="B26" s="774" t="n"/>
      <c r="C26" s="310" t="n">
        <v>2</v>
      </c>
      <c r="D26" s="326" t="n"/>
      <c r="E26" s="310" t="n"/>
      <c r="F26" s="327" t="n">
        <v>6</v>
      </c>
      <c r="G26" s="326" t="n">
        <v>1</v>
      </c>
      <c r="H26" s="325" t="n"/>
      <c r="I26" s="564" t="n"/>
      <c r="J26" s="35">
        <f>SUM(C26:I26)</f>
        <v/>
      </c>
      <c r="K26" s="768">
        <f>C26*6200</f>
        <v/>
      </c>
      <c r="L26" s="783" t="n"/>
      <c r="M26" s="784" t="n"/>
      <c r="N26" s="771">
        <f>F26*5580</f>
        <v/>
      </c>
      <c r="O26" s="771">
        <f>G26*4340</f>
        <v/>
      </c>
      <c r="P26" s="785" t="n"/>
      <c r="Q26" s="758" t="n"/>
      <c r="R26" s="756">
        <f>SUM(K26:Q26)</f>
        <v/>
      </c>
      <c r="S26" s="786">
        <f>(C26+D26+E26+F26+I26+G26+H26)*3923</f>
        <v/>
      </c>
    </row>
    <row r="27" customFormat="1" s="24">
      <c r="A27" s="85" t="inlineStr">
        <is>
          <t>컵비즈왁스(하이브리드)</t>
        </is>
      </c>
      <c r="B27" s="774" t="n"/>
      <c r="C27" s="310" t="n">
        <v>1</v>
      </c>
      <c r="D27" s="326" t="n"/>
      <c r="E27" s="310" t="n"/>
      <c r="F27" s="327" t="n">
        <v>4</v>
      </c>
      <c r="G27" s="326" t="n">
        <v>1</v>
      </c>
      <c r="H27" s="325" t="n"/>
      <c r="I27" s="564" t="n"/>
      <c r="J27" s="35">
        <f>SUM(C27:I27)</f>
        <v/>
      </c>
      <c r="K27" s="768">
        <f>C27*6200</f>
        <v/>
      </c>
      <c r="L27" s="783" t="n"/>
      <c r="M27" s="784" t="n"/>
      <c r="N27" s="771">
        <f>F27*5580</f>
        <v/>
      </c>
      <c r="O27" s="771">
        <f>G27*4340</f>
        <v/>
      </c>
      <c r="P27" s="785" t="n"/>
      <c r="Q27" s="758" t="n"/>
      <c r="R27" s="756">
        <f>SUM(K27:Q27)</f>
        <v/>
      </c>
      <c r="S27" s="786">
        <f>(C27+D27+E27+F27+I27+G27+H27)*3923</f>
        <v/>
      </c>
    </row>
    <row r="28" customFormat="1" s="24">
      <c r="A28" s="85" t="inlineStr">
        <is>
          <t>컵비즈왁스(핑키니)</t>
        </is>
      </c>
      <c r="B28" s="775" t="n"/>
      <c r="C28" s="310" t="n"/>
      <c r="D28" s="326" t="n"/>
      <c r="E28" s="310" t="n"/>
      <c r="F28" s="327" t="n">
        <v>6</v>
      </c>
      <c r="G28" s="326" t="n">
        <v>1</v>
      </c>
      <c r="H28" s="325" t="n"/>
      <c r="I28" s="564" t="n"/>
      <c r="J28" s="35">
        <f>SUM(C28:I28)</f>
        <v/>
      </c>
      <c r="K28" s="768">
        <f>C28*6200</f>
        <v/>
      </c>
      <c r="L28" s="783" t="n"/>
      <c r="M28" s="784" t="n"/>
      <c r="N28" s="771">
        <f>F28*5580</f>
        <v/>
      </c>
      <c r="O28" s="771">
        <f>G28*4340</f>
        <v/>
      </c>
      <c r="P28" s="785" t="n"/>
      <c r="Q28" s="758" t="n"/>
      <c r="R28" s="756">
        <f>SUM(K28:Q28)</f>
        <v/>
      </c>
      <c r="S28" s="786">
        <f>(C28+D28+E28+F28+I28+G28+H28)*3923</f>
        <v/>
      </c>
    </row>
    <row r="29">
      <c r="A29" s="29" t="inlineStr">
        <is>
          <t>핑키니하드</t>
        </is>
      </c>
      <c r="B29" s="381" t="inlineStr">
        <is>
          <t>P00000UH</t>
        </is>
      </c>
      <c r="C29" s="258" t="n">
        <v>44</v>
      </c>
      <c r="D29" s="235" t="n"/>
      <c r="E29" s="234" t="n">
        <v>137</v>
      </c>
      <c r="F29" s="215" t="n">
        <v>692</v>
      </c>
      <c r="G29" s="215" t="n"/>
      <c r="H29" s="215" t="n"/>
      <c r="I29" s="238" t="n"/>
      <c r="J29" s="35">
        <f>SUM(C29:I29)</f>
        <v/>
      </c>
      <c r="K29" s="768">
        <f>C29*40000</f>
        <v/>
      </c>
      <c r="L29" s="769">
        <f>D29*30800</f>
        <v/>
      </c>
      <c r="M29" s="770">
        <f>E29*30800</f>
        <v/>
      </c>
      <c r="N29" s="757">
        <f>F29*34000</f>
        <v/>
      </c>
      <c r="O29" s="771" t="n"/>
      <c r="P29" s="787">
        <f>H29*34000</f>
        <v/>
      </c>
      <c r="Q29" s="787" t="n"/>
      <c r="R29" s="756">
        <f>SUM(K29:Q29)</f>
        <v/>
      </c>
      <c r="S29" s="786">
        <f>(C29+D29+E29+F29+I29+G29+H29)*17852</f>
        <v/>
      </c>
    </row>
    <row r="30">
      <c r="A30" s="29" t="inlineStr">
        <is>
          <t>루비1kg</t>
        </is>
      </c>
      <c r="B30" s="382" t="inlineStr">
        <is>
          <t>P00000TI</t>
        </is>
      </c>
      <c r="C30" s="262" t="n">
        <v>36</v>
      </c>
      <c r="D30" s="235" t="n"/>
      <c r="E30" s="234" t="n">
        <v>170</v>
      </c>
      <c r="F30" s="230" t="n">
        <v>649</v>
      </c>
      <c r="G30" s="230" t="n"/>
      <c r="H30" s="230" t="n"/>
      <c r="I30" s="322" t="n"/>
      <c r="J30" s="35">
        <f>SUM(C30:I30)</f>
        <v/>
      </c>
      <c r="K30" s="768">
        <f>C30*37800</f>
        <v/>
      </c>
      <c r="L30" s="769">
        <f>D30*27800</f>
        <v/>
      </c>
      <c r="M30" s="770">
        <f>E30*27800</f>
        <v/>
      </c>
      <c r="N30" s="757">
        <f>F30*32130</f>
        <v/>
      </c>
      <c r="O30" s="771" t="n"/>
      <c r="P30" s="787">
        <f>H30*32130</f>
        <v/>
      </c>
      <c r="Q30" s="787" t="n"/>
      <c r="R30" s="756">
        <f>SUM(K30:Q30)</f>
        <v/>
      </c>
      <c r="S30" s="786">
        <f>(C30+D30+E30+F30+I30+G30+H30)*15958</f>
        <v/>
      </c>
    </row>
    <row r="31">
      <c r="A31" s="29" t="inlineStr">
        <is>
          <t>데저트</t>
        </is>
      </c>
      <c r="B31" s="381" t="inlineStr">
        <is>
          <t>P00000BY</t>
        </is>
      </c>
      <c r="C31" s="263" t="n">
        <v>26</v>
      </c>
      <c r="D31" s="235" t="n"/>
      <c r="E31" s="234" t="n">
        <v>168</v>
      </c>
      <c r="F31" s="230" t="n">
        <v>468</v>
      </c>
      <c r="G31" s="230" t="n"/>
      <c r="H31" s="230" t="n"/>
      <c r="I31" s="330" t="n"/>
      <c r="J31" s="35">
        <f>SUM(C31:I31)</f>
        <v/>
      </c>
      <c r="K31" s="768">
        <f>C31*37800</f>
        <v/>
      </c>
      <c r="L31" s="769">
        <f>D31*27800</f>
        <v/>
      </c>
      <c r="M31" s="770">
        <f>E31*27800</f>
        <v/>
      </c>
      <c r="N31" s="757">
        <f>F31*32130</f>
        <v/>
      </c>
      <c r="O31" s="771" t="n"/>
      <c r="P31" s="787">
        <f>H31*32130</f>
        <v/>
      </c>
      <c r="Q31" s="787" t="n"/>
      <c r="R31" s="756">
        <f>SUM(K31:Q31)</f>
        <v/>
      </c>
      <c r="S31" s="786">
        <f>(C31+D31+E31+F31+I31+G31+H31)*15958</f>
        <v/>
      </c>
    </row>
    <row r="32">
      <c r="A32" s="29" t="inlineStr">
        <is>
          <t>라벤더</t>
        </is>
      </c>
      <c r="B32" s="715" t="inlineStr">
        <is>
          <t>P00000BZ</t>
        </is>
      </c>
      <c r="C32" s="263" t="n">
        <v>19</v>
      </c>
      <c r="D32" s="235" t="n"/>
      <c r="E32" s="234" t="n">
        <v>40</v>
      </c>
      <c r="F32" s="215" t="n">
        <v>178</v>
      </c>
      <c r="G32" s="215" t="n"/>
      <c r="H32" s="215" t="n"/>
      <c r="I32" s="329" t="n"/>
      <c r="J32" s="35">
        <f>SUM(C32:I32)</f>
        <v/>
      </c>
      <c r="K32" s="768">
        <f>C32*37800</f>
        <v/>
      </c>
      <c r="L32" s="769">
        <f>D32*27800</f>
        <v/>
      </c>
      <c r="M32" s="770">
        <f>E32*27800</f>
        <v/>
      </c>
      <c r="N32" s="757">
        <f>F32*32130</f>
        <v/>
      </c>
      <c r="O32" s="771" t="n"/>
      <c r="P32" s="787">
        <f>H32*32130</f>
        <v/>
      </c>
      <c r="Q32" s="787" t="n"/>
      <c r="R32" s="756">
        <f>SUM(K32:Q32)</f>
        <v/>
      </c>
      <c r="S32" s="786">
        <f>(C32+D32+E32+F32+I32+G32+H32)*15958</f>
        <v/>
      </c>
    </row>
    <row r="33">
      <c r="A33" s="43" t="inlineStr">
        <is>
          <t>로제트</t>
        </is>
      </c>
      <c r="B33" s="381" t="inlineStr">
        <is>
          <t>P00000CH</t>
        </is>
      </c>
      <c r="C33" s="263" t="n">
        <v>10</v>
      </c>
      <c r="D33" s="235" t="n"/>
      <c r="E33" s="234" t="n">
        <v>123</v>
      </c>
      <c r="F33" s="230" t="n">
        <v>278</v>
      </c>
      <c r="G33" s="230" t="n"/>
      <c r="H33" s="230" t="n"/>
      <c r="I33" s="322" t="n"/>
      <c r="J33" s="35">
        <f>SUM(C33:I33)</f>
        <v/>
      </c>
      <c r="K33" s="768">
        <f>C33*37800</f>
        <v/>
      </c>
      <c r="L33" s="769">
        <f>D33*27800</f>
        <v/>
      </c>
      <c r="M33" s="770">
        <f>E33*27800</f>
        <v/>
      </c>
      <c r="N33" s="757">
        <f>F33*32130</f>
        <v/>
      </c>
      <c r="O33" s="771">
        <f>G33*30240</f>
        <v/>
      </c>
      <c r="P33" s="787">
        <f>H33*32130</f>
        <v/>
      </c>
      <c r="Q33" s="787" t="n"/>
      <c r="R33" s="756">
        <f>SUM(K33:Q33)</f>
        <v/>
      </c>
      <c r="S33" s="786">
        <f>(C33+D33+E33+F33+I33+G33+H33)*16680</f>
        <v/>
      </c>
    </row>
    <row r="34">
      <c r="A34" s="29" t="inlineStr">
        <is>
          <t>맨니피코</t>
        </is>
      </c>
      <c r="B34" s="381" t="inlineStr">
        <is>
          <t>P00000CG</t>
        </is>
      </c>
      <c r="C34" s="263" t="n">
        <v>23</v>
      </c>
      <c r="D34" s="235" t="n"/>
      <c r="E34" s="234" t="n">
        <v>63</v>
      </c>
      <c r="F34" s="230" t="n">
        <v>416</v>
      </c>
      <c r="G34" s="230" t="n"/>
      <c r="H34" s="230" t="n"/>
      <c r="I34" s="322" t="n"/>
      <c r="J34" s="35">
        <f>SUM(C34:I34)</f>
        <v/>
      </c>
      <c r="K34" s="768">
        <f>C34*37800</f>
        <v/>
      </c>
      <c r="L34" s="769">
        <f>D34*27800</f>
        <v/>
      </c>
      <c r="M34" s="770">
        <f>E34*27800</f>
        <v/>
      </c>
      <c r="N34" s="757">
        <f>F34*32130</f>
        <v/>
      </c>
      <c r="O34" s="771" t="n"/>
      <c r="P34" s="787">
        <f>H34*32130</f>
        <v/>
      </c>
      <c r="Q34" s="787" t="n"/>
      <c r="R34" s="756">
        <f>SUM(K34:Q34)</f>
        <v/>
      </c>
      <c r="S34" s="786">
        <f>(C34+D34+E34+F34+I34+G34+H34)*16680</f>
        <v/>
      </c>
    </row>
    <row r="35">
      <c r="A35" s="29" t="inlineStr">
        <is>
          <t>올리브</t>
        </is>
      </c>
      <c r="B35" s="715" t="inlineStr">
        <is>
          <t>P00000CA</t>
        </is>
      </c>
      <c r="C35" s="263" t="n">
        <v>6</v>
      </c>
      <c r="D35" s="235" t="n"/>
      <c r="E35" s="234" t="n"/>
      <c r="F35" s="230" t="n">
        <v>2</v>
      </c>
      <c r="G35" s="230" t="n"/>
      <c r="H35" s="230" t="n"/>
      <c r="I35" s="322" t="n"/>
      <c r="J35" s="35">
        <f>SUM(C35:I35)</f>
        <v/>
      </c>
      <c r="K35" s="768">
        <f>C35*37800</f>
        <v/>
      </c>
      <c r="L35" s="769">
        <f>D35*27800</f>
        <v/>
      </c>
      <c r="M35" s="770">
        <f>E35*27800</f>
        <v/>
      </c>
      <c r="N35" s="757">
        <f>F35*32130</f>
        <v/>
      </c>
      <c r="O35" s="771" t="n"/>
      <c r="P35" s="787">
        <f>H35*32130</f>
        <v/>
      </c>
      <c r="Q35" s="787" t="n"/>
      <c r="R35" s="756">
        <f>SUM(K35:Q35)</f>
        <v/>
      </c>
      <c r="S35" s="786">
        <f>(C35+D35+E35+F35+I35+G35+H35)*16680</f>
        <v/>
      </c>
    </row>
    <row r="36">
      <c r="A36" s="29" t="inlineStr">
        <is>
          <t>바닐라</t>
        </is>
      </c>
      <c r="B36" s="715" t="inlineStr">
        <is>
          <t>P00000BW</t>
        </is>
      </c>
      <c r="C36" s="263" t="n">
        <v>5</v>
      </c>
      <c r="D36" s="235" t="n"/>
      <c r="E36" s="234" t="n">
        <v>21</v>
      </c>
      <c r="F36" s="230" t="n">
        <v>72</v>
      </c>
      <c r="G36" s="230" t="n"/>
      <c r="H36" s="230" t="n"/>
      <c r="I36" s="322" t="n"/>
      <c r="J36" s="35">
        <f>SUM(C36:I36)</f>
        <v/>
      </c>
      <c r="K36" s="768">
        <f>C36*37800</f>
        <v/>
      </c>
      <c r="L36" s="769">
        <f>D36*27800</f>
        <v/>
      </c>
      <c r="M36" s="770">
        <f>E36*27800</f>
        <v/>
      </c>
      <c r="N36" s="757">
        <f>F36*32130</f>
        <v/>
      </c>
      <c r="O36" s="771" t="n"/>
      <c r="P36" s="787">
        <f>H36*32130</f>
        <v/>
      </c>
      <c r="Q36" s="787" t="n"/>
      <c r="R36" s="756">
        <f>SUM(K36:Q36)</f>
        <v/>
      </c>
      <c r="S36" s="786">
        <f>(C36+D36+E36+F36+I36+G36+H36)*16680</f>
        <v/>
      </c>
    </row>
    <row r="37">
      <c r="A37" s="29" t="inlineStr">
        <is>
          <t>소베리</t>
        </is>
      </c>
      <c r="B37" s="715" t="inlineStr">
        <is>
          <t>P00000CI</t>
        </is>
      </c>
      <c r="C37" s="310" t="n">
        <v>6</v>
      </c>
      <c r="D37" s="235" t="n"/>
      <c r="E37" s="234" t="n"/>
      <c r="F37" s="215" t="n">
        <v>3</v>
      </c>
      <c r="G37" s="215" t="n"/>
      <c r="H37" s="215" t="n"/>
      <c r="I37" s="329" t="n"/>
      <c r="J37" s="35">
        <f>SUM(C37:I37)</f>
        <v/>
      </c>
      <c r="K37" s="768">
        <f>C37*37800</f>
        <v/>
      </c>
      <c r="L37" s="769">
        <f>D37*27800</f>
        <v/>
      </c>
      <c r="M37" s="770">
        <f>E37*27800</f>
        <v/>
      </c>
      <c r="N37" s="757">
        <f>F37*32130</f>
        <v/>
      </c>
      <c r="O37" s="771" t="n"/>
      <c r="P37" s="787">
        <f>H37*32130</f>
        <v/>
      </c>
      <c r="Q37" s="787" t="n"/>
      <c r="R37" s="756">
        <f>SUM(K37:Q37)</f>
        <v/>
      </c>
      <c r="S37" s="786">
        <f>(C37+D37+E37+F37+I37+G37+H37)*16680</f>
        <v/>
      </c>
    </row>
    <row r="38">
      <c r="A38" s="29" t="inlineStr">
        <is>
          <t>아쥴렌</t>
        </is>
      </c>
      <c r="B38" s="381" t="inlineStr">
        <is>
          <t>P00000CE</t>
        </is>
      </c>
      <c r="C38" s="310" t="n">
        <v>1</v>
      </c>
      <c r="D38" s="235" t="n"/>
      <c r="E38" s="234" t="n">
        <v>8</v>
      </c>
      <c r="F38" s="230" t="n">
        <v>35</v>
      </c>
      <c r="G38" s="230" t="n"/>
      <c r="H38" s="230" t="n"/>
      <c r="I38" s="322" t="n"/>
      <c r="J38" s="35">
        <f>SUM(C38:I38)</f>
        <v/>
      </c>
      <c r="K38" s="768">
        <f>C38*37800</f>
        <v/>
      </c>
      <c r="L38" s="769">
        <f>D38*27800</f>
        <v/>
      </c>
      <c r="M38" s="770">
        <f>E38*27800</f>
        <v/>
      </c>
      <c r="N38" s="757">
        <f>F38*32130</f>
        <v/>
      </c>
      <c r="O38" s="771" t="n"/>
      <c r="P38" s="787">
        <f>H38*32130</f>
        <v/>
      </c>
      <c r="Q38" s="787" t="n"/>
      <c r="R38" s="756">
        <f>SUM(K38:Q38)</f>
        <v/>
      </c>
      <c r="S38" s="786">
        <f>(C38+D38+E38+F38+I38+G38+H38)*16680</f>
        <v/>
      </c>
    </row>
    <row r="39">
      <c r="A39" s="29" t="inlineStr">
        <is>
          <t>액티브골드</t>
        </is>
      </c>
      <c r="B39" s="715" t="inlineStr">
        <is>
          <t>P00000KH</t>
        </is>
      </c>
      <c r="C39" s="310" t="n"/>
      <c r="D39" s="235" t="n"/>
      <c r="E39" s="234" t="n"/>
      <c r="F39" s="215" t="n"/>
      <c r="G39" s="215" t="n"/>
      <c r="H39" s="215" t="n"/>
      <c r="I39" s="329" t="n"/>
      <c r="J39" s="35">
        <f>SUM(C39:I39)</f>
        <v/>
      </c>
      <c r="K39" s="768">
        <f>C39*37800</f>
        <v/>
      </c>
      <c r="L39" s="769">
        <f>D39*27800</f>
        <v/>
      </c>
      <c r="M39" s="770">
        <f>E39*27800</f>
        <v/>
      </c>
      <c r="N39" s="757">
        <f>F39*32130</f>
        <v/>
      </c>
      <c r="O39" s="771" t="n"/>
      <c r="P39" s="787">
        <f>H39*32130</f>
        <v/>
      </c>
      <c r="Q39" s="787" t="n"/>
      <c r="R39" s="756">
        <f>SUM(K39:Q39)</f>
        <v/>
      </c>
      <c r="S39" s="786">
        <f>(C39+D39+E39+F39+I39+G39+H39)*15688</f>
        <v/>
      </c>
    </row>
    <row r="40">
      <c r="A40" s="29" t="inlineStr">
        <is>
          <t>알로에</t>
        </is>
      </c>
      <c r="B40" s="715" t="inlineStr">
        <is>
          <t>P00000CD</t>
        </is>
      </c>
      <c r="C40" s="263" t="n">
        <v>4</v>
      </c>
      <c r="D40" s="235" t="n"/>
      <c r="E40" s="234" t="n">
        <v>12</v>
      </c>
      <c r="F40" s="230" t="n">
        <v>104</v>
      </c>
      <c r="G40" s="230" t="n"/>
      <c r="H40" s="230" t="n"/>
      <c r="I40" s="322" t="n"/>
      <c r="J40" s="35">
        <f>SUM(C40:I40)</f>
        <v/>
      </c>
      <c r="K40" s="768">
        <f>C40*37800</f>
        <v/>
      </c>
      <c r="L40" s="769">
        <f>D40*27800</f>
        <v/>
      </c>
      <c r="M40" s="770">
        <f>E40*27800</f>
        <v/>
      </c>
      <c r="N40" s="757">
        <f>F40*32130</f>
        <v/>
      </c>
      <c r="O40" s="771" t="n"/>
      <c r="P40" s="787">
        <f>H40*32130</f>
        <v/>
      </c>
      <c r="Q40" s="787" t="n"/>
      <c r="R40" s="756">
        <f>SUM(K40:Q40)</f>
        <v/>
      </c>
      <c r="S40" s="786">
        <f>(C40+D40+E40+F40+I40+G40+H40)*15688</f>
        <v/>
      </c>
    </row>
    <row r="41">
      <c r="A41" s="29" t="inlineStr">
        <is>
          <t>아프리콧</t>
        </is>
      </c>
      <c r="B41" s="715" t="inlineStr">
        <is>
          <t>P00000CF</t>
        </is>
      </c>
      <c r="C41" s="263" t="n">
        <v>5</v>
      </c>
      <c r="D41" s="235" t="n"/>
      <c r="E41" s="234" t="n">
        <v>5</v>
      </c>
      <c r="F41" s="215" t="n">
        <v>47</v>
      </c>
      <c r="G41" s="215" t="n"/>
      <c r="H41" s="215" t="n"/>
      <c r="I41" s="329" t="n"/>
      <c r="J41" s="35">
        <f>SUM(C41:I41)</f>
        <v/>
      </c>
      <c r="K41" s="768">
        <f>C41*37800</f>
        <v/>
      </c>
      <c r="L41" s="769">
        <f>D41*27800</f>
        <v/>
      </c>
      <c r="M41" s="770">
        <f>E41*27800</f>
        <v/>
      </c>
      <c r="N41" s="757">
        <f>F41*32130</f>
        <v/>
      </c>
      <c r="O41" s="771" t="n"/>
      <c r="P41" s="787">
        <f>H41*32130</f>
        <v/>
      </c>
      <c r="Q41" s="787" t="n"/>
      <c r="R41" s="756">
        <f>SUM(K41:Q41)</f>
        <v/>
      </c>
      <c r="S41" s="786">
        <f>(C41+D41+E41+F41+I41+G41+H41)*15688</f>
        <v/>
      </c>
    </row>
    <row r="42">
      <c r="A42" s="29" t="n"/>
      <c r="B42" s="715" t="n"/>
      <c r="C42" s="263" t="n"/>
      <c r="D42" s="235" t="n"/>
      <c r="E42" s="234" t="n"/>
      <c r="F42" s="215" t="n"/>
      <c r="G42" s="215" t="n"/>
      <c r="H42" s="328" t="n"/>
      <c r="I42" s="329" t="n"/>
      <c r="J42" s="35">
        <f>SUM(C42:I42)</f>
        <v/>
      </c>
      <c r="K42" s="768" t="n"/>
      <c r="L42" s="769" t="n"/>
      <c r="M42" s="770" t="n"/>
      <c r="O42" s="771" t="n"/>
      <c r="P42" s="771" t="n"/>
      <c r="Q42" s="787" t="n"/>
      <c r="S42" s="786" t="n"/>
    </row>
    <row r="43">
      <c r="A43" s="29" t="n"/>
      <c r="B43" s="30" t="n"/>
      <c r="C43" s="310" t="n"/>
      <c r="D43" s="32" t="n"/>
      <c r="E43" s="33" t="n"/>
      <c r="F43" s="191" t="n"/>
      <c r="G43" s="34" t="n"/>
      <c r="H43" s="197" t="n"/>
      <c r="I43" s="34" t="n"/>
      <c r="J43" s="35">
        <f>SUM(C43:I43)</f>
        <v/>
      </c>
      <c r="K43" s="773">
        <f>C43*36000</f>
        <v/>
      </c>
      <c r="L43" s="769">
        <f>D43*28000</f>
        <v/>
      </c>
      <c r="M43" s="770" t="n"/>
      <c r="P43" s="771" t="n"/>
      <c r="S43" s="786" t="n"/>
    </row>
    <row r="44" customFormat="1" s="24">
      <c r="A44" s="439" t="inlineStr">
        <is>
          <t>1kg총합계</t>
        </is>
      </c>
      <c r="B44" s="449" t="n"/>
      <c r="C44" s="450">
        <f>SUM(C29:C43)</f>
        <v/>
      </c>
      <c r="D44" s="451">
        <f>SUM(D29:D43)</f>
        <v/>
      </c>
      <c r="E44" s="452">
        <f>SUM(E29:E43)</f>
        <v/>
      </c>
      <c r="F44" s="453">
        <f>SUM(F29:F43)</f>
        <v/>
      </c>
      <c r="G44" s="453">
        <f>SUM(G29:G43)</f>
        <v/>
      </c>
      <c r="H44" s="453">
        <f>SUM(H29:H43)</f>
        <v/>
      </c>
      <c r="I44" s="453">
        <f>SUM(I29:I43)</f>
        <v/>
      </c>
      <c r="J44" s="442">
        <f>SUM(J29:J43)</f>
        <v/>
      </c>
      <c r="K44" s="777">
        <f>SUM(K25:K43)</f>
        <v/>
      </c>
      <c r="L44" s="778">
        <f>SUM(L25:L43)</f>
        <v/>
      </c>
      <c r="M44" s="779">
        <f>SUM(M25:M43)</f>
        <v/>
      </c>
      <c r="N44" s="777">
        <f>SUM(N25:N43)</f>
        <v/>
      </c>
      <c r="O44" s="780">
        <f>SUM(O25:O43)</f>
        <v/>
      </c>
      <c r="P44" s="780">
        <f>SUM(P25:P43)</f>
        <v/>
      </c>
      <c r="Q44" s="780">
        <f>SUM(Q25:Q43)</f>
        <v/>
      </c>
      <c r="R44" s="788">
        <f>SUM(R25:R43)</f>
        <v/>
      </c>
      <c r="S44" s="782">
        <f>SUM(S25:S43)</f>
        <v/>
      </c>
    </row>
    <row r="45">
      <c r="C45" s="638" t="inlineStr">
        <is>
          <t>도매</t>
        </is>
      </c>
      <c r="D45" s="9" t="inlineStr">
        <is>
          <t>인증살롱</t>
        </is>
      </c>
      <c r="E45" s="10" t="inlineStr">
        <is>
          <t>마스터</t>
        </is>
      </c>
      <c r="F45" s="12" t="inlineStr">
        <is>
          <t>할인행사</t>
        </is>
      </c>
      <c r="G45" s="12" t="n"/>
      <c r="H45" s="12" t="inlineStr">
        <is>
          <t>할인+증정</t>
        </is>
      </c>
      <c r="I45" s="12" t="n"/>
      <c r="J45" s="639" t="inlineStr">
        <is>
          <t>합계</t>
        </is>
      </c>
      <c r="K45" s="789" t="n"/>
      <c r="P45" s="785" t="n"/>
    </row>
    <row r="46">
      <c r="C46" s="44" t="n"/>
      <c r="D46" s="406" t="inlineStr">
        <is>
          <t>P00000VT</t>
        </is>
      </c>
      <c r="E46" s="19" t="inlineStr">
        <is>
          <t>P00000QF</t>
        </is>
      </c>
      <c r="F46" s="20" t="inlineStr">
        <is>
          <t>P00000VN</t>
        </is>
      </c>
      <c r="G46" s="46" t="n">
        <v>0.15</v>
      </c>
      <c r="H46" s="20" t="n"/>
      <c r="I46" s="20" t="n"/>
      <c r="J46" s="17" t="n"/>
      <c r="P46" s="785" t="n"/>
    </row>
    <row r="47" ht="24" customHeight="1" s="754">
      <c r="A47" s="24" t="inlineStr">
        <is>
          <t>스트립왁스</t>
        </is>
      </c>
      <c r="C47" s="47" t="n"/>
      <c r="D47" s="48" t="n"/>
      <c r="E47" s="49" t="n"/>
      <c r="F47" s="20" t="inlineStr">
        <is>
          <t>P00000YU</t>
        </is>
      </c>
      <c r="G47" s="26" t="inlineStr">
        <is>
          <t>바디스타터키트</t>
        </is>
      </c>
      <c r="H47" s="20" t="inlineStr">
        <is>
          <t>P0000BEU</t>
        </is>
      </c>
      <c r="I47" s="415" t="n"/>
      <c r="J47" s="50" t="n"/>
      <c r="K47" s="763" t="inlineStr">
        <is>
          <t>도매</t>
        </is>
      </c>
      <c r="L47" s="764" t="inlineStr">
        <is>
          <t>인증살롱/마스터</t>
        </is>
      </c>
      <c r="M47" s="765" t="n"/>
      <c r="N47" s="766" t="inlineStr">
        <is>
          <t>할인</t>
        </is>
      </c>
      <c r="O47" s="766" t="inlineStr">
        <is>
          <t>세트할인</t>
        </is>
      </c>
      <c r="P47" s="766" t="inlineStr">
        <is>
          <t>할인+증정</t>
        </is>
      </c>
      <c r="Q47" s="766" t="n"/>
      <c r="R47" s="767" t="inlineStr">
        <is>
          <t>품목별합계</t>
        </is>
      </c>
      <c r="S47" s="767" t="inlineStr">
        <is>
          <t>원가</t>
        </is>
      </c>
    </row>
    <row r="48">
      <c r="A48" s="51" t="inlineStr">
        <is>
          <t>S_화이트</t>
        </is>
      </c>
      <c r="B48" s="704" t="inlineStr">
        <is>
          <t>P00000CQ</t>
        </is>
      </c>
      <c r="C48" s="233" t="n">
        <v>16</v>
      </c>
      <c r="D48" s="331" t="n"/>
      <c r="E48" s="332" t="n">
        <v>15</v>
      </c>
      <c r="F48" s="333" t="n">
        <v>163</v>
      </c>
      <c r="G48" s="322" t="n"/>
      <c r="H48" s="333" t="n"/>
      <c r="I48" s="334" t="n"/>
      <c r="J48" s="27">
        <f>SUM(C48:I48)</f>
        <v/>
      </c>
      <c r="K48" s="768">
        <f>C48*35700</f>
        <v/>
      </c>
      <c r="L48" s="790">
        <f>D48*25400</f>
        <v/>
      </c>
      <c r="M48" s="770">
        <f>E48*25400</f>
        <v/>
      </c>
      <c r="N48" s="757">
        <f>F48*29500</f>
        <v/>
      </c>
      <c r="P48" s="771">
        <f>H48*29500</f>
        <v/>
      </c>
      <c r="R48" s="756">
        <f>SUM(K48:Q48)</f>
        <v/>
      </c>
      <c r="S48" s="756">
        <f>(C48+D48+E48+F48+I48+H48+G48)*14155</f>
        <v/>
      </c>
    </row>
    <row r="49">
      <c r="A49" s="51" t="inlineStr">
        <is>
          <t>S_슈퍼베리</t>
        </is>
      </c>
      <c r="B49" s="703" t="inlineStr">
        <is>
          <t>P00000CL</t>
        </is>
      </c>
      <c r="C49" s="233" t="n">
        <v>4</v>
      </c>
      <c r="D49" s="235" t="n"/>
      <c r="E49" s="234" t="n">
        <v>3</v>
      </c>
      <c r="F49" s="230" t="n">
        <v>25</v>
      </c>
      <c r="G49" s="334" t="n"/>
      <c r="H49" s="333" t="n"/>
      <c r="I49" s="334" t="n"/>
      <c r="J49" s="27">
        <f>SUM(C49:I49)</f>
        <v/>
      </c>
      <c r="K49" s="768">
        <f>C49*35700</f>
        <v/>
      </c>
      <c r="L49" s="790">
        <f>D49*25400</f>
        <v/>
      </c>
      <c r="M49" s="770">
        <f>E49*25400</f>
        <v/>
      </c>
      <c r="N49" s="757">
        <f>F49*29500</f>
        <v/>
      </c>
      <c r="P49" s="771">
        <f>H49*29500</f>
        <v/>
      </c>
      <c r="R49" s="756">
        <f>SUM(K49:Q49)</f>
        <v/>
      </c>
      <c r="S49" s="756">
        <f>(C49+D49+E49+F49+I49+H49+G49)*14155</f>
        <v/>
      </c>
    </row>
    <row r="50">
      <c r="A50" s="51" t="inlineStr">
        <is>
          <t>S_로제트</t>
        </is>
      </c>
      <c r="B50" s="704" t="inlineStr">
        <is>
          <t>P00000CO</t>
        </is>
      </c>
      <c r="C50" s="237" t="n">
        <v>3</v>
      </c>
      <c r="D50" s="235" t="n"/>
      <c r="E50" s="234" t="n"/>
      <c r="F50" s="230" t="n">
        <v>14</v>
      </c>
      <c r="G50" s="334" t="n"/>
      <c r="H50" s="333" t="n"/>
      <c r="I50" s="334" t="n"/>
      <c r="J50" s="27">
        <f>SUM(C50:I50)</f>
        <v/>
      </c>
      <c r="K50" s="768">
        <f>C50*34700</f>
        <v/>
      </c>
      <c r="L50" s="790">
        <f>D50*25400</f>
        <v/>
      </c>
      <c r="M50" s="770">
        <f>E50*25400</f>
        <v/>
      </c>
      <c r="N50" s="757">
        <f>F50*29500</f>
        <v/>
      </c>
      <c r="P50" s="771">
        <f>H50*29500</f>
        <v/>
      </c>
      <c r="R50" s="756">
        <f>SUM(K50:Q50)</f>
        <v/>
      </c>
      <c r="S50" s="756">
        <f>(C50+D50+E50+F50+I50+H50+G50)*13975</f>
        <v/>
      </c>
    </row>
    <row r="51">
      <c r="A51" s="51" t="inlineStr">
        <is>
          <t>S_맨니피코</t>
        </is>
      </c>
      <c r="B51" s="703" t="inlineStr">
        <is>
          <t>P00000CW</t>
        </is>
      </c>
      <c r="C51" s="233" t="n">
        <v>6</v>
      </c>
      <c r="D51" s="235" t="n"/>
      <c r="E51" s="234" t="n">
        <v>3</v>
      </c>
      <c r="F51" s="230" t="n">
        <v>62</v>
      </c>
      <c r="G51" s="334" t="n"/>
      <c r="H51" s="333" t="n"/>
      <c r="I51" s="334" t="n"/>
      <c r="J51" s="27">
        <f>SUM(C51:I51)</f>
        <v/>
      </c>
      <c r="K51" s="768">
        <f>C51*34700</f>
        <v/>
      </c>
      <c r="L51" s="790">
        <f>D51*25400</f>
        <v/>
      </c>
      <c r="M51" s="770">
        <f>E51*25400</f>
        <v/>
      </c>
      <c r="N51" s="757">
        <f>F51*29500</f>
        <v/>
      </c>
      <c r="P51" s="771">
        <f>H51*29500</f>
        <v/>
      </c>
      <c r="R51" s="756">
        <f>SUM(K51:Q51)</f>
        <v/>
      </c>
      <c r="S51" s="756">
        <f>(C51+D51+E51+F51+I51+H51+G51)*13975</f>
        <v/>
      </c>
    </row>
    <row r="52">
      <c r="A52" s="51" t="inlineStr">
        <is>
          <t>S_올리브</t>
        </is>
      </c>
      <c r="B52" s="704" t="inlineStr">
        <is>
          <t>P00000CN</t>
        </is>
      </c>
      <c r="C52" s="237" t="n">
        <v>1</v>
      </c>
      <c r="D52" s="235" t="n"/>
      <c r="E52" s="234" t="n"/>
      <c r="F52" s="230" t="n"/>
      <c r="G52" s="334" t="n"/>
      <c r="H52" s="333" t="n"/>
      <c r="I52" s="334" t="n"/>
      <c r="J52" s="27">
        <f>SUM(C52:I52)</f>
        <v/>
      </c>
      <c r="K52" s="768">
        <f>C52*34700</f>
        <v/>
      </c>
      <c r="L52" s="790">
        <f>D52*25400</f>
        <v/>
      </c>
      <c r="M52" s="770">
        <f>E52*25400</f>
        <v/>
      </c>
      <c r="N52" s="757">
        <f>F52*29500</f>
        <v/>
      </c>
      <c r="P52" s="771">
        <f>H52*29500</f>
        <v/>
      </c>
      <c r="R52" s="756">
        <f>SUM(K52:Q52)</f>
        <v/>
      </c>
      <c r="S52" s="756">
        <f>(C52+D52+E52+F52+I52+H52+G52)*13975</f>
        <v/>
      </c>
    </row>
    <row r="53">
      <c r="A53" s="51" t="inlineStr">
        <is>
          <t>S_바닐라</t>
        </is>
      </c>
      <c r="B53" s="704" t="inlineStr">
        <is>
          <t>P00000CM</t>
        </is>
      </c>
      <c r="C53" s="237" t="n">
        <v>15</v>
      </c>
      <c r="D53" s="235" t="n"/>
      <c r="E53" s="234" t="n"/>
      <c r="F53" s="230" t="n">
        <v>23</v>
      </c>
      <c r="G53" s="333" t="n"/>
      <c r="H53" s="333" t="n"/>
      <c r="I53" s="334" t="n"/>
      <c r="J53" s="27">
        <f>SUM(C53:I53)</f>
        <v/>
      </c>
      <c r="K53" s="768">
        <f>C53*34700</f>
        <v/>
      </c>
      <c r="L53" s="790">
        <f>D53*25400</f>
        <v/>
      </c>
      <c r="M53" s="770">
        <f>E53*25400</f>
        <v/>
      </c>
      <c r="N53" s="757">
        <f>F53*29500</f>
        <v/>
      </c>
      <c r="O53" s="771">
        <f>G53*27760</f>
        <v/>
      </c>
      <c r="P53" s="771">
        <f>H53*29500</f>
        <v/>
      </c>
      <c r="Q53" s="787" t="n"/>
      <c r="R53" s="756">
        <f>SUM(K53:Q53)</f>
        <v/>
      </c>
      <c r="S53" s="756">
        <f>(C53+D53+E53+F53+I53+H53+G53)*13975</f>
        <v/>
      </c>
    </row>
    <row r="54">
      <c r="A54" s="51" t="inlineStr">
        <is>
          <t>S_소베리</t>
        </is>
      </c>
      <c r="B54" s="703" t="inlineStr">
        <is>
          <t>P00000CT</t>
        </is>
      </c>
      <c r="C54" s="233" t="n">
        <v>7</v>
      </c>
      <c r="D54" s="235" t="n"/>
      <c r="E54" s="234" t="n"/>
      <c r="F54" s="230" t="n">
        <v>27</v>
      </c>
      <c r="G54" s="334" t="n"/>
      <c r="H54" s="333" t="n"/>
      <c r="I54" s="334" t="n"/>
      <c r="J54" s="27">
        <f>SUM(C54:I54)</f>
        <v/>
      </c>
      <c r="K54" s="768">
        <f>C54*34700</f>
        <v/>
      </c>
      <c r="L54" s="790">
        <f>D54*25400</f>
        <v/>
      </c>
      <c r="M54" s="770">
        <f>E54*25400</f>
        <v/>
      </c>
      <c r="N54" s="757">
        <f>F54*29500</f>
        <v/>
      </c>
      <c r="P54" s="771">
        <f>H54*29500</f>
        <v/>
      </c>
      <c r="R54" s="756">
        <f>SUM(K54:Q54)</f>
        <v/>
      </c>
      <c r="S54" s="756">
        <f>(C54+D54+E54+F54+I54+H54+G54)*13975</f>
        <v/>
      </c>
    </row>
    <row r="55">
      <c r="A55" s="51" t="inlineStr">
        <is>
          <t>S_아쥴렌</t>
        </is>
      </c>
      <c r="B55" s="704" t="inlineStr">
        <is>
          <t>P00000CU</t>
        </is>
      </c>
      <c r="C55" s="237" t="n"/>
      <c r="D55" s="235" t="n"/>
      <c r="E55" s="234" t="n"/>
      <c r="F55" s="230" t="n"/>
      <c r="G55" s="334" t="n"/>
      <c r="H55" s="333" t="n"/>
      <c r="I55" s="334" t="n"/>
      <c r="J55" s="27">
        <f>SUM(C55:I55)</f>
        <v/>
      </c>
      <c r="K55" s="768">
        <f>C55*34700</f>
        <v/>
      </c>
      <c r="L55" s="790">
        <f>D55*25400</f>
        <v/>
      </c>
      <c r="M55" s="770">
        <f>E55*25400</f>
        <v/>
      </c>
      <c r="N55" s="757">
        <f>F55*29500</f>
        <v/>
      </c>
      <c r="P55" s="771">
        <f>H55*29500</f>
        <v/>
      </c>
      <c r="R55" s="756">
        <f>SUM(K55:Q55)</f>
        <v/>
      </c>
      <c r="S55" s="756">
        <f>(C55+D55+E55+F55+I55+H55+G55)*13975</f>
        <v/>
      </c>
    </row>
    <row r="56">
      <c r="A56" s="51" t="inlineStr">
        <is>
          <t>S_액티브골드</t>
        </is>
      </c>
      <c r="B56" s="703" t="inlineStr">
        <is>
          <t>P00000CP</t>
        </is>
      </c>
      <c r="C56" s="233" t="n">
        <v>4</v>
      </c>
      <c r="D56" s="235" t="n"/>
      <c r="E56" s="234" t="n"/>
      <c r="F56" s="230" t="n">
        <v>28</v>
      </c>
      <c r="G56" s="334" t="n"/>
      <c r="H56" s="333" t="n"/>
      <c r="I56" s="334" t="n"/>
      <c r="J56" s="27">
        <f>SUM(C56:I56)</f>
        <v/>
      </c>
      <c r="K56" s="768">
        <f>C56*34700</f>
        <v/>
      </c>
      <c r="L56" s="790">
        <f>D56*25400</f>
        <v/>
      </c>
      <c r="M56" s="770">
        <f>E56*25400</f>
        <v/>
      </c>
      <c r="N56" s="757">
        <f>F56*29500</f>
        <v/>
      </c>
      <c r="P56" s="771">
        <f>H56*29500</f>
        <v/>
      </c>
      <c r="R56" s="756">
        <f>SUM(K56:Q56)</f>
        <v/>
      </c>
      <c r="S56" s="756">
        <f>(C56+D56+E56+F56+I56+H56+G56)*13434</f>
        <v/>
      </c>
    </row>
    <row r="57">
      <c r="A57" s="51" t="inlineStr">
        <is>
          <t>S_알로에</t>
        </is>
      </c>
      <c r="B57" s="703" t="inlineStr">
        <is>
          <t>P00000CS</t>
        </is>
      </c>
      <c r="C57" s="233" t="n">
        <v>19</v>
      </c>
      <c r="D57" s="235" t="n"/>
      <c r="E57" s="234" t="n">
        <v>15</v>
      </c>
      <c r="F57" s="230" t="n">
        <v>76</v>
      </c>
      <c r="G57" s="334" t="n"/>
      <c r="H57" s="333" t="n"/>
      <c r="I57" s="334" t="n"/>
      <c r="J57" s="27">
        <f>SUM(C57:I57)</f>
        <v/>
      </c>
      <c r="K57" s="768">
        <f>C57*34700</f>
        <v/>
      </c>
      <c r="L57" s="790">
        <f>D57*25400</f>
        <v/>
      </c>
      <c r="M57" s="770">
        <f>E57*25400</f>
        <v/>
      </c>
      <c r="N57" s="757">
        <f>F57*29500</f>
        <v/>
      </c>
      <c r="P57" s="771">
        <f>H57*29500</f>
        <v/>
      </c>
      <c r="R57" s="756">
        <f>SUM(K57:Q57)</f>
        <v/>
      </c>
      <c r="S57" s="756">
        <f>(C57+D57+E57+F57+I57+H57+G57)*13975</f>
        <v/>
      </c>
    </row>
    <row r="58">
      <c r="A58" s="51" t="inlineStr">
        <is>
          <t>S_아프리콧</t>
        </is>
      </c>
      <c r="B58" s="703" t="inlineStr">
        <is>
          <t>P00000CR</t>
        </is>
      </c>
      <c r="C58" s="237" t="n">
        <v>9</v>
      </c>
      <c r="D58" s="235" t="n"/>
      <c r="E58" s="234" t="n"/>
      <c r="F58" s="230" t="n">
        <v>26</v>
      </c>
      <c r="G58" s="334" t="n"/>
      <c r="H58" s="333" t="n"/>
      <c r="I58" s="334" t="n"/>
      <c r="J58" s="27">
        <f>SUM(C58:I58)</f>
        <v/>
      </c>
      <c r="K58" s="768">
        <f>C58*34700</f>
        <v/>
      </c>
      <c r="L58" s="790">
        <f>D58*25400</f>
        <v/>
      </c>
      <c r="M58" s="770">
        <f>E58*25400</f>
        <v/>
      </c>
      <c r="N58" s="757">
        <f>F58*29500</f>
        <v/>
      </c>
      <c r="P58" s="771">
        <f>H58*29500</f>
        <v/>
      </c>
      <c r="R58" s="756">
        <f>SUM(K58:Q58)</f>
        <v/>
      </c>
      <c r="S58" s="756">
        <f>(C58+D58+E58+F58+I58+H58+G58)*13434</f>
        <v/>
      </c>
    </row>
    <row r="59">
      <c r="A59" s="51" t="inlineStr">
        <is>
          <t>S_소여미</t>
        </is>
      </c>
      <c r="B59" s="703" t="inlineStr">
        <is>
          <t>P00000CV</t>
        </is>
      </c>
      <c r="C59" s="233" t="n"/>
      <c r="D59" s="235" t="n"/>
      <c r="E59" s="234" t="n"/>
      <c r="F59" s="230" t="n"/>
      <c r="G59" s="334" t="n"/>
      <c r="H59" s="333" t="n"/>
      <c r="I59" s="334" t="n"/>
      <c r="J59" s="27">
        <f>SUM(C59:I59)</f>
        <v/>
      </c>
      <c r="K59" s="768">
        <f>C59*34700</f>
        <v/>
      </c>
      <c r="L59" s="790">
        <f>D59*25400</f>
        <v/>
      </c>
      <c r="M59" s="770">
        <f>E59*25400</f>
        <v/>
      </c>
      <c r="N59" s="757">
        <f>F59*29500</f>
        <v/>
      </c>
      <c r="P59" s="771">
        <f>H59*29500</f>
        <v/>
      </c>
      <c r="R59" s="756">
        <f>SUM(K59:Q59)</f>
        <v/>
      </c>
      <c r="S59" s="756">
        <f>(C59+D59+E59+F59+I59+H59+G59)*13975</f>
        <v/>
      </c>
    </row>
    <row r="60">
      <c r="A60" s="51" t="n"/>
      <c r="B60" s="29" t="n"/>
      <c r="C60" s="35" t="n"/>
      <c r="D60" s="32" t="n"/>
      <c r="E60" s="33" t="n"/>
      <c r="F60" s="191" t="n"/>
      <c r="G60" s="53" t="n"/>
      <c r="H60" s="52" t="n"/>
      <c r="I60" s="53" t="n"/>
      <c r="J60" s="27">
        <f>SUM(C60:I60)</f>
        <v/>
      </c>
      <c r="K60" s="776" t="n"/>
      <c r="L60" s="790" t="n"/>
      <c r="M60" s="770" t="n"/>
      <c r="N60" s="771" t="n"/>
      <c r="P60" s="785" t="n"/>
    </row>
    <row r="61" customFormat="1" s="24">
      <c r="A61" s="455" t="inlineStr">
        <is>
          <t>총합계</t>
        </is>
      </c>
      <c r="B61" s="449" t="n"/>
      <c r="C61" s="450">
        <f>SUM(C48:C60)</f>
        <v/>
      </c>
      <c r="D61" s="450">
        <f>SUM(D48:D60)</f>
        <v/>
      </c>
      <c r="E61" s="450">
        <f>SUM(E48:E60)</f>
        <v/>
      </c>
      <c r="F61" s="453">
        <f>SUM(F48:F60)</f>
        <v/>
      </c>
      <c r="G61" s="453" t="n"/>
      <c r="H61" s="453">
        <f>SUM(H48:H60)</f>
        <v/>
      </c>
      <c r="I61" s="453">
        <f>SUM(I48:I60)</f>
        <v/>
      </c>
      <c r="J61" s="442">
        <f>SUM(J48:J60)</f>
        <v/>
      </c>
      <c r="K61" s="777">
        <f>SUM(K48:K60)</f>
        <v/>
      </c>
      <c r="L61" s="791">
        <f>SUM(L48:L60)</f>
        <v/>
      </c>
      <c r="M61" s="779">
        <f>SUM(M48:M60)</f>
        <v/>
      </c>
      <c r="N61" s="780">
        <f>SUM(N48:N60)</f>
        <v/>
      </c>
      <c r="O61" s="780">
        <f>SUM(O48:O60)</f>
        <v/>
      </c>
      <c r="P61" s="780">
        <f>SUM(P48:P60)</f>
        <v/>
      </c>
      <c r="Q61" s="780">
        <f>SUM(Q48:Q60)</f>
        <v/>
      </c>
      <c r="R61" s="781">
        <f>SUM(R48:R60)</f>
        <v/>
      </c>
      <c r="S61" s="782">
        <f>SUM(S48:S60)</f>
        <v/>
      </c>
    </row>
    <row r="62">
      <c r="A62" s="54" t="n"/>
      <c r="C62" s="14" t="inlineStr">
        <is>
          <t>도매</t>
        </is>
      </c>
      <c r="D62" s="55" t="inlineStr">
        <is>
          <t>인증살롱</t>
        </is>
      </c>
      <c r="E62" s="15" t="inlineStr">
        <is>
          <t>마스터</t>
        </is>
      </c>
      <c r="H62" s="416" t="n"/>
      <c r="J62" s="56" t="n"/>
      <c r="K62" s="789" t="n"/>
      <c r="P62" s="785" t="n"/>
    </row>
    <row r="63">
      <c r="A63" s="54" t="n"/>
      <c r="C63" s="14" t="n"/>
      <c r="D63" s="388" t="inlineStr">
        <is>
          <t>P00000VU</t>
        </is>
      </c>
      <c r="E63" s="15" t="inlineStr">
        <is>
          <t>P00000QG</t>
        </is>
      </c>
      <c r="F63" s="57" t="inlineStr">
        <is>
          <t>할인행사</t>
        </is>
      </c>
      <c r="G63" s="57" t="n"/>
      <c r="H63" s="200" t="n"/>
      <c r="I63" s="57" t="n"/>
      <c r="J63" s="58" t="inlineStr">
        <is>
          <t>합계</t>
        </is>
      </c>
      <c r="P63" s="785" t="n"/>
    </row>
    <row r="64">
      <c r="C64" s="18" t="n"/>
      <c r="D64" s="388" t="inlineStr">
        <is>
          <t>P00000VV</t>
        </is>
      </c>
      <c r="E64" s="15" t="inlineStr">
        <is>
          <t>P00000QH</t>
        </is>
      </c>
      <c r="F64" s="20" t="n"/>
      <c r="G64" s="45" t="n"/>
      <c r="H64" s="20" t="n"/>
      <c r="I64" s="20" t="n"/>
      <c r="J64" s="59" t="n"/>
      <c r="P64" s="785" t="n"/>
    </row>
    <row r="65" ht="24" customHeight="1" s="754">
      <c r="C65" s="18" t="inlineStr">
        <is>
          <t>5종미니</t>
        </is>
      </c>
      <c r="D65" s="55" t="inlineStr">
        <is>
          <t>P00000WO</t>
        </is>
      </c>
      <c r="E65" s="15" t="inlineStr">
        <is>
          <t>P00000UF</t>
        </is>
      </c>
      <c r="F65" s="20" t="inlineStr">
        <is>
          <t>P00000YU</t>
        </is>
      </c>
      <c r="G65" s="26" t="inlineStr">
        <is>
          <t>바디스타터키트</t>
        </is>
      </c>
      <c r="H65" s="193" t="n"/>
      <c r="I65" s="630" t="n"/>
      <c r="J65" s="60" t="n"/>
      <c r="P65" s="785" t="n"/>
    </row>
    <row r="66" ht="30" customHeight="1" s="754">
      <c r="C66" s="18" t="n"/>
      <c r="D66" s="55" t="inlineStr">
        <is>
          <t>P00000XC</t>
        </is>
      </c>
      <c r="E66" s="15" t="inlineStr">
        <is>
          <t>P00000WZ</t>
        </is>
      </c>
      <c r="F66" s="61" t="n"/>
      <c r="G66" s="630" t="n"/>
      <c r="H66" s="193" t="n"/>
      <c r="I66" s="630" t="n"/>
      <c r="J66" s="60" t="n"/>
      <c r="P66" s="785" t="n"/>
    </row>
    <row r="67">
      <c r="A67" s="24" t="inlineStr">
        <is>
          <t>전후처리제</t>
        </is>
      </c>
      <c r="C67" s="25" t="n"/>
      <c r="D67" s="55" t="n"/>
      <c r="E67" s="15" t="n"/>
      <c r="F67" s="62" t="n"/>
      <c r="G67" s="63" t="n"/>
      <c r="H67" s="201" t="n"/>
      <c r="I67" s="63" t="inlineStr">
        <is>
          <t>증정</t>
        </is>
      </c>
      <c r="J67" s="27" t="n"/>
      <c r="K67" s="763" t="inlineStr">
        <is>
          <t>도매</t>
        </is>
      </c>
      <c r="L67" s="764" t="inlineStr">
        <is>
          <t>인증살롱/마스터</t>
        </is>
      </c>
      <c r="M67" s="765" t="n"/>
      <c r="N67" s="766" t="inlineStr">
        <is>
          <t>할인</t>
        </is>
      </c>
      <c r="O67" s="766" t="inlineStr">
        <is>
          <t>세트할인</t>
        </is>
      </c>
      <c r="P67" s="766" t="inlineStr">
        <is>
          <t>할인+증정</t>
        </is>
      </c>
      <c r="Q67" s="767" t="n"/>
      <c r="R67" s="767" t="inlineStr">
        <is>
          <t>품목별합계</t>
        </is>
      </c>
      <c r="S67" s="767" t="inlineStr">
        <is>
          <t>원가</t>
        </is>
      </c>
    </row>
    <row r="68" customFormat="1" s="755">
      <c r="A68" s="115" t="inlineStr">
        <is>
          <t>스킨클렌저500</t>
        </is>
      </c>
      <c r="B68" s="703" t="inlineStr">
        <is>
          <t>P00000BP</t>
        </is>
      </c>
      <c r="C68" s="233" t="n">
        <v>102</v>
      </c>
      <c r="D68" s="235" t="n"/>
      <c r="E68" s="234" t="n">
        <v>15</v>
      </c>
      <c r="F68" s="322" t="n"/>
      <c r="G68" s="322" t="n"/>
      <c r="H68" s="236" t="n"/>
      <c r="I68" s="322" t="n"/>
      <c r="J68" s="35">
        <f>SUM(C68:I68)</f>
        <v/>
      </c>
      <c r="K68" s="792">
        <f>C68*25200</f>
        <v/>
      </c>
      <c r="L68" s="790">
        <f>D68*21000</f>
        <v/>
      </c>
      <c r="M68" s="770">
        <f>E68*21000</f>
        <v/>
      </c>
      <c r="N68" s="771" t="n"/>
      <c r="O68" s="771" t="n"/>
      <c r="P68" s="771" t="n"/>
      <c r="Q68" s="758" t="n"/>
      <c r="R68" s="756">
        <f>SUM(K68:Q68)</f>
        <v/>
      </c>
      <c r="S68" s="756">
        <f>(C68+D68+E68+F68+I68+G68+H68)*7032</f>
        <v/>
      </c>
    </row>
    <row r="69" customFormat="1" s="755">
      <c r="A69" s="115" t="inlineStr">
        <is>
          <t>스킨클렌저1000</t>
        </is>
      </c>
      <c r="B69" s="703" t="inlineStr">
        <is>
          <t>P0000BAJ</t>
        </is>
      </c>
      <c r="C69" s="237" t="n"/>
      <c r="D69" s="235" t="n"/>
      <c r="E69" s="234" t="n">
        <v>13</v>
      </c>
      <c r="F69" s="322" t="n"/>
      <c r="G69" s="322" t="n"/>
      <c r="H69" s="236" t="n"/>
      <c r="I69" s="322" t="n"/>
      <c r="J69" s="35">
        <f>SUM(C69:I69)</f>
        <v/>
      </c>
      <c r="K69" s="792">
        <f>C69*47000</f>
        <v/>
      </c>
      <c r="L69" s="790">
        <f>D69*39600</f>
        <v/>
      </c>
      <c r="M69" s="770">
        <f>E69*39600</f>
        <v/>
      </c>
      <c r="N69" s="771" t="n"/>
      <c r="O69" s="771" t="n"/>
      <c r="P69" s="771" t="n"/>
      <c r="Q69" s="758" t="n"/>
      <c r="R69" s="756">
        <f>SUM(K69:Q69)</f>
        <v/>
      </c>
      <c r="S69" s="756">
        <f>(C69+D69+E69+F69+I69+G69+H69)*11631</f>
        <v/>
      </c>
    </row>
    <row r="70" customFormat="1" s="755">
      <c r="A70" s="115" t="inlineStr">
        <is>
          <t>프리왁싱오일500</t>
        </is>
      </c>
      <c r="B70" s="703" t="inlineStr">
        <is>
          <t>P00000BQ</t>
        </is>
      </c>
      <c r="C70" s="233" t="n">
        <v>91</v>
      </c>
      <c r="D70" s="235" t="n"/>
      <c r="E70" s="234" t="n">
        <v>1</v>
      </c>
      <c r="F70" s="322" t="n"/>
      <c r="G70" s="322" t="n"/>
      <c r="H70" s="236" t="n"/>
      <c r="I70" s="322" t="n"/>
      <c r="J70" s="35">
        <f>SUM(C70:I70)</f>
        <v/>
      </c>
      <c r="K70" s="792">
        <f>C70*29400</f>
        <v/>
      </c>
      <c r="L70" s="790">
        <f>D70*25000</f>
        <v/>
      </c>
      <c r="M70" s="770">
        <f>E70*25000</f>
        <v/>
      </c>
      <c r="N70" s="771" t="n"/>
      <c r="O70" s="771" t="n"/>
      <c r="P70" s="771" t="n"/>
      <c r="Q70" s="758" t="n"/>
      <c r="R70" s="756">
        <f>SUM(K70:Q70)</f>
        <v/>
      </c>
      <c r="S70" s="756">
        <f>(C70+D70+E70+F70+I70+G70+H70)*8565</f>
        <v/>
      </c>
    </row>
    <row r="71" customFormat="1" s="755">
      <c r="A71" s="115" t="inlineStr">
        <is>
          <t>프리1000</t>
        </is>
      </c>
      <c r="B71" s="703" t="inlineStr">
        <is>
          <t>P0000BAJ</t>
        </is>
      </c>
      <c r="C71" s="233" t="n"/>
      <c r="D71" s="235" t="n"/>
      <c r="E71" s="234" t="n">
        <v>9</v>
      </c>
      <c r="F71" s="322" t="n"/>
      <c r="G71" s="322" t="n"/>
      <c r="H71" s="236" t="n"/>
      <c r="I71" s="322" t="n"/>
      <c r="J71" s="35">
        <f>SUM(C71:I71)</f>
        <v/>
      </c>
      <c r="K71" s="792">
        <f>C71*47000</f>
        <v/>
      </c>
      <c r="L71" s="790">
        <f>D71*39600</f>
        <v/>
      </c>
      <c r="M71" s="770">
        <f>E71*39600</f>
        <v/>
      </c>
      <c r="N71" s="771" t="n"/>
      <c r="O71" s="771" t="n"/>
      <c r="P71" s="771" t="n"/>
      <c r="Q71" s="758" t="n"/>
      <c r="R71" s="756">
        <f>SUM(K71:Q71)</f>
        <v/>
      </c>
      <c r="S71" s="756">
        <f>(C71+D71+E71+F71+I71+G71+H71)*13073</f>
        <v/>
      </c>
    </row>
    <row r="72" customFormat="1" s="755">
      <c r="A72" s="115" t="inlineStr">
        <is>
          <t>티트리퍼팩</t>
        </is>
      </c>
      <c r="B72" s="703" t="inlineStr">
        <is>
          <t>P00000BR</t>
        </is>
      </c>
      <c r="C72" s="233" t="n">
        <v>54</v>
      </c>
      <c r="D72" s="235" t="n"/>
      <c r="E72" s="234" t="n">
        <v>2</v>
      </c>
      <c r="F72" s="322" t="n"/>
      <c r="G72" s="322" t="n"/>
      <c r="H72" s="236" t="n"/>
      <c r="I72" s="322" t="n"/>
      <c r="J72" s="35">
        <f>SUM(C72:I72)</f>
        <v/>
      </c>
      <c r="K72" s="792">
        <f>C72*25200</f>
        <v/>
      </c>
      <c r="L72" s="790">
        <f>D72*21000</f>
        <v/>
      </c>
      <c r="M72" s="770">
        <f>E72*21000</f>
        <v/>
      </c>
      <c r="N72" s="771" t="n"/>
      <c r="O72" s="771" t="n"/>
      <c r="P72" s="771" t="n"/>
      <c r="Q72" s="758" t="n"/>
      <c r="R72" s="756">
        <f>SUM(K72:Q72)</f>
        <v/>
      </c>
      <c r="S72" s="756">
        <f>(C72+D72+E72+F72+I72+G72+H72)*7032</f>
        <v/>
      </c>
    </row>
    <row r="73" customFormat="1" s="755">
      <c r="A73" s="115" t="inlineStr">
        <is>
          <t>티트리수드500</t>
        </is>
      </c>
      <c r="B73" s="703" t="inlineStr">
        <is>
          <t>P00000BS</t>
        </is>
      </c>
      <c r="C73" s="233" t="n">
        <v>23</v>
      </c>
      <c r="D73" s="235" t="n"/>
      <c r="E73" s="234" t="n"/>
      <c r="F73" s="322" t="n"/>
      <c r="G73" s="322" t="n"/>
      <c r="H73" s="236" t="n"/>
      <c r="I73" s="322" t="n"/>
      <c r="J73" s="35">
        <f>SUM(C73:I73)</f>
        <v/>
      </c>
      <c r="K73" s="792">
        <f>C73*29400</f>
        <v/>
      </c>
      <c r="L73" s="790">
        <f>D73*25000</f>
        <v/>
      </c>
      <c r="M73" s="770">
        <f>E73*25000</f>
        <v/>
      </c>
      <c r="N73" s="771" t="n"/>
      <c r="O73" s="771" t="n"/>
      <c r="P73" s="771" t="n"/>
      <c r="Q73" s="758" t="n"/>
      <c r="R73" s="756">
        <f>SUM(K73:Q73)</f>
        <v/>
      </c>
      <c r="S73" s="756">
        <f>(C73+D73+E73+F73+I73+G73+H73)*8565</f>
        <v/>
      </c>
    </row>
    <row r="74" customFormat="1" s="755">
      <c r="A74" s="115" t="inlineStr">
        <is>
          <t>티트리수드1000</t>
        </is>
      </c>
      <c r="B74" s="703" t="inlineStr">
        <is>
          <t>P0000BAJ</t>
        </is>
      </c>
      <c r="C74" s="237" t="n"/>
      <c r="D74" s="235" t="n"/>
      <c r="E74" s="234" t="n">
        <v>1</v>
      </c>
      <c r="F74" s="322" t="n"/>
      <c r="G74" s="322" t="n"/>
      <c r="H74" s="236" t="n"/>
      <c r="I74" s="322" t="n"/>
      <c r="J74" s="35">
        <f>SUM(C74:I74)</f>
        <v/>
      </c>
      <c r="K74" s="792">
        <f>C74*47000</f>
        <v/>
      </c>
      <c r="L74" s="790">
        <f>D74*39600</f>
        <v/>
      </c>
      <c r="M74" s="770">
        <f>E74*39600</f>
        <v/>
      </c>
      <c r="N74" s="771" t="n"/>
      <c r="O74" s="771" t="n"/>
      <c r="P74" s="771" t="n"/>
      <c r="Q74" s="758" t="n"/>
      <c r="R74" s="756">
        <f>SUM(K74:Q74)</f>
        <v/>
      </c>
      <c r="S74" s="756">
        <f>(C74+D74+E74+F74+I74+G74+H74)*13073</f>
        <v/>
      </c>
    </row>
    <row r="75" customFormat="1" s="755">
      <c r="A75" s="115" t="inlineStr">
        <is>
          <t>수딩크림500</t>
        </is>
      </c>
      <c r="B75" s="703" t="inlineStr">
        <is>
          <t>P00000KP</t>
        </is>
      </c>
      <c r="C75" s="237" t="n">
        <v>6</v>
      </c>
      <c r="D75" s="235" t="n"/>
      <c r="E75" s="234" t="n"/>
      <c r="F75" s="322" t="n"/>
      <c r="G75" s="322" t="n"/>
      <c r="H75" s="236" t="n"/>
      <c r="I75" s="322" t="n"/>
      <c r="J75" s="35">
        <f>SUM(C75:I75)</f>
        <v/>
      </c>
      <c r="K75" s="792">
        <f>C75*29400</f>
        <v/>
      </c>
      <c r="L75" s="790">
        <f>D75*25000</f>
        <v/>
      </c>
      <c r="M75" s="770">
        <f>E75*25000</f>
        <v/>
      </c>
      <c r="N75" s="771" t="n"/>
      <c r="O75" s="771" t="n"/>
      <c r="P75" s="771" t="n"/>
      <c r="Q75" s="758" t="n"/>
      <c r="R75" s="756">
        <f>SUM(K75:Q75)</f>
        <v/>
      </c>
      <c r="S75" s="756">
        <f>(C75+D75+E75+F75+I75+G75+H75)*8926</f>
        <v/>
      </c>
    </row>
    <row r="76" customFormat="1" s="755">
      <c r="A76" s="115" t="inlineStr">
        <is>
          <t>솔벤트500</t>
        </is>
      </c>
      <c r="B76" s="703" t="inlineStr">
        <is>
          <t>P00000BT</t>
        </is>
      </c>
      <c r="C76" s="233" t="n">
        <v>10</v>
      </c>
      <c r="D76" s="235" t="n"/>
      <c r="E76" s="234" t="n"/>
      <c r="F76" s="322" t="n"/>
      <c r="G76" s="322" t="n"/>
      <c r="H76" s="236" t="n"/>
      <c r="I76" s="322" t="n"/>
      <c r="J76" s="35">
        <f>SUM(C76:I76)</f>
        <v/>
      </c>
      <c r="K76" s="792">
        <f>C76*25200</f>
        <v/>
      </c>
      <c r="L76" s="790">
        <f>D76*21000</f>
        <v/>
      </c>
      <c r="M76" s="770">
        <f>E76*21000</f>
        <v/>
      </c>
      <c r="N76" s="771" t="n"/>
      <c r="O76" s="771" t="n"/>
      <c r="P76" s="771" t="n"/>
      <c r="Q76" s="758" t="n"/>
      <c r="R76" s="756">
        <f>SUM(K76:Q76)</f>
        <v/>
      </c>
      <c r="S76" s="756">
        <f>(C76+D76+E76+F76+I76+G76+H76)*7032</f>
        <v/>
      </c>
    </row>
    <row r="77" customFormat="1" s="755">
      <c r="A77" s="115" t="inlineStr">
        <is>
          <t>솔벤트1000</t>
        </is>
      </c>
      <c r="B77" s="703" t="inlineStr">
        <is>
          <t>P0000BMW</t>
        </is>
      </c>
      <c r="C77" s="233" t="n">
        <v>7</v>
      </c>
      <c r="D77" s="235" t="n"/>
      <c r="E77" s="234" t="n">
        <v>1</v>
      </c>
      <c r="F77" s="322" t="n"/>
      <c r="G77" s="322" t="n"/>
      <c r="H77" s="236" t="n"/>
      <c r="I77" s="322" t="n"/>
      <c r="J77" s="35">
        <f>SUM(C77:I77)</f>
        <v/>
      </c>
      <c r="K77" s="793">
        <f>C77*47000</f>
        <v/>
      </c>
      <c r="L77" s="790">
        <f>D77*39600</f>
        <v/>
      </c>
      <c r="M77" s="770">
        <f>E77*39600</f>
        <v/>
      </c>
      <c r="N77" s="771" t="n"/>
      <c r="O77" s="771" t="n"/>
      <c r="P77" s="771" t="n"/>
      <c r="Q77" s="758" t="n"/>
      <c r="R77" s="756">
        <f>SUM(K77:Q77)</f>
        <v/>
      </c>
      <c r="S77" s="756">
        <f>(C77+D77+E77+F77+I77+G77+H77)*11631</f>
        <v/>
      </c>
    </row>
    <row r="78" customFormat="1" s="755">
      <c r="A78" s="115" t="inlineStr">
        <is>
          <t>핑키니스킨500</t>
        </is>
      </c>
      <c r="B78" s="703" t="inlineStr">
        <is>
          <t>P00000PN</t>
        </is>
      </c>
      <c r="C78" s="233" t="n">
        <v>15</v>
      </c>
      <c r="D78" s="235" t="n"/>
      <c r="E78" s="234" t="n">
        <v>22</v>
      </c>
      <c r="F78" s="322" t="n"/>
      <c r="G78" s="322" t="n"/>
      <c r="H78" s="236" t="n"/>
      <c r="I78" s="322" t="n"/>
      <c r="J78" s="35">
        <f>SUM(C78:I78)</f>
        <v/>
      </c>
      <c r="K78" s="792">
        <f>C78*29400</f>
        <v/>
      </c>
      <c r="L78" s="790">
        <f>D78*25000</f>
        <v/>
      </c>
      <c r="M78" s="770">
        <f>E78*25000</f>
        <v/>
      </c>
      <c r="N78" s="771" t="n"/>
      <c r="O78" s="771" t="n"/>
      <c r="P78" s="771" t="n"/>
      <c r="Q78" s="758" t="n"/>
      <c r="R78" s="756">
        <f>SUM(K78:Q78)</f>
        <v/>
      </c>
      <c r="S78" s="756">
        <f>(C78+D78+E78+F78+I78+G78+H78)*8926</f>
        <v/>
      </c>
    </row>
    <row r="79" customFormat="1" s="755">
      <c r="A79" s="115" t="inlineStr">
        <is>
          <t>핑키니프리500</t>
        </is>
      </c>
      <c r="B79" s="703" t="inlineStr">
        <is>
          <t>P00000PN</t>
        </is>
      </c>
      <c r="C79" s="233" t="n">
        <v>23</v>
      </c>
      <c r="D79" s="235" t="n"/>
      <c r="E79" s="234" t="n">
        <v>2</v>
      </c>
      <c r="F79" s="322" t="n"/>
      <c r="G79" s="322" t="n"/>
      <c r="H79" s="236" t="n"/>
      <c r="I79" s="322" t="n"/>
      <c r="J79" s="35">
        <f>SUM(C79:I79)</f>
        <v/>
      </c>
      <c r="K79" s="792">
        <f>C79*29400</f>
        <v/>
      </c>
      <c r="L79" s="790">
        <f>D79*25000</f>
        <v/>
      </c>
      <c r="M79" s="770">
        <f>E79*25000</f>
        <v/>
      </c>
      <c r="N79" s="771" t="n"/>
      <c r="O79" s="771" t="n"/>
      <c r="P79" s="771" t="n"/>
      <c r="Q79" s="758" t="n"/>
      <c r="R79" s="756">
        <f>SUM(K79:Q79)</f>
        <v/>
      </c>
      <c r="S79" s="756">
        <f>(C79+D79+E79+F79+I79+G79+H79)*8926</f>
        <v/>
      </c>
    </row>
    <row r="80" customFormat="1" s="755">
      <c r="A80" s="65" t="inlineStr">
        <is>
          <t>핑키니피니싱500</t>
        </is>
      </c>
      <c r="B80" s="692" t="inlineStr">
        <is>
          <t>P00000PN</t>
        </is>
      </c>
      <c r="C80" s="311" t="n">
        <v>8</v>
      </c>
      <c r="D80" s="335" t="n"/>
      <c r="E80" s="336" t="n">
        <v>3</v>
      </c>
      <c r="F80" s="337" t="n"/>
      <c r="G80" s="337" t="n"/>
      <c r="H80" s="338" t="n"/>
      <c r="I80" s="337" t="n"/>
      <c r="J80" s="35">
        <f>SUM(C80:I80)</f>
        <v/>
      </c>
      <c r="K80" s="792">
        <f>C80*29400</f>
        <v/>
      </c>
      <c r="L80" s="790">
        <f>D80*25000</f>
        <v/>
      </c>
      <c r="M80" s="770">
        <f>E80*25000</f>
        <v/>
      </c>
      <c r="N80" s="771" t="n"/>
      <c r="O80" s="771" t="n"/>
      <c r="P80" s="771" t="n"/>
      <c r="Q80" s="758" t="n"/>
      <c r="R80" s="756">
        <f>SUM(K80:Q80)</f>
        <v/>
      </c>
      <c r="S80" s="756">
        <f>(C80+D80+E80+F80+I80+G80+H80)*8926</f>
        <v/>
      </c>
    </row>
    <row r="81" customFormat="1" s="755">
      <c r="A81" s="115" t="inlineStr">
        <is>
          <t>5종미니125미리</t>
        </is>
      </c>
      <c r="B81" s="703" t="inlineStr">
        <is>
          <t>P00000BU</t>
        </is>
      </c>
      <c r="C81" s="233" t="n">
        <v>9</v>
      </c>
      <c r="D81" s="235" t="n"/>
      <c r="E81" s="234" t="n"/>
      <c r="F81" s="215" t="n"/>
      <c r="G81" s="322" t="n"/>
      <c r="H81" s="236" t="n"/>
      <c r="I81" s="322" t="n"/>
      <c r="J81" s="35">
        <f>SUM(C81:I81)</f>
        <v/>
      </c>
      <c r="K81" s="792">
        <f>C81*47000</f>
        <v/>
      </c>
      <c r="L81" s="790">
        <f>D81*35200</f>
        <v/>
      </c>
      <c r="M81" s="770">
        <f>E81*35200</f>
        <v/>
      </c>
      <c r="N81" s="771" t="n"/>
      <c r="O81" s="771">
        <f>F81*37600</f>
        <v/>
      </c>
      <c r="P81" s="771" t="n"/>
      <c r="Q81" s="758" t="n"/>
      <c r="R81" s="756">
        <f>SUM(K81:Q81)</f>
        <v/>
      </c>
      <c r="S81" s="756">
        <f>(C81+D81+E81+F81+I81+G81+H81)*18934</f>
        <v/>
      </c>
    </row>
    <row r="82" customFormat="1" s="755">
      <c r="A82" s="115" t="inlineStr">
        <is>
          <t>맨니스킨250</t>
        </is>
      </c>
      <c r="B82" s="380" t="inlineStr">
        <is>
          <t>P00000XD</t>
        </is>
      </c>
      <c r="C82" s="233" t="n">
        <v>3</v>
      </c>
      <c r="D82" s="235" t="n"/>
      <c r="E82" s="234" t="n"/>
      <c r="F82" s="230" t="n"/>
      <c r="G82" s="322" t="n"/>
      <c r="H82" s="236" t="n"/>
      <c r="I82" s="230" t="n"/>
      <c r="J82" s="35">
        <f>SUM(C82:I82)</f>
        <v/>
      </c>
      <c r="K82" s="793">
        <f>C82*16800</f>
        <v/>
      </c>
      <c r="L82" s="790">
        <f>D82*12100</f>
        <v/>
      </c>
      <c r="M82" s="770">
        <f>E82*12100</f>
        <v/>
      </c>
      <c r="N82" s="771" t="n"/>
      <c r="O82" s="771">
        <f>F82*9000</f>
        <v/>
      </c>
      <c r="P82" s="771" t="n"/>
      <c r="Q82" s="758" t="n"/>
      <c r="R82" s="756">
        <f>SUM(K82:Q82)</f>
        <v/>
      </c>
      <c r="S82" s="756">
        <f>(C82+D82+E82+F82+I82+G82+H82)*5319</f>
        <v/>
      </c>
    </row>
    <row r="83">
      <c r="A83" s="115" t="inlineStr">
        <is>
          <t>맨니오일250</t>
        </is>
      </c>
      <c r="B83" s="380" t="inlineStr">
        <is>
          <t>P00000XD</t>
        </is>
      </c>
      <c r="C83" s="237" t="n">
        <v>3</v>
      </c>
      <c r="D83" s="235" t="n"/>
      <c r="E83" s="234" t="n"/>
      <c r="F83" s="230" t="n"/>
      <c r="G83" s="322" t="n"/>
      <c r="H83" s="236" t="n"/>
      <c r="I83" s="230" t="n"/>
      <c r="J83" s="35">
        <f>SUM(C83:I83)</f>
        <v/>
      </c>
      <c r="K83" s="793">
        <f>C83*16800</f>
        <v/>
      </c>
      <c r="L83" s="790">
        <f>D83*12100</f>
        <v/>
      </c>
      <c r="M83" s="770">
        <f>E83*12100</f>
        <v/>
      </c>
      <c r="N83" s="771" t="n"/>
      <c r="O83" s="771">
        <f>F83*9000</f>
        <v/>
      </c>
      <c r="P83" s="771" t="n"/>
      <c r="R83" s="756">
        <f>SUM(K83:Q83)</f>
        <v/>
      </c>
      <c r="S83" s="756">
        <f>(C83+D83+E83+F83+I83+G83+H83)*5319</f>
        <v/>
      </c>
    </row>
    <row r="84">
      <c r="A84" s="115" t="inlineStr">
        <is>
          <t>맨니피니싱250</t>
        </is>
      </c>
      <c r="B84" s="380" t="inlineStr">
        <is>
          <t>P00000XD</t>
        </is>
      </c>
      <c r="C84" s="233" t="n">
        <v>4</v>
      </c>
      <c r="D84" s="235" t="n"/>
      <c r="E84" s="234" t="n"/>
      <c r="F84" s="230" t="n"/>
      <c r="G84" s="322" t="n"/>
      <c r="H84" s="236" t="n"/>
      <c r="I84" s="230" t="n"/>
      <c r="J84" s="35">
        <f>SUM(C84:I84)</f>
        <v/>
      </c>
      <c r="K84" s="793">
        <f>C84*16800</f>
        <v/>
      </c>
      <c r="L84" s="790">
        <f>D84*12100</f>
        <v/>
      </c>
      <c r="M84" s="770">
        <f>E84*12100</f>
        <v/>
      </c>
      <c r="N84" s="771" t="n"/>
      <c r="O84" s="771">
        <f>F84*9000</f>
        <v/>
      </c>
      <c r="P84" s="771" t="n"/>
      <c r="R84" s="756">
        <f>SUM(K84:Q84)</f>
        <v/>
      </c>
      <c r="S84" s="756">
        <f>(C84+D84+E84+F84+I84+G84+H84)*5319</f>
        <v/>
      </c>
    </row>
    <row r="85" customFormat="1" s="24">
      <c r="A85" s="68" t="n"/>
      <c r="B85" s="69" t="n"/>
      <c r="C85" s="70" t="inlineStr">
        <is>
          <t>도매</t>
        </is>
      </c>
      <c r="D85" s="9" t="inlineStr">
        <is>
          <t>인증살롱</t>
        </is>
      </c>
      <c r="E85" s="10" t="inlineStr">
        <is>
          <t>마스터</t>
        </is>
      </c>
      <c r="F85" s="12" t="inlineStr">
        <is>
          <t>할인행사</t>
        </is>
      </c>
      <c r="G85" s="12" t="n"/>
      <c r="H85" s="695" t="inlineStr">
        <is>
          <t>증정행사</t>
        </is>
      </c>
      <c r="I85" s="765" t="n"/>
      <c r="J85" s="639" t="inlineStr">
        <is>
          <t>합계</t>
        </is>
      </c>
      <c r="K85" s="777">
        <f>SUM(K68:K84)</f>
        <v/>
      </c>
      <c r="L85" s="791">
        <f>SUM(L68:L84)</f>
        <v/>
      </c>
      <c r="M85" s="779">
        <f>SUM(M68:M84)</f>
        <v/>
      </c>
      <c r="N85" s="780">
        <f>SUM(N68:N84)</f>
        <v/>
      </c>
      <c r="O85" s="780">
        <f>SUM(O68:O84)</f>
        <v/>
      </c>
      <c r="P85" s="780">
        <f>SUM(P68:P84)</f>
        <v/>
      </c>
      <c r="Q85" s="777">
        <f>SUM(Q68:Q84)</f>
        <v/>
      </c>
      <c r="R85" s="781">
        <f>SUM(R68:R84)</f>
        <v/>
      </c>
      <c r="S85" s="782">
        <f>SUM(S68:S84)</f>
        <v/>
      </c>
    </row>
    <row r="86">
      <c r="C86" s="14" t="n"/>
      <c r="D86" s="388" t="inlineStr">
        <is>
          <t>P00000WC</t>
        </is>
      </c>
      <c r="E86" s="15" t="inlineStr">
        <is>
          <t>P00000QP</t>
        </is>
      </c>
      <c r="F86" s="45" t="inlineStr">
        <is>
          <t>P00000VP</t>
        </is>
      </c>
      <c r="G86" s="7" t="inlineStr">
        <is>
          <t>라2,코코3</t>
        </is>
      </c>
      <c r="H86" s="20" t="n"/>
      <c r="I86" s="157" t="n"/>
      <c r="J86" s="17" t="n"/>
      <c r="L86" s="790" t="n"/>
      <c r="M86" s="770" t="n"/>
      <c r="P86" s="785" t="n"/>
    </row>
    <row r="87">
      <c r="A87" s="24" t="inlineStr">
        <is>
          <t>슈거스크럽</t>
        </is>
      </c>
      <c r="C87" s="18" t="n"/>
      <c r="D87" s="389" t="inlineStr">
        <is>
          <t>P00000WE</t>
        </is>
      </c>
      <c r="E87" s="19" t="inlineStr">
        <is>
          <t>P00000QQ</t>
        </is>
      </c>
      <c r="F87" s="71" t="inlineStr">
        <is>
          <t>미니묶음</t>
        </is>
      </c>
      <c r="G87" s="71" t="inlineStr">
        <is>
          <t>석3,자2</t>
        </is>
      </c>
      <c r="H87" s="203" t="n"/>
      <c r="I87" s="71" t="n"/>
      <c r="J87" s="72" t="n"/>
      <c r="K87" s="763" t="inlineStr">
        <is>
          <t>도매</t>
        </is>
      </c>
      <c r="L87" s="764" t="inlineStr">
        <is>
          <t>인증살롱/마스터</t>
        </is>
      </c>
      <c r="M87" s="765" t="n"/>
      <c r="N87" s="766" t="inlineStr">
        <is>
          <t>할인</t>
        </is>
      </c>
      <c r="O87" s="766" t="inlineStr">
        <is>
          <t>세트할인</t>
        </is>
      </c>
      <c r="P87" s="766" t="inlineStr">
        <is>
          <t>할인+증정</t>
        </is>
      </c>
      <c r="Q87" s="794" t="inlineStr">
        <is>
          <t>증정</t>
        </is>
      </c>
      <c r="R87" s="767" t="inlineStr">
        <is>
          <t>품목별합계</t>
        </is>
      </c>
      <c r="S87" s="795" t="inlineStr">
        <is>
          <t>도매,마스터원가</t>
        </is>
      </c>
    </row>
    <row r="88">
      <c r="A88" s="79" t="inlineStr">
        <is>
          <t>석류520</t>
        </is>
      </c>
      <c r="B88" s="703" t="inlineStr">
        <is>
          <t>P00000BN</t>
        </is>
      </c>
      <c r="C88" s="233" t="n">
        <v>71</v>
      </c>
      <c r="D88" s="538" t="n"/>
      <c r="E88" s="234" t="n">
        <v>3</v>
      </c>
      <c r="F88" s="230" t="n"/>
      <c r="G88" s="322" t="n"/>
      <c r="H88" s="230" t="n"/>
      <c r="I88" s="230" t="n"/>
      <c r="J88" s="35">
        <f>SUM(C88:I88)</f>
        <v/>
      </c>
      <c r="K88" s="792">
        <f>C88*18900</f>
        <v/>
      </c>
      <c r="L88" s="790">
        <f>D88*15400</f>
        <v/>
      </c>
      <c r="M88" s="770">
        <f>E88*15400</f>
        <v/>
      </c>
      <c r="N88" s="771" t="n"/>
      <c r="O88" s="771" t="n"/>
      <c r="P88" s="796">
        <f>H88*18000</f>
        <v/>
      </c>
      <c r="Q88" s="797" t="n"/>
      <c r="R88" s="756">
        <f>SUM(K88:Q88)</f>
        <v/>
      </c>
      <c r="S88" s="756">
        <f>J88*7734</f>
        <v/>
      </c>
    </row>
    <row r="89">
      <c r="A89" s="79" t="inlineStr">
        <is>
          <t>자몽520</t>
        </is>
      </c>
      <c r="B89" s="703" t="inlineStr">
        <is>
          <t>P00000BN</t>
        </is>
      </c>
      <c r="C89" s="233" t="n">
        <v>82</v>
      </c>
      <c r="D89" s="235" t="n"/>
      <c r="E89" s="234" t="n">
        <v>16</v>
      </c>
      <c r="F89" s="230" t="n"/>
      <c r="G89" s="322" t="n"/>
      <c r="H89" s="230" t="n"/>
      <c r="I89" s="230" t="n"/>
      <c r="J89" s="35">
        <f>SUM(C89:I89)</f>
        <v/>
      </c>
      <c r="K89" s="792">
        <f>C89*18900</f>
        <v/>
      </c>
      <c r="L89" s="790">
        <f>D89*15400</f>
        <v/>
      </c>
      <c r="M89" s="770">
        <f>E89*15400</f>
        <v/>
      </c>
      <c r="N89" s="771" t="n"/>
      <c r="O89" s="771" t="n"/>
      <c r="P89" s="796">
        <f>H89*18000</f>
        <v/>
      </c>
      <c r="Q89" s="797" t="n"/>
      <c r="R89" s="756">
        <f>SUM(K89:Q89)</f>
        <v/>
      </c>
      <c r="S89" s="756">
        <f>J89*7734</f>
        <v/>
      </c>
    </row>
    <row r="90">
      <c r="A90" s="79" t="inlineStr">
        <is>
          <t>라벤더520</t>
        </is>
      </c>
      <c r="B90" s="703" t="inlineStr">
        <is>
          <t>P00000BN</t>
        </is>
      </c>
      <c r="C90" s="233" t="n">
        <v>72</v>
      </c>
      <c r="D90" s="235" t="n"/>
      <c r="E90" s="234" t="n">
        <v>3</v>
      </c>
      <c r="F90" s="230" t="n"/>
      <c r="G90" s="322" t="n"/>
      <c r="H90" s="230" t="n"/>
      <c r="I90" s="230" t="n"/>
      <c r="J90" s="35">
        <f>SUM(C90:I90)</f>
        <v/>
      </c>
      <c r="K90" s="792">
        <f>C90*18900</f>
        <v/>
      </c>
      <c r="L90" s="790">
        <f>D90*15400</f>
        <v/>
      </c>
      <c r="M90" s="770">
        <f>E90*15400</f>
        <v/>
      </c>
      <c r="N90" s="771" t="n"/>
      <c r="O90" s="771" t="n"/>
      <c r="P90" s="796">
        <f>H90*18000</f>
        <v/>
      </c>
      <c r="Q90" s="797" t="n"/>
      <c r="R90" s="756">
        <f>SUM(K90:Q90)</f>
        <v/>
      </c>
      <c r="S90" s="756">
        <f>J90*7734</f>
        <v/>
      </c>
    </row>
    <row r="91">
      <c r="A91" s="79" t="inlineStr">
        <is>
          <t>코코넛520</t>
        </is>
      </c>
      <c r="B91" s="703" t="inlineStr">
        <is>
          <t>P00000BN</t>
        </is>
      </c>
      <c r="C91" s="233" t="n">
        <v>71</v>
      </c>
      <c r="D91" s="235" t="n"/>
      <c r="E91" s="234" t="n">
        <v>2</v>
      </c>
      <c r="F91" s="230" t="n"/>
      <c r="G91" s="322" t="n"/>
      <c r="H91" s="230" t="n"/>
      <c r="I91" s="230" t="n"/>
      <c r="J91" s="35">
        <f>SUM(C91:I91)</f>
        <v/>
      </c>
      <c r="K91" s="792">
        <f>C91*18900</f>
        <v/>
      </c>
      <c r="L91" s="790">
        <f>D91*15400</f>
        <v/>
      </c>
      <c r="M91" s="770">
        <f>E91*15400</f>
        <v/>
      </c>
      <c r="N91" s="771" t="n"/>
      <c r="O91" s="771" t="n"/>
      <c r="P91" s="796">
        <f>H91*18000</f>
        <v/>
      </c>
      <c r="Q91" s="797" t="n"/>
      <c r="R91" s="756">
        <f>SUM(K91:Q91)</f>
        <v/>
      </c>
      <c r="S91" s="756">
        <f>J91*7734</f>
        <v/>
      </c>
    </row>
    <row r="92">
      <c r="A92" s="79" t="inlineStr">
        <is>
          <t>애플520</t>
        </is>
      </c>
      <c r="B92" s="703" t="inlineStr">
        <is>
          <t>P00000BN</t>
        </is>
      </c>
      <c r="C92" s="233" t="n">
        <v>46</v>
      </c>
      <c r="D92" s="235" t="n"/>
      <c r="E92" s="234" t="n">
        <v>6</v>
      </c>
      <c r="F92" s="230" t="n"/>
      <c r="G92" s="322" t="n"/>
      <c r="H92" s="230" t="n"/>
      <c r="I92" s="230" t="n"/>
      <c r="J92" s="35">
        <f>SUM(C92:I92)</f>
        <v/>
      </c>
      <c r="K92" s="792">
        <f>C92*18900</f>
        <v/>
      </c>
      <c r="L92" s="790">
        <f>D92*15400</f>
        <v/>
      </c>
      <c r="M92" s="770">
        <f>E92*15400</f>
        <v/>
      </c>
      <c r="N92" s="771" t="n"/>
      <c r="O92" s="771" t="n"/>
      <c r="P92" s="796">
        <f>H92*18000</f>
        <v/>
      </c>
      <c r="Q92" s="797" t="n"/>
      <c r="R92" s="756">
        <f>SUM(K92:Q92)</f>
        <v/>
      </c>
      <c r="S92" s="756">
        <f>J92*7734</f>
        <v/>
      </c>
    </row>
    <row r="93">
      <c r="A93" s="79" t="inlineStr">
        <is>
          <t>망고520</t>
        </is>
      </c>
      <c r="B93" s="703" t="inlineStr">
        <is>
          <t>P00000BN</t>
        </is>
      </c>
      <c r="C93" s="233" t="n">
        <v>38</v>
      </c>
      <c r="D93" s="235" t="n"/>
      <c r="E93" s="234" t="n">
        <v>6</v>
      </c>
      <c r="F93" s="230" t="n"/>
      <c r="G93" s="322" t="n"/>
      <c r="H93" s="230" t="n"/>
      <c r="I93" s="230" t="n"/>
      <c r="J93" s="35">
        <f>SUM(C93:I93)</f>
        <v/>
      </c>
      <c r="K93" s="792">
        <f>C93*18900</f>
        <v/>
      </c>
      <c r="L93" s="790">
        <f>D93*15400</f>
        <v/>
      </c>
      <c r="M93" s="770">
        <f>E93*15400</f>
        <v/>
      </c>
      <c r="N93" s="771" t="n"/>
      <c r="O93" s="771" t="n"/>
      <c r="P93" s="796">
        <f>H93*18000</f>
        <v/>
      </c>
      <c r="Q93" s="797" t="n"/>
      <c r="R93" s="756">
        <f>SUM(K93:Q93)</f>
        <v/>
      </c>
      <c r="S93" s="756">
        <f>J93*7734</f>
        <v/>
      </c>
    </row>
    <row r="94">
      <c r="A94" s="79" t="inlineStr">
        <is>
          <t>석류100</t>
        </is>
      </c>
      <c r="B94" s="703" t="inlineStr">
        <is>
          <t>P00000OG</t>
        </is>
      </c>
      <c r="C94" s="233" t="n">
        <v>43</v>
      </c>
      <c r="D94" s="235" t="n"/>
      <c r="E94" s="531" t="n">
        <v>19</v>
      </c>
      <c r="F94" s="230" t="n">
        <v>540</v>
      </c>
      <c r="G94" s="322" t="n"/>
      <c r="H94" s="236" t="n"/>
      <c r="I94" s="242" t="n"/>
      <c r="J94" s="35">
        <f>SUM(C94:I94)</f>
        <v/>
      </c>
      <c r="K94" s="792">
        <f>C94*8400</f>
        <v/>
      </c>
      <c r="L94" s="790">
        <f>D94*6600</f>
        <v/>
      </c>
      <c r="M94" s="770">
        <f>E94*6600</f>
        <v/>
      </c>
      <c r="N94" s="771">
        <f>F94*6720</f>
        <v/>
      </c>
      <c r="O94" s="771" t="n"/>
      <c r="P94" s="771" t="n"/>
      <c r="Q94" s="797" t="n"/>
      <c r="R94" s="756">
        <f>SUM(K94:Q94)</f>
        <v/>
      </c>
      <c r="S94" s="756">
        <f>J94*2880</f>
        <v/>
      </c>
    </row>
    <row r="95">
      <c r="A95" s="79" t="inlineStr">
        <is>
          <t>자몽100</t>
        </is>
      </c>
      <c r="B95" s="703" t="inlineStr">
        <is>
          <t>P00000OG</t>
        </is>
      </c>
      <c r="C95" s="233" t="n">
        <v>62</v>
      </c>
      <c r="D95" s="235" t="n"/>
      <c r="E95" s="234" t="n">
        <v>99</v>
      </c>
      <c r="F95" s="230" t="n">
        <v>360</v>
      </c>
      <c r="G95" s="322" t="n"/>
      <c r="H95" s="236" t="n"/>
      <c r="I95" s="330" t="n"/>
      <c r="J95" s="35">
        <f>SUM(C95:I95)</f>
        <v/>
      </c>
      <c r="K95" s="792">
        <f>C95*8400</f>
        <v/>
      </c>
      <c r="L95" s="790">
        <f>D95*6600</f>
        <v/>
      </c>
      <c r="M95" s="770">
        <f>E95*6600</f>
        <v/>
      </c>
      <c r="N95" s="771">
        <f>F95*6720</f>
        <v/>
      </c>
      <c r="O95" s="771" t="n"/>
      <c r="P95" s="771" t="n"/>
      <c r="Q95" s="797" t="n"/>
      <c r="R95" s="756">
        <f>SUM(K95:Q95)</f>
        <v/>
      </c>
      <c r="S95" s="756">
        <f>J95*2880</f>
        <v/>
      </c>
    </row>
    <row r="96">
      <c r="A96" s="79" t="inlineStr">
        <is>
          <t>라벤더100</t>
        </is>
      </c>
      <c r="B96" s="703" t="inlineStr">
        <is>
          <t>P00000OG</t>
        </is>
      </c>
      <c r="C96" s="233" t="n">
        <v>99</v>
      </c>
      <c r="D96" s="235" t="n"/>
      <c r="E96" s="234" t="n">
        <v>29</v>
      </c>
      <c r="F96" s="230" t="n">
        <v>360</v>
      </c>
      <c r="G96" s="322" t="n"/>
      <c r="H96" s="236" t="n"/>
      <c r="I96" s="242" t="n"/>
      <c r="J96" s="35">
        <f>SUM(C96:I96)</f>
        <v/>
      </c>
      <c r="K96" s="792">
        <f>C96*8400</f>
        <v/>
      </c>
      <c r="L96" s="790">
        <f>D96*6600</f>
        <v/>
      </c>
      <c r="M96" s="770">
        <f>E96*6600</f>
        <v/>
      </c>
      <c r="N96" s="771">
        <f>F96*6720</f>
        <v/>
      </c>
      <c r="O96" s="771" t="n"/>
      <c r="P96" s="771" t="n"/>
      <c r="Q96" s="797" t="n"/>
      <c r="R96" s="756">
        <f>SUM(K96:Q96)</f>
        <v/>
      </c>
      <c r="S96" s="756">
        <f>J96*2880</f>
        <v/>
      </c>
    </row>
    <row r="97">
      <c r="A97" s="79" t="inlineStr">
        <is>
          <t>코코넛100</t>
        </is>
      </c>
      <c r="B97" s="703" t="inlineStr">
        <is>
          <t>P00000OG</t>
        </is>
      </c>
      <c r="C97" s="233" t="n">
        <v>52</v>
      </c>
      <c r="D97" s="235" t="n"/>
      <c r="E97" s="234" t="n">
        <v>15</v>
      </c>
      <c r="F97" s="230" t="n">
        <v>540</v>
      </c>
      <c r="G97" s="322" t="n"/>
      <c r="H97" s="236" t="n"/>
      <c r="I97" s="242" t="n"/>
      <c r="J97" s="35">
        <f>SUM(C97:I97)</f>
        <v/>
      </c>
      <c r="K97" s="792">
        <f>C97*8400</f>
        <v/>
      </c>
      <c r="L97" s="790">
        <f>D97*6600</f>
        <v/>
      </c>
      <c r="M97" s="770">
        <f>E97*6600</f>
        <v/>
      </c>
      <c r="N97" s="771">
        <f>F97*6720</f>
        <v/>
      </c>
      <c r="O97" s="771" t="n"/>
      <c r="P97" s="771" t="n"/>
      <c r="Q97" s="797" t="n"/>
      <c r="R97" s="756">
        <f>SUM(K97:Q97)</f>
        <v/>
      </c>
      <c r="S97" s="756">
        <f>J97*2880</f>
        <v/>
      </c>
    </row>
    <row r="98">
      <c r="A98" s="79" t="inlineStr">
        <is>
          <t>애플100</t>
        </is>
      </c>
      <c r="B98" s="703" t="inlineStr">
        <is>
          <t>P00000OG</t>
        </is>
      </c>
      <c r="C98" s="233" t="n">
        <v>56</v>
      </c>
      <c r="D98" s="235" t="n"/>
      <c r="E98" s="234" t="n">
        <v>19</v>
      </c>
      <c r="F98" s="230" t="n"/>
      <c r="G98" s="322" t="n"/>
      <c r="H98" s="236" t="n"/>
      <c r="I98" s="330" t="n"/>
      <c r="J98" s="35">
        <f>SUM(C98:I98)</f>
        <v/>
      </c>
      <c r="K98" s="792">
        <f>C98*8400</f>
        <v/>
      </c>
      <c r="L98" s="790">
        <f>D98*6600</f>
        <v/>
      </c>
      <c r="M98" s="770">
        <f>E98*6600</f>
        <v/>
      </c>
      <c r="N98" s="771">
        <f>F98*6720</f>
        <v/>
      </c>
      <c r="O98" s="771" t="n"/>
      <c r="P98" s="771" t="n"/>
      <c r="Q98" s="797" t="n"/>
      <c r="R98" s="756">
        <f>SUM(K98:Q98)</f>
        <v/>
      </c>
      <c r="S98" s="756">
        <f>J98*2880</f>
        <v/>
      </c>
    </row>
    <row r="99">
      <c r="A99" s="423" t="inlineStr">
        <is>
          <t>망고100</t>
        </is>
      </c>
      <c r="B99" s="692" t="inlineStr">
        <is>
          <t>P00000OG</t>
        </is>
      </c>
      <c r="C99" s="311" t="n">
        <v>33</v>
      </c>
      <c r="D99" s="335" t="n"/>
      <c r="E99" s="336" t="n">
        <v>69</v>
      </c>
      <c r="F99" s="424" t="n"/>
      <c r="G99" s="337" t="n"/>
      <c r="H99" s="338" t="n"/>
      <c r="I99" s="425" t="n"/>
      <c r="J99" s="66">
        <f>SUM(C99:I99)</f>
        <v/>
      </c>
      <c r="K99" s="792">
        <f>C99*8400</f>
        <v/>
      </c>
      <c r="L99" s="790">
        <f>D99*6600</f>
        <v/>
      </c>
      <c r="M99" s="770">
        <f>E99*6600</f>
        <v/>
      </c>
      <c r="N99" s="771">
        <f>F99*6720</f>
        <v/>
      </c>
      <c r="O99" s="771" t="n"/>
      <c r="P99" s="771" t="n"/>
      <c r="Q99" s="797" t="n"/>
      <c r="R99" s="756">
        <f>SUM(K99:Q99)</f>
        <v/>
      </c>
      <c r="S99" s="756">
        <f>J99*2880</f>
        <v/>
      </c>
    </row>
    <row r="100" customFormat="1" s="24">
      <c r="A100" s="81" t="inlineStr">
        <is>
          <t>520g합계</t>
        </is>
      </c>
      <c r="B100" s="703" t="n"/>
      <c r="C100" s="233">
        <f>SUM(C88:C99)</f>
        <v/>
      </c>
      <c r="D100" s="235">
        <f>SUM(D88:D99)</f>
        <v/>
      </c>
      <c r="E100" s="234">
        <f>SUM(E88:E99)</f>
        <v/>
      </c>
      <c r="F100" s="230">
        <f>SUM(F88:F93)</f>
        <v/>
      </c>
      <c r="G100" s="230">
        <f>SUM(G88:G93)</f>
        <v/>
      </c>
      <c r="H100" s="230">
        <f>SUM(H88:H93)</f>
        <v/>
      </c>
      <c r="I100" s="422">
        <f>SUM(I88:I93)</f>
        <v/>
      </c>
      <c r="J100" s="422">
        <f>SUM(J88:J93)</f>
        <v/>
      </c>
      <c r="K100" s="798">
        <f>SUM(K88:K93)</f>
        <v/>
      </c>
      <c r="L100" s="799">
        <f>SUM(L88:L93)</f>
        <v/>
      </c>
      <c r="M100" s="800">
        <f>SUM(M88:M93)</f>
        <v/>
      </c>
      <c r="N100" s="801">
        <f>SUM(N88:N93)</f>
        <v/>
      </c>
      <c r="O100" s="801">
        <f>SUM(O88:O93)</f>
        <v/>
      </c>
      <c r="P100" s="801">
        <f>SUM(P88:P93)</f>
        <v/>
      </c>
      <c r="Q100" s="802">
        <f>SUM(Q88:Q93)</f>
        <v/>
      </c>
      <c r="R100" s="803" t="n"/>
      <c r="S100" s="803" t="n"/>
    </row>
    <row r="101">
      <c r="A101" s="81" t="inlineStr">
        <is>
          <t>미니100ml합계</t>
        </is>
      </c>
      <c r="B101" s="73" t="n"/>
      <c r="C101" s="35">
        <f>SUM(C94:C99)</f>
        <v/>
      </c>
      <c r="D101" s="32">
        <f>SUM(D94:D99)</f>
        <v/>
      </c>
      <c r="E101" s="33">
        <f>SUM(E94:E99)</f>
        <v/>
      </c>
      <c r="F101" s="191">
        <f>SUM(F94:F99)</f>
        <v/>
      </c>
      <c r="G101" s="191" t="n"/>
      <c r="H101" s="191">
        <f>SUM(H94:H99)</f>
        <v/>
      </c>
      <c r="I101" s="41">
        <f>SUM(I88:I93)</f>
        <v/>
      </c>
      <c r="J101" s="438">
        <f>SUM(J94:J99)</f>
        <v/>
      </c>
      <c r="K101" s="804">
        <f>SUM(K94:K99)</f>
        <v/>
      </c>
      <c r="L101" s="805">
        <f>SUM(L94:L99)</f>
        <v/>
      </c>
      <c r="M101" s="806">
        <f>SUM(M94:M99)</f>
        <v/>
      </c>
      <c r="N101" s="807">
        <f>SUM(N94:N99)</f>
        <v/>
      </c>
      <c r="O101" s="807">
        <f>SUM(O94:O99)</f>
        <v/>
      </c>
      <c r="P101" s="807">
        <f>SUM(P94:P99)</f>
        <v/>
      </c>
      <c r="Q101" s="808" t="n"/>
      <c r="R101" s="809" t="n"/>
      <c r="S101" s="809" t="n"/>
    </row>
    <row r="102" customFormat="1" s="24">
      <c r="B102" s="74" t="n"/>
      <c r="C102" s="74" t="n"/>
      <c r="D102" s="9" t="n"/>
      <c r="E102" s="10" t="n"/>
      <c r="F102" s="12" t="n"/>
      <c r="G102" s="12" t="n"/>
      <c r="H102" s="192" t="n"/>
      <c r="I102" s="12" t="n"/>
      <c r="J102" s="639" t="inlineStr">
        <is>
          <t>합계</t>
        </is>
      </c>
      <c r="K102" s="777">
        <f>SUM(K88:K99)</f>
        <v/>
      </c>
      <c r="L102" s="791">
        <f>SUM(L88:L99)</f>
        <v/>
      </c>
      <c r="M102" s="779">
        <f>SUM(M88:M99)</f>
        <v/>
      </c>
      <c r="N102" s="780">
        <f>SUM(N88:N99)</f>
        <v/>
      </c>
      <c r="O102" s="780">
        <f>SUM(O88:O99)</f>
        <v/>
      </c>
      <c r="P102" s="780">
        <f>SUM(P88:P99)</f>
        <v/>
      </c>
      <c r="Q102" s="780">
        <f>SUM(Q88:Q99)</f>
        <v/>
      </c>
      <c r="R102" s="781">
        <f>SUM(R88:R99)</f>
        <v/>
      </c>
      <c r="S102" s="782">
        <f>SUM(S88:S99)</f>
        <v/>
      </c>
    </row>
    <row r="103" customFormat="1" s="24">
      <c r="B103" s="74" t="n"/>
      <c r="C103" s="74" t="inlineStr">
        <is>
          <t>도매</t>
        </is>
      </c>
      <c r="D103" s="9" t="inlineStr">
        <is>
          <t>인증살롱</t>
        </is>
      </c>
      <c r="E103" s="10" t="inlineStr">
        <is>
          <t>마스터</t>
        </is>
      </c>
      <c r="F103" s="12" t="inlineStr">
        <is>
          <t>할인행사</t>
        </is>
      </c>
      <c r="G103" s="12" t="n"/>
      <c r="H103" s="192" t="n"/>
      <c r="I103" s="12" t="n"/>
      <c r="J103" s="639" t="n"/>
      <c r="K103" s="810" t="n"/>
      <c r="L103" s="811" t="n"/>
      <c r="M103" s="812" t="n"/>
      <c r="N103" s="813" t="n"/>
      <c r="O103" s="813" t="n"/>
      <c r="P103" s="813" t="n"/>
      <c r="Q103" s="813" t="n"/>
      <c r="R103" s="814" t="n"/>
      <c r="S103" s="814" t="n"/>
    </row>
    <row r="104">
      <c r="C104" s="14" t="n"/>
      <c r="D104" s="388" t="inlineStr">
        <is>
          <t>P00000WG</t>
        </is>
      </c>
      <c r="E104" s="15" t="inlineStr">
        <is>
          <t>P00000QS</t>
        </is>
      </c>
      <c r="F104" s="75" t="n"/>
      <c r="G104" s="75" t="n"/>
      <c r="H104" s="204" t="n"/>
      <c r="I104" s="76" t="n"/>
      <c r="J104" s="76" t="n"/>
      <c r="K104" s="789" t="n"/>
      <c r="P104" s="785" t="n"/>
    </row>
    <row r="105">
      <c r="C105" s="314" t="n"/>
      <c r="D105" s="388" t="inlineStr">
        <is>
          <t>P00000WF</t>
        </is>
      </c>
      <c r="E105" s="15" t="inlineStr">
        <is>
          <t>P00000QR</t>
        </is>
      </c>
      <c r="F105" s="75" t="n"/>
      <c r="G105" s="75" t="n"/>
      <c r="H105" s="205" t="n"/>
      <c r="I105" s="78" t="n"/>
      <c r="J105" s="78" t="n"/>
      <c r="P105" s="785" t="n"/>
    </row>
    <row r="106">
      <c r="A106" s="24" t="inlineStr">
        <is>
          <t>바디로션</t>
        </is>
      </c>
      <c r="C106" s="25" t="n"/>
      <c r="D106" s="389" t="inlineStr">
        <is>
          <t>P00000VV</t>
        </is>
      </c>
      <c r="E106" s="19" t="inlineStr">
        <is>
          <t>P00000QH</t>
        </is>
      </c>
      <c r="F106" s="75" t="n"/>
      <c r="G106" s="77" t="n"/>
      <c r="H106" s="205" t="n"/>
      <c r="I106" s="78" t="n"/>
      <c r="J106" s="78" t="n"/>
      <c r="K106" s="763" t="inlineStr">
        <is>
          <t>도매</t>
        </is>
      </c>
      <c r="L106" s="764" t="inlineStr">
        <is>
          <t>인증살롱/마스터</t>
        </is>
      </c>
      <c r="M106" s="765" t="n"/>
      <c r="N106" s="766" t="inlineStr">
        <is>
          <t>할인</t>
        </is>
      </c>
      <c r="O106" s="766" t="inlineStr">
        <is>
          <t>세트할인</t>
        </is>
      </c>
      <c r="P106" s="766" t="inlineStr">
        <is>
          <t>할인+증정</t>
        </is>
      </c>
      <c r="Q106" s="767" t="n"/>
      <c r="R106" s="767" t="inlineStr">
        <is>
          <t>품목별합계</t>
        </is>
      </c>
      <c r="S106" s="795" t="inlineStr">
        <is>
          <t>도매,마스터원가</t>
        </is>
      </c>
    </row>
    <row r="107">
      <c r="A107" s="79" t="inlineStr">
        <is>
          <t>석류로션250</t>
        </is>
      </c>
      <c r="B107" s="703" t="inlineStr">
        <is>
          <t>P000000U</t>
        </is>
      </c>
      <c r="C107" s="240" t="n"/>
      <c r="D107" s="235" t="n"/>
      <c r="E107" s="256" t="n"/>
      <c r="F107" s="230" t="n"/>
      <c r="G107" s="241" t="n"/>
      <c r="H107" s="236" t="n"/>
      <c r="I107" s="35" t="n"/>
      <c r="J107" s="35">
        <f>SUM(C107:I107)</f>
        <v/>
      </c>
      <c r="K107" s="815">
        <f>C107*12000</f>
        <v/>
      </c>
      <c r="L107" s="790">
        <f>D107*12000</f>
        <v/>
      </c>
      <c r="M107" s="770">
        <f>E107*12000</f>
        <v/>
      </c>
      <c r="N107" s="771" t="n"/>
      <c r="O107" s="771" t="n"/>
      <c r="P107" s="771" t="n"/>
      <c r="Q107" s="787" t="n"/>
      <c r="R107" s="756">
        <f>SUM(K107:Q107)</f>
        <v/>
      </c>
      <c r="S107" s="756">
        <f>J107*5967</f>
        <v/>
      </c>
    </row>
    <row r="108">
      <c r="A108" s="228" t="inlineStr">
        <is>
          <t>자몽로션250</t>
        </is>
      </c>
      <c r="B108" s="357" t="inlineStr">
        <is>
          <t>P000000U</t>
        </is>
      </c>
      <c r="C108" s="240" t="n"/>
      <c r="D108" s="235" t="n"/>
      <c r="E108" s="256" t="n"/>
      <c r="F108" s="230" t="n"/>
      <c r="G108" s="231" t="n"/>
      <c r="H108" s="236" t="n"/>
      <c r="I108" s="41" t="n"/>
      <c r="J108" s="35">
        <f>SUM(C108:I108)</f>
        <v/>
      </c>
      <c r="K108" s="815">
        <f>C108*12000</f>
        <v/>
      </c>
      <c r="L108" s="790">
        <f>D108*12000</f>
        <v/>
      </c>
      <c r="M108" s="770">
        <f>E108*12000</f>
        <v/>
      </c>
      <c r="N108" s="771" t="n"/>
      <c r="O108" s="771" t="n"/>
      <c r="P108" s="771" t="n"/>
      <c r="Q108" s="787" t="n"/>
      <c r="R108" s="756">
        <f>SUM(K108:Q108)</f>
        <v/>
      </c>
      <c r="S108" s="756">
        <f>J108*5967</f>
        <v/>
      </c>
    </row>
    <row r="109">
      <c r="A109" s="79" t="inlineStr">
        <is>
          <t>라벤더로션</t>
        </is>
      </c>
      <c r="B109" s="703" t="inlineStr">
        <is>
          <t>P000000U</t>
        </is>
      </c>
      <c r="C109" s="239" t="n"/>
      <c r="D109" s="235" t="n"/>
      <c r="E109" s="256" t="n"/>
      <c r="F109" s="230" t="n"/>
      <c r="G109" s="231" t="n"/>
      <c r="H109" s="236" t="n"/>
      <c r="I109" s="35" t="n"/>
      <c r="J109" s="35">
        <f>SUM(C109:I109)</f>
        <v/>
      </c>
      <c r="K109" s="815">
        <f>C109*12000</f>
        <v/>
      </c>
      <c r="L109" s="790">
        <f>D109*12000</f>
        <v/>
      </c>
      <c r="M109" s="770">
        <f>E109*12000</f>
        <v/>
      </c>
      <c r="N109" s="771" t="n"/>
      <c r="O109" s="771" t="n"/>
      <c r="P109" s="771" t="n"/>
      <c r="Q109" s="787" t="n"/>
      <c r="R109" s="756">
        <f>SUM(K109:Q109)</f>
        <v/>
      </c>
      <c r="S109" s="756">
        <f>J109*5967</f>
        <v/>
      </c>
    </row>
    <row r="110">
      <c r="A110" s="79" t="inlineStr">
        <is>
          <t>코코넛250</t>
        </is>
      </c>
      <c r="B110" s="703" t="inlineStr">
        <is>
          <t>P000000U</t>
        </is>
      </c>
      <c r="C110" s="240" t="n">
        <v>17</v>
      </c>
      <c r="D110" s="235" t="n"/>
      <c r="E110" s="256" t="n"/>
      <c r="F110" s="230" t="n"/>
      <c r="G110" s="231" t="n"/>
      <c r="H110" s="236" t="n"/>
      <c r="I110" s="35" t="n"/>
      <c r="J110" s="35">
        <f>SUM(C110:I110)</f>
        <v/>
      </c>
      <c r="K110" s="815">
        <f>C110*12000</f>
        <v/>
      </c>
      <c r="L110" s="790">
        <f>D110*12000</f>
        <v/>
      </c>
      <c r="M110" s="770">
        <f>E110*12000</f>
        <v/>
      </c>
      <c r="N110" s="771" t="n"/>
      <c r="O110" s="771" t="n"/>
      <c r="P110" s="771" t="n"/>
      <c r="Q110" s="787" t="n"/>
      <c r="R110" s="756">
        <f>SUM(K110:Q110)</f>
        <v/>
      </c>
      <c r="S110" s="756">
        <f>J110*5967</f>
        <v/>
      </c>
    </row>
    <row r="111">
      <c r="A111" s="79" t="inlineStr">
        <is>
          <t>애플로션250</t>
        </is>
      </c>
      <c r="B111" s="703" t="inlineStr">
        <is>
          <t>P000000U</t>
        </is>
      </c>
      <c r="C111" s="240" t="n">
        <v>17</v>
      </c>
      <c r="D111" s="235" t="n"/>
      <c r="E111" s="256" t="n"/>
      <c r="F111" s="230" t="n"/>
      <c r="G111" s="231" t="n"/>
      <c r="H111" s="236" t="n"/>
      <c r="I111" s="35" t="n"/>
      <c r="J111" s="35">
        <f>SUM(C111:I111)</f>
        <v/>
      </c>
      <c r="K111" s="815">
        <f>C111*12000</f>
        <v/>
      </c>
      <c r="L111" s="790">
        <f>D111*12000</f>
        <v/>
      </c>
      <c r="M111" s="770">
        <f>E111*12000</f>
        <v/>
      </c>
      <c r="N111" s="771" t="n"/>
      <c r="O111" s="771" t="n"/>
      <c r="P111" s="771" t="n"/>
      <c r="Q111" s="787" t="n"/>
      <c r="R111" s="756">
        <f>SUM(K111:Q111)</f>
        <v/>
      </c>
      <c r="S111" s="756">
        <f>J111*5967</f>
        <v/>
      </c>
    </row>
    <row r="112">
      <c r="A112" s="79" t="inlineStr">
        <is>
          <t>망고로션250</t>
        </is>
      </c>
      <c r="B112" s="703" t="inlineStr">
        <is>
          <t>P000000U</t>
        </is>
      </c>
      <c r="C112" s="240" t="n">
        <v>11</v>
      </c>
      <c r="D112" s="235" t="n"/>
      <c r="E112" s="256" t="n"/>
      <c r="F112" s="230" t="n"/>
      <c r="G112" s="231" t="n"/>
      <c r="H112" s="236" t="n"/>
      <c r="I112" s="35" t="n"/>
      <c r="J112" s="35">
        <f>SUM(C112:I112)</f>
        <v/>
      </c>
      <c r="K112" s="815">
        <f>C112*12000</f>
        <v/>
      </c>
      <c r="L112" s="790">
        <f>D112*12000</f>
        <v/>
      </c>
      <c r="M112" s="770">
        <f>E112*12000</f>
        <v/>
      </c>
      <c r="N112" s="771" t="n"/>
      <c r="O112" s="771" t="n"/>
      <c r="P112" s="771" t="n"/>
      <c r="Q112" s="787" t="n"/>
      <c r="R112" s="756">
        <f>SUM(K112:Q112)</f>
        <v/>
      </c>
      <c r="S112" s="756">
        <f>J112*5967</f>
        <v/>
      </c>
    </row>
    <row r="113">
      <c r="A113" s="79" t="inlineStr">
        <is>
          <t>석류1000</t>
        </is>
      </c>
      <c r="B113" s="703" t="inlineStr">
        <is>
          <t>P000000V</t>
        </is>
      </c>
      <c r="C113" s="35" t="n">
        <v>2</v>
      </c>
      <c r="D113" s="235" t="n"/>
      <c r="E113" s="256" t="n"/>
      <c r="F113" s="322" t="n"/>
      <c r="G113" s="231" t="n"/>
      <c r="H113" s="236" t="n"/>
      <c r="I113" s="35" t="n"/>
      <c r="J113" s="35">
        <f>SUM(C113:I113)</f>
        <v/>
      </c>
      <c r="K113" s="792">
        <f>C113*47000</f>
        <v/>
      </c>
      <c r="L113" s="790">
        <f>D113*35200</f>
        <v/>
      </c>
      <c r="M113" s="770">
        <f>E113*35200</f>
        <v/>
      </c>
      <c r="N113" s="771" t="n"/>
      <c r="O113" s="771" t="n"/>
      <c r="P113" s="771" t="n"/>
      <c r="Q113" s="787" t="n"/>
      <c r="R113" s="756">
        <f>SUM(K113:Q113)</f>
        <v/>
      </c>
      <c r="S113" s="756">
        <f>J113*15480</f>
        <v/>
      </c>
    </row>
    <row r="114">
      <c r="A114" s="79" t="inlineStr">
        <is>
          <t>자몽1000</t>
        </is>
      </c>
      <c r="B114" s="703" t="inlineStr">
        <is>
          <t>P000000V</t>
        </is>
      </c>
      <c r="C114" s="240" t="n"/>
      <c r="D114" s="235" t="n"/>
      <c r="E114" s="256" t="n"/>
      <c r="F114" s="230" t="n"/>
      <c r="G114" s="231" t="n"/>
      <c r="H114" s="236" t="n"/>
      <c r="I114" s="35" t="n"/>
      <c r="J114" s="35">
        <f>SUM(C114:I114)</f>
        <v/>
      </c>
      <c r="K114" s="792">
        <f>C114*47000</f>
        <v/>
      </c>
      <c r="L114" s="790">
        <f>D114*35200</f>
        <v/>
      </c>
      <c r="M114" s="770">
        <f>E114*35200</f>
        <v/>
      </c>
      <c r="N114" s="771">
        <f>F114*22500</f>
        <v/>
      </c>
      <c r="O114" s="771" t="n"/>
      <c r="P114" s="771" t="n"/>
      <c r="Q114" s="787" t="n"/>
      <c r="R114" s="756">
        <f>SUM(K114:Q114)</f>
        <v/>
      </c>
      <c r="S114" s="756">
        <f>J114*15480</f>
        <v/>
      </c>
    </row>
    <row r="115">
      <c r="A115" s="79" t="inlineStr">
        <is>
          <t>라벤더1000</t>
        </is>
      </c>
      <c r="B115" s="703" t="inlineStr">
        <is>
          <t>P000000V</t>
        </is>
      </c>
      <c r="C115" s="240" t="n"/>
      <c r="D115" s="235" t="n"/>
      <c r="E115" s="256" t="n"/>
      <c r="F115" s="230" t="n"/>
      <c r="G115" s="231" t="n"/>
      <c r="H115" s="236" t="n"/>
      <c r="I115" s="35" t="n"/>
      <c r="J115" s="35">
        <f>SUM(C115:I115)</f>
        <v/>
      </c>
      <c r="K115" s="792">
        <f>C115*47000</f>
        <v/>
      </c>
      <c r="L115" s="790">
        <f>D115*35200</f>
        <v/>
      </c>
      <c r="M115" s="770">
        <f>E115*35200</f>
        <v/>
      </c>
      <c r="N115" s="771">
        <f>F115*22500</f>
        <v/>
      </c>
      <c r="O115" s="771" t="n"/>
      <c r="P115" s="771" t="n"/>
      <c r="Q115" s="787" t="n"/>
      <c r="R115" s="756">
        <f>SUM(K115:Q115)</f>
        <v/>
      </c>
      <c r="S115" s="756">
        <f>J115*15480</f>
        <v/>
      </c>
    </row>
    <row r="116">
      <c r="A116" s="79" t="inlineStr">
        <is>
          <t>코코넛1000</t>
        </is>
      </c>
      <c r="B116" s="703" t="inlineStr">
        <is>
          <t>P000000V</t>
        </is>
      </c>
      <c r="C116" s="240" t="n"/>
      <c r="D116" s="235" t="n"/>
      <c r="E116" s="256" t="n"/>
      <c r="F116" s="230" t="n"/>
      <c r="G116" s="231" t="n"/>
      <c r="H116" s="236" t="n"/>
      <c r="I116" s="35" t="n"/>
      <c r="J116" s="35">
        <f>SUM(C116:I116)</f>
        <v/>
      </c>
      <c r="K116" s="792">
        <f>C116*47000</f>
        <v/>
      </c>
      <c r="L116" s="790">
        <f>D116*35200</f>
        <v/>
      </c>
      <c r="M116" s="770">
        <f>E116*35200</f>
        <v/>
      </c>
      <c r="N116" s="771">
        <f>F116*22500</f>
        <v/>
      </c>
      <c r="O116" s="771" t="n"/>
      <c r="P116" s="771" t="n"/>
      <c r="Q116" s="787" t="n"/>
      <c r="R116" s="756">
        <f>SUM(K116:Q116)</f>
        <v/>
      </c>
      <c r="S116" s="756">
        <f>J116*15480</f>
        <v/>
      </c>
    </row>
    <row r="117">
      <c r="A117" s="79" t="inlineStr">
        <is>
          <t>애플1000</t>
        </is>
      </c>
      <c r="B117" s="703" t="inlineStr">
        <is>
          <t>P000000V</t>
        </is>
      </c>
      <c r="C117" s="240" t="n"/>
      <c r="D117" s="235" t="n"/>
      <c r="E117" s="256" t="n"/>
      <c r="F117" s="230" t="n"/>
      <c r="G117" s="231" t="n"/>
      <c r="H117" s="236" t="n"/>
      <c r="I117" s="35" t="n"/>
      <c r="J117" s="35">
        <f>SUM(C117:I117)</f>
        <v/>
      </c>
      <c r="K117" s="792">
        <f>C117*47000</f>
        <v/>
      </c>
      <c r="L117" s="790">
        <f>D117*35200</f>
        <v/>
      </c>
      <c r="M117" s="770">
        <f>E117*35200</f>
        <v/>
      </c>
      <c r="N117" s="771">
        <f>F117*22500</f>
        <v/>
      </c>
      <c r="O117" s="771" t="n"/>
      <c r="P117" s="771" t="n"/>
      <c r="Q117" s="787" t="n"/>
      <c r="R117" s="756">
        <f>SUM(K117:Q117)</f>
        <v/>
      </c>
      <c r="S117" s="756">
        <f>J117*15480</f>
        <v/>
      </c>
    </row>
    <row r="118">
      <c r="A118" s="79" t="inlineStr">
        <is>
          <t>망고1000</t>
        </is>
      </c>
      <c r="B118" s="703" t="inlineStr">
        <is>
          <t>P000000V</t>
        </is>
      </c>
      <c r="C118" s="237" t="n"/>
      <c r="D118" s="235" t="n"/>
      <c r="E118" s="234" t="n"/>
      <c r="F118" s="230" t="n"/>
      <c r="G118" s="230" t="n"/>
      <c r="H118" s="197" t="n"/>
      <c r="I118" s="35" t="n"/>
      <c r="J118" s="35">
        <f>SUM(C118:I118)</f>
        <v/>
      </c>
      <c r="K118" s="792">
        <f>C118*47000</f>
        <v/>
      </c>
      <c r="L118" s="790">
        <f>D118*35200</f>
        <v/>
      </c>
      <c r="M118" s="770">
        <f>E118*35200</f>
        <v/>
      </c>
      <c r="N118" s="771">
        <f>F118*31500</f>
        <v/>
      </c>
      <c r="O118" s="771" t="n"/>
      <c r="P118" s="771" t="n"/>
      <c r="Q118" s="787" t="n"/>
      <c r="R118" s="756">
        <f>SUM(K118:Q118)</f>
        <v/>
      </c>
      <c r="S118" s="756">
        <f>J118*15480</f>
        <v/>
      </c>
    </row>
    <row r="119">
      <c r="A119" s="81" t="n"/>
      <c r="B119" s="29" t="n"/>
      <c r="C119" s="35" t="n"/>
      <c r="D119" s="32" t="n"/>
      <c r="E119" s="33" t="n"/>
      <c r="F119" s="191" t="n"/>
      <c r="G119" s="191" t="n"/>
      <c r="H119" s="191" t="n"/>
      <c r="I119" s="191" t="n"/>
      <c r="J119" s="35" t="n"/>
      <c r="L119" s="790" t="n"/>
      <c r="M119" s="770" t="n"/>
      <c r="N119" s="771" t="n"/>
      <c r="O119" s="771" t="n"/>
      <c r="P119" s="771" t="n"/>
      <c r="Q119" s="787" t="n"/>
    </row>
    <row r="120" customFormat="1" s="24">
      <c r="B120" s="639" t="n"/>
      <c r="C120" s="74" t="n"/>
      <c r="D120" s="82" t="n"/>
      <c r="E120" s="83" t="n"/>
      <c r="F120" s="84" t="n"/>
      <c r="G120" s="84" t="n"/>
      <c r="H120" s="206" t="n"/>
      <c r="I120" s="84" t="n"/>
      <c r="J120" s="85" t="inlineStr">
        <is>
          <t>합계</t>
        </is>
      </c>
      <c r="K120" s="777">
        <f>SUM(K107:K119)</f>
        <v/>
      </c>
      <c r="L120" s="791">
        <f>SUM(L107:L119)</f>
        <v/>
      </c>
      <c r="M120" s="779">
        <f>SUM(M107:M119)</f>
        <v/>
      </c>
      <c r="N120" s="780">
        <f>SUM(N107:N119)</f>
        <v/>
      </c>
      <c r="O120" s="780">
        <f>SUM(O107:O119)</f>
        <v/>
      </c>
      <c r="P120" s="780">
        <f>SUM(P107:P119)</f>
        <v/>
      </c>
      <c r="Q120" s="816">
        <f>SUM(Q107:Q119)</f>
        <v/>
      </c>
      <c r="R120" s="781">
        <f>SUM(R107:R119)</f>
        <v/>
      </c>
      <c r="S120" s="782">
        <f>SUM(S107:S119)</f>
        <v/>
      </c>
    </row>
    <row r="121" customFormat="1" s="24">
      <c r="B121" s="639" t="n"/>
      <c r="C121" s="74" t="inlineStr">
        <is>
          <t>도매</t>
        </is>
      </c>
      <c r="D121" s="82" t="inlineStr">
        <is>
          <t>인증살롱</t>
        </is>
      </c>
      <c r="E121" s="83" t="inlineStr">
        <is>
          <t>마스터</t>
        </is>
      </c>
      <c r="F121" s="84" t="inlineStr">
        <is>
          <t>할인행사</t>
        </is>
      </c>
      <c r="G121" s="84" t="n"/>
      <c r="H121" s="206" t="n"/>
      <c r="I121" s="84" t="n"/>
      <c r="J121" s="85" t="n"/>
      <c r="K121" s="817" t="n"/>
      <c r="L121" s="818" t="n"/>
      <c r="M121" s="819" t="n"/>
      <c r="N121" s="820" t="n"/>
      <c r="O121" s="820" t="n"/>
      <c r="P121" s="820" t="n"/>
      <c r="Q121" s="783" t="n"/>
      <c r="R121" s="821" t="n"/>
      <c r="S121" s="821" t="n"/>
    </row>
    <row r="122">
      <c r="A122" s="24" t="inlineStr">
        <is>
          <t>대용량슈거스크럽</t>
        </is>
      </c>
      <c r="B122" s="86" t="n"/>
      <c r="D122" s="55" t="inlineStr">
        <is>
          <t>P00000WD</t>
        </is>
      </c>
      <c r="E122" s="15" t="inlineStr">
        <is>
          <t>P00000QY</t>
        </is>
      </c>
      <c r="F122" s="45" t="n"/>
      <c r="G122" s="45" t="n"/>
      <c r="H122" s="199" t="n"/>
      <c r="I122" s="35" t="n"/>
      <c r="J122" s="35" t="n"/>
      <c r="K122" s="822" t="inlineStr">
        <is>
          <t>도매</t>
        </is>
      </c>
      <c r="L122" s="764" t="inlineStr">
        <is>
          <t>인증살롱/마스터</t>
        </is>
      </c>
      <c r="M122" s="765" t="n"/>
      <c r="N122" s="823" t="inlineStr">
        <is>
          <t>할인</t>
        </is>
      </c>
      <c r="O122" s="823" t="inlineStr">
        <is>
          <t>세트할인</t>
        </is>
      </c>
      <c r="P122" s="823" t="inlineStr">
        <is>
          <t>할인+증정</t>
        </is>
      </c>
      <c r="Q122" s="824" t="n"/>
      <c r="R122" s="824" t="inlineStr">
        <is>
          <t>품목별합계</t>
        </is>
      </c>
      <c r="S122" s="825" t="inlineStr">
        <is>
          <t>도매,마스터원가</t>
        </is>
      </c>
    </row>
    <row r="123">
      <c r="A123" s="29" t="inlineStr">
        <is>
          <t>석류2.5kg</t>
        </is>
      </c>
      <c r="B123" s="703" t="inlineStr">
        <is>
          <t>P000000W</t>
        </is>
      </c>
      <c r="C123" s="237" t="n">
        <v>1</v>
      </c>
      <c r="D123" s="235" t="n"/>
      <c r="E123" s="234" t="n"/>
      <c r="F123" s="230" t="n"/>
      <c r="G123" s="230" t="n"/>
      <c r="H123" s="197" t="n"/>
      <c r="I123" s="35" t="n"/>
      <c r="J123" s="35">
        <f>SUM(C123:I123)</f>
        <v/>
      </c>
      <c r="K123" s="793">
        <f>C123*100800</f>
        <v/>
      </c>
      <c r="L123" s="790">
        <f>D123*86900</f>
        <v/>
      </c>
      <c r="M123" s="770">
        <f>E123*86900</f>
        <v/>
      </c>
      <c r="N123" s="771" t="n"/>
      <c r="O123" s="771" t="n"/>
      <c r="P123" s="771" t="n"/>
      <c r="R123" s="756">
        <f>SUM(K123:Q123)</f>
        <v/>
      </c>
      <c r="S123" s="756">
        <f>J123*36064</f>
        <v/>
      </c>
    </row>
    <row r="124">
      <c r="A124" s="29" t="inlineStr">
        <is>
          <t>자몽2.5kg</t>
        </is>
      </c>
      <c r="B124" s="703" t="inlineStr">
        <is>
          <t>P000000W</t>
        </is>
      </c>
      <c r="C124" s="237" t="n">
        <v>1</v>
      </c>
      <c r="D124" s="235" t="n"/>
      <c r="E124" s="234" t="n"/>
      <c r="F124" s="230" t="n"/>
      <c r="G124" s="230" t="n"/>
      <c r="H124" s="197" t="n"/>
      <c r="I124" s="35" t="n"/>
      <c r="J124" s="35">
        <f>SUM(C124:I124)</f>
        <v/>
      </c>
      <c r="K124" s="793">
        <f>C124*100800</f>
        <v/>
      </c>
      <c r="L124" s="790">
        <f>D124*86900</f>
        <v/>
      </c>
      <c r="M124" s="770">
        <f>E124*86900</f>
        <v/>
      </c>
      <c r="N124" s="771" t="n"/>
      <c r="O124" s="771" t="n"/>
      <c r="P124" s="771" t="n"/>
      <c r="R124" s="756">
        <f>SUM(K124:Q124)</f>
        <v/>
      </c>
      <c r="S124" s="756">
        <f>J124*36064</f>
        <v/>
      </c>
    </row>
    <row r="125">
      <c r="A125" s="29" t="inlineStr">
        <is>
          <t>라벤더2.5kg</t>
        </is>
      </c>
      <c r="B125" s="703" t="inlineStr">
        <is>
          <t>P000000W</t>
        </is>
      </c>
      <c r="C125" s="233" t="n">
        <v>2</v>
      </c>
      <c r="D125" s="235" t="n"/>
      <c r="E125" s="234" t="n"/>
      <c r="F125" s="230" t="n"/>
      <c r="G125" s="230" t="n"/>
      <c r="H125" s="197" t="n"/>
      <c r="I125" s="35" t="n"/>
      <c r="J125" s="35">
        <f>SUM(C125:I125)</f>
        <v/>
      </c>
      <c r="K125" s="793">
        <f>C125*100800</f>
        <v/>
      </c>
      <c r="L125" s="790">
        <f>D125*86900</f>
        <v/>
      </c>
      <c r="M125" s="770">
        <f>E125*86900</f>
        <v/>
      </c>
      <c r="N125" s="771" t="n"/>
      <c r="O125" s="771" t="n"/>
      <c r="P125" s="771" t="n"/>
      <c r="R125" s="756">
        <f>SUM(K125:Q125)</f>
        <v/>
      </c>
      <c r="S125" s="756">
        <f>J125*36064</f>
        <v/>
      </c>
    </row>
    <row r="126">
      <c r="A126" s="29" t="inlineStr">
        <is>
          <t>코코넛2.5kg</t>
        </is>
      </c>
      <c r="B126" s="703" t="inlineStr">
        <is>
          <t>P000000W</t>
        </is>
      </c>
      <c r="C126" s="237" t="n"/>
      <c r="D126" s="235" t="n"/>
      <c r="E126" s="234" t="n"/>
      <c r="F126" s="230" t="n"/>
      <c r="G126" s="230" t="n"/>
      <c r="H126" s="197" t="n"/>
      <c r="I126" s="35" t="n"/>
      <c r="J126" s="35">
        <f>SUM(C126:I126)</f>
        <v/>
      </c>
      <c r="K126" s="793">
        <f>C126*100800</f>
        <v/>
      </c>
      <c r="L126" s="790">
        <f>D126*86900</f>
        <v/>
      </c>
      <c r="M126" s="770">
        <f>E126*86900</f>
        <v/>
      </c>
      <c r="N126" s="771" t="n"/>
      <c r="O126" s="771" t="n"/>
      <c r="P126" s="771" t="n"/>
      <c r="R126" s="756">
        <f>SUM(K126:Q126)</f>
        <v/>
      </c>
      <c r="S126" s="756">
        <f>J126*36064</f>
        <v/>
      </c>
    </row>
    <row r="127" customFormat="1" s="24">
      <c r="B127" s="74" t="n"/>
      <c r="C127" s="74" t="n"/>
      <c r="D127" s="82" t="inlineStr">
        <is>
          <t>인증살롱</t>
        </is>
      </c>
      <c r="E127" s="83" t="inlineStr">
        <is>
          <t>마스터</t>
        </is>
      </c>
      <c r="F127" s="84" t="inlineStr">
        <is>
          <t>할인행사</t>
        </is>
      </c>
      <c r="G127" s="84" t="n"/>
      <c r="H127" s="206" t="n"/>
      <c r="I127" s="84" t="n"/>
      <c r="J127" s="74" t="inlineStr">
        <is>
          <t>합계</t>
        </is>
      </c>
      <c r="K127" s="777">
        <f>SUM(K123:K126)</f>
        <v/>
      </c>
      <c r="L127" s="791">
        <f>SUM(L123:L126)</f>
        <v/>
      </c>
      <c r="M127" s="779">
        <f>SUM(M123:M126)</f>
        <v/>
      </c>
      <c r="N127" s="780">
        <f>SUM(N123:N126)</f>
        <v/>
      </c>
      <c r="O127" s="780">
        <f>SUM(O123:O126)</f>
        <v/>
      </c>
      <c r="P127" s="780">
        <f>SUM(P123:P126)</f>
        <v/>
      </c>
      <c r="Q127" s="777">
        <f>SUM(Q123:Q126)</f>
        <v/>
      </c>
      <c r="R127" s="781">
        <f>SUM(R123:R126)</f>
        <v/>
      </c>
      <c r="S127" s="782">
        <f>SUM(S123:S126)</f>
        <v/>
      </c>
    </row>
    <row r="128">
      <c r="A128" s="24" t="inlineStr">
        <is>
          <t>페디제품</t>
        </is>
      </c>
      <c r="B128" s="628" t="inlineStr">
        <is>
          <t>도매</t>
        </is>
      </c>
      <c r="C128" s="87" t="n"/>
      <c r="D128" s="88" t="inlineStr">
        <is>
          <t>P00000WJ</t>
        </is>
      </c>
      <c r="E128" s="731" t="inlineStr">
        <is>
          <t>P00000RC</t>
        </is>
      </c>
      <c r="F128" s="90" t="inlineStr">
        <is>
          <t>P00000YY</t>
        </is>
      </c>
      <c r="G128" s="73" t="n"/>
      <c r="H128" s="195" t="n"/>
      <c r="I128" s="73" t="n"/>
      <c r="J128" s="74" t="n"/>
      <c r="K128" s="763" t="inlineStr">
        <is>
          <t>도매</t>
        </is>
      </c>
      <c r="L128" s="764" t="inlineStr">
        <is>
          <t>인증살롱/마스터</t>
        </is>
      </c>
      <c r="M128" s="765" t="n"/>
      <c r="N128" s="766" t="inlineStr">
        <is>
          <t>할인</t>
        </is>
      </c>
      <c r="O128" s="766" t="inlineStr">
        <is>
          <t>세트할인</t>
        </is>
      </c>
      <c r="P128" s="766" t="inlineStr">
        <is>
          <t>할인+증정</t>
        </is>
      </c>
      <c r="Q128" s="767" t="n"/>
      <c r="R128" s="767" t="inlineStr">
        <is>
          <t>품목별합계</t>
        </is>
      </c>
      <c r="S128" s="795" t="inlineStr">
        <is>
          <t>도매,마스터원가</t>
        </is>
      </c>
    </row>
    <row r="129">
      <c r="A129" s="129" t="inlineStr">
        <is>
          <t>리프레싱속</t>
        </is>
      </c>
      <c r="B129" s="87" t="n"/>
      <c r="C129" s="35" t="n"/>
      <c r="D129" s="32" t="n"/>
      <c r="E129" s="33" t="n"/>
      <c r="F129" s="230" t="n"/>
      <c r="G129" s="241" t="n"/>
      <c r="H129" s="195" t="n"/>
      <c r="I129" s="73" t="n"/>
      <c r="J129" s="35">
        <f>SUM(C129:I129)</f>
        <v/>
      </c>
      <c r="L129" s="769" t="n"/>
      <c r="M129" s="770" t="n"/>
      <c r="N129" s="771">
        <f>F129*39000</f>
        <v/>
      </c>
      <c r="P129" s="785" t="n"/>
      <c r="R129" s="756">
        <f>SUM(K129:Q129)</f>
        <v/>
      </c>
      <c r="S129" s="756">
        <f>J129*22255</f>
        <v/>
      </c>
    </row>
    <row r="130">
      <c r="A130" s="129" t="inlineStr">
        <is>
          <t>페디마사지로션</t>
        </is>
      </c>
      <c r="B130" s="87" t="n"/>
      <c r="C130" s="35" t="n"/>
      <c r="D130" s="32" t="n"/>
      <c r="E130" s="33" t="n"/>
      <c r="F130" s="230" t="n"/>
      <c r="G130" s="241" t="n"/>
      <c r="H130" s="195" t="n"/>
      <c r="I130" s="73" t="n"/>
      <c r="J130" s="35">
        <f>SUM(C130:I130)</f>
        <v/>
      </c>
      <c r="L130" s="769" t="n"/>
      <c r="M130" s="770" t="n"/>
      <c r="N130" s="771">
        <f>F130*39000</f>
        <v/>
      </c>
      <c r="P130" s="785" t="n"/>
      <c r="R130" s="756">
        <f>SUM(K130:Q130)</f>
        <v/>
      </c>
      <c r="S130" s="756">
        <f>J130*32062</f>
        <v/>
      </c>
    </row>
    <row r="131">
      <c r="A131" s="129" t="inlineStr">
        <is>
          <t>페디스크럽2.5</t>
        </is>
      </c>
      <c r="B131" s="87" t="n"/>
      <c r="C131" s="35" t="n"/>
      <c r="D131" s="32" t="n"/>
      <c r="E131" s="33" t="n"/>
      <c r="F131" s="230" t="n"/>
      <c r="G131" s="241" t="n"/>
      <c r="H131" s="195" t="n"/>
      <c r="I131" s="73" t="n"/>
      <c r="J131" s="35">
        <f>SUM(C131:I131)</f>
        <v/>
      </c>
      <c r="L131" s="769" t="n"/>
      <c r="M131" s="770" t="n"/>
      <c r="N131" s="771">
        <f>F131*39000</f>
        <v/>
      </c>
      <c r="P131" s="785" t="n"/>
      <c r="R131" s="756">
        <f>SUM(K131:Q131)</f>
        <v/>
      </c>
      <c r="S131" s="756">
        <f>J131*29799</f>
        <v/>
      </c>
    </row>
    <row r="132">
      <c r="A132" s="129" t="inlineStr">
        <is>
          <t>페디마스크팩</t>
        </is>
      </c>
      <c r="B132" s="87" t="n"/>
      <c r="C132" s="35" t="n"/>
      <c r="D132" s="32" t="n"/>
      <c r="E132" s="33" t="n"/>
      <c r="F132" s="230" t="n"/>
      <c r="G132" s="241" t="n"/>
      <c r="H132" s="195" t="n"/>
      <c r="I132" s="73" t="n"/>
      <c r="J132" s="35">
        <f>SUM(C132:I132)</f>
        <v/>
      </c>
      <c r="L132" s="769" t="n"/>
      <c r="M132" s="770" t="n"/>
      <c r="N132" s="771">
        <f>F132*39000</f>
        <v/>
      </c>
      <c r="P132" s="785" t="n"/>
      <c r="R132" s="756">
        <f>SUM(K132:Q132)</f>
        <v/>
      </c>
      <c r="S132" s="756">
        <f>J132*32062</f>
        <v/>
      </c>
    </row>
    <row r="133" customFormat="1" s="24">
      <c r="B133" s="74" t="n"/>
      <c r="C133" s="74" t="n"/>
      <c r="D133" s="9" t="n"/>
      <c r="E133" s="10" t="n"/>
      <c r="F133" s="12" t="n"/>
      <c r="G133" s="12" t="n"/>
      <c r="H133" s="192" t="n"/>
      <c r="I133" s="84" t="n"/>
      <c r="J133" s="639" t="inlineStr">
        <is>
          <t>합계</t>
        </is>
      </c>
      <c r="K133" s="777">
        <f>SUM(K129:K132)</f>
        <v/>
      </c>
      <c r="L133" s="778">
        <f>SUM(L129:L132)</f>
        <v/>
      </c>
      <c r="M133" s="779">
        <f>SUM(M129:M132)</f>
        <v/>
      </c>
      <c r="N133" s="780">
        <f>SUM(N129:N132)</f>
        <v/>
      </c>
      <c r="O133" s="780">
        <f>SUM(O129:O132)</f>
        <v/>
      </c>
      <c r="P133" s="777">
        <f>SUM(P129:P132)</f>
        <v/>
      </c>
      <c r="Q133" s="777">
        <f>SUM(Q129:Q132)</f>
        <v/>
      </c>
      <c r="R133" s="781">
        <f>SUM(R129:R132)</f>
        <v/>
      </c>
      <c r="S133" s="782">
        <f>SUM(S129:S132)</f>
        <v/>
      </c>
    </row>
    <row r="134" customFormat="1" s="24">
      <c r="B134" s="74" t="n"/>
      <c r="C134" s="74" t="inlineStr">
        <is>
          <t>도매</t>
        </is>
      </c>
      <c r="D134" s="9" t="inlineStr">
        <is>
          <t>인증살롱</t>
        </is>
      </c>
      <c r="E134" s="10" t="inlineStr">
        <is>
          <t>마스터</t>
        </is>
      </c>
      <c r="F134" s="12" t="inlineStr">
        <is>
          <t>할인행사</t>
        </is>
      </c>
      <c r="G134" s="12" t="n"/>
      <c r="H134" s="192" t="n"/>
      <c r="I134" s="92" t="n"/>
      <c r="J134" s="639" t="n"/>
      <c r="K134" s="817" t="n"/>
      <c r="L134" s="826" t="n"/>
      <c r="M134" s="819" t="n"/>
      <c r="N134" s="820" t="n"/>
      <c r="O134" s="820" t="n"/>
      <c r="P134" s="817" t="n"/>
      <c r="Q134" s="817" t="n"/>
      <c r="R134" s="821" t="n"/>
      <c r="S134" s="821" t="n"/>
    </row>
    <row r="135">
      <c r="C135" s="638" t="n"/>
      <c r="D135" s="55" t="inlineStr">
        <is>
          <t>P00000WH</t>
        </is>
      </c>
      <c r="E135" s="15" t="inlineStr">
        <is>
          <t>P00000QZ</t>
        </is>
      </c>
      <c r="F135" s="84" t="n"/>
      <c r="G135" s="12" t="n"/>
      <c r="H135" s="192" t="n"/>
      <c r="I135" s="92" t="n"/>
      <c r="J135" s="639" t="n"/>
      <c r="L135" s="769" t="n"/>
      <c r="M135" s="770" t="n"/>
      <c r="P135" s="785" t="n"/>
    </row>
    <row r="136">
      <c r="A136" s="24" t="inlineStr">
        <is>
          <t>세트제품</t>
        </is>
      </c>
      <c r="B136" s="93" t="n"/>
      <c r="C136" s="94" t="n"/>
      <c r="D136" s="55" t="inlineStr">
        <is>
          <t>P00000XB</t>
        </is>
      </c>
      <c r="E136" s="15" t="inlineStr">
        <is>
          <t>P00000XA</t>
        </is>
      </c>
      <c r="F136" s="45" t="n"/>
      <c r="G136" s="630" t="n"/>
      <c r="H136" s="193" t="n"/>
      <c r="I136" s="66" t="n"/>
      <c r="J136" s="66" t="n"/>
      <c r="K136" s="763" t="inlineStr">
        <is>
          <t>도매</t>
        </is>
      </c>
      <c r="L136" s="764" t="inlineStr">
        <is>
          <t>인증살롱/마스터</t>
        </is>
      </c>
      <c r="M136" s="765" t="n"/>
      <c r="N136" s="766" t="inlineStr">
        <is>
          <t>할인</t>
        </is>
      </c>
      <c r="O136" s="766" t="inlineStr">
        <is>
          <t>세트할인</t>
        </is>
      </c>
      <c r="P136" s="766" t="inlineStr">
        <is>
          <t>할인+증정</t>
        </is>
      </c>
      <c r="Q136" s="827" t="n"/>
      <c r="R136" s="767" t="inlineStr">
        <is>
          <t>품목별합계</t>
        </is>
      </c>
      <c r="S136" s="795" t="inlineStr">
        <is>
          <t>도매,마스터원가</t>
        </is>
      </c>
    </row>
    <row r="137">
      <c r="A137" s="24" t="n"/>
      <c r="B137" s="365" t="n"/>
      <c r="C137" s="94" t="n"/>
      <c r="D137" s="55" t="n"/>
      <c r="E137" s="15" t="inlineStr">
        <is>
          <t>P0000BHU</t>
        </is>
      </c>
      <c r="F137" s="45" t="n"/>
      <c r="G137" s="630" t="n"/>
      <c r="H137" s="193" t="n"/>
      <c r="I137" s="66" t="n"/>
      <c r="J137" s="66" t="n"/>
      <c r="K137" s="828" t="n"/>
      <c r="L137" s="829" t="n"/>
      <c r="M137" s="830" t="n"/>
      <c r="N137" s="796" t="n"/>
      <c r="O137" s="796" t="n"/>
      <c r="P137" s="796" t="n"/>
      <c r="Q137" s="772" t="n"/>
      <c r="R137" s="758" t="n"/>
    </row>
    <row r="138">
      <c r="A138" s="95" t="inlineStr">
        <is>
          <t>핑키니브라질리언세트</t>
        </is>
      </c>
      <c r="B138" s="67" t="inlineStr">
        <is>
          <t>P00000PN</t>
        </is>
      </c>
      <c r="C138" s="312" t="n">
        <v>2</v>
      </c>
      <c r="D138" s="235" t="n"/>
      <c r="E138" s="234" t="n">
        <v>4</v>
      </c>
      <c r="F138" s="34" t="n"/>
      <c r="G138" s="34" t="n"/>
      <c r="H138" s="195" t="n"/>
      <c r="I138" s="41" t="n"/>
      <c r="J138" s="35">
        <f>SUM(C138:I138)</f>
        <v/>
      </c>
      <c r="K138" s="815">
        <f>C138*134000</f>
        <v/>
      </c>
      <c r="L138" s="769">
        <f>D138*106700</f>
        <v/>
      </c>
      <c r="M138" s="770">
        <f>E138*106700</f>
        <v/>
      </c>
      <c r="N138" s="771" t="n"/>
      <c r="O138" s="771" t="n"/>
      <c r="P138" s="771" t="n"/>
      <c r="Q138" s="772" t="n"/>
      <c r="R138" s="756">
        <f>SUM(K138:Q138)</f>
        <v/>
      </c>
      <c r="S138" s="756">
        <f>J138*59055</f>
        <v/>
      </c>
    </row>
    <row r="139">
      <c r="A139" s="95" t="inlineStr">
        <is>
          <t>맨니피코세트</t>
        </is>
      </c>
      <c r="B139" s="67" t="inlineStr">
        <is>
          <t>P00000XD</t>
        </is>
      </c>
      <c r="C139" s="312" t="n"/>
      <c r="D139" s="235" t="n"/>
      <c r="E139" s="234" t="n"/>
      <c r="F139" s="34" t="n"/>
      <c r="G139" s="34" t="n"/>
      <c r="H139" s="195" t="n"/>
      <c r="I139" s="41" t="n"/>
      <c r="J139" s="35">
        <f>SUM(C139:I139)</f>
        <v/>
      </c>
      <c r="K139" s="815">
        <f>C139*134000</f>
        <v/>
      </c>
      <c r="L139" s="769">
        <f>D139*106700</f>
        <v/>
      </c>
      <c r="M139" s="770">
        <f>E139*106700</f>
        <v/>
      </c>
      <c r="N139" s="771" t="n"/>
      <c r="O139" s="771" t="n"/>
      <c r="P139" s="771" t="n"/>
      <c r="Q139" s="772" t="n"/>
      <c r="R139" s="756">
        <f>SUM(K139:Q139)</f>
        <v/>
      </c>
      <c r="S139" s="756">
        <f>J139*40000</f>
        <v/>
      </c>
    </row>
    <row r="140">
      <c r="A140" s="555" t="inlineStr">
        <is>
          <t>라이코페디7종세트</t>
        </is>
      </c>
      <c r="B140" s="556" t="inlineStr">
        <is>
          <t>P0000BHS</t>
        </is>
      </c>
      <c r="C140" s="559" t="n"/>
      <c r="D140" s="235" t="n"/>
      <c r="E140" s="234" t="n"/>
      <c r="F140" s="191" t="n">
        <v>1</v>
      </c>
      <c r="G140" s="34" t="n"/>
      <c r="H140" s="195" t="n"/>
      <c r="I140" s="41" t="n"/>
      <c r="J140" s="35">
        <f>SUM(C140:I140)</f>
        <v/>
      </c>
      <c r="K140" s="831">
        <f>C140*89600</f>
        <v/>
      </c>
      <c r="L140" s="769">
        <f>D140*89600</f>
        <v/>
      </c>
      <c r="M140" s="770">
        <f>E140*89600</f>
        <v/>
      </c>
      <c r="N140" s="771">
        <f>F140*89600</f>
        <v/>
      </c>
      <c r="O140" s="771" t="n"/>
      <c r="P140" s="771" t="n"/>
      <c r="Q140" s="772" t="n"/>
      <c r="R140" s="756">
        <f>SUM(K140:Q140)</f>
        <v/>
      </c>
      <c r="S140" s="756">
        <f>J140*55173</f>
        <v/>
      </c>
    </row>
    <row r="141">
      <c r="A141" s="96" t="n"/>
      <c r="D141" s="97" t="n"/>
      <c r="E141" s="98" t="n"/>
      <c r="F141" s="99" t="n"/>
      <c r="G141" s="100" t="n"/>
      <c r="H141" s="198" t="n"/>
      <c r="I141" s="72" t="n"/>
      <c r="J141" s="72" t="inlineStr">
        <is>
          <t>합계</t>
        </is>
      </c>
      <c r="K141" s="777">
        <f>SUM(K137:K140)</f>
        <v/>
      </c>
      <c r="L141" s="778">
        <f>SUM(L137:L140)</f>
        <v/>
      </c>
      <c r="M141" s="779">
        <f>SUM(M137:M140)</f>
        <v/>
      </c>
      <c r="N141" s="780">
        <f>SUM(N137:N140)</f>
        <v/>
      </c>
      <c r="O141" s="780">
        <f>SUM(O137:O140)</f>
        <v/>
      </c>
      <c r="P141" s="780">
        <f>SUM(P137:P140)</f>
        <v/>
      </c>
      <c r="Q141" s="780">
        <f>SUM(Q137:Q140)</f>
        <v/>
      </c>
      <c r="R141" s="781">
        <f>SUM(R137:R140)</f>
        <v/>
      </c>
      <c r="S141" s="782">
        <f>SUM(S137:S140)</f>
        <v/>
      </c>
    </row>
    <row r="142" customFormat="1" s="24">
      <c r="B142" s="74" t="n"/>
      <c r="C142" s="31" t="n"/>
      <c r="D142" s="588" t="inlineStr">
        <is>
          <t>인증살롱</t>
        </is>
      </c>
      <c r="E142" s="589" t="inlineStr">
        <is>
          <t>마스터</t>
        </is>
      </c>
      <c r="F142" s="695" t="inlineStr">
        <is>
          <t>할인행사</t>
        </is>
      </c>
      <c r="G142" s="695" t="n"/>
      <c r="H142" s="590" t="n"/>
      <c r="I142" s="84" t="inlineStr">
        <is>
          <t>행사</t>
        </is>
      </c>
      <c r="J142" s="85" t="n"/>
      <c r="K142" s="817" t="n"/>
      <c r="L142" s="826" t="n"/>
      <c r="M142" s="819" t="n"/>
      <c r="N142" s="820" t="n"/>
      <c r="O142" s="820" t="n"/>
      <c r="P142" s="820" t="n"/>
      <c r="Q142" s="820" t="n"/>
      <c r="R142" s="821" t="n"/>
      <c r="S142" s="821" t="n"/>
    </row>
    <row r="143">
      <c r="A143" s="24" t="n"/>
      <c r="C143" s="584" t="n"/>
      <c r="D143" s="584" t="inlineStr">
        <is>
          <t>인그로운15</t>
        </is>
      </c>
      <c r="E143" s="585" t="inlineStr">
        <is>
          <t>P00000QK</t>
        </is>
      </c>
      <c r="F143" s="586" t="n"/>
      <c r="G143" s="108" t="n"/>
      <c r="H143" s="587" t="n"/>
      <c r="I143" s="108" t="n"/>
      <c r="J143" s="107" t="n"/>
      <c r="L143" s="769" t="n"/>
      <c r="P143" s="785" t="n"/>
    </row>
    <row r="144">
      <c r="A144" s="24" t="n"/>
      <c r="C144" s="104" t="inlineStr">
        <is>
          <t>인스125,50</t>
        </is>
      </c>
      <c r="D144" s="394" t="inlineStr">
        <is>
          <t>P00000VW</t>
        </is>
      </c>
      <c r="E144" s="15" t="inlineStr">
        <is>
          <t>P00000QI</t>
        </is>
      </c>
      <c r="F144" s="20" t="inlineStr">
        <is>
          <t>P0000BJQ</t>
        </is>
      </c>
      <c r="G144" s="84" t="inlineStr">
        <is>
          <t>기한임박</t>
        </is>
      </c>
      <c r="H144" s="195" t="n"/>
      <c r="I144" s="73" t="n"/>
      <c r="J144" s="102" t="n"/>
      <c r="L144" s="769" t="n"/>
      <c r="P144" s="785" t="n"/>
    </row>
    <row r="145">
      <c r="A145" s="24" t="n"/>
      <c r="C145" s="104" t="inlineStr">
        <is>
          <t>인크,헤어</t>
        </is>
      </c>
      <c r="D145" s="394" t="inlineStr">
        <is>
          <t>P00000VY</t>
        </is>
      </c>
      <c r="E145" s="15" t="inlineStr">
        <is>
          <t>P00000QL</t>
        </is>
      </c>
      <c r="F145" s="45" t="inlineStr">
        <is>
          <t>P00000KX</t>
        </is>
      </c>
      <c r="G145" s="101" t="inlineStr">
        <is>
          <t>인15+브팩</t>
        </is>
      </c>
      <c r="H145" s="207" t="n"/>
      <c r="I145" s="84" t="n"/>
      <c r="J145" s="102" t="n"/>
      <c r="L145" s="769" t="n"/>
      <c r="P145" s="785" t="n"/>
    </row>
    <row r="146" ht="24" customHeight="1" s="754">
      <c r="A146" s="24" t="inlineStr">
        <is>
          <t>사후관리제품</t>
        </is>
      </c>
      <c r="C146" s="104" t="inlineStr">
        <is>
          <t>바디,셀룰</t>
        </is>
      </c>
      <c r="D146" s="394" t="inlineStr">
        <is>
          <t>P00000VZ</t>
        </is>
      </c>
      <c r="E146" s="15" t="inlineStr">
        <is>
          <t>P00000QM</t>
        </is>
      </c>
      <c r="F146" s="20" t="inlineStr">
        <is>
          <t>P00000YU</t>
        </is>
      </c>
      <c r="G146" s="26" t="inlineStr">
        <is>
          <t>바디스타터키트</t>
        </is>
      </c>
      <c r="H146" s="195" t="n"/>
      <c r="I146" s="20" t="n"/>
      <c r="J146" s="102" t="n"/>
      <c r="L146" s="769" t="n"/>
      <c r="P146" s="785" t="n"/>
    </row>
    <row r="147">
      <c r="A147" s="24" t="n"/>
      <c r="C147" s="104" t="inlineStr">
        <is>
          <t>핑키니</t>
        </is>
      </c>
      <c r="D147" s="394" t="inlineStr">
        <is>
          <t>P00000WB</t>
        </is>
      </c>
      <c r="E147" s="15" t="inlineStr">
        <is>
          <t>P00000QO</t>
        </is>
      </c>
      <c r="F147" s="20" t="n"/>
      <c r="G147" s="292" t="n"/>
      <c r="H147" s="195" t="n"/>
      <c r="I147" s="109" t="n"/>
      <c r="J147" s="124" t="n"/>
      <c r="L147" s="769" t="n"/>
      <c r="P147" s="785" t="n"/>
    </row>
    <row r="148">
      <c r="A148" s="24" t="n"/>
      <c r="B148" s="104" t="n"/>
      <c r="C148" s="104" t="inlineStr">
        <is>
          <t>로션250</t>
        </is>
      </c>
      <c r="D148" s="55" t="inlineStr">
        <is>
          <t>P00000WG</t>
        </is>
      </c>
      <c r="E148" s="15" t="inlineStr">
        <is>
          <t>P00000QS</t>
        </is>
      </c>
      <c r="F148" s="20" t="n"/>
      <c r="G148" s="147" t="n"/>
      <c r="H148" s="195" t="n"/>
      <c r="I148" s="20" t="n"/>
      <c r="J148" s="124" t="n"/>
      <c r="L148" s="769" t="n"/>
      <c r="P148" s="785" t="n"/>
    </row>
    <row r="149">
      <c r="A149" s="24" t="n"/>
      <c r="B149" s="638" t="inlineStr">
        <is>
          <t>도매</t>
        </is>
      </c>
      <c r="C149" s="552" t="n"/>
      <c r="D149" s="553" t="n"/>
      <c r="E149" s="553" t="n"/>
      <c r="F149" s="106" t="n"/>
      <c r="G149" s="107" t="n"/>
      <c r="H149" s="202" t="n"/>
      <c r="I149" s="107" t="n"/>
      <c r="J149" s="108" t="n"/>
      <c r="K149" s="832" t="inlineStr">
        <is>
          <t>도매</t>
        </is>
      </c>
      <c r="L149" s="764" t="inlineStr">
        <is>
          <t>인증살롱/마스터</t>
        </is>
      </c>
      <c r="M149" s="765" t="n"/>
      <c r="N149" s="766" t="inlineStr">
        <is>
          <t>할인</t>
        </is>
      </c>
      <c r="O149" s="766" t="inlineStr">
        <is>
          <t>세트할인</t>
        </is>
      </c>
      <c r="P149" s="766" t="inlineStr">
        <is>
          <t>할인+증정</t>
        </is>
      </c>
      <c r="Q149" s="766" t="inlineStr">
        <is>
          <t>세트할인</t>
        </is>
      </c>
      <c r="R149" s="767" t="inlineStr">
        <is>
          <t>품목별합계</t>
        </is>
      </c>
      <c r="S149" s="795" t="inlineStr">
        <is>
          <t>도매,마스터원가</t>
        </is>
      </c>
    </row>
    <row r="150">
      <c r="A150" s="79" t="inlineStr">
        <is>
          <t>인그로운50ml</t>
        </is>
      </c>
      <c r="B150" s="703" t="inlineStr">
        <is>
          <t>P000000Q</t>
        </is>
      </c>
      <c r="C150" s="233" t="n">
        <v>408</v>
      </c>
      <c r="D150" s="366" t="n"/>
      <c r="E150" s="339" t="n">
        <v>72</v>
      </c>
      <c r="F150" s="230" t="n"/>
      <c r="G150" s="231" t="n"/>
      <c r="H150" s="236" t="n"/>
      <c r="I150" s="242" t="n"/>
      <c r="J150" s="35">
        <f>SUM(C150:I150)</f>
        <v/>
      </c>
      <c r="K150" s="815">
        <f>C150*10400</f>
        <v/>
      </c>
      <c r="L150" s="769">
        <f>D150*9000</f>
        <v/>
      </c>
      <c r="M150" s="770">
        <f>E150*9000</f>
        <v/>
      </c>
      <c r="N150" s="771" t="n"/>
      <c r="O150" s="771" t="n"/>
      <c r="P150" s="771" t="n"/>
      <c r="Q150" s="796" t="n"/>
      <c r="R150" s="756">
        <f>SUM(K150:Q150)</f>
        <v/>
      </c>
      <c r="S150" s="756">
        <f>J150*5400</f>
        <v/>
      </c>
    </row>
    <row r="151">
      <c r="A151" s="79" t="inlineStr">
        <is>
          <t>인그로운125ml</t>
        </is>
      </c>
      <c r="B151" s="703" t="inlineStr">
        <is>
          <t>P00000BJ</t>
        </is>
      </c>
      <c r="C151" s="233" t="n">
        <v>187</v>
      </c>
      <c r="D151" s="235" t="n"/>
      <c r="E151" s="234" t="n">
        <v>144</v>
      </c>
      <c r="F151" s="230" t="n"/>
      <c r="G151" s="242" t="n"/>
      <c r="H151" s="236" t="n"/>
      <c r="I151" s="230" t="n"/>
      <c r="J151" s="35">
        <f>SUM(C151:I151)</f>
        <v/>
      </c>
      <c r="K151" s="815">
        <f>C151*14700</f>
        <v/>
      </c>
      <c r="L151" s="769">
        <f>D151*12900</f>
        <v/>
      </c>
      <c r="M151" s="770">
        <f>E151*12900</f>
        <v/>
      </c>
      <c r="N151" s="771" t="n"/>
      <c r="O151" s="771">
        <f>F151*11760</f>
        <v/>
      </c>
      <c r="P151" s="771" t="n"/>
      <c r="Q151" s="796" t="n"/>
      <c r="R151" s="756">
        <f>SUM(K151:Q151)</f>
        <v/>
      </c>
      <c r="S151" s="756">
        <f>J151*7140</f>
        <v/>
      </c>
    </row>
    <row r="152">
      <c r="A152" s="79" t="inlineStr">
        <is>
          <t>인그로운15ml</t>
        </is>
      </c>
      <c r="B152" s="373" t="n"/>
      <c r="C152" s="261" t="n"/>
      <c r="D152" s="340" t="n"/>
      <c r="E152" s="341" t="n"/>
      <c r="F152" s="230" t="n"/>
      <c r="G152" s="231" t="n"/>
      <c r="H152" s="236" t="n"/>
      <c r="I152" s="230" t="n"/>
      <c r="J152" s="35">
        <f>SUM(C152:I152)</f>
        <v/>
      </c>
      <c r="K152" s="789">
        <f>C152*4500</f>
        <v/>
      </c>
      <c r="L152" s="769">
        <f>D152*4500</f>
        <v/>
      </c>
      <c r="M152" s="770">
        <f>E152*4500</f>
        <v/>
      </c>
      <c r="N152" s="771">
        <f>F152*4200</f>
        <v/>
      </c>
      <c r="O152" s="771" t="n"/>
      <c r="P152" s="771" t="n"/>
      <c r="Q152" s="796" t="n"/>
      <c r="R152" s="756">
        <f>SUM(K152:Q152)</f>
        <v/>
      </c>
      <c r="S152" s="756">
        <f>J152*1984</f>
        <v/>
      </c>
    </row>
    <row r="153">
      <c r="A153" s="79" t="inlineStr">
        <is>
          <t>인그로운크림</t>
        </is>
      </c>
      <c r="B153" s="703" t="inlineStr">
        <is>
          <t>P00000BI</t>
        </is>
      </c>
      <c r="C153" s="233" t="n">
        <v>3</v>
      </c>
      <c r="D153" s="235" t="n"/>
      <c r="E153" s="234" t="n">
        <v>10</v>
      </c>
      <c r="F153" s="230" t="n"/>
      <c r="G153" s="231" t="n"/>
      <c r="H153" s="236" t="n"/>
      <c r="I153" s="230" t="n"/>
      <c r="J153" s="35">
        <f>SUM(C153:I153)</f>
        <v/>
      </c>
      <c r="K153" s="815">
        <f>C153*14700</f>
        <v/>
      </c>
      <c r="L153" s="769">
        <f>D153*11000</f>
        <v/>
      </c>
      <c r="M153" s="770">
        <f>E153*11000</f>
        <v/>
      </c>
      <c r="N153" s="771" t="n"/>
      <c r="O153" s="771" t="n"/>
      <c r="P153" s="771" t="n"/>
      <c r="Q153" s="796" t="n"/>
      <c r="R153" s="756">
        <f>SUM(K153:Q153)</f>
        <v/>
      </c>
      <c r="S153" s="756">
        <f>J153*4658</f>
        <v/>
      </c>
    </row>
    <row r="154">
      <c r="A154" s="79" t="inlineStr">
        <is>
          <t>바디엑스폴리언트</t>
        </is>
      </c>
      <c r="B154" s="703" t="inlineStr">
        <is>
          <t>P00000BL</t>
        </is>
      </c>
      <c r="C154" s="233" t="n">
        <v>51</v>
      </c>
      <c r="D154" s="235" t="n"/>
      <c r="E154" s="234" t="n">
        <v>60</v>
      </c>
      <c r="F154" s="230" t="n"/>
      <c r="G154" s="231" t="n"/>
      <c r="H154" s="236" t="n"/>
      <c r="I154" s="230" t="n"/>
      <c r="J154" s="35">
        <f>SUM(C154:I154)</f>
        <v/>
      </c>
      <c r="K154" s="815">
        <f>C154*26400</f>
        <v/>
      </c>
      <c r="L154" s="769">
        <f>D154*18500</f>
        <v/>
      </c>
      <c r="M154" s="770">
        <f>E154*18500</f>
        <v/>
      </c>
      <c r="N154" s="771" t="n"/>
      <c r="O154" s="771" t="n"/>
      <c r="P154" s="771" t="n"/>
      <c r="Q154" s="796" t="n"/>
      <c r="R154" s="756">
        <f>SUM(K154:Q154)</f>
        <v/>
      </c>
      <c r="S154" s="756">
        <f>J154*6653</f>
        <v/>
      </c>
    </row>
    <row r="155">
      <c r="A155" s="79" t="inlineStr">
        <is>
          <t>핑키니미백세럼ea</t>
        </is>
      </c>
      <c r="B155" s="703" t="inlineStr">
        <is>
          <t>P00000JL</t>
        </is>
      </c>
      <c r="C155" s="233" t="n">
        <v>22</v>
      </c>
      <c r="D155" s="235" t="n"/>
      <c r="E155" s="234" t="n"/>
      <c r="F155" s="230" t="n"/>
      <c r="G155" s="231" t="n"/>
      <c r="H155" s="236" t="n"/>
      <c r="I155" s="230" t="n"/>
      <c r="J155" s="35">
        <f>SUM(C155:I155)</f>
        <v/>
      </c>
      <c r="K155" s="815">
        <f>C155*23100</f>
        <v/>
      </c>
      <c r="L155" s="769">
        <f>D155*17000</f>
        <v/>
      </c>
      <c r="M155" s="770">
        <f>E155*17000</f>
        <v/>
      </c>
      <c r="N155" s="771" t="n"/>
      <c r="O155" s="771" t="n"/>
      <c r="P155" s="771" t="n"/>
      <c r="Q155" s="796" t="n"/>
      <c r="R155" s="756">
        <f>SUM(K155:Q155)</f>
        <v/>
      </c>
      <c r="S155" s="756">
        <f>J155*8415</f>
        <v/>
      </c>
    </row>
    <row r="156">
      <c r="A156" s="109" t="inlineStr">
        <is>
          <t>핑키니미백세럼box</t>
        </is>
      </c>
      <c r="B156" s="45" t="inlineStr">
        <is>
          <t>P00000PP</t>
        </is>
      </c>
      <c r="C156" s="215" t="n"/>
      <c r="D156" s="235" t="n"/>
      <c r="E156" s="234" t="n">
        <v>18</v>
      </c>
      <c r="F156" s="230" t="n">
        <v>63</v>
      </c>
      <c r="G156" s="231" t="n"/>
      <c r="H156" s="236" t="n"/>
      <c r="I156" s="230" t="n"/>
      <c r="J156" s="35">
        <f>SUM(C156:I156)</f>
        <v/>
      </c>
      <c r="K156" s="820">
        <f>C156*21000</f>
        <v/>
      </c>
      <c r="L156" s="769">
        <f>D156*15200</f>
        <v/>
      </c>
      <c r="M156" s="770">
        <f>E156*15200</f>
        <v/>
      </c>
      <c r="N156" s="771">
        <f>F156*19640</f>
        <v/>
      </c>
      <c r="O156" s="771" t="n"/>
      <c r="P156" s="771" t="n"/>
      <c r="Q156" s="796" t="n"/>
      <c r="R156" s="756">
        <f>SUM(K156:Q156)</f>
        <v/>
      </c>
      <c r="S156" s="756">
        <f>J156*8415</f>
        <v/>
      </c>
    </row>
    <row r="157">
      <c r="A157" s="115" t="inlineStr">
        <is>
          <t>인그로운XIT포밍젤</t>
        </is>
      </c>
      <c r="B157" s="703" t="inlineStr">
        <is>
          <t>P00000BH</t>
        </is>
      </c>
      <c r="C157" s="237" t="n">
        <v>7</v>
      </c>
      <c r="D157" s="235" t="n"/>
      <c r="E157" s="234" t="n"/>
      <c r="F157" s="230" t="n"/>
      <c r="G157" s="231" t="n"/>
      <c r="H157" s="236" t="n"/>
      <c r="I157" s="230" t="n"/>
      <c r="J157" s="35">
        <f>SUM(C157:I157)</f>
        <v/>
      </c>
      <c r="K157" s="815">
        <f>C157*14700</f>
        <v/>
      </c>
      <c r="L157" s="769">
        <f>D157*11000</f>
        <v/>
      </c>
      <c r="M157" s="770">
        <f>E157*11000</f>
        <v/>
      </c>
      <c r="N157" s="771" t="n"/>
      <c r="O157" s="771" t="n"/>
      <c r="P157" s="771" t="n"/>
      <c r="Q157" s="796" t="n"/>
      <c r="R157" s="756">
        <f>SUM(K157:Q157)</f>
        <v/>
      </c>
      <c r="S157" s="756">
        <f>J157*5590</f>
        <v/>
      </c>
    </row>
    <row r="158">
      <c r="A158" s="115" t="inlineStr">
        <is>
          <t>티트리토탈워시</t>
        </is>
      </c>
      <c r="B158" s="703" t="inlineStr">
        <is>
          <t>P00000BM</t>
        </is>
      </c>
      <c r="C158" s="237" t="n">
        <v>1</v>
      </c>
      <c r="D158" s="235" t="n"/>
      <c r="E158" s="234" t="n"/>
      <c r="F158" s="230" t="n"/>
      <c r="G158" s="231" t="n"/>
      <c r="H158" s="236" t="n"/>
      <c r="I158" s="230" t="n"/>
      <c r="J158" s="35">
        <f>SUM(C158:I158)</f>
        <v/>
      </c>
      <c r="K158" s="815">
        <f>C158*17500</f>
        <v/>
      </c>
      <c r="L158" s="769">
        <f>D158*17500</f>
        <v/>
      </c>
      <c r="M158" s="770">
        <f>E158*17500</f>
        <v/>
      </c>
      <c r="N158" s="771" t="n"/>
      <c r="O158" s="771" t="n"/>
      <c r="P158" s="771" t="n"/>
      <c r="Q158" s="796" t="n"/>
      <c r="R158" s="756">
        <f>SUM(K158:Q158)</f>
        <v/>
      </c>
      <c r="S158" s="756">
        <f>J158*7123</f>
        <v/>
      </c>
    </row>
    <row r="159" customFormat="1" s="24">
      <c r="A159" s="468" t="inlineStr">
        <is>
          <t xml:space="preserve">밀크클렌징 </t>
        </is>
      </c>
      <c r="B159" s="88" t="inlineStr">
        <is>
          <t>P0000BGK</t>
        </is>
      </c>
      <c r="C159" s="560" t="inlineStr">
        <is>
          <t>리본펩타이드</t>
        </is>
      </c>
      <c r="D159" s="313" t="inlineStr">
        <is>
          <t>P0000BFS</t>
        </is>
      </c>
      <c r="E159" s="731" t="inlineStr">
        <is>
          <t>스파에이전</t>
        </is>
      </c>
      <c r="F159" s="357" t="n"/>
      <c r="G159" s="357" t="n"/>
      <c r="H159" s="358" t="n"/>
      <c r="I159" s="92" t="inlineStr">
        <is>
          <t>기타</t>
        </is>
      </c>
      <c r="J159" s="58" t="inlineStr">
        <is>
          <t>합계</t>
        </is>
      </c>
      <c r="K159" s="777">
        <f>SUM(K150:K158)</f>
        <v/>
      </c>
      <c r="L159" s="778">
        <f>SUM(L150:L158)</f>
        <v/>
      </c>
      <c r="M159" s="779">
        <f>SUM(M150:M158)</f>
        <v/>
      </c>
      <c r="N159" s="777">
        <f>SUM(N150:N158)</f>
        <v/>
      </c>
      <c r="O159" s="780">
        <f>SUM(O150:O158)</f>
        <v/>
      </c>
      <c r="P159" s="780">
        <f>SUM(P150:P158)</f>
        <v/>
      </c>
      <c r="Q159" s="780">
        <f>SUM(Q150:Q158)</f>
        <v/>
      </c>
      <c r="R159" s="781">
        <f>SUM(R150:R158)</f>
        <v/>
      </c>
      <c r="S159" s="782">
        <f>SUM(S150:S158)</f>
        <v/>
      </c>
    </row>
    <row r="160">
      <c r="A160" s="469" t="inlineStr">
        <is>
          <t>알로에800</t>
        </is>
      </c>
      <c r="B160" s="55" t="inlineStr">
        <is>
          <t>P00000NE</t>
        </is>
      </c>
      <c r="C160" s="388" t="inlineStr">
        <is>
          <t>안티바이오</t>
        </is>
      </c>
      <c r="D160" s="88" t="inlineStr">
        <is>
          <t>P00000ZI</t>
        </is>
      </c>
      <c r="E160" s="682" t="n"/>
      <c r="F160" s="20" t="inlineStr">
        <is>
          <t>P00000YS</t>
        </is>
      </c>
      <c r="G160" s="392" t="inlineStr">
        <is>
          <t>스타터키트</t>
        </is>
      </c>
      <c r="H160" s="20" t="n"/>
      <c r="I160" s="558" t="n"/>
      <c r="J160" s="353" t="n"/>
      <c r="K160" s="391" t="n"/>
      <c r="P160" s="785" t="n"/>
    </row>
    <row r="161">
      <c r="A161" s="469" t="inlineStr">
        <is>
          <t>알로에200</t>
        </is>
      </c>
      <c r="B161" s="88" t="inlineStr">
        <is>
          <t>P0000BFP</t>
        </is>
      </c>
      <c r="C161" s="560" t="inlineStr">
        <is>
          <t>안티로션</t>
        </is>
      </c>
      <c r="D161" s="88" t="inlineStr">
        <is>
          <t>P0000BFA</t>
        </is>
      </c>
      <c r="E161" s="391" t="inlineStr">
        <is>
          <t>P0000BFG</t>
        </is>
      </c>
      <c r="F161" s="20" t="n"/>
      <c r="G161" s="392" t="n"/>
      <c r="H161" s="20" t="n"/>
      <c r="I161" s="543" t="n"/>
      <c r="J161" s="395" t="n"/>
      <c r="K161" s="391" t="n"/>
      <c r="P161" s="785" t="n"/>
    </row>
    <row r="162">
      <c r="A162" s="468" t="inlineStr">
        <is>
          <t>밀크클렌징 800</t>
        </is>
      </c>
      <c r="B162" s="88" t="inlineStr">
        <is>
          <t>P00000NA</t>
        </is>
      </c>
      <c r="C162" s="468" t="inlineStr">
        <is>
          <t>BTS오일</t>
        </is>
      </c>
      <c r="D162" s="55" t="inlineStr">
        <is>
          <t>P00000XS</t>
        </is>
      </c>
      <c r="E162" s="391" t="inlineStr">
        <is>
          <t>P0000BIY</t>
        </is>
      </c>
      <c r="F162" s="20" t="n"/>
      <c r="G162" s="392" t="n"/>
      <c r="H162" s="20" t="n"/>
      <c r="I162" s="558" t="n"/>
      <c r="J162" s="107" t="n"/>
      <c r="K162" s="391" t="n"/>
      <c r="L162" s="142" t="n"/>
      <c r="P162" s="785" t="n"/>
    </row>
    <row r="163">
      <c r="A163" s="469" t="inlineStr">
        <is>
          <t>네출럴포밍</t>
        </is>
      </c>
      <c r="B163" s="88" t="inlineStr">
        <is>
          <t>P00000YV</t>
        </is>
      </c>
      <c r="C163" s="560" t="inlineStr">
        <is>
          <t>헤어프리</t>
        </is>
      </c>
      <c r="D163" s="88" t="inlineStr">
        <is>
          <t>P0000BFJ</t>
        </is>
      </c>
      <c r="E163" s="391" t="inlineStr">
        <is>
          <t>P0000BIT</t>
        </is>
      </c>
      <c r="F163" s="20" t="n"/>
      <c r="G163" s="533" t="n"/>
      <c r="H163" s="20" t="n"/>
      <c r="I163" s="157" t="n"/>
      <c r="J163" s="473" t="n"/>
      <c r="K163" s="391" t="n"/>
      <c r="L163" s="313" t="n"/>
      <c r="P163" s="785" t="n"/>
    </row>
    <row r="164">
      <c r="A164" s="469" t="inlineStr">
        <is>
          <t>큐어셀토너</t>
        </is>
      </c>
      <c r="B164" s="88" t="inlineStr">
        <is>
          <t>P0000BFM</t>
        </is>
      </c>
      <c r="C164" s="560" t="inlineStr">
        <is>
          <t>리본미스트</t>
        </is>
      </c>
      <c r="D164" s="88" t="inlineStr">
        <is>
          <t>P00000ND</t>
        </is>
      </c>
      <c r="E164" s="391" t="inlineStr">
        <is>
          <t>P0000BJB</t>
        </is>
      </c>
      <c r="F164" s="20" t="n"/>
      <c r="G164" s="542" t="n"/>
      <c r="H164" s="20" t="n"/>
      <c r="I164" s="20" t="n"/>
      <c r="J164" s="112" t="n"/>
      <c r="K164" s="470" t="n"/>
      <c r="L164" s="313" t="n"/>
      <c r="P164" s="785" t="n"/>
    </row>
    <row r="165" ht="24" customHeight="1" s="754">
      <c r="A165" s="469" t="inlineStr">
        <is>
          <t>큐어셀스무디</t>
        </is>
      </c>
      <c r="B165" s="88" t="inlineStr">
        <is>
          <t>P0000BGE</t>
        </is>
      </c>
      <c r="C165" s="88" t="inlineStr">
        <is>
          <t>시카팩</t>
        </is>
      </c>
      <c r="D165" s="88" t="inlineStr">
        <is>
          <t>P00000XY</t>
        </is>
      </c>
      <c r="E165" s="391" t="inlineStr">
        <is>
          <t>P0000BLH</t>
        </is>
      </c>
      <c r="F165" s="20" t="n"/>
      <c r="G165" s="565" t="n"/>
      <c r="H165" s="20" t="n"/>
      <c r="I165" s="45" t="inlineStr">
        <is>
          <t>P00000YZ</t>
        </is>
      </c>
      <c r="J165" s="473" t="inlineStr">
        <is>
          <t>컵세트할인</t>
        </is>
      </c>
      <c r="K165" s="470" t="n"/>
      <c r="L165" s="142" t="n"/>
      <c r="P165" s="785" t="n"/>
    </row>
    <row r="166" ht="24" customHeight="1" s="754">
      <c r="A166" s="469" t="inlineStr">
        <is>
          <t>큐어셀크림</t>
        </is>
      </c>
      <c r="B166" s="88" t="inlineStr">
        <is>
          <t>P0000BGX</t>
        </is>
      </c>
      <c r="C166" s="88" t="inlineStr">
        <is>
          <t>아나프리오일</t>
        </is>
      </c>
      <c r="D166" s="88" t="inlineStr">
        <is>
          <t>P0000BFY</t>
        </is>
      </c>
      <c r="E166" s="391" t="inlineStr">
        <is>
          <t>P0000BLJ</t>
        </is>
      </c>
      <c r="F166" s="20" t="inlineStr">
        <is>
          <t>P0000BMP</t>
        </is>
      </c>
      <c r="G166" s="576" t="inlineStr">
        <is>
          <t>호호바2종+큐어셀세럼증정</t>
        </is>
      </c>
      <c r="H166" s="575" t="n"/>
      <c r="I166" s="577" t="n"/>
      <c r="J166" s="45" t="n"/>
      <c r="K166" s="471" t="n"/>
      <c r="P166" s="785" t="n"/>
    </row>
    <row r="167" ht="24" customHeight="1" s="754">
      <c r="A167" s="469" t="inlineStr">
        <is>
          <t>큐어셀세럼</t>
        </is>
      </c>
      <c r="B167" s="88" t="inlineStr">
        <is>
          <t>P00000NI</t>
        </is>
      </c>
      <c r="C167" s="562" t="inlineStr">
        <is>
          <t>버진오일</t>
        </is>
      </c>
      <c r="D167" s="88" t="inlineStr">
        <is>
          <t>P0000BGB</t>
        </is>
      </c>
      <c r="E167" s="391" t="inlineStr">
        <is>
          <t>P0000BLF</t>
        </is>
      </c>
      <c r="F167" s="20" t="inlineStr">
        <is>
          <t>P0000BJW</t>
        </is>
      </c>
      <c r="G167" s="578" t="inlineStr">
        <is>
          <t>2종워터+로즈증정</t>
        </is>
      </c>
      <c r="H167" s="20" t="n"/>
      <c r="I167" s="308" t="n"/>
      <c r="J167" s="124" t="inlineStr">
        <is>
          <t>행사</t>
        </is>
      </c>
      <c r="K167" s="630" t="n"/>
      <c r="P167" s="785" t="n"/>
    </row>
    <row r="168">
      <c r="A168" s="469" t="inlineStr">
        <is>
          <t>히알세럼</t>
        </is>
      </c>
      <c r="B168" s="88" t="inlineStr">
        <is>
          <t>P00000NF</t>
        </is>
      </c>
      <c r="C168" s="563" t="inlineStr">
        <is>
          <t>썬,톤업</t>
        </is>
      </c>
      <c r="D168" s="88" t="inlineStr">
        <is>
          <t>P0000BIL</t>
        </is>
      </c>
      <c r="E168" s="391" t="inlineStr">
        <is>
          <t>P0000BMU</t>
        </is>
      </c>
      <c r="F168" s="20" t="inlineStr">
        <is>
          <t>P0000BEY</t>
        </is>
      </c>
      <c r="G168" s="471" t="inlineStr">
        <is>
          <t>인50증정</t>
        </is>
      </c>
      <c r="H168" s="90" t="inlineStr">
        <is>
          <t>P00000VA</t>
        </is>
      </c>
      <c r="I168" s="467" t="inlineStr">
        <is>
          <t>화이트팩+스크럽10</t>
        </is>
      </c>
      <c r="J168" s="124" t="n"/>
      <c r="K168" s="630" t="n"/>
      <c r="P168" s="785" t="n"/>
    </row>
    <row r="169">
      <c r="A169" s="469" t="inlineStr">
        <is>
          <t>리본수딩젤</t>
        </is>
      </c>
      <c r="B169" s="88" t="inlineStr">
        <is>
          <t>P0000BHK</t>
        </is>
      </c>
      <c r="C169" s="88" t="inlineStr">
        <is>
          <t>고마지</t>
        </is>
      </c>
      <c r="D169" s="88" t="inlineStr">
        <is>
          <t>P00000NJ</t>
        </is>
      </c>
      <c r="E169" s="391" t="inlineStr">
        <is>
          <t>P0000BMV</t>
        </is>
      </c>
      <c r="F169" s="90" t="n"/>
      <c r="G169" s="557" t="n"/>
      <c r="H169" s="630" t="n"/>
      <c r="I169" s="308" t="n"/>
      <c r="J169" s="124" t="n"/>
      <c r="K169" s="472" t="n"/>
      <c r="P169" s="785" t="n"/>
    </row>
    <row r="170">
      <c r="A170" s="468" t="inlineStr">
        <is>
          <t>안자라로션</t>
        </is>
      </c>
      <c r="B170" s="88" t="inlineStr">
        <is>
          <t>P0000BHD</t>
        </is>
      </c>
      <c r="C170" s="561" t="n"/>
      <c r="D170" s="88" t="n"/>
      <c r="E170" s="313" t="n"/>
      <c r="F170" s="20" t="n"/>
      <c r="G170" s="393" t="n"/>
      <c r="H170" s="193" t="n"/>
      <c r="I170" s="535" t="inlineStr">
        <is>
          <t>증정행사</t>
        </is>
      </c>
      <c r="J170" s="52" t="inlineStr">
        <is>
          <t>행사</t>
        </is>
      </c>
      <c r="K170" s="474" t="inlineStr">
        <is>
          <t>도매</t>
        </is>
      </c>
      <c r="L170" s="764" t="inlineStr">
        <is>
          <t>인증살롱/마스터</t>
        </is>
      </c>
      <c r="M170" s="765" t="n"/>
      <c r="N170" s="766" t="inlineStr">
        <is>
          <t>할인</t>
        </is>
      </c>
      <c r="O170" s="833" t="inlineStr">
        <is>
          <t>세트할인(스타터)</t>
        </is>
      </c>
      <c r="P170" s="766" t="inlineStr">
        <is>
          <t>할인+증정</t>
        </is>
      </c>
      <c r="Q170" s="833" t="inlineStr">
        <is>
          <t>컵세트묶음할인. 증정</t>
        </is>
      </c>
      <c r="R170" s="767" t="inlineStr">
        <is>
          <t>품목별합계</t>
        </is>
      </c>
      <c r="S170" s="795" t="inlineStr">
        <is>
          <t>도매,마스터원가</t>
        </is>
      </c>
    </row>
    <row r="171">
      <c r="A171" s="24" t="inlineStr">
        <is>
          <t>제모미인제품</t>
        </is>
      </c>
      <c r="B171" s="357" t="n"/>
      <c r="C171" s="233" t="n"/>
      <c r="D171" s="235" t="n"/>
      <c r="E171" s="241" t="n"/>
      <c r="F171" s="342" t="n"/>
      <c r="G171" s="241" t="n"/>
      <c r="H171" s="343" t="n"/>
      <c r="I171" s="232" t="n"/>
      <c r="J171" s="35" t="n"/>
      <c r="K171" s="828" t="n"/>
      <c r="L171" s="834" t="n"/>
      <c r="M171" s="770" t="n"/>
      <c r="N171" s="796" t="n"/>
      <c r="O171" s="796" t="n"/>
      <c r="P171" s="796" t="n"/>
      <c r="Q171" s="772" t="n"/>
      <c r="R171" s="758" t="n"/>
    </row>
    <row r="172">
      <c r="A172" s="79" t="inlineStr">
        <is>
          <t>밀크클렌징200</t>
        </is>
      </c>
      <c r="B172" s="703" t="inlineStr">
        <is>
          <t>P0000BGJ</t>
        </is>
      </c>
      <c r="C172" s="233" t="n">
        <v>1</v>
      </c>
      <c r="D172" s="235" t="n"/>
      <c r="E172" s="234" t="n"/>
      <c r="F172" s="342" t="n"/>
      <c r="G172" s="241" t="n"/>
      <c r="H172" s="343" t="n"/>
      <c r="I172" s="232" t="n"/>
      <c r="J172" s="35">
        <f>SUM(C172:I172)</f>
        <v/>
      </c>
      <c r="K172" s="835">
        <f>C172*12800</f>
        <v/>
      </c>
      <c r="L172" s="834">
        <f>D172*9600</f>
        <v/>
      </c>
      <c r="M172" s="770">
        <f>E172*9600</f>
        <v/>
      </c>
      <c r="N172" s="796" t="n"/>
      <c r="O172" s="796" t="n"/>
      <c r="P172" s="796" t="n"/>
      <c r="Q172" s="772" t="n"/>
      <c r="R172" s="758">
        <f>SUM(K172:Q172)</f>
        <v/>
      </c>
      <c r="S172" s="756">
        <f>J172*3857</f>
        <v/>
      </c>
    </row>
    <row r="173">
      <c r="A173" s="79" t="inlineStr">
        <is>
          <t>밀크클렌징800</t>
        </is>
      </c>
      <c r="B173" s="703" t="inlineStr">
        <is>
          <t>P00000JP</t>
        </is>
      </c>
      <c r="C173" s="233" t="n">
        <v>2</v>
      </c>
      <c r="D173" s="235" t="n"/>
      <c r="E173" s="234" t="n"/>
      <c r="F173" s="342" t="n"/>
      <c r="G173" s="241" t="n"/>
      <c r="H173" s="343" t="n"/>
      <c r="I173" s="232" t="n"/>
      <c r="J173" s="35">
        <f>SUM(C173:I173)</f>
        <v/>
      </c>
      <c r="K173" s="835">
        <f>C173*36000</f>
        <v/>
      </c>
      <c r="L173" s="834">
        <f>D173*33000</f>
        <v/>
      </c>
      <c r="M173" s="770">
        <f>E173*33000</f>
        <v/>
      </c>
      <c r="N173" s="796" t="n"/>
      <c r="O173" s="796" t="n"/>
      <c r="P173" s="796" t="n"/>
      <c r="Q173" s="772" t="n"/>
      <c r="R173" s="758">
        <f>SUM(K173:Q173)</f>
        <v/>
      </c>
      <c r="S173" s="756">
        <f>J173*8619</f>
        <v/>
      </c>
    </row>
    <row r="174">
      <c r="A174" s="115" t="inlineStr">
        <is>
          <t>알로에800</t>
        </is>
      </c>
      <c r="B174" s="703" t="inlineStr">
        <is>
          <t>P00000LP</t>
        </is>
      </c>
      <c r="C174" s="233" t="n">
        <v>107</v>
      </c>
      <c r="D174" s="235" t="n">
        <v>39</v>
      </c>
      <c r="E174" s="234" t="n"/>
      <c r="F174" s="215" t="n"/>
      <c r="G174" s="230" t="n"/>
      <c r="H174" s="230" t="n"/>
      <c r="I174" s="230" t="n"/>
      <c r="J174" s="35">
        <f>SUM(C174:I174)</f>
        <v/>
      </c>
      <c r="K174" s="815">
        <f>C174*28800</f>
        <v/>
      </c>
      <c r="L174" s="790">
        <f>D174*26400</f>
        <v/>
      </c>
      <c r="M174" s="770">
        <f>E174*26400</f>
        <v/>
      </c>
      <c r="N174" s="771" t="n"/>
      <c r="O174" s="771" t="n"/>
      <c r="P174" s="771">
        <f>F174*28800</f>
        <v/>
      </c>
      <c r="Q174" s="772" t="n"/>
      <c r="R174" s="758">
        <f>SUM(K174:Q174)</f>
        <v/>
      </c>
      <c r="S174" s="756">
        <f>J174*6704</f>
        <v/>
      </c>
    </row>
    <row r="175">
      <c r="A175" s="115" t="inlineStr">
        <is>
          <t>알로에200</t>
        </is>
      </c>
      <c r="B175" s="703" t="inlineStr">
        <is>
          <t>P0000BFO</t>
        </is>
      </c>
      <c r="C175" s="233" t="n">
        <v>93</v>
      </c>
      <c r="D175" s="235" t="n">
        <v>35</v>
      </c>
      <c r="E175" s="234" t="n"/>
      <c r="F175" s="238" t="n"/>
      <c r="G175" s="242" t="n"/>
      <c r="H175" s="230" t="n"/>
      <c r="I175" s="242" t="n"/>
      <c r="J175" s="35">
        <f>SUM(C175:I175)</f>
        <v/>
      </c>
      <c r="K175" s="815">
        <f>C175*16000</f>
        <v/>
      </c>
      <c r="L175" s="790">
        <f>D175*11200</f>
        <v/>
      </c>
      <c r="M175" s="770">
        <f>E175*11200</f>
        <v/>
      </c>
      <c r="N175" s="771" t="n"/>
      <c r="O175" s="796" t="n"/>
      <c r="P175" s="771" t="n"/>
      <c r="Q175" s="772" t="n"/>
      <c r="R175" s="758">
        <f>SUM(K175:Q175)</f>
        <v/>
      </c>
      <c r="S175" s="756">
        <f>J175*3489</f>
        <v/>
      </c>
    </row>
    <row r="176">
      <c r="A176" s="227" t="inlineStr">
        <is>
          <t>자디니네츄럴포밍</t>
        </is>
      </c>
      <c r="B176" s="704" t="inlineStr">
        <is>
          <t>P00000PT</t>
        </is>
      </c>
      <c r="C176" s="233" t="n">
        <v>9</v>
      </c>
      <c r="D176" s="235" t="n">
        <v>6</v>
      </c>
      <c r="E176" s="234" t="n"/>
      <c r="F176" s="215" t="n"/>
      <c r="G176" s="231" t="n"/>
      <c r="H176" s="236" t="n"/>
      <c r="I176" s="230" t="n"/>
      <c r="J176" s="35">
        <f>SUM(C176:I176)</f>
        <v/>
      </c>
      <c r="K176" s="815">
        <f>C176*16800</f>
        <v/>
      </c>
      <c r="L176" s="790">
        <f>D176*12800</f>
        <v/>
      </c>
      <c r="M176" s="770">
        <f>E176*12800</f>
        <v/>
      </c>
      <c r="N176" s="771" t="n"/>
      <c r="O176" s="771" t="n"/>
      <c r="P176" s="771" t="n"/>
      <c r="Q176" s="772" t="n"/>
      <c r="R176" s="758">
        <f>SUM(K176:Q176)</f>
        <v/>
      </c>
      <c r="S176" s="756">
        <f>J176*3075</f>
        <v/>
      </c>
    </row>
    <row r="177">
      <c r="A177" s="227" t="inlineStr">
        <is>
          <t>큐어셀토너800</t>
        </is>
      </c>
      <c r="B177" s="704" t="inlineStr">
        <is>
          <t>P0000BFL</t>
        </is>
      </c>
      <c r="C177" s="233" t="n">
        <v>15</v>
      </c>
      <c r="D177" s="235" t="n">
        <v>1</v>
      </c>
      <c r="E177" s="234" t="n"/>
      <c r="F177" s="215" t="n"/>
      <c r="G177" s="231" t="n"/>
      <c r="H177" s="236" t="n"/>
      <c r="I177" s="242" t="n"/>
      <c r="J177" s="35">
        <f>SUM(C177:I177)</f>
        <v/>
      </c>
      <c r="K177" s="815">
        <f>C177*36800</f>
        <v/>
      </c>
      <c r="L177" s="790">
        <f>D177*27200</f>
        <v/>
      </c>
      <c r="M177" s="770">
        <f>E177*27200</f>
        <v/>
      </c>
      <c r="N177" s="771" t="n"/>
      <c r="O177" s="771" t="n"/>
      <c r="P177" s="771" t="n"/>
      <c r="Q177" s="772" t="n"/>
      <c r="R177" s="758">
        <f>SUM(K177:Q177)</f>
        <v/>
      </c>
      <c r="S177" s="756">
        <f>J177*6040</f>
        <v/>
      </c>
    </row>
    <row r="178">
      <c r="A178" s="227" t="inlineStr">
        <is>
          <t>큐어셀토너200</t>
        </is>
      </c>
      <c r="B178" s="775" t="n"/>
      <c r="C178" s="233" t="n">
        <v>3</v>
      </c>
      <c r="D178" s="235" t="n"/>
      <c r="E178" s="234" t="n"/>
      <c r="F178" s="215" t="n"/>
      <c r="G178" s="231" t="n"/>
      <c r="H178" s="236" t="n"/>
      <c r="I178" s="242" t="n"/>
      <c r="J178" s="35">
        <f>SUM(C178:I178)</f>
        <v/>
      </c>
      <c r="K178" s="815">
        <f>C178*16000</f>
        <v/>
      </c>
      <c r="L178" s="790">
        <f>D178*12800</f>
        <v/>
      </c>
      <c r="M178" s="770">
        <f>E178*12800</f>
        <v/>
      </c>
      <c r="N178" s="771" t="n"/>
      <c r="O178" s="771" t="n"/>
      <c r="P178" s="771" t="n"/>
      <c r="Q178" s="772" t="n"/>
      <c r="R178" s="758">
        <f>SUM(K178:Q178)</f>
        <v/>
      </c>
      <c r="S178" s="756">
        <f>J178*4212</f>
        <v/>
      </c>
    </row>
    <row r="179">
      <c r="A179" s="227" t="inlineStr">
        <is>
          <t>큐어셀스무디</t>
        </is>
      </c>
      <c r="B179" s="704" t="inlineStr">
        <is>
          <t>P0000BGD</t>
        </is>
      </c>
      <c r="C179" s="233" t="n">
        <v>1</v>
      </c>
      <c r="D179" s="235" t="n"/>
      <c r="E179" s="234" t="n"/>
      <c r="F179" s="215" t="n"/>
      <c r="G179" s="231" t="n"/>
      <c r="H179" s="236" t="n"/>
      <c r="I179" s="230" t="n"/>
      <c r="J179" s="35">
        <f>SUM(C179:I179)</f>
        <v/>
      </c>
      <c r="K179" s="815">
        <f>C179*28000</f>
        <v/>
      </c>
      <c r="L179" s="790">
        <f>D179*19600</f>
        <v/>
      </c>
      <c r="M179" s="770">
        <f>E179*19600</f>
        <v/>
      </c>
      <c r="N179" s="771" t="n"/>
      <c r="O179" s="771" t="n"/>
      <c r="P179" s="771" t="n"/>
      <c r="Q179" s="772" t="n"/>
      <c r="R179" s="758">
        <f>SUM(K179:Q179)</f>
        <v/>
      </c>
      <c r="S179" s="756">
        <f>J179*6097</f>
        <v/>
      </c>
    </row>
    <row r="180">
      <c r="A180" s="227" t="inlineStr">
        <is>
          <t>큐어셀크림100</t>
        </is>
      </c>
      <c r="B180" s="704" t="inlineStr">
        <is>
          <t>P0000BGW</t>
        </is>
      </c>
      <c r="C180" s="233" t="n">
        <v>1</v>
      </c>
      <c r="D180" s="235" t="n">
        <v>4</v>
      </c>
      <c r="E180" s="234" t="n"/>
      <c r="F180" s="215" t="n"/>
      <c r="G180" s="231" t="n"/>
      <c r="H180" s="236" t="n"/>
      <c r="I180" s="230" t="n"/>
      <c r="J180" s="35">
        <f>SUM(C180:I180)</f>
        <v/>
      </c>
      <c r="K180" s="815">
        <f>C180*31000</f>
        <v/>
      </c>
      <c r="L180" s="790">
        <f>D180*19800</f>
        <v/>
      </c>
      <c r="M180" s="770">
        <f>E180*19800</f>
        <v/>
      </c>
      <c r="N180" s="771" t="n"/>
      <c r="O180" s="771" t="n"/>
      <c r="P180" s="771" t="n"/>
      <c r="Q180" s="772" t="n"/>
      <c r="R180" s="758">
        <f>SUM(K180:Q180)</f>
        <v/>
      </c>
      <c r="S180" s="756">
        <f>J180*6612</f>
        <v/>
      </c>
    </row>
    <row r="181" customFormat="1" s="567">
      <c r="A181" s="346" t="inlineStr">
        <is>
          <t>큐어셀세럼(PR세럼)</t>
        </is>
      </c>
      <c r="B181" s="704" t="inlineStr">
        <is>
          <t>P00000MG</t>
        </is>
      </c>
      <c r="C181" s="233" t="n">
        <v>3</v>
      </c>
      <c r="D181" s="235" t="n">
        <v>1</v>
      </c>
      <c r="E181" s="330" t="n"/>
      <c r="F181" s="242" t="n"/>
      <c r="G181" s="330" t="n"/>
      <c r="H181" s="242" t="n"/>
      <c r="I181" s="242" t="n"/>
      <c r="J181" s="218">
        <f>SUM(C181:I181)</f>
        <v/>
      </c>
      <c r="K181" s="836">
        <f>C181*27200</f>
        <v/>
      </c>
      <c r="L181" s="790">
        <f>D181*20000</f>
        <v/>
      </c>
      <c r="M181" s="770">
        <f>E181*20000</f>
        <v/>
      </c>
      <c r="N181" s="771" t="n"/>
      <c r="O181" s="771" t="n"/>
      <c r="P181" s="771" t="n"/>
      <c r="Q181" s="772" t="n"/>
      <c r="R181" s="837">
        <f>SUM(K181:Q181)</f>
        <v/>
      </c>
      <c r="S181" s="838">
        <f>J181*4582</f>
        <v/>
      </c>
    </row>
    <row r="182">
      <c r="A182" s="115" t="inlineStr">
        <is>
          <t>히아루로닉50</t>
        </is>
      </c>
      <c r="B182" s="547" t="inlineStr">
        <is>
          <t>P00000TJ</t>
        </is>
      </c>
      <c r="C182" s="233" t="n">
        <v>5</v>
      </c>
      <c r="D182" s="235" t="n">
        <v>2</v>
      </c>
      <c r="E182" s="259" t="n"/>
      <c r="F182" s="230" t="n"/>
      <c r="G182" s="231" t="n"/>
      <c r="H182" s="230" t="n"/>
      <c r="I182" s="230" t="n"/>
      <c r="J182" s="35">
        <f>SUM(C182:I182)</f>
        <v/>
      </c>
      <c r="K182" s="815">
        <f>C182*16000</f>
        <v/>
      </c>
      <c r="L182" s="790">
        <f>D182*12000</f>
        <v/>
      </c>
      <c r="M182" s="770">
        <f>E182*19200</f>
        <v/>
      </c>
      <c r="N182" s="771" t="n"/>
      <c r="O182" s="771" t="n"/>
      <c r="P182" s="771" t="n"/>
      <c r="Q182" s="772" t="n"/>
      <c r="R182" s="758">
        <f>SUM(K182:Q182)</f>
        <v/>
      </c>
      <c r="S182" s="756">
        <f>J182*3501</f>
        <v/>
      </c>
    </row>
    <row r="183">
      <c r="A183" s="115" t="inlineStr">
        <is>
          <t>리본수딩젤(구천년초)</t>
        </is>
      </c>
      <c r="B183" s="547" t="inlineStr">
        <is>
          <t>P0000BHJ</t>
        </is>
      </c>
      <c r="C183" s="233" t="n">
        <v>25</v>
      </c>
      <c r="D183" s="255" t="n"/>
      <c r="E183" s="232" t="n"/>
      <c r="F183" s="230" t="n"/>
      <c r="G183" s="231" t="n"/>
      <c r="H183" s="230" t="n"/>
      <c r="I183" s="230" t="n"/>
      <c r="J183" s="35">
        <f>SUM(C183:I183)</f>
        <v/>
      </c>
      <c r="K183" s="815">
        <f>C183*19000</f>
        <v/>
      </c>
      <c r="L183" s="790">
        <f>D183*13000</f>
        <v/>
      </c>
      <c r="M183" s="770">
        <f>E183*13000</f>
        <v/>
      </c>
      <c r="N183" s="771" t="n"/>
      <c r="O183" s="771" t="n"/>
      <c r="P183" s="771" t="n"/>
      <c r="Q183" s="772" t="n"/>
      <c r="R183" s="758">
        <f>SUM(K183:Q183)</f>
        <v/>
      </c>
      <c r="S183" s="756">
        <f>J183*3677</f>
        <v/>
      </c>
    </row>
    <row r="184">
      <c r="A184" s="346" t="inlineStr">
        <is>
          <t>안자라로션</t>
        </is>
      </c>
      <c r="B184" s="704" t="inlineStr">
        <is>
          <t>P0000BHC</t>
        </is>
      </c>
      <c r="C184" s="239" t="n">
        <v>8</v>
      </c>
      <c r="D184" s="235" t="n"/>
      <c r="E184" s="234" t="n"/>
      <c r="F184" s="230" t="n"/>
      <c r="G184" s="322" t="n"/>
      <c r="H184" s="230" t="n"/>
      <c r="I184" s="242" t="n"/>
      <c r="J184" s="35">
        <f>SUM(C184:I184)</f>
        <v/>
      </c>
      <c r="K184" s="815">
        <f>C184*16000</f>
        <v/>
      </c>
      <c r="L184" s="790">
        <f>D184*12000</f>
        <v/>
      </c>
      <c r="M184" s="770">
        <f>E184*12000</f>
        <v/>
      </c>
      <c r="N184" s="771" t="n"/>
      <c r="O184" s="771" t="n"/>
      <c r="P184" s="771" t="n"/>
      <c r="Q184" s="772" t="n"/>
      <c r="R184" s="758">
        <f>SUM(K184:Q184)</f>
        <v/>
      </c>
      <c r="S184" s="756">
        <f>J184*4716</f>
        <v/>
      </c>
    </row>
    <row r="185" customFormat="1" s="307">
      <c r="A185" s="306" t="inlineStr">
        <is>
          <t>리본펩타이드세럼50</t>
        </is>
      </c>
      <c r="B185" s="703" t="inlineStr">
        <is>
          <t>P0000BFR</t>
        </is>
      </c>
      <c r="C185" s="344" t="n">
        <v>7</v>
      </c>
      <c r="D185" s="235" t="n"/>
      <c r="E185" s="234" t="n"/>
      <c r="F185" s="230" t="n"/>
      <c r="G185" s="322" t="n"/>
      <c r="H185" s="230" t="n"/>
      <c r="I185" s="257" t="n"/>
      <c r="J185" s="35">
        <f>SUM(C185:I185)</f>
        <v/>
      </c>
      <c r="K185" s="815">
        <f>C185*26880</f>
        <v/>
      </c>
      <c r="L185" s="790">
        <f>D185*26400</f>
        <v/>
      </c>
      <c r="M185" s="770">
        <f>E185*26400</f>
        <v/>
      </c>
      <c r="N185" s="771" t="n"/>
      <c r="O185" s="771" t="n"/>
      <c r="P185" s="771">
        <f>H185*26880</f>
        <v/>
      </c>
      <c r="Q185" s="772" t="n"/>
      <c r="R185" s="758">
        <f>SUM(K185:Q185)</f>
        <v/>
      </c>
      <c r="S185" s="756">
        <f>J185*8712</f>
        <v/>
      </c>
    </row>
    <row r="186">
      <c r="A186" s="115" t="inlineStr">
        <is>
          <t>안티바이오자디니</t>
        </is>
      </c>
      <c r="B186" s="703" t="inlineStr">
        <is>
          <t>P00000JX</t>
        </is>
      </c>
      <c r="C186" s="239" t="n">
        <v>8</v>
      </c>
      <c r="D186" s="235" t="n"/>
      <c r="E186" s="232" t="n"/>
      <c r="F186" s="230" t="n"/>
      <c r="G186" s="322" t="n"/>
      <c r="H186" s="230" t="n"/>
      <c r="I186" s="242" t="n"/>
      <c r="J186" s="35">
        <f>SUM(C186:I186)</f>
        <v/>
      </c>
      <c r="K186" s="815">
        <f>C186*30400</f>
        <v/>
      </c>
      <c r="L186" s="790">
        <f>D186*25600</f>
        <v/>
      </c>
      <c r="M186" s="770">
        <f>E186*25600</f>
        <v/>
      </c>
      <c r="N186" s="771" t="n"/>
      <c r="O186" s="771" t="n"/>
      <c r="P186" s="771" t="n"/>
      <c r="Q186" s="772" t="n"/>
      <c r="R186" s="758">
        <f>SUM(K186:Q186)</f>
        <v/>
      </c>
      <c r="S186" s="756">
        <f>J186*5760</f>
        <v/>
      </c>
    </row>
    <row r="187">
      <c r="A187" s="115" t="inlineStr">
        <is>
          <t>안티바이오로션</t>
        </is>
      </c>
      <c r="B187" s="703" t="inlineStr">
        <is>
          <t>P0000BEZ</t>
        </is>
      </c>
      <c r="C187" s="239" t="n">
        <v>12</v>
      </c>
      <c r="D187" s="235" t="n">
        <v>7</v>
      </c>
      <c r="E187" s="232" t="n"/>
      <c r="F187" s="230" t="n"/>
      <c r="G187" s="322" t="n"/>
      <c r="H187" s="230" t="n"/>
      <c r="I187" s="242" t="n"/>
      <c r="J187" s="35">
        <f>SUM(C187:I187)</f>
        <v/>
      </c>
      <c r="K187" s="815">
        <f>C187*17600</f>
        <v/>
      </c>
      <c r="L187" s="790">
        <f>D187*14400</f>
        <v/>
      </c>
      <c r="M187" s="839">
        <f>E187*14400</f>
        <v/>
      </c>
      <c r="N187" s="820" t="n"/>
      <c r="O187" s="771" t="n"/>
      <c r="P187" s="771" t="n"/>
      <c r="Q187" s="772" t="n"/>
      <c r="R187" s="758">
        <f>SUM(K187:Q187)</f>
        <v/>
      </c>
      <c r="S187" s="756">
        <f>J187*3867</f>
        <v/>
      </c>
    </row>
    <row r="188">
      <c r="A188" s="115" t="inlineStr">
        <is>
          <t>13TS오일</t>
        </is>
      </c>
      <c r="B188" s="703" t="inlineStr">
        <is>
          <t>P00000HO</t>
        </is>
      </c>
      <c r="C188" s="233" t="n">
        <v>2</v>
      </c>
      <c r="D188" s="235" t="n"/>
      <c r="E188" s="232" t="n"/>
      <c r="F188" s="230" t="n"/>
      <c r="G188" s="322" t="n"/>
      <c r="H188" s="230" t="n"/>
      <c r="I188" s="230" t="n"/>
      <c r="J188" s="35">
        <f>SUM(C188:I188)</f>
        <v/>
      </c>
      <c r="K188" s="815">
        <f>C188*64800</f>
        <v/>
      </c>
      <c r="L188" s="790">
        <f>D188*51840</f>
        <v/>
      </c>
      <c r="M188" s="770">
        <f>E188*51840</f>
        <v/>
      </c>
      <c r="N188" s="771">
        <f>F188*45360</f>
        <v/>
      </c>
      <c r="O188" s="771" t="n"/>
      <c r="P188" s="771">
        <f>H188*45360</f>
        <v/>
      </c>
      <c r="Q188" s="772" t="n"/>
      <c r="R188" s="758">
        <f>SUM(K188:Q188)</f>
        <v/>
      </c>
      <c r="S188" s="756">
        <f>J188*20308</f>
        <v/>
      </c>
    </row>
    <row r="189">
      <c r="A189" s="227" t="inlineStr">
        <is>
          <t>자디니헤어프리</t>
        </is>
      </c>
      <c r="B189" s="703" t="inlineStr">
        <is>
          <t>P0000BFE</t>
        </is>
      </c>
      <c r="C189" s="233" t="n">
        <v>358</v>
      </c>
      <c r="D189" s="235" t="n">
        <v>40</v>
      </c>
      <c r="E189" s="234" t="n">
        <v>120</v>
      </c>
      <c r="F189" s="230" t="n"/>
      <c r="G189" s="230" t="n"/>
      <c r="H189" s="230" t="n"/>
      <c r="I189" s="230" t="n"/>
      <c r="J189" s="35">
        <f>SUM(C189:I189)</f>
        <v/>
      </c>
      <c r="K189" s="815">
        <f>C189*11000</f>
        <v/>
      </c>
      <c r="L189" s="790">
        <f>D189*9900</f>
        <v/>
      </c>
      <c r="M189" s="770">
        <f>E189*8800</f>
        <v/>
      </c>
      <c r="N189" s="771" t="n"/>
      <c r="O189" s="771">
        <f>F189*11000</f>
        <v/>
      </c>
      <c r="P189" s="771">
        <f>H189*11000</f>
        <v/>
      </c>
      <c r="Q189" s="772" t="n"/>
      <c r="R189" s="758">
        <f>SUM(K189:Q189)</f>
        <v/>
      </c>
      <c r="S189" s="756">
        <f>J189*2006</f>
        <v/>
      </c>
    </row>
    <row r="190">
      <c r="A190" s="115" t="inlineStr">
        <is>
          <t>리본미스트</t>
        </is>
      </c>
      <c r="B190" s="703" t="inlineStr">
        <is>
          <t>P00000XU</t>
        </is>
      </c>
      <c r="C190" s="233" t="n">
        <v>6</v>
      </c>
      <c r="D190" s="235" t="n">
        <v>2</v>
      </c>
      <c r="E190" s="232" t="n"/>
      <c r="F190" s="215" t="n"/>
      <c r="G190" s="242" t="n"/>
      <c r="H190" s="230" t="n"/>
      <c r="I190" s="238" t="n"/>
      <c r="J190" s="35">
        <f>SUM(C190:I190)</f>
        <v/>
      </c>
      <c r="K190" s="815">
        <f>C190*16000</f>
        <v/>
      </c>
      <c r="L190" s="790">
        <f>D190*12000</f>
        <v/>
      </c>
      <c r="M190" s="770">
        <f>E190*12000</f>
        <v/>
      </c>
      <c r="N190" s="771" t="n"/>
      <c r="O190" s="771">
        <f>F190*13200</f>
        <v/>
      </c>
      <c r="P190" s="771" t="n"/>
      <c r="Q190" s="772" t="n"/>
      <c r="R190" s="758">
        <f>SUM(K190:Q190)</f>
        <v/>
      </c>
      <c r="S190" s="756">
        <f>J190*2144</f>
        <v/>
      </c>
    </row>
    <row r="191">
      <c r="A191" s="224" t="inlineStr">
        <is>
          <t>자디니시카팩</t>
        </is>
      </c>
      <c r="B191" s="90" t="inlineStr">
        <is>
          <t>P00000XW</t>
        </is>
      </c>
      <c r="C191" s="230" t="n"/>
      <c r="D191" s="235" t="n">
        <v>200</v>
      </c>
      <c r="E191" s="259" t="n"/>
      <c r="F191" s="230" t="n">
        <v>150</v>
      </c>
      <c r="G191" s="230" t="n"/>
      <c r="H191" s="230" t="n"/>
      <c r="I191" s="238" t="n"/>
      <c r="J191" s="35">
        <f>SUM(C191:I191)</f>
        <v/>
      </c>
      <c r="K191" s="820">
        <f>C191*1800</f>
        <v/>
      </c>
      <c r="L191" s="790">
        <f>D191*1600</f>
        <v/>
      </c>
      <c r="M191" s="770">
        <f>E191*1600</f>
        <v/>
      </c>
      <c r="N191" s="771" t="n"/>
      <c r="O191" s="771">
        <f>F191*1800</f>
        <v/>
      </c>
      <c r="P191" s="771" t="n"/>
      <c r="Q191" s="772" t="n"/>
      <c r="R191" s="758">
        <f>SUM(K191:Q191)</f>
        <v/>
      </c>
      <c r="S191" s="756">
        <f>J191*818</f>
        <v/>
      </c>
    </row>
    <row r="192">
      <c r="A192" s="115" t="inlineStr">
        <is>
          <t>시카마스크5개</t>
        </is>
      </c>
      <c r="B192" s="703" t="inlineStr">
        <is>
          <t>P00000XW</t>
        </is>
      </c>
      <c r="C192" s="233" t="n">
        <v>125</v>
      </c>
      <c r="D192" s="235" t="n"/>
      <c r="E192" s="259" t="n"/>
      <c r="F192" s="230" t="n"/>
      <c r="G192" s="230" t="n"/>
      <c r="H192" s="230" t="n"/>
      <c r="I192" s="215" t="n"/>
      <c r="J192" s="35">
        <f>SUM(C192:I192)</f>
        <v/>
      </c>
      <c r="K192" s="815">
        <f>C192*2000</f>
        <v/>
      </c>
      <c r="L192" s="790">
        <f>D192*1600</f>
        <v/>
      </c>
      <c r="M192" s="770">
        <f>E192*1600</f>
        <v/>
      </c>
      <c r="N192" s="771" t="n"/>
      <c r="O192" s="771">
        <f>F192*1600</f>
        <v/>
      </c>
      <c r="P192" s="771" t="n"/>
      <c r="Q192" s="772" t="n"/>
      <c r="R192" s="758">
        <f>SUM(K192:Q192)</f>
        <v/>
      </c>
      <c r="S192" s="756">
        <f>J192*863</f>
        <v/>
      </c>
    </row>
    <row r="193">
      <c r="A193" s="115" t="inlineStr">
        <is>
          <t>아나프리오일</t>
        </is>
      </c>
      <c r="B193" s="703" t="inlineStr">
        <is>
          <t>P0000BLE</t>
        </is>
      </c>
      <c r="C193" s="233" t="n">
        <v>30</v>
      </c>
      <c r="D193" s="235" t="n"/>
      <c r="E193" s="234" t="n"/>
      <c r="F193" s="230" t="n"/>
      <c r="G193" s="230" t="n"/>
      <c r="H193" s="230" t="n"/>
      <c r="I193" s="238" t="n"/>
      <c r="J193" s="35">
        <f>SUM(C193:I193)</f>
        <v/>
      </c>
      <c r="K193" s="815">
        <f>C193*19200</f>
        <v/>
      </c>
      <c r="L193" s="790">
        <f>D193*21000</f>
        <v/>
      </c>
      <c r="M193" s="770">
        <f>E193*11000</f>
        <v/>
      </c>
      <c r="N193" s="771" t="n"/>
      <c r="O193" s="771">
        <f>G193*19200</f>
        <v/>
      </c>
      <c r="P193" s="771" t="n"/>
      <c r="Q193" s="772" t="n"/>
      <c r="R193" s="758">
        <f>SUM(K193:Q193)</f>
        <v/>
      </c>
      <c r="S193" s="756">
        <f>J193*4062</f>
        <v/>
      </c>
    </row>
    <row r="194">
      <c r="A194" s="115" t="inlineStr">
        <is>
          <t>버진오일</t>
        </is>
      </c>
      <c r="B194" s="703" t="inlineStr">
        <is>
          <t>P0000BGA</t>
        </is>
      </c>
      <c r="C194" s="233" t="n"/>
      <c r="D194" s="235" t="n"/>
      <c r="E194" s="234" t="n"/>
      <c r="F194" s="230" t="n"/>
      <c r="G194" s="230" t="n"/>
      <c r="H194" s="230" t="n"/>
      <c r="I194" s="215" t="n"/>
      <c r="J194" s="35">
        <f>SUM(C194:I194)</f>
        <v/>
      </c>
      <c r="K194" s="815">
        <f>C194*24000</f>
        <v/>
      </c>
      <c r="L194" s="790">
        <f>D194*21000</f>
        <v/>
      </c>
      <c r="M194" s="770">
        <f>E194*21000</f>
        <v/>
      </c>
      <c r="N194" s="771" t="n"/>
      <c r="O194" s="771">
        <f>G194*19200</f>
        <v/>
      </c>
      <c r="P194" s="771" t="n"/>
      <c r="Q194" s="772" t="n"/>
      <c r="R194" s="758">
        <f>SUM(K194:Q194)</f>
        <v/>
      </c>
      <c r="S194" s="756">
        <f>J194*7146</f>
        <v/>
      </c>
    </row>
    <row r="195">
      <c r="A195" s="115" t="inlineStr">
        <is>
          <t>딥릴리프오일200</t>
        </is>
      </c>
      <c r="B195" s="703" t="inlineStr">
        <is>
          <t>P0000BLG</t>
        </is>
      </c>
      <c r="C195" s="233" t="n">
        <v>2</v>
      </c>
      <c r="D195" s="235" t="n"/>
      <c r="E195" s="234" t="n"/>
      <c r="F195" s="230" t="n"/>
      <c r="G195" s="230" t="n"/>
      <c r="H195" s="230" t="n"/>
      <c r="I195" s="215" t="n"/>
      <c r="J195" s="35">
        <f>SUM(C195:I195)</f>
        <v/>
      </c>
      <c r="K195" s="815">
        <f>C195*19200</f>
        <v/>
      </c>
      <c r="L195" s="790" t="n"/>
      <c r="M195" s="770">
        <f>E195*11000</f>
        <v/>
      </c>
      <c r="N195" s="771" t="n"/>
      <c r="O195" s="771" t="n"/>
      <c r="P195" s="771" t="n"/>
      <c r="Q195" s="772" t="n"/>
      <c r="R195" s="758">
        <f>SUM(K195:Q195)</f>
        <v/>
      </c>
      <c r="S195" s="756">
        <f>J195*4314</f>
        <v/>
      </c>
    </row>
    <row r="196">
      <c r="A196" s="115" t="inlineStr">
        <is>
          <t>딥릴리프오일75</t>
        </is>
      </c>
      <c r="B196" s="703" t="inlineStr">
        <is>
          <t>P0000BLI</t>
        </is>
      </c>
      <c r="C196" s="233" t="n"/>
      <c r="D196" s="235" t="n"/>
      <c r="E196" s="234" t="n"/>
      <c r="F196" s="230" t="n"/>
      <c r="G196" s="230" t="n"/>
      <c r="H196" s="230" t="n"/>
      <c r="I196" s="238" t="n"/>
      <c r="J196" s="35">
        <f>SUM(C196:I196)</f>
        <v/>
      </c>
      <c r="K196" s="815">
        <f>C196*9000</f>
        <v/>
      </c>
      <c r="L196" s="790" t="n"/>
      <c r="M196" s="770">
        <f>E196*6600</f>
        <v/>
      </c>
      <c r="N196" s="771" t="n"/>
      <c r="O196" s="771" t="n"/>
      <c r="P196" s="771" t="n"/>
      <c r="Q196" s="772" t="n"/>
      <c r="R196" s="758">
        <f>SUM(K196:Q196)</f>
        <v/>
      </c>
      <c r="S196" s="756">
        <f>J196*3131</f>
        <v/>
      </c>
    </row>
    <row r="197">
      <c r="A197" s="115" t="inlineStr">
        <is>
          <t>안티버그오일(10묶음)</t>
        </is>
      </c>
      <c r="B197" s="703" t="inlineStr">
        <is>
          <t>P0000BLM</t>
        </is>
      </c>
      <c r="C197" s="233" t="n"/>
      <c r="D197" s="235" t="n"/>
      <c r="E197" s="234" t="n"/>
      <c r="F197" s="230" t="n"/>
      <c r="G197" s="230" t="n"/>
      <c r="H197" s="230" t="n"/>
      <c r="I197" s="238" t="n"/>
      <c r="J197" s="35">
        <f>SUM(C197:I197)</f>
        <v/>
      </c>
      <c r="K197" s="815">
        <f>C197*5500</f>
        <v/>
      </c>
      <c r="L197" s="815">
        <f>D197*5500</f>
        <v/>
      </c>
      <c r="M197" s="770">
        <f>E197*5500</f>
        <v/>
      </c>
      <c r="N197" s="771" t="n"/>
      <c r="O197" s="771" t="n"/>
      <c r="P197" s="771" t="n"/>
      <c r="Q197" s="772" t="n"/>
      <c r="R197" s="758">
        <f>SUM(K197:Q197)</f>
        <v/>
      </c>
      <c r="S197" s="756">
        <f>J197*2426</f>
        <v/>
      </c>
    </row>
    <row r="198">
      <c r="A198" s="115" t="inlineStr">
        <is>
          <t>자디니트래블키트</t>
        </is>
      </c>
      <c r="B198" s="703" t="inlineStr">
        <is>
          <t>P0000BLN</t>
        </is>
      </c>
      <c r="C198" s="233" t="n"/>
      <c r="D198" s="235" t="n"/>
      <c r="E198" s="234" t="n"/>
      <c r="F198" s="230" t="n"/>
      <c r="G198" s="230" t="n"/>
      <c r="H198" s="230" t="n"/>
      <c r="I198" s="238" t="n"/>
      <c r="J198" s="35">
        <f>SUM(C198:I198)</f>
        <v/>
      </c>
      <c r="K198" s="815">
        <f>C198*14500</f>
        <v/>
      </c>
      <c r="L198" s="815">
        <f>D198*14500</f>
        <v/>
      </c>
      <c r="M198" s="770">
        <f>E198*12100</f>
        <v/>
      </c>
      <c r="N198" s="771" t="n"/>
      <c r="O198" s="771" t="n"/>
      <c r="P198" s="771" t="n"/>
      <c r="Q198" s="772" t="n"/>
      <c r="R198" s="758">
        <f>SUM(K198:Q198)</f>
        <v/>
      </c>
      <c r="S198" s="756">
        <f>J198*5557</f>
        <v/>
      </c>
    </row>
    <row r="199" customFormat="1" s="755">
      <c r="A199" s="115" t="inlineStr">
        <is>
          <t>썬데일리크림</t>
        </is>
      </c>
      <c r="B199" s="703" t="inlineStr">
        <is>
          <t>P0000BIK</t>
        </is>
      </c>
      <c r="C199" s="233" t="n">
        <v>3</v>
      </c>
      <c r="D199" s="235" t="n"/>
      <c r="E199" s="234" t="n"/>
      <c r="F199" s="230" t="n"/>
      <c r="G199" s="230" t="n"/>
      <c r="H199" s="230" t="n"/>
      <c r="I199" s="238" t="n"/>
      <c r="J199" s="35">
        <f>SUM(C199:I199)</f>
        <v/>
      </c>
      <c r="K199" s="815">
        <f>C199*12000</f>
        <v/>
      </c>
      <c r="L199" s="790">
        <f>D199*9900</f>
        <v/>
      </c>
      <c r="M199" s="770">
        <f>E199*9900</f>
        <v/>
      </c>
      <c r="N199" s="771" t="n"/>
      <c r="O199" s="771">
        <f>F199*7200</f>
        <v/>
      </c>
      <c r="P199" s="771" t="n"/>
      <c r="Q199" s="772" t="n"/>
      <c r="R199" s="758">
        <f>SUM(K199:Q199)</f>
        <v/>
      </c>
      <c r="S199" s="756">
        <f>J199*2633</f>
        <v/>
      </c>
    </row>
    <row r="200" customFormat="1" s="755">
      <c r="A200" s="227" t="inlineStr">
        <is>
          <t>썬톤업크림</t>
        </is>
      </c>
      <c r="B200" s="775" t="n"/>
      <c r="C200" s="233" t="n">
        <v>1</v>
      </c>
      <c r="D200" s="235" t="n"/>
      <c r="E200" s="234" t="n"/>
      <c r="F200" s="230" t="n"/>
      <c r="G200" s="322" t="n"/>
      <c r="H200" s="230" t="n"/>
      <c r="I200" s="238" t="n"/>
      <c r="J200" s="35">
        <f>SUM(C200:I200)</f>
        <v/>
      </c>
      <c r="K200" s="755">
        <f>C200*14000</f>
        <v/>
      </c>
      <c r="L200" s="790">
        <f>D200*11600</f>
        <v/>
      </c>
      <c r="M200" s="770">
        <f>E200*11600</f>
        <v/>
      </c>
      <c r="N200" s="771" t="n"/>
      <c r="O200" s="771">
        <f>F200*8400</f>
        <v/>
      </c>
      <c r="P200" s="771" t="n"/>
      <c r="Q200" s="772" t="n"/>
      <c r="R200" s="758">
        <f>SUM(K200:Q200)</f>
        <v/>
      </c>
      <c r="S200" s="756">
        <f>J200*3569</f>
        <v/>
      </c>
    </row>
    <row r="201" customFormat="1" s="755">
      <c r="A201" s="227" t="inlineStr">
        <is>
          <t>알루아마미레스트</t>
        </is>
      </c>
      <c r="B201" s="703" t="inlineStr">
        <is>
          <t>P0000BMS</t>
        </is>
      </c>
      <c r="C201" s="233" t="n">
        <v>1</v>
      </c>
      <c r="D201" s="235" t="n"/>
      <c r="E201" s="234" t="n">
        <v>4</v>
      </c>
      <c r="F201" s="230" t="n"/>
      <c r="G201" s="322" t="n"/>
      <c r="H201" s="230" t="n"/>
      <c r="I201" s="238" t="n"/>
      <c r="J201" s="35">
        <f>SUM(C201:I201)</f>
        <v/>
      </c>
      <c r="K201" s="755">
        <f>C201*28000</f>
        <v/>
      </c>
      <c r="L201" s="790" t="n"/>
      <c r="M201" s="770">
        <f>E201*22400</f>
        <v/>
      </c>
      <c r="N201" s="771" t="n"/>
      <c r="O201" s="771" t="n"/>
      <c r="P201" s="771" t="n"/>
      <c r="Q201" s="772" t="n"/>
      <c r="R201" s="758">
        <f>SUM(K201:Q201)</f>
        <v/>
      </c>
      <c r="S201" s="756">
        <f>J201*4618</f>
        <v/>
      </c>
    </row>
    <row r="202" customFormat="1" s="755">
      <c r="A202" s="227" t="inlineStr">
        <is>
          <t>마인드밸런스풀슬립</t>
        </is>
      </c>
      <c r="B202" s="703" t="inlineStr">
        <is>
          <t>P0000BMQ</t>
        </is>
      </c>
      <c r="C202" s="233" t="n"/>
      <c r="D202" s="235" t="n"/>
      <c r="E202" s="234" t="n">
        <v>10</v>
      </c>
      <c r="F202" s="230" t="n"/>
      <c r="G202" s="322" t="n"/>
      <c r="H202" s="230" t="n"/>
      <c r="I202" s="238" t="n"/>
      <c r="J202" s="35">
        <f>SUM(C202:I202)</f>
        <v/>
      </c>
      <c r="K202" s="755">
        <f>C202*27000</f>
        <v/>
      </c>
      <c r="L202" s="790" t="n"/>
      <c r="M202" s="770">
        <f>E202*21600</f>
        <v/>
      </c>
      <c r="N202" s="771" t="n"/>
      <c r="O202" s="771" t="n"/>
      <c r="P202" s="771" t="n"/>
      <c r="Q202" s="772" t="n"/>
      <c r="R202" s="758">
        <f>SUM(K202:Q202)</f>
        <v/>
      </c>
      <c r="S202" s="756">
        <f>J202*4063</f>
        <v/>
      </c>
    </row>
    <row r="203" customFormat="1" s="755">
      <c r="A203" s="115" t="inlineStr">
        <is>
          <t>제모미인스킨100</t>
        </is>
      </c>
      <c r="B203" s="703" t="inlineStr">
        <is>
          <t>P00000ZA</t>
        </is>
      </c>
      <c r="C203" s="233" t="n">
        <v>26</v>
      </c>
      <c r="D203" s="235" t="n"/>
      <c r="E203" s="259" t="n"/>
      <c r="F203" s="215" t="n"/>
      <c r="G203" s="230" t="n"/>
      <c r="H203" s="230" t="n"/>
      <c r="I203" s="230" t="n">
        <v>4</v>
      </c>
      <c r="J203" s="35">
        <f>SUM(C203:I203)</f>
        <v/>
      </c>
      <c r="K203" s="815">
        <f>C203*6600</f>
        <v/>
      </c>
      <c r="L203" s="790" t="n"/>
      <c r="M203" s="770">
        <f>E203*5500</f>
        <v/>
      </c>
      <c r="N203" s="771" t="n"/>
      <c r="O203" s="771">
        <f>F203*5300</f>
        <v/>
      </c>
      <c r="P203" s="771" t="n"/>
      <c r="Q203" s="796">
        <f>I203*4620</f>
        <v/>
      </c>
      <c r="R203" s="758">
        <f>SUM(K203:Q203)</f>
        <v/>
      </c>
      <c r="S203" s="756">
        <f>J203*2573</f>
        <v/>
      </c>
    </row>
    <row r="204" customFormat="1" s="755">
      <c r="A204" s="115" t="inlineStr">
        <is>
          <t>제모미인오일100</t>
        </is>
      </c>
      <c r="B204" s="775" t="n"/>
      <c r="C204" s="233" t="n">
        <v>18</v>
      </c>
      <c r="D204" s="235" t="n"/>
      <c r="E204" s="259" t="n"/>
      <c r="F204" s="215" t="n"/>
      <c r="G204" s="230" t="n"/>
      <c r="H204" s="230" t="n"/>
      <c r="I204" s="230" t="n">
        <v>4</v>
      </c>
      <c r="J204" s="35">
        <f>SUM(C204:I204)</f>
        <v/>
      </c>
      <c r="K204" s="815">
        <f>C204*6600</f>
        <v/>
      </c>
      <c r="L204" s="790" t="n"/>
      <c r="M204" s="770">
        <f>E204*5500</f>
        <v/>
      </c>
      <c r="N204" s="771" t="n"/>
      <c r="O204" s="771">
        <f>F204*5300</f>
        <v/>
      </c>
      <c r="P204" s="771" t="n"/>
      <c r="Q204" s="796">
        <f>I204*4620</f>
        <v/>
      </c>
      <c r="R204" s="758">
        <f>SUM(K204:Q204)</f>
        <v/>
      </c>
      <c r="S204" s="756">
        <f>J204*3222</f>
        <v/>
      </c>
    </row>
    <row r="205" customFormat="1" s="755">
      <c r="A205" s="115" t="inlineStr">
        <is>
          <t>제모스킨덕용10L</t>
        </is>
      </c>
      <c r="B205" s="373" t="n"/>
      <c r="C205" s="237" t="n"/>
      <c r="D205" s="235" t="n"/>
      <c r="E205" s="234" t="n"/>
      <c r="F205" s="230" t="n"/>
      <c r="G205" s="322" t="n"/>
      <c r="H205" s="230" t="n"/>
      <c r="I205" s="351" t="n"/>
      <c r="J205" s="35">
        <f>SUM(C205:I205)</f>
        <v/>
      </c>
      <c r="L205" s="790" t="n"/>
      <c r="M205" s="770">
        <f>E205*180000</f>
        <v/>
      </c>
      <c r="N205" s="771" t="n"/>
      <c r="O205" s="771" t="n"/>
      <c r="P205" s="771" t="n"/>
      <c r="Q205" s="772" t="n"/>
      <c r="R205" s="758">
        <f>SUM(K205:Q205)</f>
        <v/>
      </c>
      <c r="S205" s="756">
        <f>J205*63000</f>
        <v/>
      </c>
    </row>
    <row r="206" customFormat="1" s="755">
      <c r="A206" s="115" t="inlineStr">
        <is>
          <t>제모오일덕용10L</t>
        </is>
      </c>
      <c r="B206" s="373" t="n"/>
      <c r="C206" s="35" t="n"/>
      <c r="D206" s="32" t="n"/>
      <c r="E206" s="234" t="n"/>
      <c r="F206" s="34" t="n"/>
      <c r="G206" s="34" t="n"/>
      <c r="H206" s="191" t="n"/>
      <c r="I206" s="80" t="n"/>
      <c r="J206" s="35">
        <f>SUM(C206:I206)</f>
        <v/>
      </c>
      <c r="L206" s="790" t="n"/>
      <c r="M206" s="770">
        <f>E206*180000</f>
        <v/>
      </c>
      <c r="N206" s="771" t="n"/>
      <c r="O206" s="771" t="n"/>
      <c r="P206" s="771" t="n"/>
      <c r="Q206" s="772" t="n"/>
      <c r="R206" s="758">
        <f>SUM(K206:Q206)</f>
        <v/>
      </c>
      <c r="S206" s="756">
        <f>J206*90000</f>
        <v/>
      </c>
    </row>
    <row r="207" customFormat="1" s="755">
      <c r="A207" s="115" t="inlineStr">
        <is>
          <t>포레스트페이셜스크럽</t>
        </is>
      </c>
      <c r="B207" s="703" t="inlineStr">
        <is>
          <t>P0000BIZ</t>
        </is>
      </c>
      <c r="C207" s="237" t="n">
        <v>75</v>
      </c>
      <c r="D207" s="235" t="n"/>
      <c r="E207" s="234" t="n">
        <v>38</v>
      </c>
      <c r="F207" s="242" t="n"/>
      <c r="G207" s="230" t="n"/>
      <c r="H207" s="230" t="n"/>
      <c r="I207" s="238" t="n"/>
      <c r="J207" s="35">
        <f>SUM(C207:I207)</f>
        <v/>
      </c>
      <c r="K207" s="755">
        <f>C207*16500</f>
        <v/>
      </c>
      <c r="L207" s="790" t="n"/>
      <c r="M207" s="770">
        <f>E207*12500</f>
        <v/>
      </c>
      <c r="N207" s="771" t="n"/>
      <c r="O207" s="771" t="n"/>
      <c r="P207" s="771" t="n"/>
      <c r="Q207" s="796" t="n"/>
      <c r="R207" s="758">
        <f>SUM(K207:Q207)</f>
        <v/>
      </c>
      <c r="S207" s="756">
        <f>J207*3069</f>
        <v/>
      </c>
    </row>
    <row r="208" customFormat="1" s="755">
      <c r="A208" s="115" t="inlineStr">
        <is>
          <t>포레스트바디로션</t>
        </is>
      </c>
      <c r="B208" s="703" t="inlineStr">
        <is>
          <t>P0000BIV</t>
        </is>
      </c>
      <c r="C208" s="237" t="n">
        <v>56</v>
      </c>
      <c r="D208" s="235" t="n"/>
      <c r="E208" s="234" t="n">
        <v>4</v>
      </c>
      <c r="F208" s="230" t="n"/>
      <c r="G208" s="322" t="n"/>
      <c r="H208" s="230" t="n"/>
      <c r="I208" s="238" t="n"/>
      <c r="J208" s="35">
        <f>SUM(C208:I208)</f>
        <v/>
      </c>
      <c r="K208" s="755">
        <f>C208*18000</f>
        <v/>
      </c>
      <c r="L208" s="790" t="n"/>
      <c r="M208" s="770">
        <f>E208*13200</f>
        <v/>
      </c>
      <c r="N208" s="771">
        <f>F208*18000</f>
        <v/>
      </c>
      <c r="O208" s="771" t="n"/>
      <c r="P208" s="771" t="n"/>
      <c r="Q208" s="772" t="n"/>
      <c r="R208" s="758">
        <f>SUM(K208:Q208)</f>
        <v/>
      </c>
      <c r="S208" s="756">
        <f>J208*3147</f>
        <v/>
      </c>
    </row>
    <row r="209" customFormat="1" s="755">
      <c r="A209" s="115" t="inlineStr">
        <is>
          <t>포레스트바디워시</t>
        </is>
      </c>
      <c r="B209" s="703" t="inlineStr">
        <is>
          <t>P0000BJC</t>
        </is>
      </c>
      <c r="C209" s="237" t="n">
        <v>6</v>
      </c>
      <c r="D209" s="235" t="n"/>
      <c r="E209" s="234" t="n"/>
      <c r="F209" s="230" t="n"/>
      <c r="G209" s="230" t="n"/>
      <c r="H209" s="230" t="n"/>
      <c r="I209" s="238" t="n"/>
      <c r="J209" s="35">
        <f>SUM(C209:I209)</f>
        <v/>
      </c>
      <c r="K209" s="755">
        <f>C209*12000</f>
        <v/>
      </c>
      <c r="L209" s="790" t="n"/>
      <c r="M209" s="770">
        <f>E209*9600</f>
        <v/>
      </c>
      <c r="N209" s="771">
        <f>F209*12000</f>
        <v/>
      </c>
      <c r="O209" s="771">
        <f>G209*9600</f>
        <v/>
      </c>
      <c r="P209" s="771" t="n"/>
      <c r="Q209" s="772" t="n"/>
      <c r="R209" s="758">
        <f>SUM(K209:Q209)</f>
        <v/>
      </c>
      <c r="S209" s="756">
        <f>J209*2740</f>
        <v/>
      </c>
    </row>
    <row r="210" customFormat="1" s="755">
      <c r="A210" s="115" t="inlineStr">
        <is>
          <t>아로마헤어샴푸</t>
        </is>
      </c>
      <c r="B210" s="703" t="inlineStr">
        <is>
          <t>P0000BKJ</t>
        </is>
      </c>
      <c r="C210" s="237" t="n"/>
      <c r="D210" s="235" t="n"/>
      <c r="E210" s="234" t="n"/>
      <c r="F210" s="230" t="n"/>
      <c r="G210" s="322" t="n"/>
      <c r="H210" s="230" t="n"/>
      <c r="I210" s="238" t="n"/>
      <c r="J210" s="35">
        <f>SUM(C210:I210)</f>
        <v/>
      </c>
      <c r="K210" s="755">
        <f>C210*28000</f>
        <v/>
      </c>
      <c r="L210" s="790" t="n"/>
      <c r="M210" s="770" t="n"/>
      <c r="N210" s="771">
        <f>F210*19600</f>
        <v/>
      </c>
      <c r="O210" s="771" t="n"/>
      <c r="P210" s="771">
        <f>H210*22400</f>
        <v/>
      </c>
      <c r="Q210" s="772" t="n"/>
      <c r="R210" s="758">
        <f>SUM(K210:Q210)</f>
        <v/>
      </c>
      <c r="S210" s="756">
        <f>J210*6493</f>
        <v/>
      </c>
    </row>
    <row r="211" customFormat="1" s="755">
      <c r="A211" s="115" t="inlineStr">
        <is>
          <t>아로마헤어트리트먼트</t>
        </is>
      </c>
      <c r="B211" s="703" t="inlineStr">
        <is>
          <t>P0000BKK</t>
        </is>
      </c>
      <c r="C211" s="35" t="n"/>
      <c r="D211" s="235" t="n"/>
      <c r="E211" s="234" t="n"/>
      <c r="F211" s="230" t="n"/>
      <c r="G211" s="322" t="n"/>
      <c r="H211" s="230" t="n"/>
      <c r="I211" s="238" t="n"/>
      <c r="J211" s="35">
        <f>SUM(C211:I211)</f>
        <v/>
      </c>
      <c r="K211" s="755">
        <f>C211*28000</f>
        <v/>
      </c>
      <c r="L211" s="790" t="n"/>
      <c r="M211" s="770" t="n"/>
      <c r="N211" s="771">
        <f>F211*19600</f>
        <v/>
      </c>
      <c r="O211" s="771" t="n"/>
      <c r="P211" s="771">
        <f>H211*22400</f>
        <v/>
      </c>
      <c r="Q211" s="772" t="n"/>
      <c r="R211" s="758">
        <f>SUM(K211:Q211)</f>
        <v/>
      </c>
      <c r="S211" s="756">
        <f>J211*6900</f>
        <v/>
      </c>
    </row>
    <row r="212" customFormat="1" s="755">
      <c r="A212" s="115" t="inlineStr">
        <is>
          <t>아로마헤어루트인핸서</t>
        </is>
      </c>
      <c r="B212" s="703" t="inlineStr">
        <is>
          <t>P0000BKL</t>
        </is>
      </c>
      <c r="C212" s="237" t="n"/>
      <c r="D212" s="235" t="n"/>
      <c r="E212" s="234" t="n"/>
      <c r="F212" s="230" t="n"/>
      <c r="G212" s="322" t="n"/>
      <c r="H212" s="230" t="n"/>
      <c r="I212" s="238" t="n"/>
      <c r="J212" s="35">
        <f>SUM(C212:I212)</f>
        <v/>
      </c>
      <c r="K212" s="755">
        <f>C212*22000</f>
        <v/>
      </c>
      <c r="L212" s="790" t="n"/>
      <c r="M212" s="770" t="n"/>
      <c r="N212" s="771">
        <f>F212*17100</f>
        <v/>
      </c>
      <c r="O212" s="771" t="n"/>
      <c r="P212" s="771" t="n"/>
      <c r="Q212" s="772" t="n"/>
      <c r="R212" s="758">
        <f>SUM(K212:Q212)</f>
        <v/>
      </c>
      <c r="S212" s="756">
        <f>J212*2573</f>
        <v/>
      </c>
    </row>
    <row r="213" ht="24" customFormat="1" customHeight="1" s="755">
      <c r="A213" s="115" t="inlineStr">
        <is>
          <t>무수알코올1KG</t>
        </is>
      </c>
      <c r="B213" s="532" t="inlineStr">
        <is>
          <t>P0000BJY /  P0000BKI</t>
        </is>
      </c>
      <c r="C213" s="237" t="n"/>
      <c r="D213" s="235" t="n"/>
      <c r="E213" s="234" t="n"/>
      <c r="F213" s="230" t="n"/>
      <c r="G213" s="322" t="n"/>
      <c r="H213" s="230" t="n"/>
      <c r="I213" s="351" t="n"/>
      <c r="J213" s="35">
        <f>SUM(C213:I213)</f>
        <v/>
      </c>
      <c r="K213" s="755">
        <f>C213*22000</f>
        <v/>
      </c>
      <c r="L213" s="790" t="n"/>
      <c r="M213" s="770" t="n"/>
      <c r="N213" s="771" t="n"/>
      <c r="O213" s="771" t="n"/>
      <c r="P213" s="771" t="n"/>
      <c r="Q213" s="772" t="n"/>
      <c r="R213" s="758">
        <f>SUM(K213:Q213)</f>
        <v/>
      </c>
      <c r="S213" s="756">
        <f>J213*4950</f>
        <v/>
      </c>
    </row>
    <row r="214" ht="16.5" customFormat="1" customHeight="1" s="755">
      <c r="A214" s="115" t="inlineStr">
        <is>
          <t>라벤더워터120ml</t>
        </is>
      </c>
      <c r="B214" s="532" t="inlineStr">
        <is>
          <t>P0000BJD / P0000BKB</t>
        </is>
      </c>
      <c r="C214" s="237" t="n"/>
      <c r="D214" s="235" t="n"/>
      <c r="E214" s="234" t="n"/>
      <c r="F214" s="230" t="n"/>
      <c r="G214" s="322" t="n"/>
      <c r="H214" s="230" t="n"/>
      <c r="I214" s="238" t="n"/>
      <c r="J214" s="35">
        <f>SUM(C214:I214)</f>
        <v/>
      </c>
      <c r="K214" s="755">
        <f>C214*12000</f>
        <v/>
      </c>
      <c r="L214" s="790" t="n"/>
      <c r="M214" s="770">
        <f>E214*12000</f>
        <v/>
      </c>
      <c r="N214" s="771">
        <f>F214*9600</f>
        <v/>
      </c>
      <c r="O214" s="771" t="n"/>
      <c r="P214" s="771">
        <f>H214*12000</f>
        <v/>
      </c>
      <c r="Q214" s="772" t="n"/>
      <c r="R214" s="758">
        <f>SUM(K214:Q214)</f>
        <v/>
      </c>
      <c r="S214" s="756">
        <f>J214*2645</f>
        <v/>
      </c>
    </row>
    <row r="215" customFormat="1" s="755">
      <c r="A215" s="115" t="inlineStr">
        <is>
          <t>라벤더워터500ml</t>
        </is>
      </c>
      <c r="B215" s="775" t="n"/>
      <c r="C215" s="237" t="n"/>
      <c r="D215" s="235" t="n"/>
      <c r="E215" s="234" t="n"/>
      <c r="F215" s="230" t="n"/>
      <c r="G215" s="322" t="n"/>
      <c r="H215" s="230" t="n"/>
      <c r="I215" s="238" t="n"/>
      <c r="J215" s="35">
        <f>SUM(C215:I215)</f>
        <v/>
      </c>
      <c r="K215" s="755">
        <f>C215*48000</f>
        <v/>
      </c>
      <c r="L215" s="790" t="n"/>
      <c r="M215" s="770">
        <f>E215*48000</f>
        <v/>
      </c>
      <c r="N215" s="771">
        <f>F215*38400</f>
        <v/>
      </c>
      <c r="O215" s="771" t="n"/>
      <c r="P215" s="771" t="n"/>
      <c r="Q215" s="772" t="n"/>
      <c r="R215" s="758">
        <f>SUM(K215:Q215)</f>
        <v/>
      </c>
      <c r="S215" s="756">
        <f>J215*5981</f>
        <v/>
      </c>
    </row>
    <row r="216" ht="16.5" customHeight="1" s="754">
      <c r="A216" s="115" t="inlineStr">
        <is>
          <t>티트리워터120ml</t>
        </is>
      </c>
      <c r="B216" s="532" t="inlineStr">
        <is>
          <t>P0000BJE / P0000BKC</t>
        </is>
      </c>
      <c r="C216" s="257" t="n">
        <v>7</v>
      </c>
      <c r="D216" s="235" t="n"/>
      <c r="E216" s="234" t="n"/>
      <c r="F216" s="230" t="n"/>
      <c r="G216" s="322" t="n"/>
      <c r="H216" s="230" t="n"/>
      <c r="I216" s="351" t="n"/>
      <c r="J216" s="35">
        <f>SUM(C216:I216)</f>
        <v/>
      </c>
      <c r="K216" s="755">
        <f>C216*12000</f>
        <v/>
      </c>
      <c r="L216" s="790" t="n"/>
      <c r="M216" s="770">
        <f>E216*12000</f>
        <v/>
      </c>
      <c r="N216" s="771">
        <f>F216*9600</f>
        <v/>
      </c>
      <c r="O216" s="771" t="n"/>
      <c r="P216" s="771">
        <f>H216*12000</f>
        <v/>
      </c>
      <c r="Q216" s="772" t="n"/>
      <c r="R216" s="758">
        <f>SUM(K216:Q216)</f>
        <v/>
      </c>
      <c r="S216" s="756">
        <f>J216*2718</f>
        <v/>
      </c>
    </row>
    <row r="217">
      <c r="A217" s="115" t="inlineStr">
        <is>
          <t>티트리워터500ml</t>
        </is>
      </c>
      <c r="B217" s="775" t="n"/>
      <c r="C217" s="237" t="n">
        <v>1</v>
      </c>
      <c r="D217" s="235" t="n"/>
      <c r="E217" s="234" t="n"/>
      <c r="F217" s="230" t="n"/>
      <c r="G217" s="322" t="n"/>
      <c r="H217" s="230" t="n"/>
      <c r="I217" s="351" t="n"/>
      <c r="J217" s="35">
        <f>SUM(C217:I217)</f>
        <v/>
      </c>
      <c r="K217" s="755">
        <f>C217*48000</f>
        <v/>
      </c>
      <c r="L217" s="790" t="n"/>
      <c r="M217" s="770">
        <f>E217*48000</f>
        <v/>
      </c>
      <c r="N217" s="771">
        <f>F217*38400</f>
        <v/>
      </c>
      <c r="O217" s="771" t="n"/>
      <c r="P217" s="771" t="n"/>
      <c r="Q217" s="772" t="n"/>
      <c r="R217" s="758">
        <f>SUM(K217:Q217)</f>
        <v/>
      </c>
      <c r="S217" s="756">
        <f>J217*6197</f>
        <v/>
      </c>
    </row>
    <row r="218" ht="24" customHeight="1" s="754">
      <c r="A218" s="115" t="inlineStr">
        <is>
          <t>로즈워터120ml</t>
        </is>
      </c>
      <c r="B218" s="532" t="inlineStr">
        <is>
          <t>P0000BJF / P0000BKD</t>
        </is>
      </c>
      <c r="C218" s="237" t="n"/>
      <c r="D218" s="235" t="n"/>
      <c r="E218" s="234" t="n"/>
      <c r="F218" s="230" t="n"/>
      <c r="G218" s="322" t="n"/>
      <c r="H218" s="230" t="n"/>
      <c r="I218" s="238" t="n"/>
      <c r="J218" s="35">
        <f>SUM(C218:I218)</f>
        <v/>
      </c>
      <c r="K218" s="755">
        <f>C218*18000</f>
        <v/>
      </c>
      <c r="L218" s="790" t="n"/>
      <c r="M218" s="770" t="n"/>
      <c r="N218" s="771">
        <f>F218*14400</f>
        <v/>
      </c>
      <c r="O218" s="771" t="n"/>
      <c r="P218" s="771" t="n"/>
      <c r="Q218" s="772" t="n"/>
      <c r="R218" s="758">
        <f>SUM(K218:Q218)</f>
        <v/>
      </c>
      <c r="S218" s="756">
        <f>J218*3129</f>
        <v/>
      </c>
    </row>
    <row r="219" ht="16.5" customHeight="1" s="754">
      <c r="A219" s="115" t="inlineStr">
        <is>
          <t>호호바골든오가닉30</t>
        </is>
      </c>
      <c r="B219" s="532" t="inlineStr">
        <is>
          <t>P0000BIS  /  P0000BKA</t>
        </is>
      </c>
      <c r="C219" s="257" t="n">
        <v>35</v>
      </c>
      <c r="D219" s="235" t="n"/>
      <c r="E219" s="234" t="n"/>
      <c r="F219" s="230" t="n">
        <v>1</v>
      </c>
      <c r="G219" s="322" t="n"/>
      <c r="H219" s="230" t="n"/>
      <c r="I219" s="238" t="n"/>
      <c r="J219" s="35">
        <f>SUM(C219:I219)</f>
        <v/>
      </c>
      <c r="K219" s="755">
        <f>C219*18000</f>
        <v/>
      </c>
      <c r="L219" s="790" t="n"/>
      <c r="M219" s="770">
        <f>E219*18000</f>
        <v/>
      </c>
      <c r="N219" s="771">
        <f>F219*14400</f>
        <v/>
      </c>
      <c r="O219" s="771" t="n"/>
      <c r="P219" s="771">
        <f>H219*18000</f>
        <v/>
      </c>
      <c r="Q219" s="772" t="n"/>
      <c r="R219" s="758">
        <f>SUM(K219:Q219)</f>
        <v/>
      </c>
      <c r="S219" s="756">
        <f>J219*2748</f>
        <v/>
      </c>
    </row>
    <row r="220">
      <c r="A220" s="115" t="inlineStr">
        <is>
          <t>호호바골든오가닉100</t>
        </is>
      </c>
      <c r="B220" s="774" t="n"/>
      <c r="C220" s="257" t="n">
        <v>6</v>
      </c>
      <c r="D220" s="235" t="n"/>
      <c r="E220" s="234" t="n"/>
      <c r="F220" s="230" t="n"/>
      <c r="G220" s="322" t="n"/>
      <c r="H220" s="230" t="n"/>
      <c r="I220" s="351" t="n"/>
      <c r="J220" s="35">
        <f>SUM(C220:I220)</f>
        <v/>
      </c>
      <c r="K220" s="755">
        <f>C220*36000</f>
        <v/>
      </c>
      <c r="L220" s="790" t="n"/>
      <c r="M220" s="770">
        <f>E220*36000</f>
        <v/>
      </c>
      <c r="N220" s="771">
        <f>F220*28800</f>
        <v/>
      </c>
      <c r="O220" s="771" t="n"/>
      <c r="P220" s="771">
        <f>H220*36000</f>
        <v/>
      </c>
      <c r="Q220" s="772" t="n"/>
      <c r="R220" s="758">
        <f>SUM(K220:Q220)</f>
        <v/>
      </c>
      <c r="S220" s="756">
        <f>J220*4960</f>
        <v/>
      </c>
    </row>
    <row r="221">
      <c r="A221" s="115" t="inlineStr">
        <is>
          <t>호호바골든오가닉500</t>
        </is>
      </c>
      <c r="B221" s="775" t="n"/>
      <c r="C221" s="539" t="n">
        <v>3</v>
      </c>
      <c r="D221" s="32" t="n"/>
      <c r="E221" s="234" t="n"/>
      <c r="F221" s="191" t="n">
        <v>1</v>
      </c>
      <c r="G221" s="34" t="n"/>
      <c r="H221" s="191" t="n"/>
      <c r="I221" s="80" t="n"/>
      <c r="J221" s="35">
        <f>SUM(C221:I221)</f>
        <v/>
      </c>
      <c r="K221" s="755">
        <f>C221*90000</f>
        <v/>
      </c>
      <c r="L221" s="790" t="n"/>
      <c r="M221" s="770">
        <f>E221*90000</f>
        <v/>
      </c>
      <c r="N221" s="771">
        <f>F221*72000</f>
        <v/>
      </c>
      <c r="O221" s="771" t="n"/>
      <c r="P221" s="771" t="n"/>
      <c r="Q221" s="772" t="n"/>
      <c r="R221" s="758">
        <f>SUM(K221:Q221)</f>
        <v/>
      </c>
      <c r="S221" s="756">
        <f>J221*14800</f>
        <v/>
      </c>
    </row>
    <row r="222" customFormat="1" s="24">
      <c r="B222" s="74" t="n"/>
      <c r="C222" s="74" t="n"/>
      <c r="D222" s="116" t="n"/>
      <c r="E222" s="10" t="n"/>
      <c r="F222" s="10" t="n"/>
      <c r="G222" s="11" t="n"/>
      <c r="H222" s="192" t="n"/>
      <c r="I222" s="12" t="inlineStr">
        <is>
          <t>할인행사</t>
        </is>
      </c>
      <c r="J222" s="117" t="inlineStr">
        <is>
          <t>합계</t>
        </is>
      </c>
      <c r="K222" s="840">
        <f>SUM(K171:K221)</f>
        <v/>
      </c>
      <c r="L222" s="841">
        <f>SUM(L171:L221)</f>
        <v/>
      </c>
      <c r="M222" s="842">
        <f>SUM(M171:M221)</f>
        <v/>
      </c>
      <c r="N222" s="843">
        <f>SUM(N171:N221)</f>
        <v/>
      </c>
      <c r="O222" s="843">
        <f>SUM(O171:O221)</f>
        <v/>
      </c>
      <c r="P222" s="843">
        <f>SUM(P171:P221)</f>
        <v/>
      </c>
      <c r="Q222" s="840">
        <f>SUM(Q171:Q221)</f>
        <v/>
      </c>
      <c r="R222" s="844">
        <f>SUM(R171:R221)</f>
        <v/>
      </c>
      <c r="S222" s="844">
        <f>SUM(S171:S221)</f>
        <v/>
      </c>
    </row>
    <row r="223" customFormat="1" s="244">
      <c r="B223" s="245" t="n"/>
      <c r="C223" s="245" t="n"/>
      <c r="D223" s="116" t="inlineStr">
        <is>
          <t>가맹점단품</t>
        </is>
      </c>
      <c r="E223" s="475" t="n"/>
      <c r="F223" s="475" t="n"/>
      <c r="G223" s="476" t="n"/>
      <c r="H223" s="477" t="n"/>
      <c r="I223" s="478" t="n"/>
      <c r="J223" s="479" t="n"/>
      <c r="K223" s="845" t="n"/>
      <c r="L223" s="846" t="n"/>
      <c r="M223" s="847" t="n"/>
      <c r="N223" s="848" t="n"/>
      <c r="O223" s="848" t="n"/>
      <c r="P223" s="848" t="n"/>
      <c r="Q223" s="845" t="n"/>
      <c r="R223" s="849" t="n"/>
      <c r="S223" s="849" t="n"/>
    </row>
    <row r="224" ht="24" customHeight="1" s="754">
      <c r="A224" s="120" t="inlineStr">
        <is>
          <t>바자즐링제품</t>
        </is>
      </c>
      <c r="C224" s="121" t="inlineStr">
        <is>
          <t>y존미스트</t>
        </is>
      </c>
      <c r="D224" s="682" t="n"/>
      <c r="E224" s="313" t="n"/>
      <c r="F224" s="10" t="inlineStr">
        <is>
          <t>마스터단품</t>
        </is>
      </c>
      <c r="G224" s="15" t="inlineStr">
        <is>
          <t>마스터번들(50+10)</t>
        </is>
      </c>
      <c r="H224" s="16" t="n"/>
      <c r="I224" s="125" t="n"/>
      <c r="J224" s="107" t="n"/>
      <c r="K224" s="789" t="n"/>
      <c r="P224" s="785" t="n"/>
    </row>
    <row r="225" ht="17.25" customHeight="1" s="754">
      <c r="A225" s="120" t="n"/>
      <c r="C225" s="592" t="inlineStr">
        <is>
          <t>세정제</t>
        </is>
      </c>
      <c r="D225" s="774" t="n"/>
      <c r="E225" s="398" t="n"/>
      <c r="F225" s="397" t="n"/>
      <c r="G225" s="20" t="n"/>
      <c r="H225" s="544" t="n"/>
      <c r="I225" s="534" t="n"/>
      <c r="J225" s="20" t="n"/>
      <c r="K225" s="414" t="n"/>
      <c r="P225" s="785" t="n"/>
    </row>
    <row r="226" ht="21.75" customHeight="1" s="754">
      <c r="A226" s="120" t="n"/>
      <c r="C226" s="592" t="inlineStr">
        <is>
          <t>청결제</t>
        </is>
      </c>
      <c r="D226" s="774" t="n"/>
      <c r="E226" s="398" t="n"/>
      <c r="F226" s="396" t="inlineStr">
        <is>
          <t>P00000SF</t>
        </is>
      </c>
      <c r="G226" s="566" t="n"/>
      <c r="H226" s="20" t="inlineStr">
        <is>
          <t>P0000BLK</t>
        </is>
      </c>
      <c r="I226" s="534" t="inlineStr">
        <is>
          <t>토너패드증정</t>
        </is>
      </c>
      <c r="J226" s="320" t="n"/>
      <c r="K226" s="321" t="n"/>
      <c r="P226" s="785" t="n"/>
    </row>
    <row r="227" ht="24" customHeight="1" s="754">
      <c r="B227" s="628" t="inlineStr">
        <is>
          <t>도매</t>
        </is>
      </c>
      <c r="C227" s="563" t="inlineStr">
        <is>
          <t>토너패드(30)</t>
        </is>
      </c>
      <c r="D227" s="398" t="n"/>
      <c r="E227" s="595" t="inlineStr">
        <is>
          <t>P0000BIH</t>
        </is>
      </c>
      <c r="F227" s="208" t="n"/>
      <c r="G227" s="399" t="inlineStr">
        <is>
          <t>P00000WW</t>
        </is>
      </c>
      <c r="H227" s="20" t="inlineStr">
        <is>
          <t>P0000BFU</t>
        </is>
      </c>
      <c r="I227" s="575" t="inlineStr">
        <is>
          <t>Y존미스트2+1증정</t>
        </is>
      </c>
      <c r="J227" s="124" t="n"/>
      <c r="K227" s="763" t="inlineStr">
        <is>
          <t>도매</t>
        </is>
      </c>
      <c r="L227" s="764" t="inlineStr">
        <is>
          <t>가맹점/마스터단품</t>
        </is>
      </c>
      <c r="M227" s="765" t="n"/>
      <c r="N227" s="765" t="n"/>
      <c r="O227" s="850" t="n"/>
      <c r="P227" s="851" t="n"/>
      <c r="Q227" s="852" t="inlineStr">
        <is>
          <t>제품+중정</t>
        </is>
      </c>
      <c r="R227" s="767" t="inlineStr">
        <is>
          <t>품목별합계</t>
        </is>
      </c>
      <c r="S227" s="795" t="inlineStr">
        <is>
          <t>도매,마스터원가</t>
        </is>
      </c>
    </row>
    <row r="228">
      <c r="A228" s="29" t="inlineStr">
        <is>
          <t>y존케어150</t>
        </is>
      </c>
      <c r="B228" s="374" t="inlineStr">
        <is>
          <t>P00000KB</t>
        </is>
      </c>
      <c r="C228" s="233" t="n">
        <v>93</v>
      </c>
      <c r="D228" s="235" t="n"/>
      <c r="E228" s="234" t="n"/>
      <c r="F228" s="234" t="n">
        <v>32</v>
      </c>
      <c r="G228" s="235" t="n"/>
      <c r="H228" s="230" t="n"/>
      <c r="I228" s="352" t="n"/>
      <c r="J228" s="35">
        <f>SUM(C228:I228)</f>
        <v/>
      </c>
      <c r="K228" s="815">
        <f>C228*12000</f>
        <v/>
      </c>
      <c r="L228" s="790">
        <f>D228*9900</f>
        <v/>
      </c>
      <c r="M228" s="839">
        <f>F228*9900</f>
        <v/>
      </c>
      <c r="N228" s="770" t="n"/>
      <c r="O228" s="853" t="n"/>
      <c r="P228" s="854" t="n"/>
      <c r="Q228" s="772">
        <f>H228*12000</f>
        <v/>
      </c>
      <c r="R228" s="756">
        <f>SUM(K228:Q228)</f>
        <v/>
      </c>
      <c r="S228" s="756">
        <f>J228*4006</f>
        <v/>
      </c>
    </row>
    <row r="229">
      <c r="A229" s="29" t="inlineStr">
        <is>
          <t>여성세정제</t>
        </is>
      </c>
      <c r="B229" s="374" t="inlineStr">
        <is>
          <t>P00000LL</t>
        </is>
      </c>
      <c r="C229" s="233" t="n">
        <v>113</v>
      </c>
      <c r="D229" s="235" t="n"/>
      <c r="E229" s="234" t="n"/>
      <c r="F229" s="234" t="n">
        <v>33</v>
      </c>
      <c r="G229" s="229" t="n"/>
      <c r="H229" s="230" t="n"/>
      <c r="I229" s="36" t="n"/>
      <c r="J229" s="35">
        <f>SUM(C229:I229)</f>
        <v/>
      </c>
      <c r="K229" s="815">
        <f>C229*22000</f>
        <v/>
      </c>
      <c r="L229" s="790">
        <f>D229*18000</f>
        <v/>
      </c>
      <c r="M229" s="839">
        <f>F229*18000</f>
        <v/>
      </c>
      <c r="N229" s="770" t="n"/>
      <c r="O229" s="853" t="n"/>
      <c r="P229" s="854" t="n"/>
      <c r="Q229" s="772">
        <f>H229*22000</f>
        <v/>
      </c>
      <c r="R229" s="756">
        <f>SUM(K229:Q229)</f>
        <v/>
      </c>
      <c r="S229" s="756">
        <f>J229*3489</f>
        <v/>
      </c>
    </row>
    <row r="230">
      <c r="A230" s="29" t="inlineStr">
        <is>
          <t>여성청결제</t>
        </is>
      </c>
      <c r="B230" s="374" t="inlineStr">
        <is>
          <t>P00000KY</t>
        </is>
      </c>
      <c r="C230" s="239" t="n">
        <v>24</v>
      </c>
      <c r="D230" s="255" t="n"/>
      <c r="E230" s="234" t="n"/>
      <c r="F230" s="234" t="n">
        <v>33</v>
      </c>
      <c r="G230" s="229" t="n"/>
      <c r="H230" s="230" t="n"/>
      <c r="I230" s="352" t="n"/>
      <c r="J230" s="35">
        <f>SUM(C230:I230)</f>
        <v/>
      </c>
      <c r="K230" s="815">
        <f>C230*16500</f>
        <v/>
      </c>
      <c r="L230" s="790">
        <f>D230*13200</f>
        <v/>
      </c>
      <c r="M230" s="839">
        <f>F230*13200</f>
        <v/>
      </c>
      <c r="N230" s="770" t="n"/>
      <c r="O230" s="853" t="n"/>
      <c r="P230" s="854" t="n"/>
      <c r="Q230" s="772">
        <f>H230*13200</f>
        <v/>
      </c>
      <c r="R230" s="756">
        <f>SUM(K230:Q230)</f>
        <v/>
      </c>
      <c r="S230" s="756">
        <f>J230*2598</f>
        <v/>
      </c>
    </row>
    <row r="231">
      <c r="A231" s="29" t="inlineStr">
        <is>
          <t>Y존패드</t>
        </is>
      </c>
      <c r="B231" s="374" t="inlineStr">
        <is>
          <t>P0000BIG</t>
        </is>
      </c>
      <c r="C231" s="239" t="n">
        <v>25</v>
      </c>
      <c r="D231" s="255" t="n"/>
      <c r="E231" s="234" t="n">
        <v>30</v>
      </c>
      <c r="F231" s="234" t="n"/>
      <c r="G231" s="229" t="n"/>
      <c r="H231" s="230" t="n"/>
      <c r="I231" s="352" t="n"/>
      <c r="J231" s="35">
        <f>SUM(C231:I231)</f>
        <v/>
      </c>
      <c r="K231" s="815">
        <f>C231*16000</f>
        <v/>
      </c>
      <c r="L231" s="790">
        <f>D231*13100</f>
        <v/>
      </c>
      <c r="M231" s="839">
        <f>E231*13100</f>
        <v/>
      </c>
      <c r="N231" s="770" t="n"/>
      <c r="O231" s="853" t="n"/>
      <c r="P231" s="854" t="n"/>
      <c r="Q231" s="772">
        <f>G231*16000</f>
        <v/>
      </c>
      <c r="R231" s="756">
        <f>SUM(K231:Q231)</f>
        <v/>
      </c>
      <c r="S231" s="756">
        <f>J231*4740</f>
        <v/>
      </c>
    </row>
    <row r="232" ht="40.5" customFormat="1" customHeight="1" s="24">
      <c r="B232" s="628" t="inlineStr">
        <is>
          <t>도매</t>
        </is>
      </c>
      <c r="C232" s="74" t="n"/>
      <c r="D232" s="113" t="inlineStr">
        <is>
          <t>가맹점</t>
        </is>
      </c>
      <c r="E232" s="347" t="inlineStr">
        <is>
          <t>P00000WW</t>
        </is>
      </c>
      <c r="F232" s="123" t="n"/>
      <c r="G232" s="123" t="n"/>
      <c r="H232" s="20" t="n"/>
      <c r="I232" s="125" t="inlineStr">
        <is>
          <t>할인증정(센서형손소독기)</t>
        </is>
      </c>
      <c r="J232" s="58" t="inlineStr">
        <is>
          <t>합계</t>
        </is>
      </c>
      <c r="K232" s="840">
        <f>SUM(K228:K231)</f>
        <v/>
      </c>
      <c r="L232" s="841">
        <f>SUM(L228:L231)</f>
        <v/>
      </c>
      <c r="M232" s="840">
        <f>SUM(M228:M231)</f>
        <v/>
      </c>
      <c r="N232" s="842">
        <f>SUM(N228:N231)</f>
        <v/>
      </c>
      <c r="O232" s="843">
        <f>SUM(O228:O231)</f>
        <v/>
      </c>
      <c r="P232" s="843">
        <f>SUM(P228:P231)</f>
        <v/>
      </c>
      <c r="Q232" s="840">
        <f>SUM(Q228:Q231)</f>
        <v/>
      </c>
      <c r="R232" s="844">
        <f>SUM(R228:R231)</f>
        <v/>
      </c>
      <c r="S232" s="844">
        <f>SUM(S228:S231)</f>
        <v/>
      </c>
    </row>
    <row r="233" customFormat="1" s="24">
      <c r="B233" s="628" t="n"/>
      <c r="C233" s="74" t="n"/>
      <c r="D233" s="401" t="inlineStr">
        <is>
          <t>P00000SG</t>
        </is>
      </c>
      <c r="E233" s="123" t="n"/>
      <c r="F233" s="123" t="n"/>
      <c r="G233" s="123" t="n"/>
      <c r="H233" s="20" t="n"/>
      <c r="I233" s="317" t="n"/>
      <c r="J233" s="117" t="n"/>
      <c r="K233" s="845" t="n"/>
      <c r="L233" s="846" t="n"/>
      <c r="M233" s="845" t="n"/>
      <c r="N233" s="845" t="n"/>
      <c r="O233" s="848" t="n"/>
      <c r="P233" s="845" t="n"/>
      <c r="Q233" s="845" t="n"/>
      <c r="R233" s="849" t="n"/>
      <c r="S233" s="849" t="n"/>
    </row>
    <row r="234">
      <c r="A234" s="74" t="inlineStr">
        <is>
          <t>파우치</t>
        </is>
      </c>
      <c r="B234" s="126" t="n"/>
      <c r="C234" s="100" t="n"/>
      <c r="D234" s="682" t="inlineStr">
        <is>
          <t>P00000SV</t>
        </is>
      </c>
      <c r="E234" s="113" t="n"/>
      <c r="F234" s="127" t="n"/>
      <c r="G234" s="209" t="n"/>
      <c r="H234" s="20" t="inlineStr">
        <is>
          <t>세트할인</t>
        </is>
      </c>
      <c r="I234" s="20" t="n"/>
      <c r="J234" s="108" t="n"/>
      <c r="K234" s="828" t="inlineStr">
        <is>
          <t>도매</t>
        </is>
      </c>
      <c r="L234" s="855" t="inlineStr">
        <is>
          <t xml:space="preserve">가맹점/마스터 </t>
        </is>
      </c>
      <c r="N234" s="796" t="inlineStr">
        <is>
          <t>할인</t>
        </is>
      </c>
      <c r="O234" s="796" t="inlineStr">
        <is>
          <t>세트할인</t>
        </is>
      </c>
      <c r="P234" s="856" t="inlineStr">
        <is>
          <t>할인+증정</t>
        </is>
      </c>
      <c r="Q234" s="796" t="n"/>
      <c r="R234" s="758" t="inlineStr">
        <is>
          <t>품목별합계</t>
        </is>
      </c>
      <c r="S234" s="756" t="inlineStr">
        <is>
          <t>도매,마스터원가</t>
        </is>
      </c>
    </row>
    <row r="235">
      <c r="A235" s="128" t="inlineStr">
        <is>
          <t>센서형소독용제</t>
        </is>
      </c>
      <c r="B235" s="715" t="inlineStr">
        <is>
          <t>P00000ZM</t>
        </is>
      </c>
      <c r="C235" s="237" t="n"/>
      <c r="D235" s="32" t="n"/>
      <c r="E235" s="33" t="n"/>
      <c r="F235" s="191" t="n"/>
      <c r="G235" s="197" t="n"/>
      <c r="H235" s="36" t="n"/>
      <c r="I235" s="191" t="n"/>
      <c r="J235" s="35">
        <f>SUM(C235:I235)</f>
        <v/>
      </c>
      <c r="K235" s="755">
        <f>C235*7000</f>
        <v/>
      </c>
      <c r="L235" s="790" t="n"/>
      <c r="M235" s="770">
        <f>E235*0</f>
        <v/>
      </c>
      <c r="N235" s="771" t="n"/>
      <c r="O235" s="771">
        <f>H235*1680</f>
        <v/>
      </c>
      <c r="P235" s="857" t="n"/>
      <c r="Q235" s="796" t="n"/>
      <c r="R235" s="756">
        <f>SUM(K235:Q235)</f>
        <v/>
      </c>
      <c r="S235" s="756">
        <f>J235*1957</f>
        <v/>
      </c>
    </row>
    <row r="236">
      <c r="A236" s="129" t="inlineStr">
        <is>
          <t>센서형소독용세트</t>
        </is>
      </c>
      <c r="B236" s="378" t="inlineStr">
        <is>
          <t>P00000ZM</t>
        </is>
      </c>
      <c r="C236" s="215" t="n"/>
      <c r="D236" s="32" t="n"/>
      <c r="E236" s="33" t="n"/>
      <c r="F236" s="191" t="n"/>
      <c r="G236" s="197" t="n"/>
      <c r="H236" s="36" t="n"/>
      <c r="I236" s="191" t="n"/>
      <c r="J236" s="35">
        <f>SUM(C236:I236)</f>
        <v/>
      </c>
      <c r="K236" s="820">
        <f>C236*7800</f>
        <v/>
      </c>
      <c r="L236" s="790" t="n"/>
      <c r="M236" s="770">
        <f>E236*0</f>
        <v/>
      </c>
      <c r="N236" s="771" t="n"/>
      <c r="O236" s="771">
        <f>H236*1680</f>
        <v/>
      </c>
      <c r="P236" s="857" t="n"/>
      <c r="Q236" s="796" t="n"/>
      <c r="R236" s="756">
        <f>SUM(K236:Q236)</f>
        <v/>
      </c>
      <c r="S236" s="756">
        <f>J236*10200</f>
        <v/>
      </c>
    </row>
    <row r="237">
      <c r="A237" s="128" t="inlineStr">
        <is>
          <t>미니파우치포밍</t>
        </is>
      </c>
      <c r="B237" s="374" t="inlineStr">
        <is>
          <t>P00000OD</t>
        </is>
      </c>
      <c r="C237" s="237" t="n">
        <v>420</v>
      </c>
      <c r="D237" s="235" t="n"/>
      <c r="E237" s="33" t="n"/>
      <c r="F237" s="191" t="n"/>
      <c r="G237" s="197" t="n"/>
      <c r="H237" s="191" t="n"/>
      <c r="I237" s="36" t="n"/>
      <c r="J237" s="35">
        <f>SUM(C237:I237)</f>
        <v/>
      </c>
      <c r="K237" s="815">
        <f>C237*600</f>
        <v/>
      </c>
      <c r="L237" s="790">
        <f>D237*600</f>
        <v/>
      </c>
      <c r="M237" s="770">
        <f>E237*600</f>
        <v/>
      </c>
      <c r="N237" s="771" t="n"/>
      <c r="O237" s="771">
        <f>H237*1680</f>
        <v/>
      </c>
      <c r="P237" s="857" t="n"/>
      <c r="Q237" s="796" t="n"/>
      <c r="R237" s="756">
        <f>SUM(K237:Q237)</f>
        <v/>
      </c>
      <c r="S237" s="756">
        <f>J237*480</f>
        <v/>
      </c>
    </row>
    <row r="238" ht="27" customFormat="1" customHeight="1" s="24">
      <c r="B238" s="74" t="n"/>
      <c r="C238" s="74" t="n"/>
      <c r="D238" s="55" t="inlineStr">
        <is>
          <t>가맹점단품</t>
        </is>
      </c>
      <c r="E238" s="125" t="inlineStr">
        <is>
          <t>도매번들50+10</t>
        </is>
      </c>
      <c r="F238" s="130" t="inlineStr">
        <is>
          <t xml:space="preserve">인증/마스터50   </t>
        </is>
      </c>
      <c r="G238" s="10" t="inlineStr">
        <is>
          <t>마스터단품</t>
        </is>
      </c>
      <c r="H238" s="130" t="n"/>
      <c r="I238" s="131" t="inlineStr">
        <is>
          <t>마스터박스</t>
        </is>
      </c>
      <c r="J238" s="58" t="inlineStr">
        <is>
          <t>합계</t>
        </is>
      </c>
      <c r="K238" s="840">
        <f>SUM(K235:K237)</f>
        <v/>
      </c>
      <c r="L238" s="841">
        <f>SUM(L235:L237)</f>
        <v/>
      </c>
      <c r="M238" s="858">
        <f>SUM(M235:M237)</f>
        <v/>
      </c>
      <c r="N238" s="843">
        <f>SUM(N235:N237)</f>
        <v/>
      </c>
      <c r="O238" s="843">
        <f>SUM(O235:O237)</f>
        <v/>
      </c>
      <c r="P238" s="843">
        <f>SUM(P235:P237)</f>
        <v/>
      </c>
      <c r="Q238" s="843">
        <f>SUM(Q235:Q237)</f>
        <v/>
      </c>
      <c r="R238" s="844">
        <f>SUM(R235:R237)</f>
        <v/>
      </c>
      <c r="S238" s="844">
        <f>SUM(S235:S237)</f>
        <v/>
      </c>
    </row>
    <row r="239">
      <c r="C239" s="592" t="inlineStr">
        <is>
          <t>팩2종</t>
        </is>
      </c>
      <c r="D239" s="404" t="inlineStr">
        <is>
          <t>P00000SF</t>
        </is>
      </c>
      <c r="E239" s="400" t="inlineStr">
        <is>
          <t>P00000TG</t>
        </is>
      </c>
      <c r="F239" s="399" t="inlineStr">
        <is>
          <t>P00000WW</t>
        </is>
      </c>
      <c r="G239" s="396" t="inlineStr">
        <is>
          <t>P00000SF</t>
        </is>
      </c>
      <c r="H239" s="103" t="n"/>
      <c r="I239" s="103" t="inlineStr">
        <is>
          <t>P00000TY</t>
        </is>
      </c>
      <c r="J239" s="107" t="n"/>
      <c r="P239" s="785" t="n"/>
    </row>
    <row r="240">
      <c r="D240" s="404" t="n"/>
      <c r="E240" s="402" t="inlineStr">
        <is>
          <t>P00000VA</t>
        </is>
      </c>
      <c r="F240" s="402" t="n"/>
      <c r="G240" s="405" t="n"/>
      <c r="H240" s="399" t="n"/>
      <c r="I240" s="400" t="n"/>
      <c r="J240" s="124" t="n"/>
      <c r="P240" s="785" t="n"/>
    </row>
    <row r="241">
      <c r="D241" s="88" t="n"/>
      <c r="E241" s="403" t="inlineStr">
        <is>
          <t>P00000KX</t>
        </is>
      </c>
      <c r="F241" s="400" t="n"/>
      <c r="G241" s="209" t="n"/>
      <c r="H241" s="132" t="n"/>
      <c r="I241" s="132" t="n"/>
      <c r="J241" s="124" t="inlineStr">
        <is>
          <t>행사</t>
        </is>
      </c>
      <c r="P241" s="785" t="n"/>
    </row>
    <row r="242">
      <c r="A242" s="74" t="n"/>
      <c r="D242" s="133" t="n"/>
      <c r="E242" s="402" t="inlineStr">
        <is>
          <t>P00000UZ</t>
        </is>
      </c>
      <c r="F242" s="402" t="inlineStr">
        <is>
          <t>P0000BEW</t>
        </is>
      </c>
      <c r="G242" s="209" t="n"/>
      <c r="H242" s="122" t="n"/>
      <c r="I242" s="536" t="inlineStr">
        <is>
          <t>증정</t>
        </is>
      </c>
      <c r="J242" s="102" t="n"/>
      <c r="P242" s="785" t="n"/>
    </row>
    <row r="243">
      <c r="C243" s="628" t="inlineStr">
        <is>
          <t>도매</t>
        </is>
      </c>
      <c r="D243" s="134" t="n"/>
      <c r="E243" s="108" t="n"/>
      <c r="F243" s="350" t="n"/>
      <c r="G243" s="206" t="n"/>
      <c r="H243" s="109" t="n"/>
      <c r="I243" s="64" t="n"/>
      <c r="J243" s="108" t="n"/>
      <c r="K243" s="828" t="inlineStr">
        <is>
          <t>도매</t>
        </is>
      </c>
      <c r="L243" s="859" t="inlineStr">
        <is>
          <t>가맹/마스터단품</t>
        </is>
      </c>
      <c r="M243" s="787" t="inlineStr">
        <is>
          <t>도매,인증번들</t>
        </is>
      </c>
      <c r="N243" s="860" t="inlineStr">
        <is>
          <t>인증/마스터번들</t>
        </is>
      </c>
      <c r="O243" s="861" t="n"/>
      <c r="P243" s="862" t="inlineStr">
        <is>
          <t>마스터박스</t>
        </is>
      </c>
      <c r="Q243" s="862" t="n"/>
      <c r="R243" s="828" t="inlineStr">
        <is>
          <t>품목별합계</t>
        </is>
      </c>
      <c r="S243" s="756" t="inlineStr">
        <is>
          <t>도매,마스터원가</t>
        </is>
      </c>
    </row>
    <row r="244">
      <c r="A244" s="79" t="inlineStr">
        <is>
          <t>브라질리언수딩팩</t>
        </is>
      </c>
      <c r="B244" s="374" t="inlineStr">
        <is>
          <t>P00000ID</t>
        </is>
      </c>
      <c r="C244" s="233" t="n">
        <v>110</v>
      </c>
      <c r="D244" s="235" t="n"/>
      <c r="E244" s="215" t="n">
        <v>1050</v>
      </c>
      <c r="F244" s="234" t="n">
        <v>200</v>
      </c>
      <c r="G244" s="234" t="n">
        <v>20</v>
      </c>
      <c r="H244" s="234" t="n"/>
      <c r="I244" s="234" t="n"/>
      <c r="J244" s="35">
        <f>SUM(C244:I244)+I243</f>
        <v/>
      </c>
      <c r="K244" s="815">
        <f>C244*1750</f>
        <v/>
      </c>
      <c r="L244" s="790">
        <f>D244*1750</f>
        <v/>
      </c>
      <c r="M244" s="863">
        <f>E244*1400</f>
        <v/>
      </c>
      <c r="N244" s="770">
        <f>F244*1400</f>
        <v/>
      </c>
      <c r="O244" s="861">
        <f>G244*1750</f>
        <v/>
      </c>
      <c r="P244" s="770">
        <f>H244*1200</f>
        <v/>
      </c>
      <c r="Q244" s="770" t="n"/>
      <c r="R244" s="755">
        <f>SUM(K244:Q244)</f>
        <v/>
      </c>
      <c r="S244" s="755">
        <f>J244*289</f>
        <v/>
      </c>
    </row>
    <row r="245">
      <c r="A245" s="128" t="inlineStr">
        <is>
          <t>화이트브라질팩</t>
        </is>
      </c>
      <c r="B245" s="374" t="inlineStr">
        <is>
          <t>P00000UK</t>
        </is>
      </c>
      <c r="C245" s="237" t="n">
        <v>120</v>
      </c>
      <c r="D245" s="235" t="n"/>
      <c r="E245" s="215" t="n">
        <v>1950</v>
      </c>
      <c r="F245" s="234" t="n">
        <v>100</v>
      </c>
      <c r="G245" s="234" t="n">
        <v>20</v>
      </c>
      <c r="H245" s="234" t="n"/>
      <c r="I245" s="242" t="n"/>
      <c r="J245" s="35">
        <f>SUM(C245:I245)</f>
        <v/>
      </c>
      <c r="K245" s="815">
        <f>C245*1750</f>
        <v/>
      </c>
      <c r="L245" s="790">
        <f>D245*1750</f>
        <v/>
      </c>
      <c r="M245" s="863">
        <f>E245*1400</f>
        <v/>
      </c>
      <c r="N245" s="770">
        <f>F245*1400</f>
        <v/>
      </c>
      <c r="O245" s="861">
        <f>G245*1750</f>
        <v/>
      </c>
      <c r="P245" s="770">
        <f>H245*1200</f>
        <v/>
      </c>
      <c r="Q245" s="770" t="n"/>
      <c r="R245" s="755">
        <f>SUM(I245:Q245)</f>
        <v/>
      </c>
      <c r="S245" s="755">
        <f>J245*305</f>
        <v/>
      </c>
    </row>
    <row r="246" customFormat="1" s="24">
      <c r="B246" s="74" t="n"/>
      <c r="C246" s="486" t="n"/>
      <c r="D246" s="486" t="n"/>
      <c r="E246" s="273" t="n"/>
      <c r="F246" s="272" t="n"/>
      <c r="G246" s="272" t="n"/>
      <c r="H246" s="272" t="n"/>
      <c r="I246" s="84" t="inlineStr">
        <is>
          <t>기타</t>
        </is>
      </c>
      <c r="J246" s="58" t="inlineStr">
        <is>
          <t>합계</t>
        </is>
      </c>
      <c r="K246" s="840">
        <f>SUM(K244:K245)</f>
        <v/>
      </c>
      <c r="L246" s="841">
        <f>SUM(L244:L245)</f>
        <v/>
      </c>
      <c r="M246" s="840">
        <f>SUM(M244:M245)</f>
        <v/>
      </c>
      <c r="N246" s="840">
        <f>SUM(N244:N245)</f>
        <v/>
      </c>
      <c r="O246" s="842">
        <f>SUM(O244:O245)</f>
        <v/>
      </c>
      <c r="P246" s="840">
        <f>SUM(P244:P245)</f>
        <v/>
      </c>
      <c r="Q246" s="840">
        <f>SUM(Q244:Q245)</f>
        <v/>
      </c>
      <c r="R246" s="864">
        <f>SUM(R244:R245)</f>
        <v/>
      </c>
      <c r="S246" s="865">
        <f>SUM(S244:S245)</f>
        <v/>
      </c>
    </row>
    <row r="247" customFormat="1" s="24">
      <c r="B247" s="74" t="n"/>
      <c r="C247" s="74" t="n"/>
      <c r="D247" s="142" t="n"/>
      <c r="E247" s="143" t="n"/>
      <c r="F247" s="630" t="n"/>
      <c r="G247" s="26" t="n"/>
      <c r="H247" s="144" t="n"/>
      <c r="I247" s="630" t="n"/>
      <c r="J247" s="630" t="n"/>
      <c r="K247" s="866" t="n"/>
      <c r="L247" s="866" t="n"/>
      <c r="M247" s="867" t="n"/>
      <c r="N247" s="867" t="n"/>
      <c r="O247" s="868" t="n"/>
      <c r="P247" s="869" t="n"/>
      <c r="Q247" s="870" t="n"/>
      <c r="R247" s="866" t="n"/>
      <c r="S247" s="871" t="n"/>
    </row>
    <row r="248" customFormat="1" s="24">
      <c r="B248" s="74" t="n"/>
      <c r="C248" s="74" t="n"/>
      <c r="D248" s="723" t="inlineStr">
        <is>
          <t>P00000QT</t>
        </is>
      </c>
      <c r="E248" s="143" t="inlineStr">
        <is>
          <t>마스터</t>
        </is>
      </c>
      <c r="F248" s="691" t="inlineStr">
        <is>
          <t>P00000VL</t>
        </is>
      </c>
      <c r="G248" s="12" t="inlineStr">
        <is>
          <t>보상판매</t>
        </is>
      </c>
      <c r="H248" s="144" t="n"/>
      <c r="I248" s="691" t="n"/>
      <c r="J248" s="499" t="inlineStr">
        <is>
          <t>할인</t>
        </is>
      </c>
      <c r="K248" s="866" t="n"/>
      <c r="L248" s="866" t="n"/>
      <c r="M248" s="867" t="n"/>
      <c r="N248" s="867" t="n"/>
      <c r="O248" s="868" t="n"/>
      <c r="P248" s="869" t="n"/>
      <c r="Q248" s="870" t="n"/>
      <c r="R248" s="866" t="n"/>
      <c r="S248" s="871" t="n"/>
    </row>
    <row r="249" ht="24" customFormat="1" customHeight="1" s="244">
      <c r="B249" s="245" t="n"/>
      <c r="C249" s="245" t="n"/>
      <c r="D249" s="406" t="inlineStr">
        <is>
          <t>P00000WK</t>
        </is>
      </c>
      <c r="E249" s="19" t="inlineStr">
        <is>
          <t>P00000QU</t>
        </is>
      </c>
      <c r="F249" s="20" t="inlineStr">
        <is>
          <t>P00000YU</t>
        </is>
      </c>
      <c r="G249" s="26" t="inlineStr">
        <is>
          <t>바디스타터키트</t>
        </is>
      </c>
      <c r="H249" s="491" t="n"/>
      <c r="I249" s="20" t="inlineStr">
        <is>
          <t>P00000YZ</t>
        </is>
      </c>
      <c r="J249" s="77" t="inlineStr">
        <is>
          <t>컵세트할인</t>
        </is>
      </c>
      <c r="K249" s="866" t="n"/>
      <c r="L249" s="866" t="n"/>
      <c r="M249" s="867" t="n"/>
      <c r="N249" s="867" t="n"/>
      <c r="O249" s="868" t="n"/>
      <c r="P249" s="869" t="n"/>
      <c r="Q249" s="870" t="n"/>
      <c r="R249" s="866" t="n"/>
      <c r="S249" s="871" t="n"/>
    </row>
    <row r="250">
      <c r="A250" s="24" t="inlineStr">
        <is>
          <t>워머기&amp;컵</t>
        </is>
      </c>
      <c r="C250" s="628" t="inlineStr">
        <is>
          <t>도매</t>
        </is>
      </c>
      <c r="D250" s="406" t="inlineStr">
        <is>
          <t>P00000NL</t>
        </is>
      </c>
      <c r="E250" s="91" t="n"/>
      <c r="F250" s="20" t="inlineStr">
        <is>
          <t>P00000YS</t>
        </is>
      </c>
      <c r="G250" s="110" t="inlineStr">
        <is>
          <t>스타터키트</t>
        </is>
      </c>
      <c r="I250" s="102" t="n"/>
      <c r="J250" s="140" t="n"/>
      <c r="K250" s="763" t="inlineStr">
        <is>
          <t>도매</t>
        </is>
      </c>
      <c r="L250" s="764" t="inlineStr">
        <is>
          <t>마스터/인증살롱</t>
        </is>
      </c>
      <c r="M250" s="765" t="n"/>
      <c r="N250" s="827" t="n"/>
      <c r="O250" s="827" t="inlineStr">
        <is>
          <t>스타터키트</t>
        </is>
      </c>
      <c r="P250" s="872" t="n"/>
      <c r="Q250" s="852" t="inlineStr">
        <is>
          <t>세트할인</t>
        </is>
      </c>
      <c r="R250" s="767" t="inlineStr">
        <is>
          <t>품목별합계</t>
        </is>
      </c>
      <c r="S250" s="873" t="inlineStr">
        <is>
          <t>도매,마스터원가</t>
        </is>
      </c>
    </row>
    <row r="251">
      <c r="A251" s="79" t="inlineStr">
        <is>
          <t>1000/1000</t>
        </is>
      </c>
      <c r="B251" s="548" t="inlineStr">
        <is>
          <t>P00000VK</t>
        </is>
      </c>
      <c r="C251" s="233" t="n">
        <v>14</v>
      </c>
      <c r="D251" s="235" t="n"/>
      <c r="E251" s="234" t="n">
        <v>1</v>
      </c>
      <c r="F251" s="215" t="n"/>
      <c r="G251" s="236" t="n"/>
      <c r="H251" s="231" t="n"/>
      <c r="I251" s="230" t="n"/>
      <c r="J251" s="35">
        <f>SUM(C251:I251)</f>
        <v/>
      </c>
      <c r="K251" s="815">
        <f>C251*204000</f>
        <v/>
      </c>
      <c r="L251" s="790">
        <f>D251*176000</f>
        <v/>
      </c>
      <c r="M251" s="770">
        <f>E251*176000</f>
        <v/>
      </c>
      <c r="N251" s="757" t="n"/>
      <c r="O251" s="757">
        <f>F251*163200</f>
        <v/>
      </c>
      <c r="P251" s="785" t="n"/>
      <c r="Q251" s="772" t="n"/>
      <c r="R251" s="756">
        <f>SUM(K251:Q251)</f>
        <v/>
      </c>
      <c r="S251" s="756">
        <f>J251*55000</f>
        <v/>
      </c>
    </row>
    <row r="252">
      <c r="A252" s="79" t="inlineStr">
        <is>
          <t>베이비히터</t>
        </is>
      </c>
      <c r="B252" s="548" t="inlineStr">
        <is>
          <t>P00000VK</t>
        </is>
      </c>
      <c r="C252" s="233" t="n">
        <v>8</v>
      </c>
      <c r="D252" s="235" t="n"/>
      <c r="E252" s="234" t="n"/>
      <c r="F252" s="215" t="n"/>
      <c r="G252" s="229" t="n"/>
      <c r="H252" s="231" t="n"/>
      <c r="I252" s="215" t="n">
        <v>4</v>
      </c>
      <c r="J252" s="35">
        <f>SUM(C252:I252)</f>
        <v/>
      </c>
      <c r="K252" s="815">
        <f>C252*46200</f>
        <v/>
      </c>
      <c r="L252" s="790">
        <f>D252*44000</f>
        <v/>
      </c>
      <c r="M252" s="770">
        <f>E252*44000</f>
        <v/>
      </c>
      <c r="N252" s="757" t="n"/>
      <c r="O252" s="757">
        <f>F252*36520</f>
        <v/>
      </c>
      <c r="P252" s="785" t="n"/>
      <c r="Q252" s="772">
        <f>I252*30800</f>
        <v/>
      </c>
      <c r="R252" s="756">
        <f>SUM(K252:Q252)</f>
        <v/>
      </c>
      <c r="S252" s="756">
        <f>J252*13500</f>
        <v/>
      </c>
    </row>
    <row r="253">
      <c r="A253" s="79" t="inlineStr">
        <is>
          <t>컵500</t>
        </is>
      </c>
      <c r="B253" s="715" t="inlineStr">
        <is>
          <t>P00000DY</t>
        </is>
      </c>
      <c r="C253" s="233" t="n">
        <v>13</v>
      </c>
      <c r="D253" s="235" t="n"/>
      <c r="E253" s="234" t="n">
        <v>5</v>
      </c>
      <c r="F253" s="229" t="n"/>
      <c r="G253" s="236" t="n"/>
      <c r="H253" s="231" t="n"/>
      <c r="I253" s="231" t="n"/>
      <c r="J253" s="35">
        <f>SUM(C253:I253)</f>
        <v/>
      </c>
      <c r="K253" s="815">
        <f>C253*21000</f>
        <v/>
      </c>
      <c r="L253" s="790">
        <f>D253*15400</f>
        <v/>
      </c>
      <c r="M253" s="770">
        <f>E253*15400</f>
        <v/>
      </c>
      <c r="N253" s="757" t="n"/>
      <c r="P253" s="785" t="n"/>
      <c r="Q253" s="772" t="n"/>
      <c r="R253" s="756">
        <f>SUM(K253:Q253)</f>
        <v/>
      </c>
      <c r="S253" s="756">
        <f>J253*4500</f>
        <v/>
      </c>
    </row>
    <row r="254">
      <c r="A254" s="128" t="inlineStr">
        <is>
          <t>컵1000</t>
        </is>
      </c>
      <c r="B254" s="715" t="inlineStr">
        <is>
          <t>P00000DY</t>
        </is>
      </c>
      <c r="C254" s="233" t="n">
        <v>12</v>
      </c>
      <c r="D254" s="235" t="n"/>
      <c r="E254" s="234" t="n">
        <v>6</v>
      </c>
      <c r="F254" s="230" t="n"/>
      <c r="G254" s="236" t="n"/>
      <c r="H254" s="231" t="n"/>
      <c r="I254" s="231" t="n"/>
      <c r="J254" s="35">
        <f>SUM(C254:I254)</f>
        <v/>
      </c>
      <c r="K254" s="815">
        <f>C254*21000</f>
        <v/>
      </c>
      <c r="L254" s="790">
        <f>D254*15400</f>
        <v/>
      </c>
      <c r="M254" s="770">
        <f>E254*15400</f>
        <v/>
      </c>
      <c r="N254" s="757" t="n"/>
      <c r="P254" s="785" t="n"/>
      <c r="Q254" s="772" t="n"/>
      <c r="R254" s="756">
        <f>SUM(K254:Q254)</f>
        <v/>
      </c>
      <c r="S254" s="756">
        <f>J254*4700</f>
        <v/>
      </c>
    </row>
    <row r="255">
      <c r="A255" s="128" t="inlineStr">
        <is>
          <t>베이비컵</t>
        </is>
      </c>
      <c r="B255" s="715" t="inlineStr">
        <is>
          <t>P00000DY</t>
        </is>
      </c>
      <c r="C255" s="233" t="n">
        <v>1</v>
      </c>
      <c r="D255" s="235" t="n"/>
      <c r="E255" s="234" t="n"/>
      <c r="F255" s="230" t="n"/>
      <c r="G255" s="236" t="n"/>
      <c r="H255" s="231" t="n"/>
      <c r="I255" s="230" t="n"/>
      <c r="J255" s="35">
        <f>SUM(C255:I255)</f>
        <v/>
      </c>
      <c r="K255" s="815">
        <f>C255*10400</f>
        <v/>
      </c>
      <c r="L255" s="790">
        <f>D255*10400</f>
        <v/>
      </c>
      <c r="M255" s="770">
        <f>E255*10400</f>
        <v/>
      </c>
      <c r="N255" s="757" t="n"/>
      <c r="P255" s="785" t="n"/>
      <c r="Q255" s="772" t="n"/>
      <c r="R255" s="756">
        <f>SUM(K255:Q255)</f>
        <v/>
      </c>
      <c r="S255" s="756">
        <f>J255*2700</f>
        <v/>
      </c>
    </row>
    <row r="256">
      <c r="A256" s="79" t="inlineStr">
        <is>
          <t>에어브러쉬건</t>
        </is>
      </c>
      <c r="B256" s="715" t="inlineStr">
        <is>
          <t>P00000QC</t>
        </is>
      </c>
      <c r="C256" s="237" t="n"/>
      <c r="D256" s="235" t="n"/>
      <c r="E256" s="234" t="n"/>
      <c r="F256" s="230" t="n"/>
      <c r="G256" s="236" t="n"/>
      <c r="H256" s="231" t="n"/>
      <c r="I256" s="231" t="n"/>
      <c r="J256" s="35">
        <f>SUM(C256:I256)</f>
        <v/>
      </c>
      <c r="K256" s="755">
        <f>C256*150000</f>
        <v/>
      </c>
      <c r="L256" s="790">
        <f>D256*120000</f>
        <v/>
      </c>
      <c r="M256" s="770">
        <f>E256*120000</f>
        <v/>
      </c>
      <c r="N256" s="757" t="n"/>
      <c r="P256" s="785" t="n"/>
      <c r="Q256" s="772" t="n"/>
      <c r="R256" s="756">
        <f>SUM(K256:Q256)</f>
        <v/>
      </c>
      <c r="S256" s="756">
        <f>J256*79000</f>
        <v/>
      </c>
    </row>
    <row r="257">
      <c r="A257" s="109" t="inlineStr">
        <is>
          <t>센서형손소독기</t>
        </is>
      </c>
      <c r="B257" s="378" t="inlineStr">
        <is>
          <t>P00000ZM</t>
        </is>
      </c>
      <c r="C257" s="230" t="n"/>
      <c r="D257" s="32" t="n"/>
      <c r="E257" s="33" t="n"/>
      <c r="F257" s="191" t="n"/>
      <c r="G257" s="197" t="n"/>
      <c r="H257" s="80" t="n"/>
      <c r="I257" s="80" t="n"/>
      <c r="J257" s="35">
        <f>SUM(C257:I257)</f>
        <v/>
      </c>
      <c r="K257" s="831">
        <f>C257*12000</f>
        <v/>
      </c>
      <c r="L257" s="790" t="n"/>
      <c r="M257" s="770" t="n"/>
      <c r="N257" s="757" t="n"/>
      <c r="P257" s="785" t="n"/>
      <c r="Q257" s="772">
        <f>F257*12000</f>
        <v/>
      </c>
      <c r="R257" s="756">
        <f>SUM(K257:Q257)</f>
        <v/>
      </c>
      <c r="S257" s="756">
        <f>J257*8230</f>
        <v/>
      </c>
    </row>
    <row r="258" customFormat="1" s="244">
      <c r="B258" s="245" t="n"/>
      <c r="C258" s="486" t="n"/>
      <c r="D258" s="475" t="n"/>
      <c r="E258" s="487" t="n"/>
      <c r="F258" s="488" t="n"/>
      <c r="G258" s="488" t="n"/>
      <c r="H258" s="488" t="n"/>
      <c r="I258" s="246" t="n"/>
      <c r="J258" s="247" t="n"/>
      <c r="K258" s="845" t="n"/>
      <c r="L258" s="846" t="n"/>
      <c r="M258" s="845" t="n"/>
      <c r="N258" s="845" t="n"/>
      <c r="O258" s="847" t="n"/>
      <c r="P258" s="845" t="n"/>
      <c r="Q258" s="845" t="n"/>
      <c r="R258" s="845" t="n"/>
      <c r="S258" s="874" t="n"/>
    </row>
    <row r="259" customFormat="1" s="24">
      <c r="B259" s="74" t="n"/>
      <c r="C259" s="74" t="n"/>
      <c r="D259" s="9" t="inlineStr">
        <is>
          <t>인증살롱</t>
        </is>
      </c>
      <c r="E259" s="10" t="n"/>
      <c r="F259" s="12" t="n"/>
      <c r="G259" s="12" t="n"/>
      <c r="H259" s="12" t="n"/>
      <c r="I259" s="12" t="n"/>
      <c r="J259" s="117" t="inlineStr">
        <is>
          <t>합계</t>
        </is>
      </c>
      <c r="K259" s="875">
        <f>SUM(K251:K258)</f>
        <v/>
      </c>
      <c r="L259" s="875">
        <f>SUM(L251:L258)</f>
        <v/>
      </c>
      <c r="M259" s="875">
        <f>SUM(M251:M258)</f>
        <v/>
      </c>
      <c r="N259" s="875">
        <f>SUM(N251:N258)</f>
        <v/>
      </c>
      <c r="O259" s="875">
        <f>SUM(O251:O258)</f>
        <v/>
      </c>
      <c r="P259" s="875">
        <f>SUM(P251:P258)</f>
        <v/>
      </c>
      <c r="Q259" s="875">
        <f>SUM(Q251:Q258)</f>
        <v/>
      </c>
      <c r="R259" s="875">
        <f>SUM(R251:R258)</f>
        <v/>
      </c>
      <c r="S259" s="875">
        <f>SUM(S251:S258)</f>
        <v/>
      </c>
    </row>
    <row r="260">
      <c r="C260" s="104" t="inlineStr">
        <is>
          <t>위생용품</t>
        </is>
      </c>
      <c r="D260" s="55" t="inlineStr">
        <is>
          <t>P00000WN</t>
        </is>
      </c>
      <c r="E260" s="10" t="inlineStr">
        <is>
          <t>마스터</t>
        </is>
      </c>
      <c r="F260" s="12" t="inlineStr">
        <is>
          <t>할인행사</t>
        </is>
      </c>
      <c r="G260" s="12" t="n"/>
      <c r="H260" s="12" t="n"/>
      <c r="I260" s="12" t="inlineStr">
        <is>
          <t>증정</t>
        </is>
      </c>
      <c r="J260" s="110" t="n"/>
      <c r="P260" s="785" t="n"/>
    </row>
    <row r="261">
      <c r="A261" s="74" t="inlineStr">
        <is>
          <t>소모품</t>
        </is>
      </c>
      <c r="C261" s="104" t="inlineStr">
        <is>
          <t>스파츌라</t>
        </is>
      </c>
      <c r="D261" s="55" t="inlineStr">
        <is>
          <t>P00000WL</t>
        </is>
      </c>
      <c r="E261" s="15" t="inlineStr">
        <is>
          <t>P00000QW</t>
        </is>
      </c>
      <c r="F261" s="20" t="n"/>
      <c r="G261" s="110" t="n"/>
      <c r="H261" s="137" t="n"/>
      <c r="I261" s="20" t="inlineStr">
        <is>
          <t>P00000YS</t>
        </is>
      </c>
      <c r="J261" s="110" t="inlineStr">
        <is>
          <t>스타터키트</t>
        </is>
      </c>
      <c r="P261" s="785" t="n"/>
    </row>
    <row r="262" ht="24" customHeight="1" s="754">
      <c r="C262" s="106" t="inlineStr">
        <is>
          <t>스파츌라</t>
        </is>
      </c>
      <c r="D262" s="105" t="inlineStr">
        <is>
          <t>P00000WM</t>
        </is>
      </c>
      <c r="E262" s="15" t="inlineStr">
        <is>
          <t>P00000QV</t>
        </is>
      </c>
      <c r="F262" s="19" t="inlineStr">
        <is>
          <t>P0000BMO</t>
        </is>
      </c>
      <c r="G262" s="146" t="n"/>
      <c r="H262" s="146" t="n"/>
      <c r="I262" s="20" t="inlineStr">
        <is>
          <t>P00000YU</t>
        </is>
      </c>
      <c r="J262" s="26" t="inlineStr">
        <is>
          <t>바디스타터키트</t>
        </is>
      </c>
      <c r="P262" s="785" t="n"/>
    </row>
    <row r="263">
      <c r="C263" s="106" t="inlineStr">
        <is>
          <t>부직포</t>
        </is>
      </c>
      <c r="D263" s="545" t="n"/>
      <c r="E263" s="19" t="inlineStr">
        <is>
          <t>P00000QX</t>
        </is>
      </c>
      <c r="F263" s="569" t="n"/>
      <c r="G263" s="146" t="n"/>
      <c r="H263" s="146" t="n"/>
      <c r="I263" s="20" t="n"/>
      <c r="J263" s="309" t="n"/>
      <c r="P263" s="785" t="n"/>
    </row>
    <row r="264">
      <c r="A264" s="148" t="n"/>
      <c r="B264" s="628" t="inlineStr">
        <is>
          <t>도매</t>
        </is>
      </c>
      <c r="C264" s="104" t="inlineStr">
        <is>
          <t>롤러,거울</t>
        </is>
      </c>
      <c r="D264" s="105" t="inlineStr">
        <is>
          <t>P00000NL</t>
        </is>
      </c>
      <c r="E264" s="19" t="inlineStr">
        <is>
          <t>P0000BLZ</t>
        </is>
      </c>
      <c r="F264" s="20" t="n"/>
      <c r="G264" s="26" t="n"/>
      <c r="H264" s="146" t="n"/>
      <c r="I264" s="124" t="inlineStr">
        <is>
          <t>증정행사</t>
        </is>
      </c>
      <c r="J264" s="140" t="n"/>
      <c r="K264" s="763" t="inlineStr">
        <is>
          <t>도매</t>
        </is>
      </c>
      <c r="L264" s="764" t="inlineStr">
        <is>
          <t>마스터/인증살롱</t>
        </is>
      </c>
      <c r="M264" s="765" t="n"/>
      <c r="N264" s="766" t="inlineStr">
        <is>
          <t xml:space="preserve">할인 </t>
        </is>
      </c>
      <c r="O264" s="766" t="inlineStr">
        <is>
          <t>세트할인</t>
        </is>
      </c>
      <c r="P264" s="766" t="inlineStr">
        <is>
          <t>할인+증정</t>
        </is>
      </c>
      <c r="Q264" s="767" t="n"/>
      <c r="R264" s="767" t="inlineStr">
        <is>
          <t>품목별합계</t>
        </is>
      </c>
      <c r="S264" s="873" t="inlineStr">
        <is>
          <t>도매,마스터원가</t>
        </is>
      </c>
    </row>
    <row r="265" customFormat="1" s="755">
      <c r="A265" s="115" t="inlineStr">
        <is>
          <t>위생시트(개수)</t>
        </is>
      </c>
      <c r="B265" s="532" t="inlineStr">
        <is>
          <t>P00000DB</t>
        </is>
      </c>
      <c r="C265" s="237" t="n">
        <v>8</v>
      </c>
      <c r="D265" s="235" t="n"/>
      <c r="E265" s="234" t="n">
        <v>8</v>
      </c>
      <c r="F265" s="230" t="n"/>
      <c r="G265" s="236" t="n"/>
      <c r="H265" s="231" t="n"/>
      <c r="I265" s="230" t="n"/>
      <c r="J265" s="35">
        <f>SUM(C265:I265)</f>
        <v/>
      </c>
      <c r="K265" s="815">
        <f>C265*25000</f>
        <v/>
      </c>
      <c r="L265" s="790">
        <f>D265*22000</f>
        <v/>
      </c>
      <c r="M265" s="770">
        <f>E265*22000</f>
        <v/>
      </c>
      <c r="N265" s="771">
        <f>F265*10000</f>
        <v/>
      </c>
      <c r="O265" s="771" t="n"/>
      <c r="P265" s="771" t="n"/>
      <c r="Q265" s="758" t="n"/>
      <c r="R265" s="756">
        <f>SUM(K265:Q265)</f>
        <v/>
      </c>
      <c r="S265" s="756">
        <f>J265*15400</f>
        <v/>
      </c>
    </row>
    <row r="266" customFormat="1" s="755">
      <c r="A266" s="115" t="inlineStr">
        <is>
          <t>제모미인항균시트</t>
        </is>
      </c>
      <c r="B266" s="775" t="n"/>
      <c r="C266" s="233" t="n">
        <v>35</v>
      </c>
      <c r="D266" s="235" t="n"/>
      <c r="E266" s="234" t="n"/>
      <c r="F266" s="230" t="n"/>
      <c r="G266" s="236" t="n"/>
      <c r="H266" s="231" t="n"/>
      <c r="I266" s="242" t="n"/>
      <c r="J266" s="35">
        <f>SUM(C266:I266)</f>
        <v/>
      </c>
      <c r="K266" s="815">
        <f>C266*12000</f>
        <v/>
      </c>
      <c r="L266" s="790">
        <f>D266*12000</f>
        <v/>
      </c>
      <c r="M266" s="770">
        <f>E266*12000</f>
        <v/>
      </c>
      <c r="N266" s="771" t="n"/>
      <c r="O266" s="771" t="n"/>
      <c r="P266" s="771" t="n"/>
      <c r="Q266" s="758" t="n"/>
      <c r="R266" s="756">
        <f>SUM(K266:Q266)</f>
        <v/>
      </c>
      <c r="S266" s="756">
        <f>J266*7150</f>
        <v/>
      </c>
    </row>
    <row r="267" customFormat="1" s="755">
      <c r="A267" s="115" t="inlineStr">
        <is>
          <t>5겹솜</t>
        </is>
      </c>
      <c r="B267" s="369" t="inlineStr">
        <is>
          <t>P00000PS</t>
        </is>
      </c>
      <c r="C267" s="233" t="n">
        <v>21</v>
      </c>
      <c r="D267" s="235" t="n"/>
      <c r="E267" s="234" t="n">
        <v>5</v>
      </c>
      <c r="F267" s="229" t="n"/>
      <c r="G267" s="236" t="n"/>
      <c r="H267" s="231" t="n"/>
      <c r="I267" s="230" t="n"/>
      <c r="J267" s="35">
        <f>SUM(C267:I267)</f>
        <v/>
      </c>
      <c r="K267" s="815">
        <f>C267*22000</f>
        <v/>
      </c>
      <c r="L267" s="790">
        <f>D267*22000</f>
        <v/>
      </c>
      <c r="M267" s="770">
        <f>E267*15000</f>
        <v/>
      </c>
      <c r="N267" s="771" t="n"/>
      <c r="O267" s="771" t="n"/>
      <c r="P267" s="771" t="n"/>
      <c r="Q267" s="758" t="n"/>
      <c r="R267" s="756">
        <f>SUM(K267:Q267)</f>
        <v/>
      </c>
      <c r="S267" s="756">
        <f>J267*10835</f>
        <v/>
      </c>
    </row>
    <row r="268" customFormat="1" s="755">
      <c r="A268" s="115" t="inlineStr">
        <is>
          <t>깃털천</t>
        </is>
      </c>
      <c r="B268" s="370" t="inlineStr">
        <is>
          <t>P00000CZ</t>
        </is>
      </c>
      <c r="C268" s="233" t="n">
        <v>25</v>
      </c>
      <c r="D268" s="235" t="n"/>
      <c r="E268" s="234" t="n">
        <v>4</v>
      </c>
      <c r="F268" s="230" t="n"/>
      <c r="G268" s="236" t="n"/>
      <c r="H268" s="231" t="n"/>
      <c r="I268" s="242" t="n"/>
      <c r="J268" s="35">
        <f>SUM(C268:I268)</f>
        <v/>
      </c>
      <c r="K268" s="815">
        <f>C268*22000</f>
        <v/>
      </c>
      <c r="L268" s="790">
        <f>D268*22000</f>
        <v/>
      </c>
      <c r="M268" s="770">
        <f>E268*22000</f>
        <v/>
      </c>
      <c r="N268" s="771" t="n"/>
      <c r="O268" s="771" t="n"/>
      <c r="P268" s="771" t="n"/>
      <c r="Q268" s="758" t="n"/>
      <c r="R268" s="756">
        <f>SUM(K268:Q268)</f>
        <v/>
      </c>
      <c r="S268" s="756">
        <f>J268*9361</f>
        <v/>
      </c>
    </row>
    <row r="269" customFormat="1" s="755">
      <c r="A269" s="115" t="inlineStr">
        <is>
          <t>부직포250</t>
        </is>
      </c>
      <c r="B269" s="370" t="inlineStr">
        <is>
          <t>P00000DD</t>
        </is>
      </c>
      <c r="C269" s="257" t="n">
        <v>6</v>
      </c>
      <c r="D269" s="235" t="n"/>
      <c r="E269" s="234" t="n">
        <v>5</v>
      </c>
      <c r="F269" s="230" t="n"/>
      <c r="G269" s="236" t="n"/>
      <c r="H269" s="231" t="n"/>
      <c r="I269" s="215" t="n"/>
      <c r="J269" s="35">
        <f>SUM(C269:I269)</f>
        <v/>
      </c>
      <c r="K269" s="815">
        <f>C269*18000</f>
        <v/>
      </c>
      <c r="L269" s="790">
        <f>D269*15000</f>
        <v/>
      </c>
      <c r="M269" s="770">
        <f>E269*15000</f>
        <v/>
      </c>
      <c r="N269" s="771" t="n"/>
      <c r="O269" s="771">
        <f>I269*14400</f>
        <v/>
      </c>
      <c r="P269" s="771" t="n"/>
      <c r="Q269" s="796" t="n"/>
      <c r="R269" s="756">
        <f>SUM(K269:Q269)</f>
        <v/>
      </c>
      <c r="S269" s="756">
        <f>J269*4238</f>
        <v/>
      </c>
    </row>
    <row r="270" customFormat="1" s="755">
      <c r="A270" s="115" t="inlineStr">
        <is>
          <t>라이콘롤50m</t>
        </is>
      </c>
      <c r="B270" s="370" t="inlineStr">
        <is>
          <t>P00000DA</t>
        </is>
      </c>
      <c r="C270" s="237" t="n">
        <v>3</v>
      </c>
      <c r="D270" s="235" t="n"/>
      <c r="E270" s="234" t="n"/>
      <c r="F270" s="230" t="n"/>
      <c r="G270" s="236" t="n"/>
      <c r="H270" s="231" t="n"/>
      <c r="I270" s="215" t="n"/>
      <c r="J270" s="35">
        <f>SUM(C270:I270)</f>
        <v/>
      </c>
      <c r="K270" s="815">
        <f>C270*15000</f>
        <v/>
      </c>
      <c r="L270" s="790">
        <f>D270*11600</f>
        <v/>
      </c>
      <c r="M270" s="770">
        <f>E270*11000</f>
        <v/>
      </c>
      <c r="N270" s="771" t="n"/>
      <c r="O270" s="771" t="n"/>
      <c r="P270" s="771" t="n"/>
      <c r="Q270" s="758" t="n"/>
      <c r="R270" s="756">
        <f>SUM(K270:Q270)</f>
        <v/>
      </c>
      <c r="S270" s="756">
        <f>J270*3719</f>
        <v/>
      </c>
    </row>
    <row r="271" customFormat="1" s="755">
      <c r="A271" s="115" t="inlineStr">
        <is>
          <t>픽미트위저</t>
        </is>
      </c>
      <c r="B271" s="383" t="inlineStr">
        <is>
          <t>P0000BBL</t>
        </is>
      </c>
      <c r="C271" s="237" t="n">
        <v>5</v>
      </c>
      <c r="D271" s="235" t="n"/>
      <c r="E271" s="234" t="n"/>
      <c r="F271" s="230" t="n"/>
      <c r="G271" s="236" t="n"/>
      <c r="H271" s="231" t="n"/>
      <c r="I271" s="215" t="n"/>
      <c r="J271" s="35">
        <f>SUM(C271:I271)</f>
        <v/>
      </c>
      <c r="K271" s="815">
        <f>C271*33000</f>
        <v/>
      </c>
      <c r="L271" s="790">
        <f>D271*33000</f>
        <v/>
      </c>
      <c r="M271" s="839">
        <f>E271*33000</f>
        <v/>
      </c>
      <c r="N271" s="820" t="n"/>
      <c r="O271" s="820" t="n"/>
      <c r="P271" s="820" t="n"/>
      <c r="Q271" s="758" t="n"/>
      <c r="R271" s="756">
        <f>SUM(K271:Q271)</f>
        <v/>
      </c>
      <c r="S271" s="756">
        <f>J271*16500</f>
        <v/>
      </c>
    </row>
    <row r="272" customFormat="1" s="755">
      <c r="A272" s="211" t="inlineStr">
        <is>
          <t>인그로운족집게</t>
        </is>
      </c>
      <c r="B272" s="383" t="inlineStr">
        <is>
          <t>P00000ZL</t>
        </is>
      </c>
      <c r="C272" s="237" t="n"/>
      <c r="D272" s="235" t="n"/>
      <c r="E272" s="234" t="n"/>
      <c r="F272" s="230" t="n"/>
      <c r="G272" s="236" t="n"/>
      <c r="H272" s="231" t="n"/>
      <c r="I272" s="215" t="n"/>
      <c r="J272" s="35">
        <f>SUM(C272:I272)</f>
        <v/>
      </c>
      <c r="K272" s="755">
        <f>C272*77000</f>
        <v/>
      </c>
      <c r="L272" s="790">
        <f>D272*77000</f>
        <v/>
      </c>
      <c r="M272" s="839">
        <f>E272*77000</f>
        <v/>
      </c>
      <c r="N272" s="820" t="n"/>
      <c r="O272" s="820" t="n"/>
      <c r="P272" s="820" t="n"/>
      <c r="Q272" s="796" t="n"/>
      <c r="R272" s="756">
        <f>SUM(K272:Q272)</f>
        <v/>
      </c>
      <c r="S272" s="756">
        <f>J272*38500</f>
        <v/>
      </c>
    </row>
    <row r="273" ht="21.75" customFormat="1" customHeight="1" s="755">
      <c r="A273" s="149" t="inlineStr">
        <is>
          <t>바디스파츌라</t>
        </is>
      </c>
      <c r="B273" s="383" t="inlineStr">
        <is>
          <t>P00000DH</t>
        </is>
      </c>
      <c r="C273" s="233" t="n">
        <v>145</v>
      </c>
      <c r="D273" s="235" t="n"/>
      <c r="E273" s="234" t="n"/>
      <c r="F273" s="230" t="n"/>
      <c r="G273" s="236" t="n"/>
      <c r="H273" s="231" t="n"/>
      <c r="I273" s="214" t="n"/>
      <c r="J273" s="35">
        <f>SUM(C273:I273)</f>
        <v/>
      </c>
      <c r="K273" s="836">
        <f>C273*2500</f>
        <v/>
      </c>
      <c r="L273" s="790" t="n"/>
      <c r="M273" s="770" t="n"/>
      <c r="N273" s="771" t="n"/>
      <c r="O273" s="771" t="n"/>
      <c r="P273" s="771" t="n"/>
      <c r="Q273" s="796" t="n"/>
      <c r="R273" s="756">
        <f>SUM(K273:Q273)</f>
        <v/>
      </c>
      <c r="S273" s="756">
        <f>J273*1070</f>
        <v/>
      </c>
    </row>
    <row r="274" customFormat="1" s="755">
      <c r="A274" s="150" t="inlineStr">
        <is>
          <t>바디스파츌라(묶음)</t>
        </is>
      </c>
      <c r="B274" s="371" t="inlineStr">
        <is>
          <t>P00000TX</t>
        </is>
      </c>
      <c r="C274" s="215" t="n">
        <v>300</v>
      </c>
      <c r="D274" s="235" t="n"/>
      <c r="E274" s="234" t="n"/>
      <c r="F274" s="230" t="n"/>
      <c r="G274" s="236" t="n"/>
      <c r="H274" s="231" t="n"/>
      <c r="I274" s="215" t="n"/>
      <c r="J274" s="35">
        <f>SUM(C274:I274)</f>
        <v/>
      </c>
      <c r="K274" s="820">
        <f>C274*1700</f>
        <v/>
      </c>
      <c r="L274" s="790">
        <f>D274*1700</f>
        <v/>
      </c>
      <c r="M274" s="770">
        <f>E274*1700</f>
        <v/>
      </c>
      <c r="N274" s="771" t="n"/>
      <c r="O274" s="771">
        <f>I274*2000</f>
        <v/>
      </c>
      <c r="P274" s="771" t="n"/>
      <c r="Q274" s="796" t="n"/>
      <c r="R274" s="756">
        <f>SUM(K274:Q274)</f>
        <v/>
      </c>
      <c r="S274" s="756">
        <f>J274*1070</f>
        <v/>
      </c>
    </row>
    <row r="275" customFormat="1" s="755">
      <c r="A275" s="151" t="inlineStr">
        <is>
          <t>패들팝</t>
        </is>
      </c>
      <c r="B275" s="383" t="inlineStr">
        <is>
          <t>P00000DE</t>
        </is>
      </c>
      <c r="C275" s="239" t="n">
        <v>47</v>
      </c>
      <c r="D275" s="235" t="n"/>
      <c r="E275" s="234" t="n"/>
      <c r="F275" s="230" t="n"/>
      <c r="G275" s="236" t="n"/>
      <c r="H275" s="231" t="n"/>
      <c r="I275" s="215" t="n"/>
      <c r="J275" s="35">
        <f>SUM(C275:I275)</f>
        <v/>
      </c>
      <c r="K275" s="836">
        <f>C275*2500</f>
        <v/>
      </c>
      <c r="L275" s="790" t="n"/>
      <c r="M275" s="770">
        <f>E275*1500</f>
        <v/>
      </c>
      <c r="N275" s="771" t="n"/>
      <c r="O275" s="771" t="n"/>
      <c r="P275" s="771" t="n"/>
      <c r="Q275" s="758" t="n"/>
      <c r="R275" s="756">
        <f>SUM(K275:Q275)</f>
        <v/>
      </c>
      <c r="S275" s="756">
        <f>J275*495</f>
        <v/>
      </c>
    </row>
    <row r="276" customFormat="1" s="755">
      <c r="A276" s="152" t="inlineStr">
        <is>
          <t>패들팝(묶음)</t>
        </is>
      </c>
      <c r="B276" s="372" t="inlineStr">
        <is>
          <t>P00000TX</t>
        </is>
      </c>
      <c r="C276" s="215" t="n"/>
      <c r="D276" s="235" t="n"/>
      <c r="E276" s="234" t="n"/>
      <c r="F276" s="230" t="n"/>
      <c r="G276" s="236" t="n"/>
      <c r="H276" s="231" t="n"/>
      <c r="I276" s="215" t="n"/>
      <c r="J276" s="35">
        <f>SUM(C276:I276)</f>
        <v/>
      </c>
      <c r="K276" s="820">
        <f>C276*1700</f>
        <v/>
      </c>
      <c r="L276" s="790">
        <f>D276*1700</f>
        <v/>
      </c>
      <c r="M276" s="770">
        <f>E276*1700</f>
        <v/>
      </c>
      <c r="N276" s="771" t="n"/>
      <c r="O276" s="771">
        <f>I276*2000</f>
        <v/>
      </c>
      <c r="P276" s="771" t="n"/>
      <c r="Q276" s="758" t="n"/>
      <c r="R276" s="756">
        <f>SUM(K276:Q276)</f>
        <v/>
      </c>
      <c r="S276" s="756">
        <f>J276*495</f>
        <v/>
      </c>
    </row>
    <row r="277" customFormat="1" s="755">
      <c r="A277" s="153" t="inlineStr">
        <is>
          <t>페이스스파츌라</t>
        </is>
      </c>
      <c r="B277" s="384" t="inlineStr">
        <is>
          <t>P00000LA</t>
        </is>
      </c>
      <c r="C277" s="239" t="n">
        <v>189</v>
      </c>
      <c r="D277" s="235" t="n"/>
      <c r="E277" s="234" t="n"/>
      <c r="F277" s="230" t="n"/>
      <c r="G277" s="236" t="n"/>
      <c r="H277" s="231" t="n"/>
      <c r="I277" s="214" t="n"/>
      <c r="J277" s="35">
        <f>SUM(C277:I277)</f>
        <v/>
      </c>
      <c r="K277" s="836">
        <f>C277*2500</f>
        <v/>
      </c>
      <c r="L277" s="790" t="n"/>
      <c r="M277" s="770" t="n"/>
      <c r="N277" s="771" t="n"/>
      <c r="O277" s="771" t="n"/>
      <c r="P277" s="771" t="n"/>
      <c r="Q277" s="796" t="n"/>
      <c r="R277" s="756">
        <f>SUM(K277:Q277)</f>
        <v/>
      </c>
      <c r="S277" s="756">
        <f>J277*310</f>
        <v/>
      </c>
    </row>
    <row r="278" customFormat="1" s="755">
      <c r="A278" s="154" t="inlineStr">
        <is>
          <t>페이스스파츌라(묶음)</t>
        </is>
      </c>
      <c r="B278" s="372" t="inlineStr">
        <is>
          <t>P00000TX</t>
        </is>
      </c>
      <c r="C278" s="215" t="n">
        <v>100</v>
      </c>
      <c r="D278" s="235" t="n"/>
      <c r="E278" s="234" t="n">
        <v>100</v>
      </c>
      <c r="F278" s="229" t="n"/>
      <c r="G278" s="236" t="n"/>
      <c r="H278" s="231" t="n"/>
      <c r="I278" s="215" t="n"/>
      <c r="J278" s="35">
        <f>SUM(C278:I278)</f>
        <v/>
      </c>
      <c r="K278" s="820">
        <f>C278*1700</f>
        <v/>
      </c>
      <c r="L278" s="790">
        <f>D278*1700</f>
        <v/>
      </c>
      <c r="M278" s="770">
        <f>E278*1700</f>
        <v/>
      </c>
      <c r="N278" s="771" t="n"/>
      <c r="O278" s="771">
        <f>I278*2000</f>
        <v/>
      </c>
      <c r="P278" s="771" t="n"/>
      <c r="Q278" s="796" t="n"/>
      <c r="R278" s="756">
        <f>SUM(K278:Q278)</f>
        <v/>
      </c>
      <c r="S278" s="756">
        <f>J278*310</f>
        <v/>
      </c>
    </row>
    <row r="279" customFormat="1" s="755">
      <c r="A279" s="260" t="inlineStr">
        <is>
          <t>메탈스파츌라(라이콘)</t>
        </is>
      </c>
      <c r="B279" s="876" t="inlineStr">
        <is>
          <t>P00000DG</t>
        </is>
      </c>
      <c r="C279" s="239" t="n">
        <v>3</v>
      </c>
      <c r="D279" s="235" t="n"/>
      <c r="E279" s="234" t="n">
        <v>1</v>
      </c>
      <c r="F279" s="233" t="n"/>
      <c r="G279" s="233" t="n"/>
      <c r="H279" s="242" t="n"/>
      <c r="I279" s="215" t="n"/>
      <c r="J279" s="35">
        <f>SUM(C279:I279)</f>
        <v/>
      </c>
      <c r="K279" s="815">
        <f>C279*18900</f>
        <v/>
      </c>
      <c r="L279" s="790">
        <f>D279*15400</f>
        <v/>
      </c>
      <c r="M279" s="839">
        <f>E279*15400</f>
        <v/>
      </c>
      <c r="N279" s="820" t="n"/>
      <c r="O279" s="877">
        <f>I279*15120</f>
        <v/>
      </c>
      <c r="P279" s="820" t="n"/>
      <c r="Q279" s="820" t="n"/>
      <c r="R279" s="756">
        <f>SUM(K279:Q279)</f>
        <v/>
      </c>
      <c r="S279" s="756">
        <f>J279*4794</f>
        <v/>
      </c>
    </row>
    <row r="280" customFormat="1" s="755">
      <c r="A280" s="155" t="inlineStr">
        <is>
          <t>메탈스파츌라(제모)</t>
        </is>
      </c>
      <c r="B280" s="775" t="n"/>
      <c r="C280" s="239" t="n"/>
      <c r="D280" s="235" t="n"/>
      <c r="E280" s="234" t="n"/>
      <c r="F280" s="229" t="n"/>
      <c r="G280" s="236" t="n"/>
      <c r="H280" s="231" t="n"/>
      <c r="I280" s="215" t="n"/>
      <c r="J280" s="35">
        <f>SUM(C280:I280)</f>
        <v/>
      </c>
      <c r="K280" s="755">
        <f>C280*11000</f>
        <v/>
      </c>
      <c r="L280" s="790">
        <f>D280*7000</f>
        <v/>
      </c>
      <c r="M280" s="770">
        <f>E280*7000</f>
        <v/>
      </c>
      <c r="N280" s="771" t="n"/>
      <c r="O280" s="771" t="n"/>
      <c r="P280" s="771" t="n"/>
      <c r="Q280" s="758" t="n"/>
      <c r="R280" s="756">
        <f>SUM(K280:Q280)</f>
        <v/>
      </c>
      <c r="S280" s="756">
        <f>J280*1200</f>
        <v/>
      </c>
    </row>
    <row r="281">
      <c r="A281" s="115" t="inlineStr">
        <is>
          <t>스파앞치마</t>
        </is>
      </c>
      <c r="B281" s="383" t="inlineStr">
        <is>
          <t>P00000LD</t>
        </is>
      </c>
      <c r="C281" s="237" t="n">
        <v>3</v>
      </c>
      <c r="D281" s="235" t="n"/>
      <c r="E281" s="234" t="n">
        <v>1</v>
      </c>
      <c r="F281" s="230" t="n"/>
      <c r="G281" s="236" t="n"/>
      <c r="H281" s="231" t="n"/>
      <c r="I281" s="238" t="n"/>
      <c r="J281" s="35">
        <f>SUM(C281:I281)</f>
        <v/>
      </c>
      <c r="K281" s="815">
        <f>C281*25000</f>
        <v/>
      </c>
      <c r="L281" s="790">
        <f>D281*20000</f>
        <v/>
      </c>
      <c r="M281" s="770">
        <f>E281*20000</f>
        <v/>
      </c>
      <c r="N281" s="771" t="n"/>
      <c r="O281" s="771" t="n"/>
      <c r="P281" s="771" t="n"/>
      <c r="R281" s="756">
        <f>SUM(K281:Q281)</f>
        <v/>
      </c>
      <c r="S281" s="756">
        <f>J281*12400</f>
        <v/>
      </c>
    </row>
    <row r="282">
      <c r="A282" s="155" t="inlineStr">
        <is>
          <t>스파타올(대)</t>
        </is>
      </c>
      <c r="B282" s="876" t="inlineStr">
        <is>
          <t>P0000BES</t>
        </is>
      </c>
      <c r="C282" s="237" t="n">
        <v>3</v>
      </c>
      <c r="D282" s="235" t="n"/>
      <c r="E282" s="234" t="n">
        <v>1</v>
      </c>
      <c r="F282" s="237" t="n"/>
      <c r="G282" s="236" t="n"/>
      <c r="H282" s="241" t="n"/>
      <c r="I282" s="237" t="n"/>
      <c r="J282" s="35">
        <f>SUM(C282:I282)</f>
        <v/>
      </c>
      <c r="K282" s="815">
        <f>C282*40000</f>
        <v/>
      </c>
      <c r="L282" s="790">
        <f>D282*40000</f>
        <v/>
      </c>
      <c r="M282" s="770">
        <f>E282*38000</f>
        <v/>
      </c>
      <c r="N282" s="771" t="n"/>
      <c r="O282" s="877" t="n"/>
      <c r="P282" s="771" t="n"/>
      <c r="R282" s="756">
        <f>SUM(K282:Q282)</f>
        <v/>
      </c>
      <c r="S282" s="756">
        <f>J282*26400</f>
        <v/>
      </c>
    </row>
    <row r="283">
      <c r="A283" s="155" t="inlineStr">
        <is>
          <t>스파타올(중)</t>
        </is>
      </c>
      <c r="B283" s="774" t="n"/>
      <c r="C283" s="237" t="n">
        <v>1</v>
      </c>
      <c r="D283" s="235" t="n"/>
      <c r="E283" s="234" t="n"/>
      <c r="F283" s="237" t="n"/>
      <c r="G283" s="236" t="n"/>
      <c r="H283" s="241" t="n"/>
      <c r="I283" s="237" t="n"/>
      <c r="J283" s="35">
        <f>SUM(C283:I283)</f>
        <v/>
      </c>
      <c r="K283" s="815">
        <f>C283*22000</f>
        <v/>
      </c>
      <c r="L283" s="790">
        <f>D283*22000</f>
        <v/>
      </c>
      <c r="M283" s="770">
        <f>E283*18000</f>
        <v/>
      </c>
      <c r="N283" s="771" t="n"/>
      <c r="O283" s="771" t="n"/>
      <c r="P283" s="771" t="n"/>
      <c r="R283" s="756">
        <f>SUM(K283:Q283)</f>
        <v/>
      </c>
      <c r="S283" s="756">
        <f>J283*11000</f>
        <v/>
      </c>
    </row>
    <row r="284">
      <c r="A284" s="155" t="inlineStr">
        <is>
          <t>스파타올(소)</t>
        </is>
      </c>
      <c r="B284" s="775" t="n"/>
      <c r="C284" s="237" t="n"/>
      <c r="D284" s="235" t="n"/>
      <c r="E284" s="234" t="n"/>
      <c r="F284" s="237" t="n"/>
      <c r="G284" s="236" t="n"/>
      <c r="H284" s="241" t="n"/>
      <c r="I284" s="237" t="n"/>
      <c r="J284" s="35">
        <f>SUM(C284:I284)</f>
        <v/>
      </c>
      <c r="K284" s="755">
        <f>C284*4000</f>
        <v/>
      </c>
      <c r="L284" s="790">
        <f>D284*4000</f>
        <v/>
      </c>
      <c r="M284" s="770">
        <f>E284*3000</f>
        <v/>
      </c>
      <c r="N284" s="771" t="n"/>
      <c r="O284" s="771" t="n"/>
      <c r="P284" s="771" t="n"/>
      <c r="R284" s="756">
        <f>SUM(K284:Q284)</f>
        <v/>
      </c>
      <c r="S284" s="756">
        <f>J284*1760</f>
        <v/>
      </c>
    </row>
    <row r="285">
      <c r="A285" s="155" t="inlineStr">
        <is>
          <t>케이프세트</t>
        </is>
      </c>
      <c r="B285" s="385" t="inlineStr">
        <is>
          <t>P00000ED</t>
        </is>
      </c>
      <c r="C285" s="233" t="n"/>
      <c r="D285" s="237" t="n"/>
      <c r="E285" s="234" t="n"/>
      <c r="F285" s="237" t="n"/>
      <c r="G285" s="236" t="n"/>
      <c r="H285" s="241" t="n"/>
      <c r="I285" s="237" t="n"/>
      <c r="J285" s="35">
        <f>SUM(C285:I285)</f>
        <v/>
      </c>
      <c r="K285" s="815">
        <f>C285*25000</f>
        <v/>
      </c>
      <c r="L285" s="790">
        <f>D285*25000</f>
        <v/>
      </c>
      <c r="M285" s="770">
        <f>E285*25000</f>
        <v/>
      </c>
      <c r="N285" s="771" t="n"/>
      <c r="O285" s="771" t="n"/>
      <c r="P285" s="771" t="n"/>
      <c r="R285" s="756">
        <f>SUM(K285:Q285)</f>
        <v/>
      </c>
      <c r="S285" s="756">
        <f>J285*18000</f>
        <v/>
      </c>
    </row>
    <row r="286">
      <c r="A286" s="155" t="inlineStr">
        <is>
          <t>제모미인터번</t>
        </is>
      </c>
      <c r="B286" s="385" t="inlineStr">
        <is>
          <t>P0000BFC</t>
        </is>
      </c>
      <c r="C286" s="237" t="n">
        <v>2</v>
      </c>
      <c r="D286" s="235" t="n"/>
      <c r="E286" s="234" t="n"/>
      <c r="F286" s="237" t="n"/>
      <c r="G286" s="236" t="n"/>
      <c r="H286" s="241" t="n"/>
      <c r="I286" s="237" t="n"/>
      <c r="J286" s="35">
        <f>SUM(C286:I286)</f>
        <v/>
      </c>
      <c r="K286" s="815">
        <f>C286*5000</f>
        <v/>
      </c>
      <c r="L286" s="790">
        <f>D286*5000</f>
        <v/>
      </c>
      <c r="M286" s="770">
        <f>E286*4500</f>
        <v/>
      </c>
      <c r="N286" s="771" t="n"/>
      <c r="O286" s="771" t="n"/>
      <c r="P286" s="771" t="n"/>
      <c r="R286" s="756">
        <f>SUM(K286:Q286)</f>
        <v/>
      </c>
      <c r="S286" s="756">
        <f>J286*1800</f>
        <v/>
      </c>
    </row>
    <row r="287">
      <c r="A287" s="128" t="inlineStr">
        <is>
          <t>제모미인앞치마</t>
        </is>
      </c>
      <c r="B287" s="156" t="n"/>
      <c r="C287" s="237" t="n"/>
      <c r="D287" s="235" t="n"/>
      <c r="E287" s="234" t="n"/>
      <c r="F287" s="237" t="n"/>
      <c r="G287" s="236" t="n"/>
      <c r="H287" s="241" t="n"/>
      <c r="I287" s="241" t="n"/>
      <c r="J287" s="35">
        <f>SUM(C287:I287)</f>
        <v/>
      </c>
      <c r="L287" s="790">
        <f>D287*20000</f>
        <v/>
      </c>
      <c r="M287" s="770">
        <f>E287*20000</f>
        <v/>
      </c>
      <c r="N287" s="771" t="n"/>
      <c r="O287" s="771" t="n"/>
      <c r="P287" s="771" t="n"/>
      <c r="R287" s="756">
        <f>SUM(K287:Q287)</f>
        <v/>
      </c>
      <c r="S287" s="756">
        <f>J287*13000</f>
        <v/>
      </c>
    </row>
    <row r="288">
      <c r="A288" s="155" t="inlineStr">
        <is>
          <t>mts롤러</t>
        </is>
      </c>
      <c r="B288" s="373" t="n"/>
      <c r="C288" s="237" t="n"/>
      <c r="D288" s="235" t="n"/>
      <c r="E288" s="234" t="n"/>
      <c r="F288" s="237" t="n"/>
      <c r="G288" s="236" t="n"/>
      <c r="H288" s="241" t="n"/>
      <c r="I288" s="237" t="n"/>
      <c r="J288" s="35">
        <f>SUM(C288:I288)</f>
        <v/>
      </c>
      <c r="K288" s="755">
        <f>C288*4000</f>
        <v/>
      </c>
      <c r="L288" s="790">
        <f>D288*4000</f>
        <v/>
      </c>
      <c r="M288" s="770">
        <f>E288*4000</f>
        <v/>
      </c>
      <c r="N288" s="771" t="n"/>
      <c r="O288" s="771" t="n"/>
      <c r="P288" s="771" t="n"/>
      <c r="R288" s="756">
        <f>SUM(K288:Q288)</f>
        <v/>
      </c>
      <c r="S288" s="756">
        <f>J288*2600</f>
        <v/>
      </c>
    </row>
    <row r="289">
      <c r="A289" s="155" t="inlineStr">
        <is>
          <t>위생장갑</t>
        </is>
      </c>
      <c r="B289" s="385" t="inlineStr">
        <is>
          <t>P0000BBR</t>
        </is>
      </c>
      <c r="C289" s="233" t="n">
        <v>86</v>
      </c>
      <c r="D289" s="235" t="n"/>
      <c r="E289" s="234" t="n"/>
      <c r="F289" s="237" t="n"/>
      <c r="G289" s="236" t="n"/>
      <c r="H289" s="241" t="n"/>
      <c r="I289" s="230" t="n"/>
      <c r="J289" s="35">
        <f>SUM(C289:I289)</f>
        <v/>
      </c>
      <c r="K289" s="755">
        <f>C289*3900</f>
        <v/>
      </c>
      <c r="L289" s="790">
        <f>D289*3900</f>
        <v/>
      </c>
      <c r="M289" s="770">
        <f>E289*3900</f>
        <v/>
      </c>
      <c r="N289" s="771" t="n"/>
      <c r="O289" s="771" t="n"/>
      <c r="P289" s="771" t="n"/>
      <c r="R289" s="756">
        <f>SUM(K289:Q289)</f>
        <v/>
      </c>
      <c r="S289" s="756">
        <f>J289*3000</f>
        <v/>
      </c>
    </row>
    <row r="290">
      <c r="A290" s="155" t="inlineStr">
        <is>
          <t>라텍스장갑</t>
        </is>
      </c>
      <c r="B290" s="385" t="inlineStr">
        <is>
          <t>P0000BLQ</t>
        </is>
      </c>
      <c r="C290" s="233" t="n">
        <v>3</v>
      </c>
      <c r="D290" s="235" t="n"/>
      <c r="E290" s="234" t="n"/>
      <c r="F290" s="237" t="n"/>
      <c r="G290" s="236" t="n"/>
      <c r="H290" s="241" t="n"/>
      <c r="I290" s="230" t="n"/>
      <c r="J290" s="35">
        <f>SUM(C290:I290)</f>
        <v/>
      </c>
      <c r="K290" s="755">
        <f>C290*6600</f>
        <v/>
      </c>
      <c r="L290" s="790">
        <f>D290*6600</f>
        <v/>
      </c>
      <c r="M290" s="770">
        <f>E290*6600</f>
        <v/>
      </c>
      <c r="N290" s="771" t="n"/>
      <c r="O290" s="771" t="n"/>
      <c r="P290" s="771" t="n"/>
      <c r="R290" s="756">
        <f>SUM(K290:Q290)</f>
        <v/>
      </c>
      <c r="S290" s="756">
        <f>J290*4400</f>
        <v/>
      </c>
    </row>
    <row r="291">
      <c r="A291" s="155" t="inlineStr">
        <is>
          <t>아이스쿨러</t>
        </is>
      </c>
      <c r="B291" s="373" t="n"/>
      <c r="C291" s="237" t="n"/>
      <c r="D291" s="235" t="n"/>
      <c r="E291" s="234" t="n"/>
      <c r="F291" s="237" t="n"/>
      <c r="G291" s="236" t="n"/>
      <c r="H291" s="241" t="n"/>
      <c r="I291" s="241" t="n"/>
      <c r="J291" s="35">
        <f>SUM(C291:I291)</f>
        <v/>
      </c>
      <c r="K291" s="755">
        <f>C291*25000</f>
        <v/>
      </c>
      <c r="L291" s="790">
        <f>D291*20000</f>
        <v/>
      </c>
      <c r="M291" s="770">
        <f>E291*20000</f>
        <v/>
      </c>
      <c r="N291" s="771" t="n"/>
      <c r="O291" s="771" t="n"/>
      <c r="P291" s="771" t="n"/>
      <c r="R291" s="756">
        <f>SUM(K291:Q291)</f>
        <v/>
      </c>
      <c r="S291" s="756">
        <f>J291*8800</f>
        <v/>
      </c>
    </row>
    <row r="292">
      <c r="A292" s="155" t="inlineStr">
        <is>
          <t>롤러아이스쿨러(바디)</t>
        </is>
      </c>
      <c r="B292" s="370" t="inlineStr">
        <is>
          <t>P00000KD</t>
        </is>
      </c>
      <c r="C292" s="237" t="n">
        <v>1</v>
      </c>
      <c r="D292" s="235" t="n"/>
      <c r="E292" s="234" t="n"/>
      <c r="F292" s="237" t="n"/>
      <c r="G292" s="236" t="n"/>
      <c r="H292" s="241" t="n"/>
      <c r="I292" s="241" t="n"/>
      <c r="J292" s="35">
        <f>SUM(C292:I292)</f>
        <v/>
      </c>
      <c r="K292" s="815">
        <f>C292*15000</f>
        <v/>
      </c>
      <c r="L292" s="790">
        <f>D292*10000</f>
        <v/>
      </c>
      <c r="M292" s="770">
        <f>E292*10000</f>
        <v/>
      </c>
      <c r="N292" s="771" t="n"/>
      <c r="O292" s="771" t="n"/>
      <c r="P292" s="771" t="n"/>
      <c r="R292" s="756">
        <f>SUM(K292:Q292)</f>
        <v/>
      </c>
      <c r="S292" s="756">
        <f>J292*4000</f>
        <v/>
      </c>
    </row>
    <row r="293">
      <c r="A293" s="155" t="inlineStr">
        <is>
          <t>롤러아이스쿨러(얼굴)</t>
        </is>
      </c>
      <c r="B293" s="370" t="inlineStr">
        <is>
          <t>P00000KE</t>
        </is>
      </c>
      <c r="C293" s="237" t="n">
        <v>1</v>
      </c>
      <c r="D293" s="235" t="n"/>
      <c r="E293" s="234" t="n"/>
      <c r="F293" s="237" t="n"/>
      <c r="G293" s="236" t="n"/>
      <c r="H293" s="241" t="n"/>
      <c r="I293" s="241" t="n"/>
      <c r="J293" s="35">
        <f>SUM(C293:I293)</f>
        <v/>
      </c>
      <c r="K293" s="815">
        <f>C293*15000</f>
        <v/>
      </c>
      <c r="L293" s="790">
        <f>D293*10000</f>
        <v/>
      </c>
      <c r="M293" s="770">
        <f>E293*10000</f>
        <v/>
      </c>
      <c r="N293" s="771" t="n"/>
      <c r="O293" s="771" t="n"/>
      <c r="P293" s="771" t="n"/>
      <c r="R293" s="756">
        <f>SUM(K293:Q293)</f>
        <v/>
      </c>
      <c r="S293" s="756">
        <f>J293*4000</f>
        <v/>
      </c>
    </row>
    <row r="294" customFormat="1" s="161">
      <c r="A294" s="128" t="inlineStr">
        <is>
          <t>가위</t>
        </is>
      </c>
      <c r="B294" s="385" t="inlineStr">
        <is>
          <t>P00000OE</t>
        </is>
      </c>
      <c r="C294" s="237" t="n"/>
      <c r="D294" s="237" t="n"/>
      <c r="E294" s="234" t="n"/>
      <c r="F294" s="237" t="n"/>
      <c r="G294" s="236" t="n"/>
      <c r="H294" s="243" t="n"/>
      <c r="I294" s="243" t="n"/>
      <c r="J294" s="35">
        <f>SUM(C294:I294)</f>
        <v/>
      </c>
      <c r="K294" s="836">
        <f>C294*30000</f>
        <v/>
      </c>
      <c r="L294" s="790">
        <f>D294*25000</f>
        <v/>
      </c>
      <c r="M294" s="770">
        <f>E294*25000</f>
        <v/>
      </c>
      <c r="N294" s="771" t="n"/>
      <c r="O294" s="771" t="n"/>
      <c r="P294" s="771" t="n"/>
      <c r="Q294" s="878" t="n"/>
      <c r="R294" s="756">
        <f>SUM(K294:Q294)</f>
        <v/>
      </c>
      <c r="S294" s="756">
        <f>J294*16500</f>
        <v/>
      </c>
    </row>
    <row r="295">
      <c r="A295" s="128" t="inlineStr">
        <is>
          <t>온도계</t>
        </is>
      </c>
      <c r="B295" s="385" t="inlineStr">
        <is>
          <t>P00000KG</t>
        </is>
      </c>
      <c r="C295" s="237" t="n"/>
      <c r="D295" s="237" t="n"/>
      <c r="E295" s="234" t="n"/>
      <c r="F295" s="237" t="n"/>
      <c r="G295" s="236" t="n"/>
      <c r="H295" s="241" t="n"/>
      <c r="I295" s="241" t="n"/>
      <c r="J295" s="35">
        <f>SUM(C295:I295)</f>
        <v/>
      </c>
      <c r="K295" s="755">
        <f>C295*24000</f>
        <v/>
      </c>
      <c r="L295" s="790">
        <f>D295*20000</f>
        <v/>
      </c>
      <c r="M295" s="770">
        <f>E295*18000</f>
        <v/>
      </c>
      <c r="N295" s="771" t="n"/>
      <c r="O295" s="771" t="n"/>
      <c r="P295" s="771" t="n"/>
      <c r="R295" s="756">
        <f>SUM(K295:Q295)</f>
        <v/>
      </c>
      <c r="S295" s="756">
        <f>J295*9945</f>
        <v/>
      </c>
    </row>
    <row r="296">
      <c r="A296" s="0" t="inlineStr">
        <is>
          <t>파우치</t>
        </is>
      </c>
      <c r="B296" s="876" t="inlineStr">
        <is>
          <t>P00000ED</t>
        </is>
      </c>
      <c r="C296" s="237" t="n"/>
      <c r="D296" s="235" t="n"/>
      <c r="E296" s="234" t="n"/>
      <c r="F296" s="230" t="n"/>
      <c r="G296" s="236" t="n"/>
      <c r="H296" s="231" t="n"/>
      <c r="I296" s="215" t="n"/>
      <c r="J296" s="35">
        <f>SUM(C296:I296)</f>
        <v/>
      </c>
      <c r="K296" s="755">
        <f>C296*25000</f>
        <v/>
      </c>
      <c r="L296" s="790">
        <f>D296*25000</f>
        <v/>
      </c>
      <c r="M296" s="770">
        <f>E296*25000</f>
        <v/>
      </c>
      <c r="N296" s="771" t="n"/>
      <c r="O296" s="771" t="n"/>
      <c r="P296" s="771" t="n"/>
      <c r="R296" s="756">
        <f>SUM(K296:Q296)</f>
        <v/>
      </c>
      <c r="S296" s="756">
        <f>J296*18000</f>
        <v/>
      </c>
    </row>
    <row r="297">
      <c r="A297" s="128" t="inlineStr">
        <is>
          <t>브러쉬</t>
        </is>
      </c>
      <c r="B297" s="774" t="n"/>
      <c r="C297" s="237" t="n">
        <v>3</v>
      </c>
      <c r="D297" s="237" t="n"/>
      <c r="E297" s="234" t="n"/>
      <c r="F297" s="237" t="n"/>
      <c r="G297" s="236" t="n"/>
      <c r="H297" s="241" t="n"/>
      <c r="I297" s="241" t="n"/>
      <c r="J297" s="35">
        <f>SUM(C297:I297)</f>
        <v/>
      </c>
      <c r="K297" s="815">
        <f>C297*10000</f>
        <v/>
      </c>
      <c r="L297" s="790" t="n"/>
      <c r="M297" s="770" t="n"/>
      <c r="N297" s="771" t="n"/>
      <c r="O297" s="771" t="n"/>
      <c r="P297" s="771" t="n"/>
      <c r="R297" s="756">
        <f>SUM(K297:Q297)</f>
        <v/>
      </c>
      <c r="S297" s="756">
        <f>J297*9000</f>
        <v/>
      </c>
    </row>
    <row r="298">
      <c r="A298" s="128" t="inlineStr">
        <is>
          <t>브로우펜슬</t>
        </is>
      </c>
      <c r="B298" s="774" t="n"/>
      <c r="C298" s="237" t="n"/>
      <c r="D298" s="237" t="n"/>
      <c r="E298" s="234" t="n"/>
      <c r="F298" s="237" t="n"/>
      <c r="G298" s="236" t="n"/>
      <c r="H298" s="241" t="n"/>
      <c r="I298" s="241" t="n"/>
      <c r="J298" s="35">
        <f>SUM(C298:I298)</f>
        <v/>
      </c>
      <c r="K298" s="755">
        <f>C298*24000</f>
        <v/>
      </c>
      <c r="L298" s="790" t="n"/>
      <c r="M298" s="770" t="n"/>
      <c r="N298" s="771" t="n"/>
      <c r="O298" s="771" t="n"/>
      <c r="P298" s="771" t="n"/>
      <c r="R298" s="756">
        <f>SUM(K298:Q298)</f>
        <v/>
      </c>
      <c r="S298" s="756">
        <f>J298*18000</f>
        <v/>
      </c>
    </row>
    <row r="299">
      <c r="A299" s="128" t="inlineStr">
        <is>
          <t>거울</t>
        </is>
      </c>
      <c r="B299" s="775" t="n"/>
      <c r="C299" s="237" t="n">
        <v>2</v>
      </c>
      <c r="D299" s="237" t="n"/>
      <c r="E299" s="234" t="n"/>
      <c r="F299" s="237" t="n"/>
      <c r="G299" s="236" t="n"/>
      <c r="H299" s="241" t="n"/>
      <c r="I299" s="241" t="n"/>
      <c r="J299" s="35">
        <f>SUM(C299:I299)</f>
        <v/>
      </c>
      <c r="K299" s="755">
        <f>C299*7000</f>
        <v/>
      </c>
      <c r="L299" s="790">
        <f>D299*7000</f>
        <v/>
      </c>
      <c r="M299" s="770">
        <f>E299*7000</f>
        <v/>
      </c>
      <c r="N299" s="771" t="n"/>
      <c r="O299" s="771" t="n"/>
      <c r="P299" s="771" t="n"/>
      <c r="R299" s="756">
        <f>SUM(K299:Q299)</f>
        <v/>
      </c>
      <c r="S299" s="756">
        <f>J299*4000</f>
        <v/>
      </c>
    </row>
    <row r="300">
      <c r="A300" s="128" t="inlineStr">
        <is>
          <t>브로우펜슬(컨실러)</t>
        </is>
      </c>
      <c r="B300" s="598" t="n"/>
      <c r="C300" s="237" t="n"/>
      <c r="D300" s="237" t="n"/>
      <c r="E300" s="234" t="n"/>
      <c r="F300" s="237" t="n"/>
      <c r="G300" s="236" t="n"/>
      <c r="H300" s="241" t="n"/>
      <c r="I300" s="241" t="n"/>
      <c r="J300" s="35">
        <f>SUM(C300:I300)</f>
        <v/>
      </c>
      <c r="K300" s="755">
        <f>C300*10000</f>
        <v/>
      </c>
      <c r="L300" s="790">
        <f>D300*10000</f>
        <v/>
      </c>
      <c r="M300" s="770">
        <f>E300*10000</f>
        <v/>
      </c>
      <c r="N300" s="771" t="n"/>
      <c r="O300" s="771" t="n"/>
      <c r="P300" s="771" t="n"/>
      <c r="R300" s="756">
        <f>SUM(K300:Q300)</f>
        <v/>
      </c>
      <c r="S300" s="756">
        <f>J300*2664</f>
        <v/>
      </c>
    </row>
    <row r="301">
      <c r="A301" s="128" t="inlineStr">
        <is>
          <t xml:space="preserve">워머기카라 </t>
        </is>
      </c>
      <c r="B301" s="386" t="inlineStr">
        <is>
          <t>P00000OR</t>
        </is>
      </c>
      <c r="C301" s="237" t="n">
        <v>290</v>
      </c>
      <c r="D301" s="237" t="n"/>
      <c r="E301" s="234" t="n"/>
      <c r="F301" s="237" t="n"/>
      <c r="G301" s="236" t="n"/>
      <c r="H301" s="241" t="n"/>
      <c r="I301" s="242" t="n"/>
      <c r="J301" s="35">
        <f>SUM(C301:I301)</f>
        <v/>
      </c>
      <c r="K301" s="815">
        <f>C301*200</f>
        <v/>
      </c>
      <c r="L301" s="790">
        <f>D301*200</f>
        <v/>
      </c>
      <c r="M301" s="770">
        <f>E301*200</f>
        <v/>
      </c>
      <c r="N301" s="771" t="n"/>
      <c r="O301" s="771" t="n"/>
      <c r="P301" s="771" t="n"/>
      <c r="R301" s="756">
        <f>SUM(K301:Q301)</f>
        <v/>
      </c>
      <c r="S301" s="756">
        <f>J301*110</f>
        <v/>
      </c>
    </row>
    <row r="302">
      <c r="A302" s="162" t="inlineStr">
        <is>
          <t>왁스네임텍</t>
        </is>
      </c>
      <c r="B302" s="386" t="inlineStr">
        <is>
          <t>P00000OQ</t>
        </is>
      </c>
      <c r="C302" s="237" t="n">
        <v>30</v>
      </c>
      <c r="D302" s="237" t="n"/>
      <c r="E302" s="234" t="n"/>
      <c r="F302" s="237" t="n"/>
      <c r="G302" s="236" t="n"/>
      <c r="H302" s="241" t="n"/>
      <c r="I302" s="241" t="n"/>
      <c r="J302" s="35">
        <f>SUM(C302:I302)</f>
        <v/>
      </c>
      <c r="K302" s="815">
        <f>C302*200</f>
        <v/>
      </c>
      <c r="L302" s="790">
        <f>D302*200</f>
        <v/>
      </c>
      <c r="M302" s="770">
        <f>E302*200</f>
        <v/>
      </c>
      <c r="N302" s="771" t="n"/>
      <c r="O302" s="771" t="n"/>
      <c r="P302" s="771" t="n"/>
      <c r="R302" s="756">
        <f>SUM(K302:Q302)</f>
        <v/>
      </c>
      <c r="S302" s="756">
        <f>J302*110</f>
        <v/>
      </c>
    </row>
    <row r="303">
      <c r="A303" s="162" t="inlineStr">
        <is>
          <t>오일공용라벨</t>
        </is>
      </c>
      <c r="B303" s="386" t="n"/>
      <c r="C303" s="237" t="n"/>
      <c r="D303" s="237" t="n"/>
      <c r="E303" s="234" t="n"/>
      <c r="F303" s="237" t="n"/>
      <c r="G303" s="236" t="n"/>
      <c r="H303" s="241" t="n"/>
      <c r="I303" s="241" t="n"/>
      <c r="J303" s="35">
        <f>SUM(C303:I303)</f>
        <v/>
      </c>
      <c r="K303" s="815" t="n"/>
      <c r="L303" s="790" t="n"/>
      <c r="M303" s="770">
        <f>E303*150</f>
        <v/>
      </c>
      <c r="N303" s="771" t="n"/>
      <c r="O303" s="771" t="n"/>
      <c r="P303" s="771" t="n"/>
      <c r="R303" s="756">
        <f>SUM(K303:Q303)</f>
        <v/>
      </c>
      <c r="S303" s="756">
        <f>J303*127</f>
        <v/>
      </c>
    </row>
    <row r="304">
      <c r="A304" s="162" t="inlineStr">
        <is>
          <t>아로마교육책자</t>
        </is>
      </c>
      <c r="B304" s="386" t="n"/>
      <c r="C304" s="237" t="n"/>
      <c r="D304" s="237" t="n"/>
      <c r="E304" s="234" t="n">
        <v>2</v>
      </c>
      <c r="F304" s="237" t="n"/>
      <c r="G304" s="236" t="n"/>
      <c r="H304" s="241" t="n"/>
      <c r="I304" s="241" t="n"/>
      <c r="J304" s="35">
        <f>SUM(C304:I304)</f>
        <v/>
      </c>
      <c r="K304" s="815" t="n"/>
      <c r="L304" s="790" t="n"/>
      <c r="M304" s="770">
        <f>E304*15000</f>
        <v/>
      </c>
      <c r="N304" s="771" t="n"/>
      <c r="O304" s="771" t="n"/>
      <c r="P304" s="771" t="n"/>
      <c r="R304" s="756">
        <f>SUM(K304:Q304)</f>
        <v/>
      </c>
      <c r="S304" s="756">
        <f>J304*9680</f>
        <v/>
      </c>
    </row>
    <row r="305">
      <c r="A305" s="128" t="inlineStr">
        <is>
          <t>실리콘팩브러쉬</t>
        </is>
      </c>
      <c r="B305" s="385" t="inlineStr">
        <is>
          <t>P0000BDI</t>
        </is>
      </c>
      <c r="C305" s="237" t="n"/>
      <c r="D305" s="235" t="n"/>
      <c r="E305" s="234" t="n"/>
      <c r="F305" s="237" t="n"/>
      <c r="G305" s="236" t="n"/>
      <c r="H305" s="241" t="n"/>
      <c r="I305" s="241" t="n"/>
      <c r="J305" s="35">
        <f>SUM(C305:I305)</f>
        <v/>
      </c>
      <c r="K305" s="755">
        <f>C305*3000</f>
        <v/>
      </c>
      <c r="L305" s="790">
        <f>D305*3000</f>
        <v/>
      </c>
      <c r="M305" s="770">
        <f>E305*3000</f>
        <v/>
      </c>
      <c r="N305" s="771" t="n"/>
      <c r="O305" s="771" t="n"/>
      <c r="P305" s="771" t="n"/>
      <c r="R305" s="756">
        <f>SUM(K305:Q305)</f>
        <v/>
      </c>
      <c r="S305" s="756">
        <f>J305*1320</f>
        <v/>
      </c>
    </row>
    <row r="306" customFormat="1" s="755">
      <c r="A306" s="155" t="inlineStr">
        <is>
          <t>쇼핑백(소)</t>
        </is>
      </c>
      <c r="B306" s="876" t="inlineStr">
        <is>
          <t>P00000GH</t>
        </is>
      </c>
      <c r="C306" s="237" t="n">
        <v>40</v>
      </c>
      <c r="D306" s="237" t="n"/>
      <c r="E306" s="234" t="n"/>
      <c r="F306" s="237" t="n"/>
      <c r="G306" s="236" t="n"/>
      <c r="H306" s="241" t="n"/>
      <c r="I306" s="240" t="n"/>
      <c r="J306" s="35">
        <f>SUM(C306:I306)</f>
        <v/>
      </c>
      <c r="K306" s="815">
        <f>C306*1100</f>
        <v/>
      </c>
      <c r="L306" s="790">
        <f>D306*850</f>
        <v/>
      </c>
      <c r="M306" s="770">
        <f>E306*850</f>
        <v/>
      </c>
      <c r="N306" s="771" t="n"/>
      <c r="O306" s="771" t="n"/>
      <c r="P306" s="771" t="n"/>
      <c r="Q306" s="758" t="n"/>
      <c r="R306" s="756">
        <f>SUM(K306:Q306)</f>
        <v/>
      </c>
      <c r="S306" s="756">
        <f>J306*780</f>
        <v/>
      </c>
    </row>
    <row r="307" customFormat="1" s="755">
      <c r="A307" s="155" t="inlineStr">
        <is>
          <t>쇼핑백(중)</t>
        </is>
      </c>
      <c r="B307" s="775" t="n"/>
      <c r="C307" s="237" t="n"/>
      <c r="D307" s="237" t="n"/>
      <c r="E307" s="234" t="n"/>
      <c r="F307" s="237" t="n"/>
      <c r="G307" s="236" t="n"/>
      <c r="H307" s="241" t="n"/>
      <c r="I307" s="237" t="n"/>
      <c r="J307" s="35">
        <f>SUM(C307:I307)</f>
        <v/>
      </c>
      <c r="K307" s="815">
        <f>C307*1200</f>
        <v/>
      </c>
      <c r="L307" s="790">
        <f>D307*980</f>
        <v/>
      </c>
      <c r="M307" s="770">
        <f>E307*980</f>
        <v/>
      </c>
      <c r="N307" s="771" t="n"/>
      <c r="O307" s="771" t="n"/>
      <c r="P307" s="771" t="n"/>
      <c r="Q307" s="758" t="n"/>
      <c r="R307" s="756">
        <f>SUM(K307:Q307)</f>
        <v/>
      </c>
      <c r="S307" s="756">
        <f>J307*836</f>
        <v/>
      </c>
    </row>
    <row r="308" customFormat="1" s="755">
      <c r="A308" s="155" t="inlineStr">
        <is>
          <t>자디니쇼핑백</t>
        </is>
      </c>
      <c r="B308" s="385" t="inlineStr">
        <is>
          <t>P0000BMM</t>
        </is>
      </c>
      <c r="C308" s="237" t="n"/>
      <c r="D308" s="237" t="n"/>
      <c r="E308" s="234" t="n"/>
      <c r="F308" s="237" t="n"/>
      <c r="G308" s="236" t="n"/>
      <c r="H308" s="241" t="n"/>
      <c r="I308" s="242" t="n"/>
      <c r="J308" s="35">
        <f>SUM(C308:I308)</f>
        <v/>
      </c>
      <c r="K308" s="815">
        <f>C308*1100</f>
        <v/>
      </c>
      <c r="L308" s="790">
        <f>D308*1100</f>
        <v/>
      </c>
      <c r="M308" s="770">
        <f>E308*1100</f>
        <v/>
      </c>
      <c r="N308" s="771" t="n"/>
      <c r="O308" s="771" t="n"/>
      <c r="P308" s="771" t="n"/>
      <c r="Q308" s="758" t="n"/>
      <c r="R308" s="756">
        <f>SUM(K308:Q308)</f>
        <v/>
      </c>
      <c r="S308" s="756">
        <f>J308*968</f>
        <v/>
      </c>
    </row>
    <row r="309" customFormat="1" s="755">
      <c r="A309" s="155" t="inlineStr">
        <is>
          <t>제모미인단상자(대)</t>
        </is>
      </c>
      <c r="B309" s="879" t="inlineStr">
        <is>
          <t>P0000BGT</t>
        </is>
      </c>
      <c r="C309" s="237" t="n"/>
      <c r="D309" s="237" t="n"/>
      <c r="E309" s="234" t="n"/>
      <c r="F309" s="237" t="n"/>
      <c r="G309" s="236" t="n"/>
      <c r="H309" s="241" t="n"/>
      <c r="I309" s="237" t="n"/>
      <c r="J309" s="35">
        <f>SUM(C309:I309)</f>
        <v/>
      </c>
      <c r="K309" s="755">
        <f>C309*550</f>
        <v/>
      </c>
      <c r="L309" s="790">
        <f>D309*550</f>
        <v/>
      </c>
      <c r="M309" s="770">
        <f>E309*550</f>
        <v/>
      </c>
      <c r="N309" s="771" t="n"/>
      <c r="O309" s="771" t="n"/>
      <c r="P309" s="771" t="n"/>
      <c r="Q309" s="758" t="n"/>
      <c r="R309" s="756">
        <f>SUM(K309:Q309)</f>
        <v/>
      </c>
      <c r="S309" s="756">
        <f>J309*389</f>
        <v/>
      </c>
    </row>
    <row r="310" customFormat="1" s="755">
      <c r="A310" s="155" t="inlineStr">
        <is>
          <t>제모미인단상자(중)</t>
        </is>
      </c>
      <c r="B310" s="774" t="n"/>
      <c r="C310" s="237" t="n"/>
      <c r="D310" s="237" t="n"/>
      <c r="E310" s="234" t="n"/>
      <c r="F310" s="237" t="n"/>
      <c r="G310" s="236" t="n"/>
      <c r="H310" s="241" t="n"/>
      <c r="I310" s="237" t="n"/>
      <c r="J310" s="35">
        <f>SUM(C310:I310)</f>
        <v/>
      </c>
      <c r="K310" s="755">
        <f>C310*550</f>
        <v/>
      </c>
      <c r="L310" s="790">
        <f>D310*550</f>
        <v/>
      </c>
      <c r="M310" s="770">
        <f>E310*550</f>
        <v/>
      </c>
      <c r="N310" s="771" t="n"/>
      <c r="O310" s="771" t="n"/>
      <c r="P310" s="771" t="n"/>
      <c r="Q310" s="758" t="n"/>
      <c r="R310" s="756">
        <f>SUM(K310:Q310)</f>
        <v/>
      </c>
      <c r="S310" s="756">
        <f>J310*389</f>
        <v/>
      </c>
    </row>
    <row r="311" customFormat="1" s="755">
      <c r="A311" s="155" t="inlineStr">
        <is>
          <t>제모미인단상자(소)</t>
        </is>
      </c>
      <c r="B311" s="775" t="n"/>
      <c r="C311" s="237" t="n"/>
      <c r="D311" s="237" t="n"/>
      <c r="E311" s="234" t="n"/>
      <c r="F311" s="237" t="n"/>
      <c r="G311" s="236" t="n"/>
      <c r="H311" s="241" t="n"/>
      <c r="I311" s="237" t="n"/>
      <c r="J311" s="35">
        <f>SUM(C311:I311)</f>
        <v/>
      </c>
      <c r="K311" s="755">
        <f>C311*550</f>
        <v/>
      </c>
      <c r="L311" s="790">
        <f>D311*550</f>
        <v/>
      </c>
      <c r="M311" s="770">
        <f>E311*550</f>
        <v/>
      </c>
      <c r="N311" s="771" t="n"/>
      <c r="O311" s="771" t="n"/>
      <c r="P311" s="771" t="n"/>
      <c r="Q311" s="758" t="n"/>
      <c r="R311" s="756">
        <f>SUM(K311:Q311)</f>
        <v/>
      </c>
      <c r="S311" s="756">
        <f>J311*389</f>
        <v/>
      </c>
    </row>
    <row r="312" customFormat="1" s="755">
      <c r="A312" s="155" t="inlineStr">
        <is>
          <t>Y존패드리필용기</t>
        </is>
      </c>
      <c r="B312" s="387" t="inlineStr">
        <is>
          <t>P0000BIJ</t>
        </is>
      </c>
      <c r="C312" s="237" t="n">
        <v>3</v>
      </c>
      <c r="D312" s="235" t="n"/>
      <c r="E312" s="234" t="n"/>
      <c r="F312" s="237" t="n"/>
      <c r="G312" s="236" t="n"/>
      <c r="H312" s="241" t="n"/>
      <c r="I312" s="242" t="n"/>
      <c r="J312" s="35">
        <f>SUM(C312:I312)</f>
        <v/>
      </c>
      <c r="K312" s="815">
        <f>C312*2500</f>
        <v/>
      </c>
      <c r="L312" s="790">
        <f>D312*2500</f>
        <v/>
      </c>
      <c r="M312" s="770">
        <f>E312*2500</f>
        <v/>
      </c>
      <c r="N312" s="771" t="n"/>
      <c r="O312" s="771" t="n"/>
      <c r="P312" s="771" t="n"/>
      <c r="Q312" s="758" t="n"/>
      <c r="R312" s="756">
        <f>SUM(K312:Q312)</f>
        <v/>
      </c>
      <c r="S312" s="756">
        <f>J312*1412</f>
        <v/>
      </c>
    </row>
    <row r="313" customFormat="1" s="755">
      <c r="A313" s="155" t="inlineStr">
        <is>
          <t>y존패드파우치</t>
        </is>
      </c>
      <c r="B313" s="386" t="inlineStr">
        <is>
          <t>P0000BIP</t>
        </is>
      </c>
      <c r="C313" s="237" t="n">
        <v>100</v>
      </c>
      <c r="D313" s="237" t="n"/>
      <c r="E313" s="234" t="n"/>
      <c r="F313" s="237" t="n"/>
      <c r="G313" s="236" t="n"/>
      <c r="H313" s="241" t="n"/>
      <c r="I313" s="242" t="n">
        <v>75</v>
      </c>
      <c r="J313" s="35">
        <f>SUM(C313:I313)</f>
        <v/>
      </c>
      <c r="K313" s="815">
        <f>C313*110</f>
        <v/>
      </c>
      <c r="L313" s="790" t="n"/>
      <c r="M313" s="770" t="n"/>
      <c r="N313" s="771" t="n"/>
      <c r="O313" s="771" t="n"/>
      <c r="P313" s="771" t="n"/>
      <c r="Q313" s="758" t="n"/>
      <c r="R313" s="756">
        <f>SUM(K313:Q313)</f>
        <v/>
      </c>
      <c r="S313" s="756">
        <f>J313*60</f>
        <v/>
      </c>
    </row>
    <row r="314" customFormat="1" s="755">
      <c r="A314" s="155" t="inlineStr">
        <is>
          <t>A2가로판넬</t>
        </is>
      </c>
      <c r="B314" s="386" t="inlineStr">
        <is>
          <t>P00000DM</t>
        </is>
      </c>
      <c r="C314" s="237" t="n"/>
      <c r="D314" s="237" t="n"/>
      <c r="E314" s="234" t="n"/>
      <c r="F314" s="237" t="n"/>
      <c r="G314" s="236" t="n"/>
      <c r="H314" s="241" t="n"/>
      <c r="I314" s="242" t="n"/>
      <c r="J314" s="35">
        <f>SUM(C314:I314)</f>
        <v/>
      </c>
      <c r="K314" s="815">
        <f>C314*75000</f>
        <v/>
      </c>
      <c r="L314" s="790" t="n"/>
      <c r="M314" s="770" t="n"/>
      <c r="N314" s="771" t="n"/>
      <c r="O314" s="771" t="n"/>
      <c r="P314" s="771" t="n"/>
      <c r="Q314" s="758" t="n"/>
      <c r="R314" s="756">
        <f>SUM(K314:Q314)</f>
        <v/>
      </c>
      <c r="S314" s="756">
        <f>J314*27500</f>
        <v/>
      </c>
    </row>
    <row r="315" customFormat="1" s="755">
      <c r="A315" s="155" t="inlineStr">
        <is>
          <t>A1 세로,가로판넬</t>
        </is>
      </c>
      <c r="B315" s="879" t="inlineStr">
        <is>
          <t>P00000DU</t>
        </is>
      </c>
      <c r="C315" s="237" t="n"/>
      <c r="D315" s="237" t="n"/>
      <c r="E315" s="234" t="n"/>
      <c r="F315" s="237" t="n"/>
      <c r="G315" s="236" t="n"/>
      <c r="H315" s="241" t="n"/>
      <c r="I315" s="242" t="n"/>
      <c r="J315" s="35">
        <f>SUM(C315:I315)</f>
        <v/>
      </c>
      <c r="K315" s="815">
        <f>C315*120000</f>
        <v/>
      </c>
      <c r="L315" s="790" t="n"/>
      <c r="M315" s="770" t="n"/>
      <c r="N315" s="771" t="n"/>
      <c r="O315" s="771" t="n"/>
      <c r="P315" s="771" t="n"/>
      <c r="Q315" s="758" t="n"/>
      <c r="R315" s="756">
        <f>SUM(K315:Q315)</f>
        <v/>
      </c>
      <c r="S315" s="756">
        <f>J315*59400</f>
        <v/>
      </c>
    </row>
    <row r="316" customFormat="1" s="755">
      <c r="A316" s="155" t="inlineStr">
        <is>
          <t>A2 세로,가로판넬</t>
        </is>
      </c>
      <c r="B316" s="775" t="n"/>
      <c r="C316" s="237" t="n"/>
      <c r="D316" s="237" t="n"/>
      <c r="E316" s="234" t="n"/>
      <c r="F316" s="237" t="n"/>
      <c r="G316" s="236" t="n"/>
      <c r="H316" s="241" t="n"/>
      <c r="I316" s="242" t="n"/>
      <c r="J316" s="35">
        <f>SUM(C316:I316)</f>
        <v/>
      </c>
      <c r="K316" s="815">
        <f>C316*75000</f>
        <v/>
      </c>
      <c r="L316" s="790" t="n"/>
      <c r="M316" s="770" t="n"/>
      <c r="N316" s="771" t="n"/>
      <c r="O316" s="771" t="n"/>
      <c r="P316" s="771" t="n"/>
      <c r="Q316" s="758" t="n"/>
      <c r="R316" s="756">
        <f>SUM(K316:Q316)</f>
        <v/>
      </c>
      <c r="S316" s="756">
        <f>J316*33000</f>
        <v/>
      </c>
    </row>
    <row r="317" customFormat="1" s="755">
      <c r="A317" s="155" t="inlineStr">
        <is>
          <t>A3사후관리액자</t>
        </is>
      </c>
      <c r="B317" s="386" t="inlineStr">
        <is>
          <t>P00000DS</t>
        </is>
      </c>
      <c r="C317" s="237" t="n"/>
      <c r="D317" s="237" t="n"/>
      <c r="E317" s="234" t="n"/>
      <c r="F317" s="237" t="n"/>
      <c r="G317" s="236" t="n"/>
      <c r="H317" s="241" t="n"/>
      <c r="I317" s="242" t="n"/>
      <c r="J317" s="35">
        <f>SUM(C317:I317)</f>
        <v/>
      </c>
      <c r="K317" s="815">
        <f>C317*35000</f>
        <v/>
      </c>
      <c r="L317" s="790" t="n"/>
      <c r="M317" s="770" t="n"/>
      <c r="N317" s="771" t="n"/>
      <c r="O317" s="771" t="n"/>
      <c r="P317" s="771" t="n"/>
      <c r="Q317" s="758" t="n"/>
      <c r="R317" s="756">
        <f>SUM(K317:Q317)</f>
        <v/>
      </c>
      <c r="S317" s="756">
        <f>J317*15400</f>
        <v/>
      </c>
    </row>
    <row r="318" customFormat="1" s="755">
      <c r="A318" s="155" t="inlineStr">
        <is>
          <t>라이콘핑키니배너</t>
        </is>
      </c>
      <c r="B318" s="879" t="inlineStr">
        <is>
          <t>P00000PM</t>
        </is>
      </c>
      <c r="C318" s="237" t="n"/>
      <c r="D318" s="237" t="n"/>
      <c r="E318" s="234" t="n"/>
      <c r="F318" s="237" t="n"/>
      <c r="G318" s="236" t="n"/>
      <c r="H318" s="241" t="n"/>
      <c r="I318" s="242" t="n"/>
      <c r="J318" s="35">
        <f>SUM(C318:I318)</f>
        <v/>
      </c>
      <c r="K318" s="815">
        <f>C318*36000</f>
        <v/>
      </c>
      <c r="L318" s="790" t="n"/>
      <c r="M318" s="770" t="n"/>
      <c r="N318" s="771" t="n"/>
      <c r="O318" s="771" t="n"/>
      <c r="P318" s="771" t="n"/>
      <c r="Q318" s="758" t="n"/>
      <c r="R318" s="756">
        <f>SUM(K318:Q318)</f>
        <v/>
      </c>
      <c r="S318" s="756">
        <f>J318*12000</f>
        <v/>
      </c>
    </row>
    <row r="319" customFormat="1" s="755">
      <c r="A319" s="155" t="inlineStr">
        <is>
          <t>라이콘핑키니배너세트</t>
        </is>
      </c>
      <c r="B319" s="775" t="n"/>
      <c r="C319" s="237" t="n"/>
      <c r="D319" s="237" t="n"/>
      <c r="E319" s="234" t="n"/>
      <c r="F319" s="237" t="n"/>
      <c r="G319" s="236" t="n"/>
      <c r="H319" s="241" t="n"/>
      <c r="I319" s="242" t="n"/>
      <c r="J319" s="35">
        <f>SUM(C319:I319)</f>
        <v/>
      </c>
      <c r="K319" s="815">
        <f>C319*81000</f>
        <v/>
      </c>
      <c r="L319" s="790" t="n"/>
      <c r="M319" s="770" t="n"/>
      <c r="N319" s="771" t="n"/>
      <c r="O319" s="771" t="n"/>
      <c r="P319" s="771" t="n"/>
      <c r="Q319" s="758" t="n"/>
      <c r="R319" s="756">
        <f>SUM(K319:Q319)</f>
        <v/>
      </c>
      <c r="S319" s="756">
        <f>J319*34000</f>
        <v/>
      </c>
    </row>
    <row r="320" customFormat="1" s="755">
      <c r="A320" s="155" t="inlineStr">
        <is>
          <t>배너단품,세트</t>
        </is>
      </c>
      <c r="B320" s="386" t="inlineStr">
        <is>
          <t>P00000EF</t>
        </is>
      </c>
      <c r="C320" s="237" t="n"/>
      <c r="D320" s="237" t="n"/>
      <c r="E320" s="234" t="n"/>
      <c r="F320" s="237" t="n"/>
      <c r="G320" s="236" t="n"/>
      <c r="H320" s="241" t="n"/>
      <c r="I320" s="242" t="n"/>
      <c r="J320" s="35">
        <f>SUM(C320:I320)</f>
        <v/>
      </c>
      <c r="K320" s="815">
        <f>C320*72000</f>
        <v/>
      </c>
      <c r="L320" s="790" t="n"/>
      <c r="M320" s="770" t="n"/>
      <c r="N320" s="771" t="n"/>
      <c r="O320" s="771" t="n"/>
      <c r="P320" s="771" t="n"/>
      <c r="Q320" s="758" t="n"/>
      <c r="R320" s="756">
        <f>SUM(K320:Q320)</f>
        <v/>
      </c>
      <c r="S320" s="756">
        <f>J320*12000</f>
        <v/>
      </c>
    </row>
    <row r="321" customFormat="1" s="755">
      <c r="A321" s="155" t="inlineStr">
        <is>
          <t>벨리테라피배너</t>
        </is>
      </c>
      <c r="B321" s="386" t="inlineStr">
        <is>
          <t>P0000BJU</t>
        </is>
      </c>
      <c r="C321" s="237" t="n"/>
      <c r="D321" s="237" t="n"/>
      <c r="E321" s="234" t="n"/>
      <c r="F321" s="237" t="n"/>
      <c r="G321" s="236" t="n"/>
      <c r="H321" s="241" t="n"/>
      <c r="I321" s="242" t="n"/>
      <c r="J321" s="35">
        <f>SUM(C321:I321)</f>
        <v/>
      </c>
      <c r="K321" s="815">
        <f>C321*81000</f>
        <v/>
      </c>
      <c r="L321" s="790" t="n"/>
      <c r="M321" s="770" t="n"/>
      <c r="N321" s="771" t="n"/>
      <c r="O321" s="771" t="n"/>
      <c r="P321" s="771" t="n"/>
      <c r="Q321" s="758" t="n"/>
      <c r="R321" s="756">
        <f>SUM(K321:Q321)</f>
        <v/>
      </c>
      <c r="S321" s="756">
        <f>J321*12000</f>
        <v/>
      </c>
    </row>
    <row r="322" customFormat="1" s="755">
      <c r="A322" s="155" t="inlineStr">
        <is>
          <t>라이콘카다록</t>
        </is>
      </c>
      <c r="B322" s="386" t="inlineStr">
        <is>
          <t>P0000BLB</t>
        </is>
      </c>
      <c r="C322" s="237" t="n">
        <v>20</v>
      </c>
      <c r="D322" s="237" t="n"/>
      <c r="E322" s="234" t="n"/>
      <c r="F322" s="237" t="n"/>
      <c r="G322" s="236" t="n"/>
      <c r="H322" s="241" t="n"/>
      <c r="I322" s="242" t="n"/>
      <c r="J322" s="35">
        <f>SUM(C322:I322)</f>
        <v/>
      </c>
      <c r="K322" s="815">
        <f>C322*1100</f>
        <v/>
      </c>
      <c r="L322" s="790" t="n"/>
      <c r="M322" s="770" t="n"/>
      <c r="N322" s="771" t="n"/>
      <c r="O322" s="771" t="n"/>
      <c r="P322" s="771" t="n"/>
      <c r="Q322" s="758" t="n"/>
      <c r="R322" s="756">
        <f>SUM(K322:Q322)</f>
        <v/>
      </c>
      <c r="S322" s="756">
        <f>J322*915</f>
        <v/>
      </c>
    </row>
    <row r="323">
      <c r="A323" s="155" t="inlineStr">
        <is>
          <t>실리콘컵2종</t>
        </is>
      </c>
      <c r="B323" s="386" t="inlineStr">
        <is>
          <t>P0000BLX</t>
        </is>
      </c>
      <c r="C323" s="237" t="n">
        <v>18</v>
      </c>
      <c r="D323" s="237" t="n"/>
      <c r="E323" s="234" t="n"/>
      <c r="F323" s="237" t="n"/>
      <c r="G323" s="236" t="n"/>
      <c r="H323" s="241" t="n"/>
      <c r="I323" s="242" t="n"/>
      <c r="J323" s="35">
        <f>SUM(C323:I323)</f>
        <v/>
      </c>
      <c r="K323" s="880">
        <f>C323*3000</f>
        <v/>
      </c>
      <c r="L323" s="790" t="n"/>
      <c r="M323" s="770" t="n"/>
      <c r="N323" s="771" t="n"/>
      <c r="O323" s="771" t="n"/>
      <c r="P323" s="771" t="n"/>
      <c r="R323" s="756">
        <f>SUM(K323:Q323)</f>
        <v/>
      </c>
      <c r="S323" s="756">
        <f>J323*2000</f>
        <v/>
      </c>
    </row>
    <row r="324">
      <c r="A324" s="128" t="inlineStr">
        <is>
          <t>복주머니</t>
        </is>
      </c>
      <c r="B324" s="385" t="inlineStr">
        <is>
          <t>P00000FN</t>
        </is>
      </c>
      <c r="C324" s="257" t="n"/>
      <c r="D324" s="237" t="n"/>
      <c r="E324" s="234" t="n"/>
      <c r="F324" s="237" t="n"/>
      <c r="G324" s="236" t="n"/>
      <c r="H324" s="241" t="n"/>
      <c r="I324" s="241" t="n"/>
      <c r="J324" s="35">
        <f>SUM(C324:I324)</f>
        <v/>
      </c>
      <c r="K324" s="880">
        <f>C324*1000</f>
        <v/>
      </c>
      <c r="L324" s="790">
        <f>D324*10000</f>
        <v/>
      </c>
      <c r="M324" s="770">
        <f>E324*10000</f>
        <v/>
      </c>
      <c r="N324" s="771" t="n"/>
      <c r="O324" s="771" t="n"/>
      <c r="P324" s="771" t="n"/>
      <c r="R324" s="756">
        <f>SUM(K324:Q324)</f>
        <v/>
      </c>
      <c r="S324" s="756">
        <f>J324*528</f>
        <v/>
      </c>
    </row>
    <row r="325">
      <c r="A325" s="79" t="inlineStr">
        <is>
          <t>지퍼백(대)</t>
        </is>
      </c>
      <c r="B325" s="876" t="inlineStr">
        <is>
          <t>P00000FO</t>
        </is>
      </c>
      <c r="C325" s="237" t="n"/>
      <c r="D325" s="237" t="n"/>
      <c r="E325" s="234" t="n"/>
      <c r="F325" s="237" t="n"/>
      <c r="G325" s="236" t="n"/>
      <c r="H325" s="241" t="n"/>
      <c r="I325" s="241" t="n"/>
      <c r="J325" s="35">
        <f>SUM(C325:I325)</f>
        <v/>
      </c>
      <c r="K325" s="755">
        <f>C325*600</f>
        <v/>
      </c>
      <c r="L325" s="790">
        <f>D325*600</f>
        <v/>
      </c>
      <c r="M325" s="770">
        <f>E325*600</f>
        <v/>
      </c>
      <c r="N325" s="771" t="n"/>
      <c r="O325" s="771" t="n"/>
      <c r="P325" s="771" t="n"/>
      <c r="R325" s="756">
        <f>SUM(K325:Q325)</f>
        <v/>
      </c>
      <c r="S325" s="756">
        <f>J325*484</f>
        <v/>
      </c>
    </row>
    <row r="326" customFormat="1" s="638">
      <c r="A326" s="128" t="inlineStr">
        <is>
          <t>지퍼백(밑면삼각)</t>
        </is>
      </c>
      <c r="B326" s="775" t="n"/>
      <c r="C326" s="237" t="n"/>
      <c r="D326" s="237" t="n"/>
      <c r="E326" s="234" t="n"/>
      <c r="F326" s="237" t="n"/>
      <c r="G326" s="236" t="n"/>
      <c r="H326" s="241" t="n"/>
      <c r="I326" s="242" t="n"/>
      <c r="J326" s="35">
        <f>SUM(C326:I326)</f>
        <v/>
      </c>
      <c r="K326" s="815">
        <f>C326*1500</f>
        <v/>
      </c>
      <c r="L326" s="790">
        <f>D326*1500</f>
        <v/>
      </c>
      <c r="M326" s="770">
        <f>E326*1500</f>
        <v/>
      </c>
      <c r="N326" s="771" t="n"/>
      <c r="O326" s="771" t="n"/>
      <c r="P326" s="771" t="n"/>
      <c r="Q326" s="758" t="n"/>
      <c r="R326" s="756">
        <f>SUM(K326:Q326)</f>
        <v/>
      </c>
      <c r="S326" s="756">
        <f>J326*1155</f>
        <v/>
      </c>
    </row>
    <row r="327" customFormat="1" s="638">
      <c r="A327" s="79" t="inlineStr">
        <is>
          <t>pp박스</t>
        </is>
      </c>
      <c r="B327" s="385" t="inlineStr">
        <is>
          <t>P00000JI</t>
        </is>
      </c>
      <c r="C327" s="237" t="n"/>
      <c r="D327" s="237" t="n"/>
      <c r="E327" s="234" t="n"/>
      <c r="F327" s="237" t="n"/>
      <c r="G327" s="236" t="n"/>
      <c r="H327" s="241" t="n"/>
      <c r="I327" s="241" t="n"/>
      <c r="J327" s="35">
        <f>SUM(C327:I327)</f>
        <v/>
      </c>
      <c r="K327" s="755">
        <f>C327*1100</f>
        <v/>
      </c>
      <c r="L327" s="790">
        <f>D327*110</f>
        <v/>
      </c>
      <c r="M327" s="770">
        <f>E327*110</f>
        <v/>
      </c>
      <c r="N327" s="771" t="n"/>
      <c r="O327" s="771" t="n"/>
      <c r="P327" s="771" t="n"/>
      <c r="Q327" s="758" t="n"/>
      <c r="R327" s="756">
        <f>SUM(K327:Q327)</f>
        <v/>
      </c>
      <c r="S327" s="756">
        <f>J327*968</f>
        <v/>
      </c>
    </row>
    <row r="328" customFormat="1" s="638">
      <c r="A328" s="0" t="inlineStr">
        <is>
          <t>아크릴진열대</t>
        </is>
      </c>
      <c r="B328" s="385" t="inlineStr">
        <is>
          <t>P00000LO</t>
        </is>
      </c>
      <c r="C328" s="237" t="n"/>
      <c r="D328" s="237" t="n"/>
      <c r="E328" s="234" t="n"/>
      <c r="F328" s="237" t="n"/>
      <c r="G328" s="236" t="n"/>
      <c r="H328" s="241" t="n"/>
      <c r="I328" s="241" t="n"/>
      <c r="J328" s="35">
        <f>SUM(C328:I328)</f>
        <v/>
      </c>
      <c r="K328" s="755">
        <f>C328*88000</f>
        <v/>
      </c>
      <c r="L328" s="790">
        <f>D328*88000</f>
        <v/>
      </c>
      <c r="M328" s="839">
        <f>E328*88000</f>
        <v/>
      </c>
      <c r="N328" s="820" t="n"/>
      <c r="O328" s="771" t="n"/>
      <c r="P328" s="771" t="n"/>
      <c r="Q328" s="758" t="n"/>
      <c r="R328" s="756">
        <f>SUM(K328:Q328)</f>
        <v/>
      </c>
      <c r="S328" s="756">
        <f>J328*66000</f>
        <v/>
      </c>
    </row>
    <row r="329" customFormat="1" s="638">
      <c r="A329" s="128" t="inlineStr">
        <is>
          <t>제모미인쇼핑백</t>
        </is>
      </c>
      <c r="B329" s="385" t="inlineStr">
        <is>
          <t>P0000BGU</t>
        </is>
      </c>
      <c r="C329" s="237" t="n"/>
      <c r="D329" s="235" t="n"/>
      <c r="E329" s="234" t="n"/>
      <c r="F329" s="237" t="n"/>
      <c r="G329" s="236" t="n"/>
      <c r="H329" s="241" t="n"/>
      <c r="I329" s="241" t="n"/>
      <c r="J329" s="35">
        <f>SUM(C329:I329)</f>
        <v/>
      </c>
      <c r="K329" s="815">
        <f>C329*650</f>
        <v/>
      </c>
      <c r="L329" s="790">
        <f>D329*650</f>
        <v/>
      </c>
      <c r="M329" s="770">
        <f>E329*650</f>
        <v/>
      </c>
      <c r="N329" s="771" t="n"/>
      <c r="O329" s="771" t="n"/>
      <c r="P329" s="771" t="n"/>
      <c r="Q329" s="758" t="n"/>
      <c r="R329" s="756">
        <f>SUM(K329:Q329)</f>
        <v/>
      </c>
      <c r="S329" s="756">
        <f>J329*517</f>
        <v/>
      </c>
    </row>
    <row r="330" customFormat="1" s="638">
      <c r="A330" s="0" t="n"/>
      <c r="C330" s="628" t="n"/>
      <c r="K330" s="875">
        <f>SUM(K265:K329)</f>
        <v/>
      </c>
      <c r="L330" s="881">
        <f>SUM(L265:L329)</f>
        <v/>
      </c>
      <c r="M330" s="881">
        <f>SUM(M265:M329)</f>
        <v/>
      </c>
      <c r="N330" s="881">
        <f>SUM(N265:N329)</f>
        <v/>
      </c>
      <c r="O330" s="881">
        <f>SUM(O265:O329)</f>
        <v/>
      </c>
      <c r="P330" s="881">
        <f>SUM(P265:P329)</f>
        <v/>
      </c>
      <c r="Q330" s="881">
        <f>SUM(Q265:Q329)</f>
        <v/>
      </c>
      <c r="R330" s="881">
        <f>SUM(R265:R329)</f>
        <v/>
      </c>
      <c r="S330" s="881">
        <f>SUM(S265:S329)</f>
        <v/>
      </c>
    </row>
    <row r="331" customFormat="1" s="244">
      <c r="B331" s="245" t="n"/>
      <c r="C331" s="113" t="n"/>
      <c r="D331" s="274" t="n"/>
      <c r="E331" s="407" t="n"/>
      <c r="F331" s="272" t="n"/>
      <c r="G331" s="272" t="n"/>
      <c r="H331" s="272" t="n"/>
      <c r="I331" s="246" t="n"/>
      <c r="J331" s="247" t="n"/>
      <c r="K331" s="845" t="n"/>
      <c r="L331" s="845" t="n"/>
      <c r="M331" s="849" t="n"/>
      <c r="N331" s="849" t="n"/>
      <c r="O331" s="882" t="n"/>
      <c r="P331" s="883" t="n"/>
      <c r="Q331" s="884" t="n"/>
      <c r="R331" s="849" t="n"/>
      <c r="S331" s="849" t="n"/>
    </row>
    <row r="332" customFormat="1" s="244">
      <c r="B332" s="245" t="n"/>
      <c r="C332" s="271" t="n"/>
      <c r="D332" s="274" t="n"/>
      <c r="E332" s="407" t="n"/>
      <c r="F332" s="272" t="n"/>
      <c r="G332" s="272" t="n"/>
      <c r="H332" s="272" t="n"/>
      <c r="I332" s="246" t="n"/>
      <c r="J332" s="247" t="n"/>
      <c r="K332" s="845" t="n"/>
      <c r="L332" s="845" t="n"/>
      <c r="M332" s="849" t="n"/>
      <c r="N332" s="849" t="n"/>
      <c r="O332" s="882" t="n"/>
      <c r="P332" s="883" t="n"/>
      <c r="Q332" s="884" t="n"/>
      <c r="R332" s="849" t="n"/>
      <c r="S332" s="849" t="n"/>
    </row>
    <row r="333" customFormat="1" s="244">
      <c r="B333" s="245" t="n"/>
      <c r="C333" s="409" t="inlineStr">
        <is>
          <t>도매</t>
        </is>
      </c>
      <c r="D333" s="409" t="n"/>
      <c r="E333" s="489" t="inlineStr">
        <is>
          <t>마스터</t>
        </is>
      </c>
      <c r="F333" s="272" t="n"/>
      <c r="G333" s="272" t="n"/>
      <c r="H333" s="272" t="n"/>
      <c r="I333" s="246" t="n"/>
      <c r="J333" s="247" t="n"/>
      <c r="K333" s="845" t="n"/>
      <c r="L333" s="845" t="n"/>
      <c r="M333" s="849" t="n"/>
      <c r="N333" s="849" t="n"/>
      <c r="O333" s="882" t="n"/>
      <c r="P333" s="883" t="n"/>
      <c r="Q333" s="884" t="n"/>
      <c r="R333" s="849" t="n"/>
      <c r="S333" s="849" t="n"/>
    </row>
    <row r="334">
      <c r="D334" s="696" t="n"/>
      <c r="E334" s="408" t="n"/>
      <c r="F334" s="272" t="n"/>
      <c r="G334" s="272" t="n"/>
      <c r="H334" s="138" t="n"/>
      <c r="I334" s="138" t="n"/>
      <c r="J334" s="139" t="n"/>
      <c r="P334" s="785" t="n"/>
    </row>
    <row r="335">
      <c r="A335" s="74" t="inlineStr">
        <is>
          <t>자디니아로마오일</t>
        </is>
      </c>
      <c r="D335" s="696" t="n"/>
      <c r="E335" s="408" t="n"/>
      <c r="F335" s="272" t="n"/>
      <c r="G335" s="272" t="n"/>
      <c r="I335" s="20" t="n"/>
      <c r="J335" s="140" t="n"/>
      <c r="P335" s="785" t="n"/>
    </row>
    <row r="336" ht="48" customHeight="1" s="754">
      <c r="A336" s="111" t="inlineStr">
        <is>
          <t>에센셜오일1kg</t>
        </is>
      </c>
      <c r="B336" s="688" t="inlineStr">
        <is>
          <t>P0000BIB  / P0000BKE / P0000BMA</t>
        </is>
      </c>
      <c r="C336" s="696" t="n"/>
      <c r="D336" s="275" t="n"/>
      <c r="E336" s="408" t="n"/>
      <c r="F336" s="272" t="n"/>
      <c r="G336" s="272" t="n"/>
      <c r="H336" s="141" t="n"/>
      <c r="I336" s="141" t="inlineStr">
        <is>
          <t>증정</t>
        </is>
      </c>
      <c r="J336" s="140" t="n"/>
      <c r="K336" s="828" t="inlineStr">
        <is>
          <t>도매</t>
        </is>
      </c>
      <c r="L336" s="830" t="n"/>
      <c r="M336" s="830" t="inlineStr">
        <is>
          <t>마스터</t>
        </is>
      </c>
      <c r="N336" s="830" t="n"/>
      <c r="O336" s="772" t="n"/>
      <c r="P336" s="885" t="n"/>
      <c r="R336" s="828" t="inlineStr">
        <is>
          <t>품목별합계</t>
        </is>
      </c>
      <c r="S336" s="756" t="inlineStr">
        <is>
          <t>도매,마스터원가</t>
        </is>
      </c>
    </row>
    <row r="337" customFormat="1" s="638">
      <c r="A337" s="356" t="inlineStr">
        <is>
          <t>라벤다에센셜3ml</t>
        </is>
      </c>
      <c r="B337" s="374" t="n"/>
      <c r="C337" s="237" t="n"/>
      <c r="D337" s="234" t="n"/>
      <c r="E337" s="242" t="n"/>
      <c r="F337" s="230" t="n"/>
      <c r="G337" s="345" t="n"/>
      <c r="H337" s="80" t="n"/>
      <c r="I337" s="64" t="n"/>
      <c r="J337" s="35">
        <f>SUM(B337:I337)</f>
        <v/>
      </c>
      <c r="K337" s="755">
        <f>C337*4400</f>
        <v/>
      </c>
      <c r="L337" s="839" t="n"/>
      <c r="M337" s="770" t="n"/>
      <c r="N337" s="863" t="n"/>
      <c r="O337" s="757" t="n"/>
      <c r="P337" s="854" t="n"/>
      <c r="Q337" s="758" t="n"/>
      <c r="R337" s="755">
        <f>SUM(K337:Q337)</f>
        <v/>
      </c>
      <c r="S337" s="755">
        <f>J337*1340</f>
        <v/>
      </c>
    </row>
    <row r="338" customFormat="1" s="638">
      <c r="A338" s="356" t="inlineStr">
        <is>
          <t>페퍼민트에센셜3ml</t>
        </is>
      </c>
      <c r="B338" s="568" t="n"/>
      <c r="C338" s="237" t="n"/>
      <c r="D338" s="234" t="n"/>
      <c r="E338" s="242" t="n"/>
      <c r="F338" s="230" t="n"/>
      <c r="G338" s="345" t="n"/>
      <c r="H338" s="80" t="n"/>
      <c r="I338" s="64" t="n"/>
      <c r="J338" s="35">
        <f>SUM(B338:I338)</f>
        <v/>
      </c>
      <c r="K338" s="755" t="n"/>
      <c r="L338" s="839" t="n"/>
      <c r="M338" s="770" t="n"/>
      <c r="N338" s="863" t="n"/>
      <c r="O338" s="757" t="n"/>
      <c r="P338" s="854" t="n"/>
      <c r="Q338" s="758" t="n"/>
      <c r="R338" s="755">
        <f>SUM(K338:Q338)</f>
        <v/>
      </c>
      <c r="S338" s="755">
        <f>J338*1349</f>
        <v/>
      </c>
    </row>
    <row r="339" customFormat="1" s="638">
      <c r="A339" s="356" t="inlineStr">
        <is>
          <t>갈바넘</t>
        </is>
      </c>
      <c r="B339" s="568" t="n"/>
      <c r="C339" s="237" t="n"/>
      <c r="D339" s="234" t="n"/>
      <c r="E339" s="242" t="n"/>
      <c r="F339" s="230" t="n"/>
      <c r="G339" s="345" t="n"/>
      <c r="H339" s="80" t="n"/>
      <c r="I339" s="64" t="n"/>
      <c r="J339" s="35">
        <f>SUM(B339:I339)</f>
        <v/>
      </c>
      <c r="K339" s="755">
        <f>C339*60000</f>
        <v/>
      </c>
      <c r="L339" s="839" t="n"/>
      <c r="M339" s="770" t="n"/>
      <c r="N339" s="863">
        <f>F339*54000</f>
        <v/>
      </c>
      <c r="O339" s="757" t="n"/>
      <c r="P339" s="854" t="n"/>
      <c r="Q339" s="758" t="n"/>
      <c r="R339" s="755">
        <f>SUM(K339:Q339)</f>
        <v/>
      </c>
      <c r="S339" s="755">
        <f>J339*5060</f>
        <v/>
      </c>
    </row>
    <row r="340" ht="16.5" customFormat="1" customHeight="1" s="638">
      <c r="A340" s="356" t="inlineStr">
        <is>
          <t>그레이프루잇</t>
        </is>
      </c>
      <c r="B340" s="547" t="inlineStr">
        <is>
          <t>P0000BJT  /  P0000BKH   /  P0000BMF  / P0000BMG  /  P0000BMH</t>
        </is>
      </c>
      <c r="C340" s="218" t="n"/>
      <c r="D340" s="234" t="n"/>
      <c r="E340" s="234" t="n"/>
      <c r="F340" s="191" t="n"/>
      <c r="G340" s="345" t="n"/>
      <c r="H340" s="80" t="n"/>
      <c r="I340" s="114" t="n"/>
      <c r="J340" s="35">
        <f>SUM(B340:I340)</f>
        <v/>
      </c>
      <c r="K340" s="755" t="n">
        <v>0</v>
      </c>
      <c r="L340" s="839" t="n"/>
      <c r="M340" s="770" t="n"/>
      <c r="N340" s="863" t="n">
        <v>0</v>
      </c>
      <c r="O340" s="757" t="n"/>
      <c r="P340" s="854" t="n"/>
      <c r="Q340" s="758" t="n"/>
      <c r="R340" s="755">
        <f>SUM(K340:Q340)</f>
        <v/>
      </c>
      <c r="S340" s="755">
        <f>J340*2850</f>
        <v/>
      </c>
    </row>
    <row r="341" ht="16.5" customFormat="1" customHeight="1" s="638">
      <c r="A341" s="356" t="inlineStr">
        <is>
          <t>넛맥</t>
        </is>
      </c>
      <c r="B341" s="774" t="n"/>
      <c r="C341" s="218" t="n"/>
      <c r="D341" s="234" t="n"/>
      <c r="E341" s="234" t="n"/>
      <c r="F341" s="191" t="n"/>
      <c r="G341" s="345" t="n"/>
      <c r="H341" s="80" t="n"/>
      <c r="I341" s="114" t="n"/>
      <c r="J341" s="35">
        <f>SUM(B341:I341)</f>
        <v/>
      </c>
      <c r="K341" s="755">
        <f>C341*17000</f>
        <v/>
      </c>
      <c r="L341" s="839" t="n"/>
      <c r="M341" s="770" t="n"/>
      <c r="N341" s="863">
        <f>F341*15000</f>
        <v/>
      </c>
      <c r="O341" s="757" t="n"/>
      <c r="P341" s="854" t="n"/>
      <c r="Q341" s="758" t="n"/>
      <c r="R341" s="755">
        <f>SUM(K341:Q341)</f>
        <v/>
      </c>
      <c r="S341" s="755">
        <f>J341*2670</f>
        <v/>
      </c>
    </row>
    <row r="342" customFormat="1" s="638">
      <c r="A342" s="356" t="inlineStr">
        <is>
          <t xml:space="preserve">네롤리 </t>
        </is>
      </c>
      <c r="B342" s="774" t="n"/>
      <c r="C342" s="237" t="n">
        <v>1</v>
      </c>
      <c r="D342" s="234" t="n"/>
      <c r="E342" s="234" t="n"/>
      <c r="F342" s="230" t="n"/>
      <c r="G342" s="345" t="n"/>
      <c r="H342" s="80" t="n"/>
      <c r="I342" s="114" t="n"/>
      <c r="J342" s="35">
        <f>SUM(B342:I342)</f>
        <v/>
      </c>
      <c r="K342" s="755" t="n">
        <v>21000</v>
      </c>
      <c r="L342" s="839" t="n"/>
      <c r="M342" s="770" t="n"/>
      <c r="N342" s="863" t="n">
        <v>0</v>
      </c>
      <c r="O342" s="757" t="n"/>
      <c r="P342" s="854" t="n"/>
      <c r="Q342" s="758" t="n"/>
      <c r="R342" s="755">
        <f>SUM(K342:Q342)</f>
        <v/>
      </c>
      <c r="S342" s="755">
        <f>J342*2870</f>
        <v/>
      </c>
    </row>
    <row r="343" customFormat="1" s="638">
      <c r="A343" s="356" t="inlineStr">
        <is>
          <t>딜시드</t>
        </is>
      </c>
      <c r="B343" s="774" t="n"/>
      <c r="C343" s="237" t="n"/>
      <c r="D343" s="234" t="n"/>
      <c r="E343" s="234" t="n"/>
      <c r="F343" s="230" t="n"/>
      <c r="G343" s="345" t="n"/>
      <c r="H343" s="80" t="n"/>
      <c r="I343" s="114" t="n"/>
      <c r="J343" s="35">
        <f>SUM(B343:I343)</f>
        <v/>
      </c>
      <c r="K343" s="755">
        <f>C343*16000</f>
        <v/>
      </c>
      <c r="L343" s="839" t="n"/>
      <c r="M343" s="770" t="n"/>
      <c r="N343" s="863">
        <f>F343*14000</f>
        <v/>
      </c>
      <c r="O343" s="757" t="n"/>
      <c r="P343" s="854" t="n"/>
      <c r="Q343" s="758" t="n"/>
      <c r="R343" s="755">
        <f>SUM(K343:Q343)</f>
        <v/>
      </c>
      <c r="S343" s="755">
        <f>J343*2380</f>
        <v/>
      </c>
    </row>
    <row r="344" customFormat="1" s="638">
      <c r="A344" s="354" t="inlineStr">
        <is>
          <t>라벤다(불가리아)</t>
        </is>
      </c>
      <c r="B344" s="774" t="n"/>
      <c r="C344" s="233" t="n">
        <v>3</v>
      </c>
      <c r="D344" s="242" t="n"/>
      <c r="E344" s="234" t="n"/>
      <c r="F344" s="230" t="n"/>
      <c r="G344" s="345" t="n"/>
      <c r="H344" s="80" t="n"/>
      <c r="I344" s="114" t="n"/>
      <c r="J344" s="35">
        <f>SUM(B344:I344)</f>
        <v/>
      </c>
      <c r="K344" s="755" t="n">
        <v>42000</v>
      </c>
      <c r="L344" s="839" t="n"/>
      <c r="M344" s="770" t="n"/>
      <c r="N344" s="863" t="n">
        <v>0</v>
      </c>
      <c r="O344" s="757" t="n"/>
      <c r="P344" s="854" t="n"/>
      <c r="Q344" s="758" t="n"/>
      <c r="R344" s="755">
        <f>SUM(K344:Q344)</f>
        <v/>
      </c>
      <c r="S344" s="755">
        <f>J344*2440</f>
        <v/>
      </c>
    </row>
    <row r="345" customFormat="1" s="638">
      <c r="A345" s="354" t="inlineStr">
        <is>
          <t>라임</t>
        </is>
      </c>
      <c r="B345" s="774" t="n"/>
      <c r="C345" s="233" t="n"/>
      <c r="D345" s="234" t="n"/>
      <c r="E345" s="234" t="n"/>
      <c r="F345" s="230" t="n"/>
      <c r="G345" s="345" t="n"/>
      <c r="H345" s="80" t="n"/>
      <c r="I345" s="114" t="n"/>
      <c r="J345" s="35">
        <f>SUM(B345:I345)</f>
        <v/>
      </c>
      <c r="K345" s="755" t="n">
        <v>0</v>
      </c>
      <c r="L345" s="839" t="n"/>
      <c r="M345" s="770" t="n"/>
      <c r="N345" s="863" t="n">
        <v>0</v>
      </c>
      <c r="O345" s="757" t="n"/>
      <c r="P345" s="854" t="n"/>
      <c r="Q345" s="758" t="n"/>
      <c r="R345" s="755">
        <f>SUM(K345:Q345)</f>
        <v/>
      </c>
      <c r="S345" s="755">
        <f>J345*2740</f>
        <v/>
      </c>
    </row>
    <row r="346" customFormat="1" s="638">
      <c r="A346" s="355" t="inlineStr">
        <is>
          <t>로즈마리오일</t>
        </is>
      </c>
      <c r="B346" s="774" t="n"/>
      <c r="C346" s="233" t="n"/>
      <c r="D346" s="242" t="n"/>
      <c r="E346" s="234" t="n"/>
      <c r="F346" s="230" t="n"/>
      <c r="G346" s="345" t="n"/>
      <c r="H346" s="80" t="n"/>
      <c r="I346" s="114" t="n"/>
      <c r="J346" s="35">
        <f>SUM(B346:I346)</f>
        <v/>
      </c>
      <c r="K346" s="755">
        <f>C346*20000</f>
        <v/>
      </c>
      <c r="L346" s="839" t="n"/>
      <c r="M346" s="770" t="n"/>
      <c r="N346" s="863">
        <f>F346*18000</f>
        <v/>
      </c>
      <c r="O346" s="757" t="n"/>
      <c r="P346" s="854" t="n"/>
      <c r="Q346" s="758" t="n"/>
      <c r="R346" s="755">
        <f>SUM(K346:Q346)</f>
        <v/>
      </c>
      <c r="S346" s="755">
        <f>J346*4940</f>
        <v/>
      </c>
    </row>
    <row r="347" customFormat="1" s="638">
      <c r="A347" s="354" t="inlineStr">
        <is>
          <t>로즈제라늄</t>
        </is>
      </c>
      <c r="B347" s="774" t="n"/>
      <c r="C347" s="233" t="n"/>
      <c r="D347" s="242" t="n"/>
      <c r="E347" s="234" t="n"/>
      <c r="F347" s="230" t="n"/>
      <c r="G347" s="345" t="n"/>
      <c r="H347" s="80" t="n"/>
      <c r="I347" s="114" t="n"/>
      <c r="J347" s="35">
        <f>SUM(B347:I347)</f>
        <v/>
      </c>
      <c r="K347" s="755" t="n">
        <v>0</v>
      </c>
      <c r="L347" s="839" t="n"/>
      <c r="M347" s="770" t="n"/>
      <c r="N347" s="863" t="n">
        <v>0</v>
      </c>
      <c r="O347" s="757" t="n"/>
      <c r="P347" s="854" t="n"/>
      <c r="Q347" s="758" t="n"/>
      <c r="R347" s="755">
        <f>SUM(K347:Q347)</f>
        <v/>
      </c>
      <c r="S347" s="755">
        <f>J347*2470</f>
        <v/>
      </c>
    </row>
    <row r="348" customFormat="1" s="638">
      <c r="A348" s="354" t="inlineStr">
        <is>
          <t>로만캐모마일(오가닉)</t>
        </is>
      </c>
      <c r="B348" s="774" t="n"/>
      <c r="C348" s="233" t="n"/>
      <c r="D348" s="234" t="n"/>
      <c r="E348" s="234" t="n"/>
      <c r="F348" s="230" t="n"/>
      <c r="G348" s="345" t="n"/>
      <c r="H348" s="80" t="n"/>
      <c r="I348" s="114" t="n"/>
      <c r="J348" s="35">
        <f>SUM(B348:I348)</f>
        <v/>
      </c>
      <c r="K348" s="755" t="n">
        <v>0</v>
      </c>
      <c r="L348" s="839" t="n"/>
      <c r="M348" s="770" t="n"/>
      <c r="N348" s="863" t="n">
        <v>0</v>
      </c>
      <c r="O348" s="757" t="n"/>
      <c r="P348" s="854" t="n"/>
      <c r="Q348" s="758" t="n"/>
      <c r="R348" s="755">
        <f>SUM(K348:Q348)</f>
        <v/>
      </c>
      <c r="S348" s="755">
        <f>J348*28700</f>
        <v/>
      </c>
    </row>
    <row r="349" customFormat="1" s="638">
      <c r="A349" s="354" t="inlineStr">
        <is>
          <t>루</t>
        </is>
      </c>
      <c r="B349" s="774" t="n"/>
      <c r="C349" s="233" t="n"/>
      <c r="D349" s="234" t="n"/>
      <c r="E349" s="234" t="n"/>
      <c r="F349" s="230" t="n"/>
      <c r="G349" s="345" t="n"/>
      <c r="H349" s="80" t="n"/>
      <c r="I349" s="114" t="n"/>
      <c r="J349" s="35">
        <f>SUM(B349:I349)</f>
        <v/>
      </c>
      <c r="K349" s="755">
        <f>C349*23000</f>
        <v/>
      </c>
      <c r="L349" s="839" t="n"/>
      <c r="M349" s="770" t="n"/>
      <c r="N349" s="863">
        <f>F349*21000</f>
        <v/>
      </c>
      <c r="O349" s="757" t="n"/>
      <c r="P349" s="854" t="n"/>
      <c r="Q349" s="758" t="n"/>
      <c r="R349" s="755">
        <f>SUM(K349:Q349)</f>
        <v/>
      </c>
      <c r="S349" s="755">
        <f>J349*3170</f>
        <v/>
      </c>
    </row>
    <row r="350" customFormat="1" s="638">
      <c r="A350" s="354" t="inlineStr">
        <is>
          <t>레몬오일</t>
        </is>
      </c>
      <c r="B350" s="774" t="n"/>
      <c r="C350" s="233" t="n">
        <v>2</v>
      </c>
      <c r="D350" s="234" t="n"/>
      <c r="E350" s="234" t="n"/>
      <c r="F350" s="230" t="n"/>
      <c r="G350" s="345" t="n"/>
      <c r="H350" s="80" t="n"/>
      <c r="I350" s="114" t="n"/>
      <c r="J350" s="35">
        <f>SUM(B350:I350)</f>
        <v/>
      </c>
      <c r="K350" s="755" t="n">
        <v>14000</v>
      </c>
      <c r="L350" s="839" t="n"/>
      <c r="M350" s="770" t="n"/>
      <c r="N350" s="863" t="n">
        <v>0</v>
      </c>
      <c r="O350" s="757" t="n"/>
      <c r="P350" s="854" t="n"/>
      <c r="Q350" s="758" t="n"/>
      <c r="R350" s="755">
        <f>SUM(K350:Q350)</f>
        <v/>
      </c>
      <c r="S350" s="755">
        <f>J350*2300</f>
        <v/>
      </c>
    </row>
    <row r="351" customFormat="1" s="638">
      <c r="A351" s="354" t="inlineStr">
        <is>
          <t>레몬그라스오일</t>
        </is>
      </c>
      <c r="B351" s="774" t="n"/>
      <c r="C351" s="233" t="n"/>
      <c r="D351" s="234" t="n"/>
      <c r="E351" s="234" t="n"/>
      <c r="F351" s="230" t="n"/>
      <c r="G351" s="345" t="n"/>
      <c r="H351" s="80" t="n"/>
      <c r="I351" s="114" t="n"/>
      <c r="J351" s="35">
        <f>SUM(B351:I351)</f>
        <v/>
      </c>
      <c r="K351" s="755" t="n">
        <v>0</v>
      </c>
      <c r="L351" s="839" t="n"/>
      <c r="M351" s="770" t="n"/>
      <c r="N351" s="863" t="n">
        <v>0</v>
      </c>
      <c r="O351" s="757" t="n"/>
      <c r="P351" s="854" t="n"/>
      <c r="Q351" s="758" t="n"/>
      <c r="R351" s="755">
        <f>SUM(K351:Q351)</f>
        <v/>
      </c>
      <c r="S351" s="755">
        <f>J351*1920</f>
        <v/>
      </c>
    </row>
    <row r="352" customFormat="1" s="638">
      <c r="A352" s="356" t="inlineStr">
        <is>
          <t>마조람</t>
        </is>
      </c>
      <c r="B352" s="774" t="n"/>
      <c r="C352" s="218" t="n"/>
      <c r="D352" s="234" t="n"/>
      <c r="E352" s="234" t="n"/>
      <c r="F352" s="191" t="n"/>
      <c r="G352" s="195" t="n"/>
      <c r="H352" s="80" t="n"/>
      <c r="I352" s="114" t="n"/>
      <c r="J352" s="35">
        <f>SUM(B352:I352)</f>
        <v/>
      </c>
      <c r="K352" s="755" t="n">
        <v>0</v>
      </c>
      <c r="L352" s="839" t="n"/>
      <c r="M352" s="770" t="n"/>
      <c r="N352" s="863" t="n">
        <v>0</v>
      </c>
      <c r="O352" s="757" t="n"/>
      <c r="P352" s="854" t="n"/>
      <c r="Q352" s="758" t="n"/>
      <c r="R352" s="755">
        <f>SUM(K352:Q352)</f>
        <v/>
      </c>
      <c r="S352" s="755">
        <f>J352*5710</f>
        <v/>
      </c>
    </row>
    <row r="353" customFormat="1" s="638">
      <c r="A353" s="356" t="inlineStr">
        <is>
          <t>만다린</t>
        </is>
      </c>
      <c r="B353" s="774" t="n"/>
      <c r="C353" s="218" t="n"/>
      <c r="D353" s="234" t="n"/>
      <c r="E353" s="234" t="n"/>
      <c r="F353" s="191" t="n"/>
      <c r="G353" s="195" t="n"/>
      <c r="H353" s="80" t="n"/>
      <c r="I353" s="114" t="n"/>
      <c r="J353" s="35">
        <f>SUM(B353:I353)</f>
        <v/>
      </c>
      <c r="K353" s="755" t="n">
        <v>0</v>
      </c>
      <c r="L353" s="839" t="n"/>
      <c r="M353" s="770" t="n"/>
      <c r="N353" s="863" t="n">
        <v>0</v>
      </c>
      <c r="O353" s="757" t="n"/>
      <c r="P353" s="854" t="n"/>
      <c r="Q353" s="758" t="n"/>
      <c r="R353" s="755">
        <f>SUM(K353:Q353)</f>
        <v/>
      </c>
      <c r="S353" s="755">
        <f>J353*4170</f>
        <v/>
      </c>
    </row>
    <row r="354" customFormat="1" s="638">
      <c r="A354" s="356" t="inlineStr">
        <is>
          <t>머그워트(쑥)</t>
        </is>
      </c>
      <c r="B354" s="774" t="n"/>
      <c r="C354" s="218" t="n">
        <v>1</v>
      </c>
      <c r="D354" s="234" t="n"/>
      <c r="E354" s="234" t="n"/>
      <c r="F354" s="191" t="n"/>
      <c r="G354" s="195" t="n"/>
      <c r="H354" s="80" t="n"/>
      <c r="I354" s="114" t="n"/>
      <c r="J354" s="35">
        <f>SUM(B354:I354)</f>
        <v/>
      </c>
      <c r="K354" s="755" t="n">
        <v>29000</v>
      </c>
      <c r="L354" s="839" t="n"/>
      <c r="M354" s="770" t="n"/>
      <c r="N354" s="863" t="n">
        <v>0</v>
      </c>
      <c r="O354" s="757" t="n"/>
      <c r="P354" s="854" t="n"/>
      <c r="Q354" s="758" t="n"/>
      <c r="R354" s="755">
        <f>SUM(K354:Q354)</f>
        <v/>
      </c>
      <c r="S354" s="755">
        <f>J354*8570</f>
        <v/>
      </c>
    </row>
    <row r="355" customFormat="1" s="638">
      <c r="A355" s="356" t="inlineStr">
        <is>
          <t>머틀</t>
        </is>
      </c>
      <c r="B355" s="774" t="n"/>
      <c r="C355" s="218" t="n"/>
      <c r="D355" s="234" t="n"/>
      <c r="E355" s="234" t="n"/>
      <c r="F355" s="191" t="n"/>
      <c r="G355" s="195" t="n"/>
      <c r="H355" s="80" t="n"/>
      <c r="I355" s="114" t="n"/>
      <c r="J355" s="35">
        <f>SUM(B355:I355)</f>
        <v/>
      </c>
      <c r="K355" s="755" t="n">
        <v>0</v>
      </c>
      <c r="L355" s="839" t="n"/>
      <c r="M355" s="770" t="n"/>
      <c r="N355" s="863" t="n">
        <v>0</v>
      </c>
      <c r="O355" s="757" t="n"/>
      <c r="P355" s="854" t="n"/>
      <c r="Q355" s="758" t="n"/>
      <c r="R355" s="755">
        <f>SUM(K355:Q355)</f>
        <v/>
      </c>
      <c r="S355" s="755">
        <f>J355*2260</f>
        <v/>
      </c>
    </row>
    <row r="356" customFormat="1" s="638">
      <c r="A356" s="354" t="inlineStr">
        <is>
          <t>멜리사오일</t>
        </is>
      </c>
      <c r="B356" s="774" t="n"/>
      <c r="C356" s="233" t="n"/>
      <c r="D356" s="242" t="n"/>
      <c r="E356" s="234" t="n"/>
      <c r="F356" s="230" t="n"/>
      <c r="G356" s="345" t="n"/>
      <c r="H356" s="80" t="n"/>
      <c r="I356" s="114" t="n"/>
      <c r="J356" s="35">
        <f>SUM(B356:I356)</f>
        <v/>
      </c>
      <c r="K356" s="755" t="n">
        <v>0</v>
      </c>
      <c r="L356" s="839" t="n"/>
      <c r="M356" s="770" t="n"/>
      <c r="N356" s="863" t="n">
        <v>0</v>
      </c>
      <c r="O356" s="757" t="n"/>
      <c r="P356" s="854" t="n"/>
      <c r="Q356" s="758" t="n"/>
      <c r="R356" s="755">
        <f>SUM(K356:Q356)</f>
        <v/>
      </c>
      <c r="S356" s="755">
        <f>J356*16916</f>
        <v/>
      </c>
    </row>
    <row r="357" customFormat="1" s="638">
      <c r="A357" s="356" t="inlineStr">
        <is>
          <t>미르오일</t>
        </is>
      </c>
      <c r="B357" s="774" t="n"/>
      <c r="C357" s="218" t="n"/>
      <c r="D357" s="234" t="n"/>
      <c r="E357" s="234" t="n"/>
      <c r="F357" s="191" t="n"/>
      <c r="G357" s="195" t="n"/>
      <c r="H357" s="80" t="n"/>
      <c r="I357" s="114" t="n"/>
      <c r="J357" s="35">
        <f>SUM(B357:I357)</f>
        <v/>
      </c>
      <c r="K357" s="755" t="n">
        <v>0</v>
      </c>
      <c r="L357" s="839" t="n"/>
      <c r="M357" s="770" t="n"/>
      <c r="N357" s="863" t="n">
        <v>0</v>
      </c>
      <c r="O357" s="757" t="n"/>
      <c r="P357" s="854" t="n"/>
      <c r="Q357" s="758" t="n"/>
      <c r="R357" s="755">
        <f>SUM(K357:Q357)</f>
        <v/>
      </c>
      <c r="S357" s="755">
        <f>J357*2470</f>
        <v/>
      </c>
    </row>
    <row r="358" customFormat="1" s="638">
      <c r="A358" s="356" t="inlineStr">
        <is>
          <t>바질</t>
        </is>
      </c>
      <c r="B358" s="774" t="n"/>
      <c r="C358" s="218" t="n"/>
      <c r="D358" s="234" t="n"/>
      <c r="E358" s="234" t="n"/>
      <c r="F358" s="191" t="n"/>
      <c r="G358" s="195" t="n"/>
      <c r="H358" s="80" t="n"/>
      <c r="I358" s="114" t="n"/>
      <c r="J358" s="35">
        <f>SUM(B358:I358)</f>
        <v/>
      </c>
      <c r="K358" s="755" t="n">
        <v>0</v>
      </c>
      <c r="L358" s="839" t="n"/>
      <c r="M358" s="770" t="n"/>
      <c r="N358" s="863" t="n">
        <v>0</v>
      </c>
      <c r="O358" s="757" t="n"/>
      <c r="P358" s="854" t="n"/>
      <c r="Q358" s="758" t="n"/>
      <c r="R358" s="755">
        <f>SUM(K358:Q358)</f>
        <v/>
      </c>
      <c r="S358" s="755">
        <f>J358*2160</f>
        <v/>
      </c>
    </row>
    <row r="359" customFormat="1" s="638">
      <c r="A359" s="356" t="inlineStr">
        <is>
          <t>버치스윗</t>
        </is>
      </c>
      <c r="B359" s="774" t="n"/>
      <c r="C359" s="218" t="n"/>
      <c r="D359" s="234" t="n"/>
      <c r="E359" s="234" t="n"/>
      <c r="F359" s="191" t="n"/>
      <c r="G359" s="195" t="n"/>
      <c r="H359" s="80" t="n"/>
      <c r="I359" s="114" t="n"/>
      <c r="J359" s="35">
        <f>SUM(B359:I359)</f>
        <v/>
      </c>
      <c r="K359" s="755">
        <f>C359*23000</f>
        <v/>
      </c>
      <c r="L359" s="839" t="n"/>
      <c r="M359" s="770" t="n"/>
      <c r="N359" s="863">
        <f>F359*21000</f>
        <v/>
      </c>
      <c r="O359" s="757" t="n"/>
      <c r="P359" s="854" t="n"/>
      <c r="Q359" s="758" t="n"/>
      <c r="R359" s="755">
        <f>SUM(K359:Q359)</f>
        <v/>
      </c>
      <c r="S359" s="755">
        <f>J359*2540</f>
        <v/>
      </c>
    </row>
    <row r="360" customFormat="1" s="638">
      <c r="A360" s="354" t="inlineStr">
        <is>
          <t>베르가모트</t>
        </is>
      </c>
      <c r="B360" s="774" t="n"/>
      <c r="C360" s="233" t="n"/>
      <c r="D360" s="234" t="n"/>
      <c r="E360" s="234" t="n"/>
      <c r="F360" s="230" t="n"/>
      <c r="G360" s="345" t="n"/>
      <c r="H360" s="80" t="n"/>
      <c r="I360" s="114" t="n"/>
      <c r="J360" s="35">
        <f>SUM(B360:I360)</f>
        <v/>
      </c>
      <c r="K360" s="755" t="n">
        <v>0</v>
      </c>
      <c r="L360" s="839" t="n"/>
      <c r="M360" s="770" t="n"/>
      <c r="N360" s="863" t="n">
        <v>0</v>
      </c>
      <c r="O360" s="757" t="n"/>
      <c r="P360" s="854" t="n"/>
      <c r="Q360" s="758" t="n"/>
      <c r="R360" s="755">
        <f>SUM(K360:Q360)</f>
        <v/>
      </c>
      <c r="S360" s="755">
        <f>J360*1690</f>
        <v/>
      </c>
    </row>
    <row r="361" customFormat="1" s="638">
      <c r="A361" s="356" t="inlineStr">
        <is>
          <t>베티버오일</t>
        </is>
      </c>
      <c r="B361" s="774" t="n"/>
      <c r="C361" s="218" t="n"/>
      <c r="D361" s="234" t="n"/>
      <c r="E361" s="234" t="n"/>
      <c r="F361" s="191" t="n"/>
      <c r="G361" s="195" t="n"/>
      <c r="H361" s="80" t="n"/>
      <c r="I361" s="114" t="n"/>
      <c r="J361" s="35">
        <f>SUM(B361:I361)</f>
        <v/>
      </c>
      <c r="K361" s="755" t="n">
        <v>0</v>
      </c>
      <c r="L361" s="839" t="n"/>
      <c r="M361" s="770" t="n"/>
      <c r="N361" s="863" t="n">
        <v>0</v>
      </c>
      <c r="O361" s="757" t="n"/>
      <c r="P361" s="854" t="n"/>
      <c r="Q361" s="758" t="n"/>
      <c r="R361" s="755">
        <f>SUM(K361:Q361)</f>
        <v/>
      </c>
      <c r="S361" s="755">
        <f>J361*10990</f>
        <v/>
      </c>
    </row>
    <row r="362" customFormat="1" s="638">
      <c r="A362" s="356" t="inlineStr">
        <is>
          <t>벤조인</t>
        </is>
      </c>
      <c r="B362" s="774" t="n"/>
      <c r="C362" s="218" t="n"/>
      <c r="D362" s="234" t="n"/>
      <c r="E362" s="234" t="n"/>
      <c r="F362" s="191" t="n"/>
      <c r="G362" s="195" t="n"/>
      <c r="H362" s="80" t="n"/>
      <c r="I362" s="114" t="n"/>
      <c r="J362" s="35">
        <f>SUM(B362:I362)</f>
        <v/>
      </c>
      <c r="K362" s="755" t="n">
        <v>0</v>
      </c>
      <c r="L362" s="839" t="n"/>
      <c r="M362" s="770" t="n"/>
      <c r="N362" s="863" t="n">
        <v>0</v>
      </c>
      <c r="O362" s="757" t="n"/>
      <c r="P362" s="854" t="n"/>
      <c r="Q362" s="758" t="n"/>
      <c r="R362" s="755">
        <f>SUM(K362:Q362)</f>
        <v/>
      </c>
      <c r="S362" s="755">
        <f>J362*2180</f>
        <v/>
      </c>
    </row>
    <row r="363" customFormat="1" s="638">
      <c r="A363" s="356" t="inlineStr">
        <is>
          <t>블렉페퍼오일</t>
        </is>
      </c>
      <c r="B363" s="774" t="n"/>
      <c r="C363" s="218" t="n"/>
      <c r="D363" s="234" t="n"/>
      <c r="E363" s="234" t="n"/>
      <c r="F363" s="191" t="n"/>
      <c r="G363" s="195" t="n"/>
      <c r="H363" s="80" t="n"/>
      <c r="I363" s="114" t="n"/>
      <c r="J363" s="35">
        <f>SUM(B363:I363)</f>
        <v/>
      </c>
      <c r="K363" s="755" t="n">
        <v>0</v>
      </c>
      <c r="L363" s="839" t="n"/>
      <c r="M363" s="770" t="n"/>
      <c r="N363" s="863" t="n">
        <v>0</v>
      </c>
      <c r="O363" s="757" t="n"/>
      <c r="P363" s="854" t="n"/>
      <c r="Q363" s="758" t="n"/>
      <c r="R363" s="755">
        <f>SUM(K363:Q363)</f>
        <v/>
      </c>
      <c r="S363" s="755">
        <f>J363*7800</f>
        <v/>
      </c>
    </row>
    <row r="364" customFormat="1" s="638">
      <c r="A364" s="354" t="inlineStr">
        <is>
          <t>샌달우드오일</t>
        </is>
      </c>
      <c r="B364" s="774" t="n"/>
      <c r="C364" s="233" t="n"/>
      <c r="D364" s="234" t="n"/>
      <c r="E364" s="234" t="n"/>
      <c r="F364" s="230" t="n"/>
      <c r="G364" s="345" t="n"/>
      <c r="H364" s="80" t="n"/>
      <c r="I364" s="114" t="n"/>
      <c r="J364" s="35">
        <f>SUM(B364:I364)</f>
        <v/>
      </c>
      <c r="K364" s="755" t="n">
        <v>0</v>
      </c>
      <c r="L364" s="839" t="n"/>
      <c r="M364" s="770" t="n"/>
      <c r="N364" s="863" t="n">
        <v>0</v>
      </c>
      <c r="O364" s="757" t="n"/>
      <c r="P364" s="854" t="n"/>
      <c r="Q364" s="758" t="n"/>
      <c r="R364" s="755">
        <f>SUM(K364:Q364)</f>
        <v/>
      </c>
      <c r="S364" s="755">
        <f>J364*4225</f>
        <v/>
      </c>
    </row>
    <row r="365" customFormat="1" s="638">
      <c r="A365" s="356" t="inlineStr">
        <is>
          <t>스피아민트</t>
        </is>
      </c>
      <c r="B365" s="774" t="n"/>
      <c r="C365" s="218" t="n"/>
      <c r="D365" s="234" t="n"/>
      <c r="E365" s="234" t="n"/>
      <c r="F365" s="191" t="n"/>
      <c r="G365" s="195" t="n"/>
      <c r="H365" s="80" t="n"/>
      <c r="I365" s="114" t="n"/>
      <c r="J365" s="35">
        <f>SUM(B365:I365)</f>
        <v/>
      </c>
      <c r="K365" s="755" t="n">
        <v>0</v>
      </c>
      <c r="L365" s="839" t="n"/>
      <c r="M365" s="770" t="n"/>
      <c r="N365" s="863" t="n">
        <v>0</v>
      </c>
      <c r="O365" s="757" t="n"/>
      <c r="P365" s="854" t="n"/>
      <c r="Q365" s="758" t="n"/>
      <c r="R365" s="755">
        <f>SUM(K365:Q365)</f>
        <v/>
      </c>
      <c r="S365" s="755">
        <f>J365*2652</f>
        <v/>
      </c>
    </row>
    <row r="366" customFormat="1" s="638">
      <c r="A366" s="356" t="inlineStr">
        <is>
          <t>시더우드</t>
        </is>
      </c>
      <c r="B366" s="774" t="n"/>
      <c r="C366" s="218" t="n"/>
      <c r="D366" s="234" t="n"/>
      <c r="E366" s="234" t="n"/>
      <c r="F366" s="191" t="n"/>
      <c r="G366" s="195" t="n"/>
      <c r="H366" s="80" t="n"/>
      <c r="I366" s="114" t="n"/>
      <c r="J366" s="35">
        <f>SUM(B366:I366)</f>
        <v/>
      </c>
      <c r="K366" s="755" t="n">
        <v>0</v>
      </c>
      <c r="L366" s="839" t="n"/>
      <c r="M366" s="770" t="n"/>
      <c r="N366" s="863" t="n">
        <v>0</v>
      </c>
      <c r="O366" s="757" t="n"/>
      <c r="P366" s="854" t="n"/>
      <c r="Q366" s="758" t="n"/>
      <c r="R366" s="755">
        <f>SUM(K366:Q366)</f>
        <v/>
      </c>
      <c r="S366" s="755">
        <f>J366*2410</f>
        <v/>
      </c>
    </row>
    <row r="367" customFormat="1" s="638">
      <c r="A367" s="356" t="inlineStr">
        <is>
          <t>시트로넬라</t>
        </is>
      </c>
      <c r="B367" s="774" t="n"/>
      <c r="C367" s="218" t="n"/>
      <c r="D367" s="234" t="n"/>
      <c r="E367" s="234" t="n"/>
      <c r="F367" s="191" t="n"/>
      <c r="G367" s="195" t="n"/>
      <c r="H367" s="80" t="n"/>
      <c r="I367" s="114" t="n"/>
      <c r="J367" s="35">
        <f>SUM(B367:I367)</f>
        <v/>
      </c>
      <c r="K367" s="755" t="n">
        <v>0</v>
      </c>
      <c r="L367" s="839" t="n"/>
      <c r="M367" s="770" t="n"/>
      <c r="N367" s="863" t="n">
        <v>0</v>
      </c>
      <c r="O367" s="757" t="n"/>
      <c r="P367" s="854" t="n"/>
      <c r="Q367" s="758" t="n"/>
      <c r="R367" s="755">
        <f>SUM(K367:Q367)</f>
        <v/>
      </c>
      <c r="S367" s="755">
        <f>J367*1820</f>
        <v/>
      </c>
    </row>
    <row r="368" customFormat="1" s="638">
      <c r="A368" s="354" t="inlineStr">
        <is>
          <t>싸이프러스</t>
        </is>
      </c>
      <c r="B368" s="774" t="n"/>
      <c r="C368" s="233" t="n"/>
      <c r="D368" s="234" t="n"/>
      <c r="E368" s="234" t="n"/>
      <c r="F368" s="230" t="n"/>
      <c r="G368" s="345" t="n"/>
      <c r="H368" s="80" t="n"/>
      <c r="I368" s="114" t="n"/>
      <c r="J368" s="35">
        <f>SUM(B368:I368)</f>
        <v/>
      </c>
      <c r="K368" s="755" t="n">
        <v>0</v>
      </c>
      <c r="L368" s="839" t="n"/>
      <c r="M368" s="770" t="n"/>
      <c r="N368" s="863" t="n">
        <v>0</v>
      </c>
      <c r="O368" s="757" t="n"/>
      <c r="P368" s="854" t="n"/>
      <c r="Q368" s="758" t="n"/>
      <c r="R368" s="755">
        <f>SUM(K368:Q368)</f>
        <v/>
      </c>
      <c r="S368" s="755">
        <f>J368*4170</f>
        <v/>
      </c>
    </row>
    <row r="369" customFormat="1" s="638">
      <c r="A369" s="354" t="inlineStr">
        <is>
          <t>아가우드</t>
        </is>
      </c>
      <c r="B369" s="774" t="n"/>
      <c r="C369" s="233" t="n"/>
      <c r="D369" s="234" t="n"/>
      <c r="E369" s="234" t="n"/>
      <c r="F369" s="230" t="n"/>
      <c r="G369" s="345" t="n"/>
      <c r="H369" s="80" t="n"/>
      <c r="I369" s="114" t="n"/>
      <c r="J369" s="35">
        <f>SUM(B369:I369)</f>
        <v/>
      </c>
      <c r="K369" s="755">
        <f>C369*125000</f>
        <v/>
      </c>
      <c r="L369" s="839" t="n"/>
      <c r="M369" s="770" t="n"/>
      <c r="N369" s="863">
        <f>F369*113000</f>
        <v/>
      </c>
      <c r="O369" s="757" t="n"/>
      <c r="P369" s="854" t="n"/>
      <c r="Q369" s="758" t="n"/>
      <c r="R369" s="755">
        <f>SUM(K369:Q369)</f>
        <v/>
      </c>
      <c r="S369" s="755">
        <f>J369*9020</f>
        <v/>
      </c>
    </row>
    <row r="370" customFormat="1" s="638">
      <c r="A370" s="354" t="inlineStr">
        <is>
          <t>안젤리카</t>
        </is>
      </c>
      <c r="B370" s="774" t="n"/>
      <c r="C370" s="233" t="n"/>
      <c r="D370" s="234" t="n"/>
      <c r="E370" s="234" t="n"/>
      <c r="F370" s="230" t="n"/>
      <c r="G370" s="345" t="n"/>
      <c r="H370" s="80" t="n"/>
      <c r="I370" s="114" t="n"/>
      <c r="J370" s="35">
        <f>SUM(B370:I370)</f>
        <v/>
      </c>
      <c r="K370" s="755">
        <f>C370*110000</f>
        <v/>
      </c>
      <c r="L370" s="839" t="n"/>
      <c r="M370" s="770" t="n"/>
      <c r="N370" s="863">
        <f>F370*99000</f>
        <v/>
      </c>
      <c r="O370" s="757" t="n"/>
      <c r="P370" s="854" t="n"/>
      <c r="Q370" s="758" t="n"/>
      <c r="R370" s="755">
        <f>SUM(K370:Q370)</f>
        <v/>
      </c>
      <c r="S370" s="755">
        <f>J370*5930</f>
        <v/>
      </c>
    </row>
    <row r="371" customFormat="1" s="638">
      <c r="A371" s="356" t="inlineStr">
        <is>
          <t>야로우</t>
        </is>
      </c>
      <c r="B371" s="774" t="n"/>
      <c r="C371" s="218" t="n"/>
      <c r="D371" s="234" t="n"/>
      <c r="E371" s="234" t="n"/>
      <c r="F371" s="191" t="n"/>
      <c r="G371" s="195" t="n"/>
      <c r="H371" s="80" t="n"/>
      <c r="I371" s="114" t="n"/>
      <c r="J371" s="35">
        <f>SUM(B371:I371)</f>
        <v/>
      </c>
      <c r="K371" s="755" t="n">
        <v>0</v>
      </c>
      <c r="L371" s="839" t="n"/>
      <c r="M371" s="770" t="n"/>
      <c r="N371" s="863" t="n">
        <v>0</v>
      </c>
      <c r="O371" s="757" t="n"/>
      <c r="P371" s="854" t="n"/>
      <c r="Q371" s="758" t="n"/>
      <c r="R371" s="755">
        <f>SUM(K371:Q371)</f>
        <v/>
      </c>
      <c r="S371" s="755">
        <f>J371*17940</f>
        <v/>
      </c>
    </row>
    <row r="372" customFormat="1" s="638">
      <c r="A372" s="356" t="inlineStr">
        <is>
          <t>오레가노(60%)</t>
        </is>
      </c>
      <c r="B372" s="774" t="n"/>
      <c r="C372" s="218" t="n"/>
      <c r="D372" s="234" t="n"/>
      <c r="E372" s="234" t="n"/>
      <c r="F372" s="191" t="n"/>
      <c r="G372" s="195" t="n"/>
      <c r="H372" s="80" t="n"/>
      <c r="I372" s="114" t="n"/>
      <c r="J372" s="35">
        <f>SUM(B372:I372)</f>
        <v/>
      </c>
      <c r="K372" s="755" t="n">
        <v>0</v>
      </c>
      <c r="L372" s="839" t="n"/>
      <c r="M372" s="770" t="n"/>
      <c r="N372" s="863" t="n">
        <v>0</v>
      </c>
      <c r="O372" s="757" t="n"/>
      <c r="P372" s="854" t="n"/>
      <c r="Q372" s="758" t="n"/>
      <c r="R372" s="755">
        <f>SUM(K372:Q372)</f>
        <v/>
      </c>
      <c r="S372" s="755">
        <f>J372*2110</f>
        <v/>
      </c>
    </row>
    <row r="373" customFormat="1" s="638">
      <c r="A373" s="354" t="inlineStr">
        <is>
          <t>오렌지스윗</t>
        </is>
      </c>
      <c r="B373" s="774" t="n"/>
      <c r="C373" s="233" t="n"/>
      <c r="D373" s="234" t="n"/>
      <c r="E373" s="234" t="n"/>
      <c r="F373" s="230" t="n"/>
      <c r="G373" s="345" t="n"/>
      <c r="H373" s="80" t="n"/>
      <c r="I373" s="114" t="n"/>
      <c r="J373" s="35">
        <f>SUM(B373:I373)</f>
        <v/>
      </c>
      <c r="K373" s="755" t="n">
        <v>0</v>
      </c>
      <c r="L373" s="839" t="n"/>
      <c r="M373" s="770" t="n"/>
      <c r="N373" s="863" t="n">
        <v>0</v>
      </c>
      <c r="O373" s="757" t="n"/>
      <c r="P373" s="854" t="n"/>
      <c r="Q373" s="758" t="n"/>
      <c r="R373" s="755">
        <f>SUM(K373:Q373)</f>
        <v/>
      </c>
      <c r="S373" s="755">
        <f>J373*1728</f>
        <v/>
      </c>
    </row>
    <row r="374" customFormat="1" s="638">
      <c r="A374" s="354" t="inlineStr">
        <is>
          <t>유즈</t>
        </is>
      </c>
      <c r="B374" s="774" t="n"/>
      <c r="C374" s="233" t="n"/>
      <c r="D374" s="234" t="n"/>
      <c r="E374" s="234" t="n"/>
      <c r="F374" s="230" t="n"/>
      <c r="G374" s="345" t="n"/>
      <c r="H374" s="80" t="n"/>
      <c r="I374" s="114" t="n"/>
      <c r="J374" s="35">
        <f>SUM(B374:I374)</f>
        <v/>
      </c>
      <c r="K374" s="755">
        <f>C374*17000</f>
        <v/>
      </c>
      <c r="L374" s="839" t="n"/>
      <c r="M374" s="770" t="n"/>
      <c r="N374" s="863">
        <f>F374*15000</f>
        <v/>
      </c>
      <c r="O374" s="757" t="n"/>
      <c r="P374" s="854" t="n"/>
      <c r="Q374" s="758" t="n"/>
      <c r="R374" s="755">
        <f>SUM(K374:Q374)</f>
        <v/>
      </c>
      <c r="S374" s="755">
        <f>J374*2620</f>
        <v/>
      </c>
    </row>
    <row r="375" customFormat="1" s="638">
      <c r="A375" s="354" t="inlineStr">
        <is>
          <t>유칼리투스(블루마레)</t>
        </is>
      </c>
      <c r="B375" s="774" t="n"/>
      <c r="C375" s="233" t="n"/>
      <c r="D375" s="234" t="n"/>
      <c r="E375" s="234" t="n"/>
      <c r="F375" s="230" t="n"/>
      <c r="G375" s="345" t="n"/>
      <c r="H375" s="80" t="n"/>
      <c r="I375" s="114" t="n"/>
      <c r="J375" s="35">
        <f>SUM(B375:I375)</f>
        <v/>
      </c>
      <c r="K375" s="755" t="n">
        <v>0</v>
      </c>
      <c r="L375" s="839" t="n"/>
      <c r="M375" s="770" t="n"/>
      <c r="N375" s="863" t="n">
        <v>0</v>
      </c>
      <c r="O375" s="757" t="n"/>
      <c r="P375" s="854" t="n"/>
      <c r="Q375" s="758" t="n"/>
      <c r="R375" s="755">
        <f>SUM(K375:Q375)</f>
        <v/>
      </c>
      <c r="S375" s="755">
        <f>J375*1996</f>
        <v/>
      </c>
    </row>
    <row r="376" customFormat="1" s="638">
      <c r="A376" s="354" t="inlineStr">
        <is>
          <t>윈터그린</t>
        </is>
      </c>
      <c r="B376" s="774" t="n"/>
      <c r="C376" s="233" t="n"/>
      <c r="D376" s="234" t="n"/>
      <c r="E376" s="234" t="n"/>
      <c r="F376" s="230" t="n"/>
      <c r="G376" s="345" t="n"/>
      <c r="H376" s="80" t="n"/>
      <c r="I376" s="114" t="n"/>
      <c r="J376" s="35">
        <f>SUM(B376:I376)</f>
        <v/>
      </c>
      <c r="K376" s="755" t="n">
        <v>0</v>
      </c>
      <c r="L376" s="839" t="n"/>
      <c r="M376" s="770" t="n"/>
      <c r="N376" s="863" t="n">
        <v>0</v>
      </c>
      <c r="O376" s="757" t="n"/>
      <c r="P376" s="854" t="n"/>
      <c r="Q376" s="758" t="n"/>
      <c r="R376" s="755">
        <f>SUM(K376:Q376)</f>
        <v/>
      </c>
      <c r="S376" s="755">
        <f>J376*2080</f>
        <v/>
      </c>
    </row>
    <row r="377" customFormat="1" s="638">
      <c r="A377" s="356" t="inlineStr">
        <is>
          <t>일랑일랑</t>
        </is>
      </c>
      <c r="B377" s="774" t="n"/>
      <c r="C377" s="218" t="n"/>
      <c r="D377" s="33" t="n"/>
      <c r="E377" s="33" t="n"/>
      <c r="F377" s="191" t="n"/>
      <c r="G377" s="195" t="n"/>
      <c r="H377" s="80" t="n"/>
      <c r="I377" s="114" t="n"/>
      <c r="J377" s="35">
        <f>SUM(B377:I377)</f>
        <v/>
      </c>
      <c r="K377" s="755" t="n">
        <v>0</v>
      </c>
      <c r="L377" s="839" t="n"/>
      <c r="M377" s="770" t="n"/>
      <c r="N377" s="863" t="n">
        <v>0</v>
      </c>
      <c r="O377" s="757" t="n"/>
      <c r="P377" s="854" t="n"/>
      <c r="Q377" s="758" t="n"/>
      <c r="R377" s="755">
        <f>SUM(K377:Q377)</f>
        <v/>
      </c>
      <c r="S377" s="755">
        <f>J377*5556</f>
        <v/>
      </c>
    </row>
    <row r="378" customFormat="1" s="638">
      <c r="A378" s="356" t="inlineStr">
        <is>
          <t>자스민(sambac)</t>
        </is>
      </c>
      <c r="B378" s="774" t="n"/>
      <c r="C378" s="218" t="n"/>
      <c r="D378" s="234" t="n"/>
      <c r="E378" s="234" t="n"/>
      <c r="F378" s="191" t="n"/>
      <c r="G378" s="195" t="n"/>
      <c r="H378" s="80" t="n"/>
      <c r="I378" s="114" t="n"/>
      <c r="J378" s="35">
        <f>SUM(B378:I378)</f>
        <v/>
      </c>
      <c r="K378" s="755" t="n">
        <v>0</v>
      </c>
      <c r="L378" s="839" t="n"/>
      <c r="M378" s="770" t="n"/>
      <c r="N378" s="863" t="n">
        <v>0</v>
      </c>
      <c r="O378" s="757" t="n"/>
      <c r="P378" s="854" t="n"/>
      <c r="Q378" s="758" t="n"/>
      <c r="R378" s="755">
        <f>SUM(K378:Q378)</f>
        <v/>
      </c>
      <c r="S378" s="755">
        <f>J378*5480</f>
        <v/>
      </c>
    </row>
    <row r="379" customFormat="1" s="638">
      <c r="A379" s="354" t="inlineStr">
        <is>
          <t>제라늄오일</t>
        </is>
      </c>
      <c r="B379" s="774" t="n"/>
      <c r="C379" s="233" t="n"/>
      <c r="D379" s="234" t="n"/>
      <c r="E379" s="234" t="n"/>
      <c r="F379" s="230" t="n"/>
      <c r="G379" s="345" t="n"/>
      <c r="H379" s="80" t="n"/>
      <c r="I379" s="114" t="n"/>
      <c r="J379" s="35">
        <f>SUM(B379:I379)</f>
        <v/>
      </c>
      <c r="K379" s="755" t="n">
        <v>0</v>
      </c>
      <c r="L379" s="839" t="n"/>
      <c r="M379" s="770" t="n"/>
      <c r="N379" s="863" t="n">
        <v>0</v>
      </c>
      <c r="O379" s="757" t="n"/>
      <c r="P379" s="854" t="n"/>
      <c r="Q379" s="758" t="n"/>
      <c r="R379" s="755">
        <f>SUM(K379:Q379)</f>
        <v/>
      </c>
      <c r="S379" s="755">
        <f>J379*6700</f>
        <v/>
      </c>
    </row>
    <row r="380" customFormat="1" s="638">
      <c r="A380" s="356" t="inlineStr">
        <is>
          <t>주니퍼베리(두송열매)</t>
        </is>
      </c>
      <c r="B380" s="774" t="n"/>
      <c r="C380" s="218" t="n"/>
      <c r="D380" s="234" t="n"/>
      <c r="E380" s="234" t="n"/>
      <c r="F380" s="191" t="n"/>
      <c r="G380" s="195" t="n"/>
      <c r="H380" s="80" t="n"/>
      <c r="I380" s="114" t="n"/>
      <c r="J380" s="35">
        <f>SUM(B380:I380)</f>
        <v/>
      </c>
      <c r="K380" s="755" t="n">
        <v>0</v>
      </c>
      <c r="L380" s="839" t="n"/>
      <c r="M380" s="770" t="n"/>
      <c r="N380" s="863" t="n">
        <v>0</v>
      </c>
      <c r="O380" s="757" t="n"/>
      <c r="P380" s="854" t="n"/>
      <c r="Q380" s="758" t="n"/>
      <c r="R380" s="755">
        <f>SUM(K380:Q380)</f>
        <v/>
      </c>
      <c r="S380" s="755">
        <f>J380*4225</f>
        <v/>
      </c>
    </row>
    <row r="381" customFormat="1" s="638">
      <c r="A381" s="356" t="inlineStr">
        <is>
          <t>진저</t>
        </is>
      </c>
      <c r="B381" s="774" t="n"/>
      <c r="C381" s="218" t="n"/>
      <c r="D381" s="234" t="n"/>
      <c r="E381" s="234" t="n"/>
      <c r="F381" s="191" t="n"/>
      <c r="G381" s="195" t="n"/>
      <c r="H381" s="80" t="n"/>
      <c r="I381" s="114" t="n"/>
      <c r="J381" s="35">
        <f>SUM(B381:I381)</f>
        <v/>
      </c>
      <c r="K381" s="755" t="n">
        <v>0</v>
      </c>
      <c r="L381" s="839" t="n"/>
      <c r="M381" s="770" t="n"/>
      <c r="N381" s="863" t="n">
        <v>0</v>
      </c>
      <c r="O381" s="757" t="n"/>
      <c r="P381" s="854" t="n"/>
      <c r="Q381" s="758" t="n"/>
      <c r="R381" s="755">
        <f>SUM(K381:Q381)</f>
        <v/>
      </c>
      <c r="S381" s="755">
        <f>J381*5380</f>
        <v/>
      </c>
    </row>
    <row r="382" customFormat="1" s="638">
      <c r="A382" s="356" t="inlineStr">
        <is>
          <t>카누카</t>
        </is>
      </c>
      <c r="B382" s="774" t="n"/>
      <c r="C382" s="218" t="n"/>
      <c r="D382" s="234" t="n"/>
      <c r="E382" s="234" t="n"/>
      <c r="F382" s="191" t="n"/>
      <c r="G382" s="195" t="n"/>
      <c r="H382" s="80" t="n"/>
      <c r="I382" s="114" t="n"/>
      <c r="J382" s="35">
        <f>SUM(B382:I382)</f>
        <v/>
      </c>
      <c r="K382" s="755">
        <f>C382*23000</f>
        <v/>
      </c>
      <c r="L382" s="839" t="n"/>
      <c r="M382" s="770" t="n"/>
      <c r="N382" s="863">
        <f>F382*21000</f>
        <v/>
      </c>
      <c r="O382" s="757" t="n"/>
      <c r="P382" s="854" t="n"/>
      <c r="Q382" s="758" t="n"/>
      <c r="R382" s="755">
        <f>SUM(K382:Q382)</f>
        <v/>
      </c>
      <c r="S382" s="755">
        <f>J382*3220</f>
        <v/>
      </c>
    </row>
    <row r="383" customFormat="1" s="638">
      <c r="A383" s="356" t="inlineStr">
        <is>
          <t>카다멈</t>
        </is>
      </c>
      <c r="B383" s="774" t="n"/>
      <c r="C383" s="218" t="n"/>
      <c r="D383" s="234" t="n"/>
      <c r="E383" s="234" t="n"/>
      <c r="F383" s="191" t="n"/>
      <c r="G383" s="195" t="n"/>
      <c r="H383" s="80" t="n"/>
      <c r="I383" s="114" t="n"/>
      <c r="J383" s="35">
        <f>SUM(B383:I383)</f>
        <v/>
      </c>
      <c r="K383" s="755">
        <f>C383*29000</f>
        <v/>
      </c>
      <c r="L383" s="839" t="n"/>
      <c r="M383" s="770" t="n"/>
      <c r="N383" s="863">
        <f>F383*26000</f>
        <v/>
      </c>
      <c r="O383" s="757" t="n"/>
      <c r="P383" s="854" t="n"/>
      <c r="Q383" s="758" t="n"/>
      <c r="R383" s="755">
        <f>SUM(K383:Q383)</f>
        <v/>
      </c>
      <c r="S383" s="755">
        <f>J383*5340</f>
        <v/>
      </c>
    </row>
    <row r="384" customFormat="1" s="638">
      <c r="A384" s="356" t="inlineStr">
        <is>
          <t>코파이바발삼</t>
        </is>
      </c>
      <c r="B384" s="774" t="n"/>
      <c r="C384" s="218" t="n"/>
      <c r="D384" s="234" t="n"/>
      <c r="E384" s="234" t="n"/>
      <c r="F384" s="191" t="n"/>
      <c r="G384" s="195" t="n"/>
      <c r="H384" s="80" t="n"/>
      <c r="I384" s="114" t="n"/>
      <c r="J384" s="35">
        <f>SUM(B384:I384)</f>
        <v/>
      </c>
      <c r="K384" s="755" t="n">
        <v>0</v>
      </c>
      <c r="L384" s="839" t="n"/>
      <c r="M384" s="770" t="n"/>
      <c r="N384" s="863" t="n">
        <v>0</v>
      </c>
      <c r="O384" s="757" t="n"/>
      <c r="P384" s="854" t="n"/>
      <c r="Q384" s="758" t="n"/>
      <c r="R384" s="755">
        <f>SUM(K384:Q384)</f>
        <v/>
      </c>
      <c r="S384" s="755">
        <f>J384*5600</f>
        <v/>
      </c>
    </row>
    <row r="385" customFormat="1" s="638">
      <c r="A385" s="356" t="inlineStr">
        <is>
          <t>캐롯시드</t>
        </is>
      </c>
      <c r="B385" s="774" t="n"/>
      <c r="C385" s="218" t="n"/>
      <c r="D385" s="234" t="n"/>
      <c r="E385" s="234" t="n"/>
      <c r="F385" s="191" t="n"/>
      <c r="G385" s="195" t="n"/>
      <c r="H385" s="80" t="n"/>
      <c r="I385" s="114" t="n"/>
      <c r="J385" s="35">
        <f>SUM(B385:I385)</f>
        <v/>
      </c>
      <c r="K385" s="755" t="n">
        <v>0</v>
      </c>
      <c r="L385" s="839" t="n"/>
      <c r="M385" s="770" t="n"/>
      <c r="N385" s="863" t="n">
        <v>0</v>
      </c>
      <c r="O385" s="757" t="n"/>
      <c r="P385" s="854" t="n"/>
      <c r="Q385" s="758" t="n"/>
      <c r="R385" s="755">
        <f>SUM(K385:Q385)</f>
        <v/>
      </c>
      <c r="S385" s="755">
        <f>J385*2570</f>
        <v/>
      </c>
    </row>
    <row r="386" customFormat="1" s="638">
      <c r="A386" s="356" t="inlineStr">
        <is>
          <t>캐시플라워</t>
        </is>
      </c>
      <c r="B386" s="774" t="n"/>
      <c r="C386" s="218" t="n"/>
      <c r="D386" s="234" t="n"/>
      <c r="E386" s="234" t="n"/>
      <c r="F386" s="191" t="n"/>
      <c r="G386" s="195" t="n"/>
      <c r="H386" s="80" t="n"/>
      <c r="I386" s="114" t="n"/>
      <c r="J386" s="35">
        <f>SUM(B386:I386)</f>
        <v/>
      </c>
      <c r="K386" s="755">
        <f>C386*23000</f>
        <v/>
      </c>
      <c r="L386" s="839" t="n"/>
      <c r="M386" s="770" t="n"/>
      <c r="N386" s="863">
        <f>F386*21000</f>
        <v/>
      </c>
      <c r="O386" s="757" t="n"/>
      <c r="P386" s="854" t="n"/>
      <c r="Q386" s="758" t="n"/>
      <c r="R386" s="755">
        <f>SUM(K386:Q386)</f>
        <v/>
      </c>
      <c r="S386" s="755">
        <f>J386*3330</f>
        <v/>
      </c>
    </row>
    <row r="387" customFormat="1" s="638">
      <c r="A387" s="356" t="inlineStr">
        <is>
          <t>캠퍼</t>
        </is>
      </c>
      <c r="B387" s="774" t="n"/>
      <c r="C387" s="218" t="n"/>
      <c r="D387" s="234" t="n"/>
      <c r="E387" s="234" t="n"/>
      <c r="F387" s="191" t="n"/>
      <c r="G387" s="195" t="n"/>
      <c r="H387" s="80" t="n"/>
      <c r="I387" s="114" t="n"/>
      <c r="J387" s="35">
        <f>SUM(B387:I387)</f>
        <v/>
      </c>
      <c r="K387" s="755">
        <f>C387*16000</f>
        <v/>
      </c>
      <c r="L387" s="839" t="n"/>
      <c r="M387" s="770" t="n"/>
      <c r="N387" s="863">
        <f>F387*14000</f>
        <v/>
      </c>
      <c r="O387" s="757" t="n"/>
      <c r="P387" s="854" t="n"/>
      <c r="Q387" s="758" t="n"/>
      <c r="R387" s="755">
        <f>SUM(K387:Q387)</f>
        <v/>
      </c>
      <c r="S387" s="755">
        <f>J387*2090</f>
        <v/>
      </c>
    </row>
    <row r="388" customFormat="1" s="638">
      <c r="A388" s="356" t="inlineStr">
        <is>
          <t>코리안더</t>
        </is>
      </c>
      <c r="B388" s="774" t="n"/>
      <c r="C388" s="218" t="n"/>
      <c r="D388" s="234" t="n"/>
      <c r="E388" s="234" t="n"/>
      <c r="F388" s="191" t="n"/>
      <c r="G388" s="195" t="n"/>
      <c r="H388" s="80" t="n"/>
      <c r="I388" s="114" t="n"/>
      <c r="J388" s="35">
        <f>SUM(B388:I388)</f>
        <v/>
      </c>
      <c r="K388" s="755">
        <f>C388*23000</f>
        <v/>
      </c>
      <c r="L388" s="839" t="n"/>
      <c r="M388" s="770" t="n"/>
      <c r="N388" s="863">
        <f>F388*21000</f>
        <v/>
      </c>
      <c r="O388" s="757" t="n"/>
      <c r="P388" s="854" t="n"/>
      <c r="Q388" s="758" t="n"/>
      <c r="R388" s="755">
        <f>SUM(K388:Q388)</f>
        <v/>
      </c>
      <c r="S388" s="755">
        <f>J388*3170</f>
        <v/>
      </c>
    </row>
    <row r="389" customFormat="1" s="638">
      <c r="A389" s="356" t="inlineStr">
        <is>
          <t>클라리세이지</t>
        </is>
      </c>
      <c r="B389" s="774" t="n"/>
      <c r="C389" s="218" t="n"/>
      <c r="D389" s="234" t="n"/>
      <c r="E389" s="234" t="n"/>
      <c r="F389" s="191" t="n"/>
      <c r="G389" s="195" t="n"/>
      <c r="H389" s="80" t="n"/>
      <c r="I389" s="114" t="n"/>
      <c r="J389" s="35">
        <f>SUM(B389:I389)</f>
        <v/>
      </c>
      <c r="K389" s="755" t="n">
        <v>0</v>
      </c>
      <c r="L389" s="839" t="n"/>
      <c r="M389" s="770" t="n"/>
      <c r="N389" s="863" t="n">
        <v>0</v>
      </c>
      <c r="O389" s="757" t="n"/>
      <c r="P389" s="854" t="n"/>
      <c r="Q389" s="758" t="n"/>
      <c r="R389" s="755">
        <f>SUM(K389:Q389)</f>
        <v/>
      </c>
      <c r="S389" s="755">
        <f>J389*4720</f>
        <v/>
      </c>
    </row>
    <row r="390" customFormat="1" s="638">
      <c r="A390" s="356" t="inlineStr">
        <is>
          <t>클로브리프</t>
        </is>
      </c>
      <c r="B390" s="774" t="n"/>
      <c r="C390" s="218" t="n"/>
      <c r="D390" s="234" t="n"/>
      <c r="E390" s="234" t="n"/>
      <c r="F390" s="191" t="n"/>
      <c r="G390" s="195" t="n"/>
      <c r="H390" s="80" t="n"/>
      <c r="I390" s="114" t="n"/>
      <c r="J390" s="35">
        <f>SUM(B390:I390)</f>
        <v/>
      </c>
      <c r="K390" s="755" t="n">
        <v>0</v>
      </c>
      <c r="L390" s="839" t="n"/>
      <c r="M390" s="770" t="n"/>
      <c r="N390" s="863" t="n">
        <v>0</v>
      </c>
      <c r="O390" s="757" t="n"/>
      <c r="P390" s="854" t="n"/>
      <c r="Q390" s="758" t="n"/>
      <c r="R390" s="755">
        <f>SUM(K390:Q390)</f>
        <v/>
      </c>
      <c r="S390" s="755">
        <f>J390*3048</f>
        <v/>
      </c>
    </row>
    <row r="391" customFormat="1" s="638">
      <c r="A391" s="356" t="inlineStr">
        <is>
          <t>타임</t>
        </is>
      </c>
      <c r="B391" s="774" t="n"/>
      <c r="C391" s="218" t="n"/>
      <c r="D391" s="234" t="n"/>
      <c r="E391" s="234" t="n"/>
      <c r="F391" s="191" t="n"/>
      <c r="G391" s="195" t="n"/>
      <c r="H391" s="80" t="n"/>
      <c r="I391" s="114" t="n"/>
      <c r="J391" s="35">
        <f>SUM(B391:I391)</f>
        <v/>
      </c>
      <c r="K391" s="755" t="n">
        <v>0</v>
      </c>
      <c r="L391" s="839" t="n"/>
      <c r="M391" s="770" t="n"/>
      <c r="N391" s="863" t="n">
        <v>0</v>
      </c>
      <c r="O391" s="757" t="n"/>
      <c r="P391" s="854" t="n"/>
      <c r="Q391" s="758" t="n"/>
      <c r="R391" s="755">
        <f>SUM(K391:Q391)</f>
        <v/>
      </c>
      <c r="S391" s="755">
        <f>J391*2740</f>
        <v/>
      </c>
    </row>
    <row r="392" customFormat="1" s="638">
      <c r="A392" s="356" t="inlineStr">
        <is>
          <t>투메릭</t>
        </is>
      </c>
      <c r="B392" s="774" t="n"/>
      <c r="C392" s="218" t="n"/>
      <c r="D392" s="234" t="n"/>
      <c r="E392" s="234" t="n"/>
      <c r="F392" s="191" t="n"/>
      <c r="G392" s="195" t="n"/>
      <c r="H392" s="80" t="n"/>
      <c r="I392" s="114" t="n"/>
      <c r="J392" s="35">
        <f>SUM(B392:I392)</f>
        <v/>
      </c>
      <c r="K392" s="755">
        <f>C392*16000</f>
        <v/>
      </c>
      <c r="L392" s="839" t="n"/>
      <c r="M392" s="770" t="n"/>
      <c r="N392" s="863">
        <f>F392*14000</f>
        <v/>
      </c>
      <c r="O392" s="757" t="n"/>
      <c r="P392" s="854" t="n"/>
      <c r="Q392" s="758" t="n"/>
      <c r="R392" s="755">
        <f>SUM(K392:Q392)</f>
        <v/>
      </c>
      <c r="S392" s="755">
        <f>J392*2160</f>
        <v/>
      </c>
    </row>
    <row r="393" customFormat="1" s="638">
      <c r="A393" s="354" t="inlineStr">
        <is>
          <t>티트리프리미엄</t>
        </is>
      </c>
      <c r="B393" s="774" t="n"/>
      <c r="C393" s="233" t="n"/>
      <c r="D393" s="234" t="n"/>
      <c r="E393" s="234" t="n"/>
      <c r="F393" s="230" t="n"/>
      <c r="G393" s="345" t="n"/>
      <c r="H393" s="80" t="n"/>
      <c r="I393" s="114" t="n"/>
      <c r="J393" s="35">
        <f>SUM(B393:I393)</f>
        <v/>
      </c>
      <c r="K393" s="755" t="n">
        <v>0</v>
      </c>
      <c r="L393" s="839" t="n"/>
      <c r="M393" s="770" t="n"/>
      <c r="N393" s="863" t="n">
        <v>0</v>
      </c>
      <c r="O393" s="757" t="n"/>
      <c r="P393" s="854" t="n"/>
      <c r="Q393" s="758" t="n"/>
      <c r="R393" s="755">
        <f>SUM(K393:Q393)</f>
        <v/>
      </c>
      <c r="S393" s="755">
        <f>J393*2060</f>
        <v/>
      </c>
    </row>
    <row r="394" customFormat="1" s="638">
      <c r="A394" s="356" t="inlineStr">
        <is>
          <t>파인</t>
        </is>
      </c>
      <c r="B394" s="774" t="n"/>
      <c r="C394" s="218" t="n"/>
      <c r="D394" s="234" t="n"/>
      <c r="E394" s="234" t="n"/>
      <c r="F394" s="191" t="n"/>
      <c r="G394" s="195" t="n"/>
      <c r="H394" s="80" t="n"/>
      <c r="I394" s="114" t="n"/>
      <c r="J394" s="35">
        <f>SUM(B394:I394)</f>
        <v/>
      </c>
      <c r="K394" s="755" t="n">
        <v>0</v>
      </c>
      <c r="L394" s="839" t="n"/>
      <c r="M394" s="770" t="n"/>
      <c r="N394" s="863" t="n">
        <v>0</v>
      </c>
      <c r="O394" s="757" t="n"/>
      <c r="P394" s="854" t="n"/>
      <c r="Q394" s="758" t="n"/>
      <c r="R394" s="755">
        <f>SUM(K394:Q394)</f>
        <v/>
      </c>
      <c r="S394" s="755">
        <f>J394*3730</f>
        <v/>
      </c>
    </row>
    <row r="395" customFormat="1" s="638">
      <c r="A395" s="356" t="inlineStr">
        <is>
          <t>팔마로사</t>
        </is>
      </c>
      <c r="B395" s="774" t="n"/>
      <c r="C395" s="218" t="n"/>
      <c r="D395" s="234" t="n"/>
      <c r="E395" s="234" t="n"/>
      <c r="F395" s="191" t="n"/>
      <c r="G395" s="195" t="n"/>
      <c r="H395" s="80" t="n"/>
      <c r="I395" s="114" t="n"/>
      <c r="J395" s="35">
        <f>SUM(B395:I395)</f>
        <v/>
      </c>
      <c r="K395" s="755" t="n">
        <v>0</v>
      </c>
      <c r="L395" s="839" t="n"/>
      <c r="M395" s="770" t="n"/>
      <c r="N395" s="863" t="n">
        <v>0</v>
      </c>
      <c r="O395" s="757" t="n"/>
      <c r="P395" s="854" t="n"/>
      <c r="Q395" s="758" t="n"/>
      <c r="R395" s="755">
        <f>SUM(K395:Q395)</f>
        <v/>
      </c>
      <c r="S395" s="755">
        <f>J395*2360</f>
        <v/>
      </c>
    </row>
    <row r="396" customFormat="1" s="638">
      <c r="A396" s="354" t="inlineStr">
        <is>
          <t>페퍼민트</t>
        </is>
      </c>
      <c r="B396" s="774" t="n"/>
      <c r="C396" s="233" t="n">
        <v>1</v>
      </c>
      <c r="D396" s="234" t="n"/>
      <c r="E396" s="234" t="n"/>
      <c r="F396" s="230" t="n"/>
      <c r="G396" s="345" t="n"/>
      <c r="H396" s="80" t="n"/>
      <c r="I396" s="114" t="n"/>
      <c r="J396" s="35">
        <f>SUM(B396:I396)</f>
        <v/>
      </c>
      <c r="K396" s="755" t="n">
        <v>10000</v>
      </c>
      <c r="L396" s="839" t="n"/>
      <c r="M396" s="770" t="n"/>
      <c r="N396" s="863" t="n">
        <v>0</v>
      </c>
      <c r="O396" s="757" t="n"/>
      <c r="P396" s="854" t="n"/>
      <c r="Q396" s="758" t="n"/>
      <c r="R396" s="755">
        <f>SUM(K396:Q396)</f>
        <v/>
      </c>
      <c r="S396" s="755">
        <f>J396*1790</f>
        <v/>
      </c>
    </row>
    <row r="397" customFormat="1" s="638">
      <c r="A397" s="356" t="inlineStr">
        <is>
          <t>페티그레인</t>
        </is>
      </c>
      <c r="B397" s="774" t="n"/>
      <c r="C397" s="218" t="n"/>
      <c r="D397" s="234" t="n"/>
      <c r="E397" s="234" t="n"/>
      <c r="F397" s="191" t="n"/>
      <c r="G397" s="195" t="n"/>
      <c r="H397" s="80" t="n"/>
      <c r="I397" s="114" t="n"/>
      <c r="J397" s="35">
        <f>SUM(B397:I397)</f>
        <v/>
      </c>
      <c r="K397" s="755" t="n">
        <v>0</v>
      </c>
      <c r="L397" s="839" t="n"/>
      <c r="M397" s="770" t="n"/>
      <c r="N397" s="863" t="n">
        <v>0</v>
      </c>
      <c r="O397" s="757" t="n"/>
      <c r="P397" s="854" t="n"/>
      <c r="Q397" s="758" t="n"/>
      <c r="R397" s="755">
        <f>SUM(K397:Q397)</f>
        <v/>
      </c>
      <c r="S397" s="755">
        <f>J397*4060</f>
        <v/>
      </c>
    </row>
    <row r="398" customFormat="1" s="638">
      <c r="A398" s="356" t="inlineStr">
        <is>
          <t>패츌리</t>
        </is>
      </c>
      <c r="B398" s="774" t="n"/>
      <c r="C398" s="218" t="n"/>
      <c r="D398" s="234" t="n"/>
      <c r="E398" s="234" t="n"/>
      <c r="F398" s="191" t="n"/>
      <c r="G398" s="195" t="n"/>
      <c r="H398" s="80" t="n"/>
      <c r="I398" s="114" t="n"/>
      <c r="J398" s="35">
        <f>SUM(B398:I398)</f>
        <v/>
      </c>
      <c r="K398" s="755" t="n">
        <v>0</v>
      </c>
      <c r="L398" s="839" t="n"/>
      <c r="M398" s="770" t="n"/>
      <c r="N398" s="863" t="n">
        <v>0</v>
      </c>
      <c r="O398" s="757" t="n"/>
      <c r="P398" s="854" t="n"/>
      <c r="Q398" s="758" t="n"/>
      <c r="R398" s="755">
        <f>SUM(K398:Q398)</f>
        <v/>
      </c>
      <c r="S398" s="755">
        <f>J398*7690</f>
        <v/>
      </c>
    </row>
    <row r="399" customFormat="1" s="638">
      <c r="A399" s="356" t="inlineStr">
        <is>
          <t>펜넬</t>
        </is>
      </c>
      <c r="B399" s="774" t="n"/>
      <c r="C399" s="218" t="n"/>
      <c r="D399" s="234" t="n"/>
      <c r="E399" s="234" t="n"/>
      <c r="F399" s="191" t="n"/>
      <c r="G399" s="195" t="n"/>
      <c r="H399" s="80" t="n"/>
      <c r="I399" s="114" t="n"/>
      <c r="J399" s="35">
        <f>SUM(B399:I399)</f>
        <v/>
      </c>
      <c r="K399" s="755" t="n">
        <v>0</v>
      </c>
      <c r="L399" s="839" t="n"/>
      <c r="M399" s="770" t="n"/>
      <c r="N399" s="863" t="n">
        <v>0</v>
      </c>
      <c r="O399" s="757" t="n"/>
      <c r="P399" s="854" t="n"/>
      <c r="Q399" s="758" t="n"/>
      <c r="R399" s="755">
        <f>SUM(K399:Q399)</f>
        <v/>
      </c>
      <c r="S399" s="755">
        <f>J399*3730</f>
        <v/>
      </c>
    </row>
    <row r="400" customFormat="1" s="638">
      <c r="A400" s="356" t="inlineStr">
        <is>
          <t>프랑킨센스(유향나무)</t>
        </is>
      </c>
      <c r="B400" s="774" t="n"/>
      <c r="C400" s="233" t="n">
        <v>1</v>
      </c>
      <c r="D400" s="234" t="n"/>
      <c r="E400" s="234" t="n"/>
      <c r="F400" s="230" t="n"/>
      <c r="G400" s="345" t="n"/>
      <c r="H400" s="80" t="n"/>
      <c r="I400" s="114" t="n"/>
      <c r="J400" s="35">
        <f>SUM(B400:I400)</f>
        <v/>
      </c>
      <c r="K400" s="755" t="n">
        <v>24000</v>
      </c>
      <c r="L400" s="839" t="n"/>
      <c r="M400" s="770" t="n"/>
      <c r="N400" s="863" t="n">
        <v>0</v>
      </c>
      <c r="O400" s="757" t="n"/>
      <c r="P400" s="854" t="n"/>
      <c r="Q400" s="758" t="n"/>
      <c r="R400" s="755">
        <f>SUM(K400:Q400)</f>
        <v/>
      </c>
      <c r="S400" s="755">
        <f>J400*5160</f>
        <v/>
      </c>
    </row>
    <row r="401" customFormat="1" s="638">
      <c r="A401" s="356" t="inlineStr">
        <is>
          <t>헬리크리섬</t>
        </is>
      </c>
      <c r="B401" s="774" t="n"/>
      <c r="C401" s="233" t="n"/>
      <c r="D401" s="234" t="n"/>
      <c r="E401" s="234" t="n"/>
      <c r="F401" s="230" t="n"/>
      <c r="G401" s="345" t="n"/>
      <c r="H401" s="80" t="n"/>
      <c r="I401" s="114" t="n"/>
      <c r="J401" s="35">
        <f>SUM(B401:I401)</f>
        <v/>
      </c>
      <c r="K401" s="755">
        <f>C401*125000</f>
        <v/>
      </c>
      <c r="L401" s="839" t="n"/>
      <c r="M401" s="770" t="n"/>
      <c r="N401" s="863">
        <f>F401*113000</f>
        <v/>
      </c>
      <c r="O401" s="757" t="n"/>
      <c r="P401" s="854" t="n"/>
      <c r="Q401" s="758" t="n"/>
      <c r="R401" s="755">
        <f>SUM(K401:Q401)</f>
        <v/>
      </c>
      <c r="S401" s="755">
        <f>J401*3640</f>
        <v/>
      </c>
    </row>
    <row r="402" customFormat="1" s="638">
      <c r="A402" s="356" t="inlineStr">
        <is>
          <t>히솝</t>
        </is>
      </c>
      <c r="B402" s="774" t="n"/>
      <c r="C402" s="233" t="n"/>
      <c r="D402" s="234" t="n"/>
      <c r="E402" s="234" t="n"/>
      <c r="F402" s="230" t="n"/>
      <c r="G402" s="345" t="n"/>
      <c r="H402" s="80" t="n"/>
      <c r="I402" s="114" t="n"/>
      <c r="J402" s="35">
        <f>SUM(B402:I402)</f>
        <v/>
      </c>
      <c r="K402" s="755">
        <f>C402*23000</f>
        <v/>
      </c>
      <c r="L402" s="839" t="n"/>
      <c r="M402" s="770" t="n"/>
      <c r="N402" s="863">
        <f>F402*21000</f>
        <v/>
      </c>
      <c r="O402" s="757" t="n"/>
      <c r="P402" s="854" t="n"/>
      <c r="Q402" s="758" t="n"/>
      <c r="R402" s="755">
        <f>SUM(K402:Q402)</f>
        <v/>
      </c>
      <c r="S402" s="755">
        <f>J402*3220</f>
        <v/>
      </c>
    </row>
    <row r="403" customFormat="1" s="638">
      <c r="A403" s="356" t="inlineStr">
        <is>
          <t>히노키</t>
        </is>
      </c>
      <c r="B403" s="774" t="n"/>
      <c r="C403" s="35" t="n"/>
      <c r="D403" s="234" t="n"/>
      <c r="E403" s="234" t="n"/>
      <c r="F403" s="191" t="n"/>
      <c r="G403" s="195" t="n"/>
      <c r="H403" s="80" t="n"/>
      <c r="I403" s="114" t="n"/>
      <c r="J403" s="35">
        <f>SUM(B403:I403)</f>
        <v/>
      </c>
      <c r="K403" s="755" t="n">
        <v>0</v>
      </c>
      <c r="L403" s="839" t="n"/>
      <c r="M403" s="770" t="n"/>
      <c r="N403" s="863" t="n">
        <v>0</v>
      </c>
      <c r="O403" s="757" t="n"/>
      <c r="P403" s="854" t="n"/>
      <c r="Q403" s="758" t="n"/>
      <c r="R403" s="755">
        <f>SUM(K403:Q403)</f>
        <v/>
      </c>
      <c r="S403" s="755">
        <f>J403*8130</f>
        <v/>
      </c>
    </row>
    <row r="404" customFormat="1" s="638">
      <c r="A404" s="356" t="inlineStr">
        <is>
          <t xml:space="preserve"> 발삼전나무오가닉</t>
        </is>
      </c>
      <c r="B404" s="774" t="n"/>
      <c r="C404" s="35" t="n"/>
      <c r="D404" s="234" t="n"/>
      <c r="E404" s="234" t="n"/>
      <c r="F404" s="191" t="n"/>
      <c r="G404" s="195" t="n"/>
      <c r="H404" s="80" t="n"/>
      <c r="I404" s="114" t="n"/>
      <c r="J404" s="35">
        <f>SUM(B404:I404)</f>
        <v/>
      </c>
      <c r="K404" s="755" t="n">
        <v>0</v>
      </c>
      <c r="L404" s="839" t="n"/>
      <c r="M404" s="770" t="n"/>
      <c r="N404" s="863" t="n">
        <v>0</v>
      </c>
      <c r="O404" s="757" t="n"/>
      <c r="P404" s="854" t="n"/>
      <c r="Q404" s="758" t="n"/>
      <c r="R404" s="755">
        <f>SUM(K404:Q404)</f>
        <v/>
      </c>
      <c r="S404" s="755">
        <f>J404*2960</f>
        <v/>
      </c>
    </row>
    <row r="405" customFormat="1" s="638">
      <c r="A405" s="356" t="inlineStr">
        <is>
          <t>잭파인에스엠오가닉</t>
        </is>
      </c>
      <c r="B405" s="774" t="n"/>
      <c r="C405" s="35" t="n"/>
      <c r="D405" s="234" t="n"/>
      <c r="E405" s="234" t="n"/>
      <c r="F405" s="191" t="n"/>
      <c r="G405" s="195" t="n"/>
      <c r="H405" s="80" t="n"/>
      <c r="I405" s="114" t="n"/>
      <c r="J405" s="35">
        <f>SUM(B405:I405)</f>
        <v/>
      </c>
      <c r="K405" s="755" t="n">
        <v>0</v>
      </c>
      <c r="L405" s="839" t="n"/>
      <c r="M405" s="770" t="n"/>
      <c r="N405" s="863" t="n">
        <v>0</v>
      </c>
      <c r="O405" s="757" t="n"/>
      <c r="P405" s="854" t="n"/>
      <c r="Q405" s="758" t="n"/>
      <c r="R405" s="755">
        <f>SUM(K405:Q405)</f>
        <v/>
      </c>
      <c r="S405" s="755">
        <f>J405*4270</f>
        <v/>
      </c>
    </row>
    <row r="406" customFormat="1" s="638">
      <c r="A406" s="356" t="inlineStr">
        <is>
          <t>(W)가문비나무오가닉</t>
        </is>
      </c>
      <c r="B406" s="774" t="n"/>
      <c r="C406" s="35" t="n"/>
      <c r="D406" s="234" t="n"/>
      <c r="E406" s="234" t="n"/>
      <c r="F406" s="191" t="n"/>
      <c r="G406" s="195" t="n"/>
      <c r="H406" s="80" t="n"/>
      <c r="I406" s="114" t="n"/>
      <c r="J406" s="35">
        <f>SUM(B406:I406)</f>
        <v/>
      </c>
      <c r="K406" s="755" t="n">
        <v>0</v>
      </c>
      <c r="L406" s="839" t="n"/>
      <c r="M406" s="770" t="n"/>
      <c r="N406" s="863" t="n">
        <v>0</v>
      </c>
      <c r="O406" s="757" t="n"/>
      <c r="P406" s="854" t="n"/>
      <c r="Q406" s="758" t="n"/>
      <c r="R406" s="755">
        <f>SUM(K406:Q406)</f>
        <v/>
      </c>
      <c r="S406" s="755">
        <f>J406*5610</f>
        <v/>
      </c>
    </row>
    <row r="407" customFormat="1" s="638">
      <c r="A407" s="356" t="inlineStr">
        <is>
          <t>타마락낙엽송오가닉</t>
        </is>
      </c>
      <c r="B407" s="774" t="n"/>
      <c r="C407" s="35" t="n"/>
      <c r="D407" s="234" t="n"/>
      <c r="E407" s="234" t="n"/>
      <c r="F407" s="191" t="n"/>
      <c r="G407" s="195" t="n"/>
      <c r="H407" s="80" t="n"/>
      <c r="I407" s="114" t="n"/>
      <c r="J407" s="35">
        <f>SUM(B407:I407)</f>
        <v/>
      </c>
      <c r="K407" s="755" t="n">
        <v>0</v>
      </c>
      <c r="L407" s="839" t="n"/>
      <c r="M407" s="770" t="n"/>
      <c r="N407" s="863" t="n">
        <v>0</v>
      </c>
      <c r="O407" s="757" t="n"/>
      <c r="P407" s="854" t="n"/>
      <c r="Q407" s="758" t="n"/>
      <c r="R407" s="755">
        <f>SUM(K407:Q407)</f>
        <v/>
      </c>
      <c r="S407" s="755">
        <f>J407*7310</f>
        <v/>
      </c>
    </row>
    <row r="408" customFormat="1" s="638">
      <c r="A408" s="356" t="inlineStr">
        <is>
          <t>동백삼나무잎</t>
        </is>
      </c>
      <c r="B408" s="774" t="n"/>
      <c r="C408" s="35" t="n"/>
      <c r="D408" s="234" t="n"/>
      <c r="E408" s="234" t="n"/>
      <c r="F408" s="191" t="n"/>
      <c r="G408" s="195" t="n"/>
      <c r="H408" s="80" t="n"/>
      <c r="I408" s="114" t="n"/>
      <c r="J408" s="35">
        <f>SUM(B408:I408)</f>
        <v/>
      </c>
      <c r="K408" s="755" t="n">
        <v>0</v>
      </c>
      <c r="L408" s="839" t="n"/>
      <c r="M408" s="770" t="n"/>
      <c r="N408" s="863" t="n">
        <v>0</v>
      </c>
      <c r="O408" s="757" t="n"/>
      <c r="P408" s="854" t="n"/>
      <c r="Q408" s="758" t="n"/>
      <c r="R408" s="755">
        <f>SUM(K408:Q408)</f>
        <v/>
      </c>
      <c r="S408" s="755">
        <f>J408*3980</f>
        <v/>
      </c>
    </row>
    <row r="409" customFormat="1" s="638">
      <c r="A409" s="356" t="inlineStr">
        <is>
          <t>노르웨이소나무</t>
        </is>
      </c>
      <c r="B409" s="775" t="n"/>
      <c r="C409" s="35" t="n"/>
      <c r="D409" s="234" t="n"/>
      <c r="E409" s="234" t="n"/>
      <c r="F409" s="191" t="n"/>
      <c r="G409" s="195" t="n"/>
      <c r="H409" s="80" t="n"/>
      <c r="I409" s="114" t="n"/>
      <c r="J409" s="35">
        <f>SUM(B409:I409)</f>
        <v/>
      </c>
      <c r="K409" s="755" t="n">
        <v>0</v>
      </c>
      <c r="L409" s="839" t="n"/>
      <c r="M409" s="770" t="n"/>
      <c r="N409" s="863" t="n">
        <v>0</v>
      </c>
      <c r="O409" s="757" t="n"/>
      <c r="P409" s="854" t="n"/>
      <c r="Q409" s="758" t="n"/>
      <c r="R409" s="755">
        <f>SUM(K409:Q409)</f>
        <v/>
      </c>
      <c r="S409" s="755">
        <f>J409*3920</f>
        <v/>
      </c>
    </row>
    <row r="410" customFormat="1" s="638">
      <c r="A410" s="356" t="n"/>
      <c r="B410" s="417" t="n"/>
      <c r="C410" s="35" t="n"/>
      <c r="D410" s="234" t="n"/>
      <c r="E410" s="234" t="n"/>
      <c r="F410" s="191" t="n"/>
      <c r="G410" s="195" t="n"/>
      <c r="H410" s="80" t="n"/>
      <c r="I410" s="114" t="n"/>
      <c r="J410" s="35" t="n"/>
      <c r="K410" s="755" t="n"/>
      <c r="L410" s="839" t="n"/>
      <c r="M410" s="770" t="n"/>
      <c r="N410" s="863" t="n"/>
      <c r="O410" s="757" t="n"/>
      <c r="P410" s="854" t="n"/>
      <c r="Q410" s="758" t="n"/>
      <c r="R410" s="755" t="n"/>
      <c r="S410" s="755" t="n"/>
    </row>
    <row r="411" customFormat="1" s="74">
      <c r="A411" s="504" t="inlineStr">
        <is>
          <t>10ml 합계</t>
        </is>
      </c>
      <c r="B411" s="503" t="n"/>
      <c r="C411" s="450">
        <f>SUM(C340:C410)</f>
        <v/>
      </c>
      <c r="D411" s="450">
        <f>SUM(D340:D410)</f>
        <v/>
      </c>
      <c r="E411" s="450">
        <f>SUM(E340:E410)</f>
        <v/>
      </c>
      <c r="F411" s="450">
        <f>SUM(F340:F410)</f>
        <v/>
      </c>
      <c r="G411" s="450">
        <f>SUM(G340:G410)</f>
        <v/>
      </c>
      <c r="H411" s="450">
        <f>SUM(H340:H410)</f>
        <v/>
      </c>
      <c r="I411" s="450">
        <f>SUM(I340:I410)</f>
        <v/>
      </c>
      <c r="J411" s="450">
        <f>SUM(J340:J410)</f>
        <v/>
      </c>
      <c r="K411" s="886">
        <f>SUM(K337:K410)</f>
        <v/>
      </c>
      <c r="L411" s="886">
        <f>SUM(L337:L410)</f>
        <v/>
      </c>
      <c r="M411" s="886">
        <f>SUM(M337:M410)</f>
        <v/>
      </c>
      <c r="N411" s="887">
        <f>SUM(N337:N410)</f>
        <v/>
      </c>
      <c r="O411" s="886">
        <f>SUM(O337:O410)</f>
        <v/>
      </c>
      <c r="P411" s="886">
        <f>SUM(P337:P410)</f>
        <v/>
      </c>
      <c r="Q411" s="886">
        <f>SUM(Q337:Q410)</f>
        <v/>
      </c>
      <c r="R411" s="886">
        <f>SUM(K411:Q411)</f>
        <v/>
      </c>
      <c r="S411" s="886">
        <f>SUM(S337:S410)</f>
        <v/>
      </c>
    </row>
    <row r="412" customFormat="1" s="245">
      <c r="A412" s="570" t="inlineStr">
        <is>
          <t>갈바넘</t>
        </is>
      </c>
      <c r="B412" s="571" t="n"/>
      <c r="C412" s="237" t="n"/>
      <c r="D412" s="237" t="n"/>
      <c r="E412" s="237" t="n"/>
      <c r="F412" s="237" t="n"/>
      <c r="G412" s="237" t="n"/>
      <c r="H412" s="237" t="n"/>
      <c r="I412" s="237" t="n"/>
      <c r="J412" s="35">
        <f>SUM(B412:I412)</f>
        <v/>
      </c>
      <c r="K412" s="810">
        <f>C412*480000</f>
        <v/>
      </c>
      <c r="L412" s="810" t="n"/>
      <c r="M412" s="810" t="n"/>
      <c r="N412" s="813">
        <f>F412*432000</f>
        <v/>
      </c>
      <c r="O412" s="810" t="n"/>
      <c r="P412" s="810" t="n"/>
      <c r="Q412" s="810" t="n"/>
      <c r="R412" s="755">
        <f>SUM(K412:Q412)</f>
        <v/>
      </c>
      <c r="S412" s="810">
        <f>J412*40100</f>
        <v/>
      </c>
    </row>
    <row r="413" ht="16.5" customFormat="1" customHeight="1" s="638">
      <c r="A413" s="356" t="inlineStr">
        <is>
          <t>그레이프루잇</t>
        </is>
      </c>
      <c r="B413" s="547" t="inlineStr">
        <is>
          <t>P0000BID  /  P0000BKF    /  P0000BME   /  P0000BMD   /   P0000BMC</t>
        </is>
      </c>
      <c r="C413" s="237" t="n"/>
      <c r="D413" s="234" t="n"/>
      <c r="E413" s="234" t="n"/>
      <c r="F413" s="230" t="n"/>
      <c r="G413" s="345" t="n"/>
      <c r="H413" s="80" t="n"/>
      <c r="I413" s="114" t="n"/>
      <c r="J413" s="35">
        <f>SUM(B413:I413)</f>
        <v/>
      </c>
      <c r="K413" s="755" t="n">
        <v>0</v>
      </c>
      <c r="L413" s="839" t="n"/>
      <c r="M413" s="770" t="n"/>
      <c r="N413" s="863" t="n">
        <v>0</v>
      </c>
      <c r="O413" s="757" t="n"/>
      <c r="P413" s="854" t="n"/>
      <c r="Q413" s="758" t="n"/>
      <c r="R413" s="755">
        <f>SUM(K413:Q413)</f>
        <v/>
      </c>
      <c r="S413" s="755">
        <f>J413*18000</f>
        <v/>
      </c>
    </row>
    <row r="414" ht="16.5" customFormat="1" customHeight="1" s="638">
      <c r="A414" s="356" t="inlineStr">
        <is>
          <t>넛맥</t>
        </is>
      </c>
      <c r="B414" s="774" t="n"/>
      <c r="C414" s="237" t="n"/>
      <c r="D414" s="234" t="n"/>
      <c r="E414" s="234" t="n"/>
      <c r="F414" s="230" t="n"/>
      <c r="G414" s="345" t="n"/>
      <c r="H414" s="80" t="n"/>
      <c r="I414" s="114" t="n"/>
      <c r="J414" s="35">
        <f>SUM(B414:I414)</f>
        <v/>
      </c>
      <c r="K414" s="755">
        <f>C414*136000</f>
        <v/>
      </c>
      <c r="L414" s="839" t="n"/>
      <c r="M414" s="770" t="n"/>
      <c r="N414" s="863">
        <f>F414*122000</f>
        <v/>
      </c>
      <c r="O414" s="757" t="n"/>
      <c r="P414" s="854" t="n"/>
      <c r="Q414" s="758" t="n"/>
      <c r="R414" s="755">
        <f>SUM(K414:Q414)</f>
        <v/>
      </c>
      <c r="S414" s="755">
        <f>J414*16200</f>
        <v/>
      </c>
    </row>
    <row r="415" customFormat="1" s="638">
      <c r="A415" s="356" t="inlineStr">
        <is>
          <t xml:space="preserve">네롤리 </t>
        </is>
      </c>
      <c r="B415" s="774" t="n"/>
      <c r="C415" s="237" t="n"/>
      <c r="D415" s="234" t="n"/>
      <c r="E415" s="234" t="n"/>
      <c r="F415" s="230" t="n"/>
      <c r="G415" s="345" t="n"/>
      <c r="H415" s="80" t="n"/>
      <c r="I415" s="114" t="n"/>
      <c r="J415" s="35">
        <f>SUM(B415:I415)</f>
        <v/>
      </c>
      <c r="K415" s="755" t="n">
        <v>0</v>
      </c>
      <c r="L415" s="839" t="n"/>
      <c r="M415" s="770" t="n"/>
      <c r="N415" s="863" t="n">
        <v>0</v>
      </c>
      <c r="O415" s="757" t="n"/>
      <c r="P415" s="854" t="n"/>
      <c r="Q415" s="758" t="n"/>
      <c r="R415" s="755">
        <f>SUM(K415:Q415)</f>
        <v/>
      </c>
      <c r="S415" s="755">
        <f>J415*18200</f>
        <v/>
      </c>
    </row>
    <row r="416" customFormat="1" s="638">
      <c r="A416" s="356" t="inlineStr">
        <is>
          <t>딜시드</t>
        </is>
      </c>
      <c r="B416" s="774" t="n"/>
      <c r="C416" s="237" t="n"/>
      <c r="D416" s="234" t="n"/>
      <c r="E416" s="234" t="n"/>
      <c r="F416" s="230" t="n"/>
      <c r="G416" s="345" t="n"/>
      <c r="H416" s="80" t="n"/>
      <c r="I416" s="114" t="n"/>
      <c r="J416" s="35">
        <f>SUM(B416:I416)</f>
        <v/>
      </c>
      <c r="K416" s="755">
        <f>C416*128000</f>
        <v/>
      </c>
      <c r="L416" s="839" t="n"/>
      <c r="M416" s="770" t="n"/>
      <c r="N416" s="863">
        <f>F416*115000</f>
        <v/>
      </c>
      <c r="O416" s="757" t="n"/>
      <c r="P416" s="854" t="n"/>
      <c r="Q416" s="758" t="n"/>
      <c r="R416" s="755">
        <f>SUM(K416:Q416)</f>
        <v/>
      </c>
      <c r="S416" s="755">
        <f>J416*13300</f>
        <v/>
      </c>
    </row>
    <row r="417" customFormat="1" s="638">
      <c r="A417" s="354" t="inlineStr">
        <is>
          <t>라벤다(불가리아)</t>
        </is>
      </c>
      <c r="B417" s="774" t="n"/>
      <c r="C417" s="237" t="n"/>
      <c r="D417" s="242" t="n"/>
      <c r="E417" s="234" t="n"/>
      <c r="F417" s="230" t="n"/>
      <c r="G417" s="345" t="n"/>
      <c r="H417" s="80" t="n"/>
      <c r="I417" s="114" t="n"/>
      <c r="J417" s="35">
        <f>SUM(B417:I417)</f>
        <v/>
      </c>
      <c r="K417" s="755" t="n">
        <v>0</v>
      </c>
      <c r="L417" s="839" t="n"/>
      <c r="M417" s="770" t="n"/>
      <c r="N417" s="863" t="n">
        <v>0</v>
      </c>
      <c r="O417" s="757" t="n"/>
      <c r="P417" s="854" t="n"/>
      <c r="Q417" s="758" t="n"/>
      <c r="R417" s="755">
        <f>SUM(K417:Q417)</f>
        <v/>
      </c>
      <c r="S417" s="755">
        <f>J417*13900</f>
        <v/>
      </c>
    </row>
    <row r="418" customFormat="1" s="638">
      <c r="A418" s="354" t="inlineStr">
        <is>
          <t>라임</t>
        </is>
      </c>
      <c r="B418" s="774" t="n"/>
      <c r="C418" s="237" t="n"/>
      <c r="D418" s="234" t="n"/>
      <c r="E418" s="234" t="n"/>
      <c r="F418" s="230" t="n"/>
      <c r="G418" s="345" t="n"/>
      <c r="H418" s="80" t="n"/>
      <c r="I418" s="114" t="n"/>
      <c r="J418" s="35">
        <f>SUM(B418:I418)</f>
        <v/>
      </c>
      <c r="K418" s="755" t="n">
        <v>0</v>
      </c>
      <c r="L418" s="839" t="n"/>
      <c r="M418" s="770" t="n"/>
      <c r="N418" s="863" t="n">
        <v>0</v>
      </c>
      <c r="O418" s="757" t="n"/>
      <c r="P418" s="854" t="n"/>
      <c r="Q418" s="758" t="n"/>
      <c r="R418" s="755">
        <f>SUM(K418:Q418)</f>
        <v/>
      </c>
      <c r="S418" s="755">
        <f>J418*16900</f>
        <v/>
      </c>
    </row>
    <row r="419" customFormat="1" s="638">
      <c r="A419" s="355" t="inlineStr">
        <is>
          <t>로즈마리오일</t>
        </is>
      </c>
      <c r="B419" s="774" t="n"/>
      <c r="C419" s="237" t="n"/>
      <c r="D419" s="242" t="n"/>
      <c r="E419" s="234" t="n"/>
      <c r="F419" s="230" t="n"/>
      <c r="G419" s="345" t="n"/>
      <c r="H419" s="80" t="n"/>
      <c r="I419" s="114" t="n"/>
      <c r="J419" s="35">
        <f>SUM(B419:I419)</f>
        <v/>
      </c>
      <c r="K419" s="755">
        <f>C419*146000</f>
        <v/>
      </c>
      <c r="L419" s="839" t="n"/>
      <c r="M419" s="770" t="n"/>
      <c r="N419" s="863">
        <f>F419*131000</f>
        <v/>
      </c>
      <c r="O419" s="757" t="n"/>
      <c r="P419" s="854" t="n"/>
      <c r="Q419" s="758" t="n"/>
      <c r="R419" s="755">
        <f>SUM(K419:Q419)</f>
        <v/>
      </c>
      <c r="S419" s="755">
        <f>J419*38900</f>
        <v/>
      </c>
    </row>
    <row r="420" customFormat="1" s="638">
      <c r="A420" s="354" t="inlineStr">
        <is>
          <t>로즈제라늄</t>
        </is>
      </c>
      <c r="B420" s="774" t="n"/>
      <c r="C420" s="237" t="n"/>
      <c r="D420" s="242" t="n"/>
      <c r="E420" s="234" t="n"/>
      <c r="F420" s="230" t="n"/>
      <c r="G420" s="345" t="n"/>
      <c r="H420" s="80" t="n"/>
      <c r="I420" s="114" t="n"/>
      <c r="J420" s="35">
        <f>SUM(B420:I420)</f>
        <v/>
      </c>
      <c r="K420" s="755" t="n">
        <v>0</v>
      </c>
      <c r="L420" s="839" t="n"/>
      <c r="M420" s="770" t="n"/>
      <c r="N420" s="863" t="n">
        <v>0</v>
      </c>
      <c r="O420" s="757" t="n"/>
      <c r="P420" s="854" t="n"/>
      <c r="Q420" s="758" t="n"/>
      <c r="R420" s="755">
        <f>SUM(K420:Q420)</f>
        <v/>
      </c>
      <c r="S420" s="755">
        <f>J420*14200</f>
        <v/>
      </c>
    </row>
    <row r="421" customFormat="1" s="638">
      <c r="A421" s="354" t="inlineStr">
        <is>
          <t>로만캐모마일(오가닉)</t>
        </is>
      </c>
      <c r="B421" s="774" t="n"/>
      <c r="C421" s="237" t="n"/>
      <c r="D421" s="234" t="n"/>
      <c r="E421" s="234" t="n"/>
      <c r="F421" s="230" t="n"/>
      <c r="G421" s="345" t="n"/>
      <c r="H421" s="80" t="n"/>
      <c r="I421" s="114" t="n"/>
      <c r="J421" s="35">
        <f>SUM(B421:I421)</f>
        <v/>
      </c>
      <c r="K421" s="755" t="n">
        <v>0</v>
      </c>
      <c r="L421" s="839" t="n"/>
      <c r="M421" s="770" t="n"/>
      <c r="N421" s="863" t="n">
        <v>0</v>
      </c>
      <c r="O421" s="757" t="n"/>
      <c r="P421" s="854" t="n"/>
      <c r="Q421" s="758" t="n"/>
      <c r="R421" s="755">
        <f>SUM(K421:Q421)</f>
        <v/>
      </c>
      <c r="S421" s="755">
        <f>J421*276500</f>
        <v/>
      </c>
    </row>
    <row r="422" customFormat="1" s="638">
      <c r="A422" s="354" t="inlineStr">
        <is>
          <t>루</t>
        </is>
      </c>
      <c r="B422" s="774" t="n"/>
      <c r="C422" s="237" t="n"/>
      <c r="D422" s="234" t="n"/>
      <c r="E422" s="234" t="n"/>
      <c r="F422" s="230" t="n"/>
      <c r="G422" s="345" t="n"/>
      <c r="H422" s="80" t="n"/>
      <c r="I422" s="114" t="n"/>
      <c r="J422" s="35">
        <f>SUM(B422:I422)</f>
        <v/>
      </c>
      <c r="K422" s="755">
        <f>C422*184000</f>
        <v/>
      </c>
      <c r="L422" s="839" t="n"/>
      <c r="M422" s="770" t="n"/>
      <c r="N422" s="863">
        <f>F422*166000</f>
        <v/>
      </c>
      <c r="O422" s="757" t="n"/>
      <c r="P422" s="854" t="n"/>
      <c r="Q422" s="758" t="n"/>
      <c r="R422" s="755">
        <f>SUM(K422:Q422)</f>
        <v/>
      </c>
      <c r="S422" s="755">
        <f>J422*21200</f>
        <v/>
      </c>
    </row>
    <row r="423" customFormat="1" s="638">
      <c r="A423" s="354" t="inlineStr">
        <is>
          <t>레몬오일</t>
        </is>
      </c>
      <c r="B423" s="774" t="n"/>
      <c r="C423" s="237" t="n"/>
      <c r="D423" s="234" t="n"/>
      <c r="E423" s="234" t="n"/>
      <c r="F423" s="230" t="n"/>
      <c r="G423" s="345" t="n"/>
      <c r="H423" s="80" t="n"/>
      <c r="I423" s="114" t="n"/>
      <c r="J423" s="35">
        <f>SUM(B423:I423)</f>
        <v/>
      </c>
      <c r="K423" s="755" t="n">
        <v>0</v>
      </c>
      <c r="L423" s="839" t="n"/>
      <c r="M423" s="770" t="n"/>
      <c r="N423" s="863" t="n">
        <v>0</v>
      </c>
      <c r="O423" s="757" t="n"/>
      <c r="P423" s="854" t="n"/>
      <c r="Q423" s="758" t="n"/>
      <c r="R423" s="755">
        <f>SUM(K423:Q423)</f>
        <v/>
      </c>
      <c r="S423" s="755">
        <f>J423*12500</f>
        <v/>
      </c>
    </row>
    <row r="424" customFormat="1" s="638">
      <c r="A424" s="354" t="inlineStr">
        <is>
          <t>레몬그라스오일</t>
        </is>
      </c>
      <c r="B424" s="774" t="n"/>
      <c r="C424" s="237" t="n"/>
      <c r="D424" s="234" t="n"/>
      <c r="E424" s="234" t="n"/>
      <c r="F424" s="230" t="n"/>
      <c r="G424" s="345" t="n"/>
      <c r="H424" s="80" t="n"/>
      <c r="I424" s="114" t="n"/>
      <c r="J424" s="35">
        <f>SUM(B424:I424)</f>
        <v/>
      </c>
      <c r="K424" s="755" t="n">
        <v>0</v>
      </c>
      <c r="L424" s="839" t="n"/>
      <c r="M424" s="770" t="n"/>
      <c r="N424" s="863" t="n">
        <v>0</v>
      </c>
      <c r="O424" s="757" t="n"/>
      <c r="P424" s="854" t="n"/>
      <c r="Q424" s="758" t="n"/>
      <c r="R424" s="755">
        <f>SUM(K424:Q424)</f>
        <v/>
      </c>
      <c r="S424" s="755">
        <f>J424*8700</f>
        <v/>
      </c>
    </row>
    <row r="425" customFormat="1" s="638">
      <c r="A425" s="356" t="inlineStr">
        <is>
          <t>마조람</t>
        </is>
      </c>
      <c r="B425" s="774" t="n"/>
      <c r="C425" s="35" t="n"/>
      <c r="D425" s="234" t="n"/>
      <c r="E425" s="234" t="n"/>
      <c r="F425" s="191" t="n"/>
      <c r="G425" s="195" t="n"/>
      <c r="H425" s="80" t="n"/>
      <c r="I425" s="114" t="n"/>
      <c r="J425" s="35">
        <f>SUM(B425:I425)</f>
        <v/>
      </c>
      <c r="K425" s="755" t="n">
        <v>0</v>
      </c>
      <c r="L425" s="839" t="n"/>
      <c r="M425" s="770" t="n"/>
      <c r="N425" s="863" t="n">
        <v>0</v>
      </c>
      <c r="O425" s="757" t="n"/>
      <c r="P425" s="854" t="n"/>
      <c r="Q425" s="758" t="n"/>
      <c r="R425" s="755">
        <f>SUM(K425:Q425)</f>
        <v/>
      </c>
      <c r="S425" s="755">
        <f>J425*46600</f>
        <v/>
      </c>
    </row>
    <row r="426" customFormat="1" s="638">
      <c r="A426" s="356" t="inlineStr">
        <is>
          <t>만다린</t>
        </is>
      </c>
      <c r="B426" s="774" t="n"/>
      <c r="C426" s="35" t="n"/>
      <c r="D426" s="234" t="n"/>
      <c r="E426" s="234" t="n"/>
      <c r="F426" s="191" t="n"/>
      <c r="G426" s="195" t="n"/>
      <c r="H426" s="80" t="n"/>
      <c r="I426" s="114" t="n"/>
      <c r="J426" s="35">
        <f>SUM(B426:I426)</f>
        <v/>
      </c>
      <c r="K426" s="755" t="n">
        <v>0</v>
      </c>
      <c r="L426" s="839" t="n"/>
      <c r="M426" s="770" t="n"/>
      <c r="N426" s="863" t="n">
        <v>0</v>
      </c>
      <c r="O426" s="757" t="n"/>
      <c r="P426" s="854" t="n"/>
      <c r="Q426" s="758" t="n"/>
      <c r="R426" s="755">
        <f>SUM(K426:Q426)</f>
        <v/>
      </c>
      <c r="S426" s="755">
        <f>J426*31200</f>
        <v/>
      </c>
    </row>
    <row r="427" customFormat="1" s="638">
      <c r="A427" s="356" t="inlineStr">
        <is>
          <t>머그워트(쑥)</t>
        </is>
      </c>
      <c r="B427" s="774" t="n"/>
      <c r="C427" s="35" t="n"/>
      <c r="D427" s="234" t="n"/>
      <c r="E427" s="234" t="n"/>
      <c r="F427" s="191" t="n"/>
      <c r="G427" s="195" t="n"/>
      <c r="H427" s="80" t="n"/>
      <c r="I427" s="114" t="n"/>
      <c r="J427" s="35">
        <f>SUM(B427:I427)</f>
        <v/>
      </c>
      <c r="K427" s="755" t="n">
        <v>0</v>
      </c>
      <c r="L427" s="839" t="n"/>
      <c r="M427" s="770" t="n"/>
      <c r="N427" s="863" t="n">
        <v>0</v>
      </c>
      <c r="O427" s="757" t="n"/>
      <c r="P427" s="854" t="n"/>
      <c r="Q427" s="758" t="n"/>
      <c r="R427" s="755">
        <f>SUM(K427:Q427)</f>
        <v/>
      </c>
      <c r="S427" s="755">
        <f>J427*75200</f>
        <v/>
      </c>
    </row>
    <row r="428" customFormat="1" s="638">
      <c r="A428" s="356" t="inlineStr">
        <is>
          <t>머틀</t>
        </is>
      </c>
      <c r="B428" s="774" t="n"/>
      <c r="C428" s="35" t="n"/>
      <c r="D428" s="234" t="n"/>
      <c r="E428" s="234" t="n"/>
      <c r="F428" s="191" t="n"/>
      <c r="G428" s="195" t="n"/>
      <c r="H428" s="80" t="n"/>
      <c r="I428" s="114" t="n"/>
      <c r="J428" s="35">
        <f>SUM(B428:I428)</f>
        <v/>
      </c>
      <c r="K428" s="755" t="n">
        <v>0</v>
      </c>
      <c r="L428" s="839" t="n"/>
      <c r="M428" s="770" t="n"/>
      <c r="N428" s="863" t="n">
        <v>0</v>
      </c>
      <c r="O428" s="757" t="n"/>
      <c r="P428" s="854" t="n"/>
      <c r="Q428" s="758" t="n"/>
      <c r="R428" s="755">
        <f>SUM(K428:Q428)</f>
        <v/>
      </c>
      <c r="S428" s="755">
        <f>J428*12100</f>
        <v/>
      </c>
    </row>
    <row r="429" customFormat="1" s="638">
      <c r="A429" s="354" t="inlineStr">
        <is>
          <t>멜리사오일</t>
        </is>
      </c>
      <c r="B429" s="774" t="n"/>
      <c r="C429" s="237" t="n"/>
      <c r="D429" s="242" t="n"/>
      <c r="E429" s="234" t="n"/>
      <c r="F429" s="230" t="n"/>
      <c r="G429" s="345" t="n"/>
      <c r="H429" s="80" t="n"/>
      <c r="I429" s="114" t="n"/>
      <c r="J429" s="35">
        <f>SUM(B429:I429)</f>
        <v/>
      </c>
      <c r="K429" s="755" t="n">
        <v>0</v>
      </c>
      <c r="L429" s="839" t="n"/>
      <c r="M429" s="770" t="n"/>
      <c r="N429" s="863" t="n">
        <v>0</v>
      </c>
      <c r="O429" s="757" t="n"/>
      <c r="P429" s="854" t="n"/>
      <c r="Q429" s="758" t="n"/>
      <c r="R429" s="755">
        <f>SUM(K429:Q429)</f>
        <v/>
      </c>
      <c r="S429" s="755">
        <f>J429*158660</f>
        <v/>
      </c>
    </row>
    <row r="430" customFormat="1" s="638">
      <c r="A430" s="356" t="inlineStr">
        <is>
          <t>미르오일</t>
        </is>
      </c>
      <c r="B430" s="774" t="n"/>
      <c r="C430" s="35" t="n"/>
      <c r="D430" s="234" t="n"/>
      <c r="E430" s="234" t="n"/>
      <c r="F430" s="191" t="n"/>
      <c r="G430" s="195" t="n"/>
      <c r="H430" s="80" t="n"/>
      <c r="I430" s="114" t="n"/>
      <c r="J430" s="35">
        <f>SUM(B430:I430)</f>
        <v/>
      </c>
      <c r="K430" s="755" t="n">
        <v>0</v>
      </c>
      <c r="L430" s="839" t="n"/>
      <c r="M430" s="770" t="n"/>
      <c r="N430" s="863" t="n">
        <v>0</v>
      </c>
      <c r="O430" s="757" t="n"/>
      <c r="P430" s="854" t="n"/>
      <c r="Q430" s="758" t="n"/>
      <c r="R430" s="755">
        <f>SUM(K430:Q430)</f>
        <v/>
      </c>
      <c r="S430" s="755">
        <f>J430*14200</f>
        <v/>
      </c>
    </row>
    <row r="431" customFormat="1" s="638">
      <c r="A431" s="356" t="inlineStr">
        <is>
          <t>바질</t>
        </is>
      </c>
      <c r="B431" s="774" t="n"/>
      <c r="C431" s="35" t="n"/>
      <c r="D431" s="234" t="n"/>
      <c r="E431" s="234" t="n"/>
      <c r="F431" s="191" t="n"/>
      <c r="G431" s="195" t="n"/>
      <c r="H431" s="80" t="n"/>
      <c r="I431" s="114" t="n"/>
      <c r="J431" s="35">
        <f>SUM(B431:I431)</f>
        <v/>
      </c>
      <c r="K431" s="755" t="n">
        <v>0</v>
      </c>
      <c r="L431" s="839" t="n"/>
      <c r="M431" s="770" t="n"/>
      <c r="N431" s="863" t="n">
        <v>0</v>
      </c>
      <c r="O431" s="757" t="n"/>
      <c r="P431" s="854" t="n"/>
      <c r="Q431" s="758" t="n"/>
      <c r="R431" s="755">
        <f>SUM(K431:Q431)</f>
        <v/>
      </c>
      <c r="S431" s="755">
        <f>J431*11100</f>
        <v/>
      </c>
    </row>
    <row r="432" customFormat="1" s="638">
      <c r="A432" s="356" t="inlineStr">
        <is>
          <t>버치스윗</t>
        </is>
      </c>
      <c r="B432" s="774" t="n"/>
      <c r="C432" s="35" t="n"/>
      <c r="D432" s="234" t="n"/>
      <c r="E432" s="234" t="n"/>
      <c r="F432" s="191" t="n"/>
      <c r="G432" s="195" t="n"/>
      <c r="H432" s="80" t="n"/>
      <c r="I432" s="114" t="n"/>
      <c r="J432" s="35">
        <f>SUM(B432:I432)</f>
        <v/>
      </c>
      <c r="K432" s="755">
        <f>C432*184000</f>
        <v/>
      </c>
      <c r="L432" s="839" t="n"/>
      <c r="M432" s="770" t="n"/>
      <c r="N432" s="863">
        <f>F432*166000</f>
        <v/>
      </c>
      <c r="O432" s="757" t="n"/>
      <c r="P432" s="854" t="n"/>
      <c r="Q432" s="758" t="n"/>
      <c r="R432" s="755">
        <f>SUM(K432:Q432)</f>
        <v/>
      </c>
      <c r="S432" s="755">
        <f>J432*14900</f>
        <v/>
      </c>
    </row>
    <row r="433" customFormat="1" s="638">
      <c r="A433" s="354" t="inlineStr">
        <is>
          <t>베르가모트</t>
        </is>
      </c>
      <c r="B433" s="774" t="n"/>
      <c r="C433" s="237" t="n"/>
      <c r="D433" s="234" t="n"/>
      <c r="E433" s="234" t="n"/>
      <c r="F433" s="230" t="n"/>
      <c r="G433" s="345" t="n"/>
      <c r="H433" s="80" t="n"/>
      <c r="I433" s="114" t="n"/>
      <c r="J433" s="35">
        <f>SUM(B433:I433)</f>
        <v/>
      </c>
      <c r="K433" s="755" t="n">
        <v>0</v>
      </c>
      <c r="L433" s="839" t="n"/>
      <c r="M433" s="770" t="n"/>
      <c r="N433" s="863" t="n">
        <v>0</v>
      </c>
      <c r="O433" s="757" t="n"/>
      <c r="P433" s="854" t="n"/>
      <c r="Q433" s="758" t="n"/>
      <c r="R433" s="755">
        <f>SUM(K433:Q433)</f>
        <v/>
      </c>
      <c r="S433" s="755">
        <f>J433*6400</f>
        <v/>
      </c>
    </row>
    <row r="434" customFormat="1" s="638">
      <c r="A434" s="356" t="inlineStr">
        <is>
          <t>베티버오일</t>
        </is>
      </c>
      <c r="B434" s="774" t="n"/>
      <c r="C434" s="35" t="n"/>
      <c r="D434" s="234" t="n"/>
      <c r="E434" s="234" t="n"/>
      <c r="F434" s="191" t="n"/>
      <c r="G434" s="195" t="n"/>
      <c r="H434" s="80" t="n"/>
      <c r="I434" s="114" t="n"/>
      <c r="J434" s="35">
        <f>SUM(B434:I434)</f>
        <v/>
      </c>
      <c r="K434" s="755" t="n">
        <v>0</v>
      </c>
      <c r="L434" s="839" t="n"/>
      <c r="M434" s="770" t="n"/>
      <c r="N434" s="863" t="n">
        <v>0</v>
      </c>
      <c r="O434" s="757" t="n"/>
      <c r="P434" s="854" t="n"/>
      <c r="Q434" s="758" t="n"/>
      <c r="R434" s="755">
        <f>SUM(K434:Q434)</f>
        <v/>
      </c>
      <c r="S434" s="755">
        <f>J434*99400</f>
        <v/>
      </c>
    </row>
    <row r="435" customFormat="1" s="638">
      <c r="A435" s="356" t="inlineStr">
        <is>
          <t>벤조인</t>
        </is>
      </c>
      <c r="B435" s="774" t="n"/>
      <c r="C435" s="35" t="n"/>
      <c r="D435" s="234" t="n"/>
      <c r="E435" s="234" t="n"/>
      <c r="F435" s="191" t="n"/>
      <c r="G435" s="195" t="n"/>
      <c r="H435" s="80" t="n"/>
      <c r="I435" s="114" t="n"/>
      <c r="J435" s="35">
        <f>SUM(B435:I435)</f>
        <v/>
      </c>
      <c r="K435" s="755" t="n">
        <v>0</v>
      </c>
      <c r="L435" s="839" t="n"/>
      <c r="M435" s="770" t="n"/>
      <c r="N435" s="863" t="n">
        <v>0</v>
      </c>
      <c r="O435" s="757" t="n"/>
      <c r="P435" s="854" t="n"/>
      <c r="Q435" s="758" t="n"/>
      <c r="R435" s="755">
        <f>SUM(K435:Q435)</f>
        <v/>
      </c>
      <c r="S435" s="755">
        <f>J435*11300</f>
        <v/>
      </c>
    </row>
    <row r="436" customFormat="1" s="638">
      <c r="A436" s="356" t="inlineStr">
        <is>
          <t>블렉페퍼오일</t>
        </is>
      </c>
      <c r="B436" s="774" t="n"/>
      <c r="C436" s="35" t="n"/>
      <c r="D436" s="234" t="n"/>
      <c r="E436" s="234" t="n"/>
      <c r="F436" s="191" t="n"/>
      <c r="G436" s="195" t="n"/>
      <c r="H436" s="80" t="n"/>
      <c r="I436" s="114" t="n"/>
      <c r="J436" s="35">
        <f>SUM(B436:I436)</f>
        <v/>
      </c>
      <c r="K436" s="755" t="n">
        <v>0</v>
      </c>
      <c r="L436" s="839" t="n"/>
      <c r="M436" s="770" t="n"/>
      <c r="N436" s="863" t="n">
        <v>0</v>
      </c>
      <c r="O436" s="757" t="n"/>
      <c r="P436" s="854" t="n"/>
      <c r="Q436" s="758" t="n"/>
      <c r="R436" s="755">
        <f>SUM(K436:Q436)</f>
        <v/>
      </c>
      <c r="S436" s="755">
        <f>J436*67500</f>
        <v/>
      </c>
    </row>
    <row r="437" customFormat="1" s="638">
      <c r="A437" s="354" t="inlineStr">
        <is>
          <t>샌달우드오일</t>
        </is>
      </c>
      <c r="B437" s="774" t="n"/>
      <c r="C437" s="237" t="n"/>
      <c r="D437" s="234" t="n"/>
      <c r="E437" s="234" t="n"/>
      <c r="F437" s="230" t="n"/>
      <c r="G437" s="345" t="n"/>
      <c r="H437" s="80" t="n"/>
      <c r="I437" s="114" t="n"/>
      <c r="J437" s="35">
        <f>SUM(B437:I437)</f>
        <v/>
      </c>
      <c r="K437" s="755" t="n">
        <v>0</v>
      </c>
      <c r="L437" s="839" t="n"/>
      <c r="M437" s="770" t="n"/>
      <c r="N437" s="863" t="n">
        <v>0</v>
      </c>
      <c r="O437" s="757" t="n"/>
      <c r="P437" s="854" t="n"/>
      <c r="Q437" s="758" t="n"/>
      <c r="R437" s="755">
        <f>SUM(K437:Q437)</f>
        <v/>
      </c>
      <c r="S437" s="755">
        <f>J437*31750</f>
        <v/>
      </c>
    </row>
    <row r="438" customFormat="1" s="638">
      <c r="A438" s="356" t="inlineStr">
        <is>
          <t>스피아민트</t>
        </is>
      </c>
      <c r="B438" s="774" t="n"/>
      <c r="C438" s="35" t="n"/>
      <c r="D438" s="234" t="n"/>
      <c r="E438" s="234" t="n"/>
      <c r="F438" s="191" t="n"/>
      <c r="G438" s="195" t="n"/>
      <c r="H438" s="80" t="n"/>
      <c r="I438" s="114" t="n"/>
      <c r="J438" s="35">
        <f>SUM(B438:I438)</f>
        <v/>
      </c>
      <c r="K438" s="755" t="n">
        <v>0</v>
      </c>
      <c r="L438" s="839" t="n"/>
      <c r="M438" s="770" t="n"/>
      <c r="N438" s="863" t="n">
        <v>0</v>
      </c>
      <c r="O438" s="757" t="n"/>
      <c r="P438" s="854" t="n"/>
      <c r="Q438" s="758" t="n"/>
      <c r="R438" s="755">
        <f>SUM(K438:Q438)</f>
        <v/>
      </c>
      <c r="S438" s="755">
        <f>J438*16020</f>
        <v/>
      </c>
    </row>
    <row r="439" customFormat="1" s="638">
      <c r="A439" s="356" t="inlineStr">
        <is>
          <t>시더우드</t>
        </is>
      </c>
      <c r="B439" s="774" t="n"/>
      <c r="C439" s="35" t="n"/>
      <c r="D439" s="234" t="n"/>
      <c r="E439" s="234" t="n"/>
      <c r="F439" s="191" t="n"/>
      <c r="G439" s="195" t="n"/>
      <c r="H439" s="80" t="n"/>
      <c r="I439" s="114" t="n"/>
      <c r="J439" s="35">
        <f>SUM(B439:I439)</f>
        <v/>
      </c>
      <c r="K439" s="755" t="n">
        <v>0</v>
      </c>
      <c r="L439" s="839" t="n"/>
      <c r="M439" s="770" t="n"/>
      <c r="N439" s="863" t="n">
        <v>0</v>
      </c>
      <c r="O439" s="757" t="n"/>
      <c r="P439" s="854" t="n"/>
      <c r="Q439" s="758" t="n"/>
      <c r="R439" s="755">
        <f>SUM(K439:Q439)</f>
        <v/>
      </c>
      <c r="S439" s="755">
        <f>J439*13600</f>
        <v/>
      </c>
    </row>
    <row r="440" customFormat="1" s="638">
      <c r="A440" s="356" t="inlineStr">
        <is>
          <t>시트로넬라</t>
        </is>
      </c>
      <c r="B440" s="774" t="n"/>
      <c r="C440" s="35" t="n"/>
      <c r="D440" s="234" t="n"/>
      <c r="E440" s="234" t="n"/>
      <c r="F440" s="191" t="n"/>
      <c r="G440" s="195" t="n"/>
      <c r="H440" s="80" t="n"/>
      <c r="I440" s="114" t="n"/>
      <c r="J440" s="35">
        <f>SUM(B440:I440)</f>
        <v/>
      </c>
      <c r="K440" s="755" t="n">
        <v>0</v>
      </c>
      <c r="L440" s="839" t="n"/>
      <c r="M440" s="770" t="n"/>
      <c r="N440" s="863" t="n">
        <v>0</v>
      </c>
      <c r="O440" s="757" t="n"/>
      <c r="P440" s="854" t="n"/>
      <c r="Q440" s="758" t="n"/>
      <c r="R440" s="755">
        <f>SUM(K440:Q440)</f>
        <v/>
      </c>
      <c r="S440" s="755">
        <f>J440*13600</f>
        <v/>
      </c>
    </row>
    <row r="441" customFormat="1" s="638">
      <c r="A441" s="354" t="inlineStr">
        <is>
          <t>싸이프러스</t>
        </is>
      </c>
      <c r="B441" s="774" t="n"/>
      <c r="C441" s="237" t="n"/>
      <c r="D441" s="234" t="n"/>
      <c r="E441" s="234" t="n"/>
      <c r="F441" s="230" t="n"/>
      <c r="G441" s="345" t="n"/>
      <c r="H441" s="80" t="n"/>
      <c r="I441" s="114" t="n"/>
      <c r="J441" s="35">
        <f>SUM(B441:I441)</f>
        <v/>
      </c>
      <c r="K441" s="755" t="n">
        <v>0</v>
      </c>
      <c r="L441" s="839" t="n"/>
      <c r="M441" s="770" t="n"/>
      <c r="N441" s="863" t="n">
        <v>0</v>
      </c>
      <c r="O441" s="757" t="n"/>
      <c r="P441" s="854" t="n"/>
      <c r="Q441" s="758" t="n"/>
      <c r="R441" s="755">
        <f>SUM(K441:Q441)</f>
        <v/>
      </c>
      <c r="S441" s="755">
        <f>J441*31200</f>
        <v/>
      </c>
    </row>
    <row r="442" customFormat="1" s="638">
      <c r="A442" s="354" t="inlineStr">
        <is>
          <t>안젤리카</t>
        </is>
      </c>
      <c r="B442" s="774" t="n"/>
      <c r="C442" s="237" t="n"/>
      <c r="D442" s="234" t="n"/>
      <c r="E442" s="234" t="n"/>
      <c r="F442" s="230" t="n"/>
      <c r="G442" s="345" t="n"/>
      <c r="H442" s="80" t="n"/>
      <c r="I442" s="114" t="n"/>
      <c r="J442" s="35">
        <f>SUM(B442:I442)</f>
        <v/>
      </c>
      <c r="K442" s="755">
        <f>C442*880000</f>
        <v/>
      </c>
      <c r="L442" s="839" t="n"/>
      <c r="M442" s="770" t="n"/>
      <c r="N442" s="863">
        <f>F442*792000</f>
        <v/>
      </c>
      <c r="O442" s="757" t="n"/>
      <c r="P442" s="854" t="n"/>
      <c r="Q442" s="758" t="n"/>
      <c r="R442" s="755">
        <f>SUM(K442:Q442)</f>
        <v/>
      </c>
      <c r="S442" s="755">
        <f>J442*48800</f>
        <v/>
      </c>
    </row>
    <row r="443" customFormat="1" s="638">
      <c r="A443" s="354" t="inlineStr">
        <is>
          <t>아가우드</t>
        </is>
      </c>
      <c r="B443" s="774" t="n"/>
      <c r="C443" s="237" t="n"/>
      <c r="D443" s="234" t="n"/>
      <c r="E443" s="234" t="n"/>
      <c r="F443" s="230" t="n"/>
      <c r="G443" s="345" t="n"/>
      <c r="H443" s="80" t="n"/>
      <c r="I443" s="114" t="n"/>
      <c r="J443" s="35">
        <f>SUM(B443:I443)</f>
        <v/>
      </c>
      <c r="K443" s="755">
        <f>C443*1000000</f>
        <v/>
      </c>
      <c r="L443" s="839" t="n"/>
      <c r="M443" s="770" t="n"/>
      <c r="N443" s="863">
        <f>F443*900000</f>
        <v/>
      </c>
      <c r="O443" s="757" t="n"/>
      <c r="P443" s="854" t="n"/>
      <c r="Q443" s="758" t="n"/>
      <c r="R443" s="755">
        <f>SUM(K443:Q443)</f>
        <v/>
      </c>
      <c r="S443" s="755">
        <f>J443*79700</f>
        <v/>
      </c>
    </row>
    <row r="444" customFormat="1" s="638">
      <c r="A444" s="356" t="inlineStr">
        <is>
          <t>야로우</t>
        </is>
      </c>
      <c r="B444" s="774" t="n"/>
      <c r="C444" s="35" t="n"/>
      <c r="D444" s="234" t="n"/>
      <c r="E444" s="234" t="n"/>
      <c r="F444" s="191" t="n"/>
      <c r="G444" s="195" t="n"/>
      <c r="H444" s="80" t="n"/>
      <c r="I444" s="114" t="n"/>
      <c r="J444" s="35">
        <f>SUM(B444:I444)</f>
        <v/>
      </c>
      <c r="K444" s="755" t="n">
        <v>0</v>
      </c>
      <c r="L444" s="839" t="n"/>
      <c r="M444" s="770" t="n"/>
      <c r="N444" s="863" t="n">
        <v>0</v>
      </c>
      <c r="O444" s="757" t="n"/>
      <c r="P444" s="854" t="n"/>
      <c r="Q444" s="758" t="n"/>
      <c r="R444" s="755">
        <f>SUM(K444:Q444)</f>
        <v/>
      </c>
      <c r="S444" s="755">
        <f>J444*168900</f>
        <v/>
      </c>
    </row>
    <row r="445" customFormat="1" s="638">
      <c r="A445" s="356" t="inlineStr">
        <is>
          <t>오레가노(60%)</t>
        </is>
      </c>
      <c r="B445" s="774" t="n"/>
      <c r="C445" s="35" t="n"/>
      <c r="D445" s="234" t="n"/>
      <c r="E445" s="234" t="n"/>
      <c r="F445" s="191" t="n"/>
      <c r="G445" s="195" t="n"/>
      <c r="H445" s="80" t="n"/>
      <c r="I445" s="114" t="n"/>
      <c r="J445" s="35">
        <f>SUM(B445:I445)</f>
        <v/>
      </c>
      <c r="K445" s="755" t="n">
        <v>0</v>
      </c>
      <c r="L445" s="839" t="n"/>
      <c r="M445" s="770" t="n"/>
      <c r="N445" s="863" t="n">
        <v>0</v>
      </c>
      <c r="O445" s="757" t="n"/>
      <c r="P445" s="854" t="n"/>
      <c r="Q445" s="758" t="n"/>
      <c r="R445" s="755">
        <f>SUM(K445:Q445)</f>
        <v/>
      </c>
      <c r="S445" s="755">
        <f>J445*10600</f>
        <v/>
      </c>
    </row>
    <row r="446" customFormat="1" s="638">
      <c r="A446" s="354" t="inlineStr">
        <is>
          <t>오렌지스윗</t>
        </is>
      </c>
      <c r="B446" s="774" t="n"/>
      <c r="C446" s="237" t="n"/>
      <c r="D446" s="234" t="n"/>
      <c r="E446" s="234" t="n"/>
      <c r="F446" s="230" t="n"/>
      <c r="G446" s="345" t="n"/>
      <c r="H446" s="80" t="n"/>
      <c r="I446" s="114" t="n"/>
      <c r="J446" s="35">
        <f>SUM(B446:I446)</f>
        <v/>
      </c>
      <c r="K446" s="755" t="n">
        <v>0</v>
      </c>
      <c r="L446" s="839" t="n"/>
      <c r="M446" s="770" t="n"/>
      <c r="N446" s="863" t="n">
        <v>0</v>
      </c>
      <c r="O446" s="757" t="n"/>
      <c r="P446" s="854" t="n"/>
      <c r="Q446" s="758" t="n"/>
      <c r="R446" s="755">
        <f>SUM(K446:Q446)</f>
        <v/>
      </c>
      <c r="S446" s="755">
        <f>J446*6780</f>
        <v/>
      </c>
    </row>
    <row r="447" customFormat="1" s="638">
      <c r="A447" s="354" t="inlineStr">
        <is>
          <t>유즈</t>
        </is>
      </c>
      <c r="B447" s="774" t="n"/>
      <c r="C447" s="237" t="n"/>
      <c r="D447" s="234" t="n"/>
      <c r="E447" s="234" t="n"/>
      <c r="F447" s="230" t="n"/>
      <c r="G447" s="345" t="n"/>
      <c r="H447" s="80" t="n"/>
      <c r="I447" s="114" t="n"/>
      <c r="J447" s="35">
        <f>SUM(B447:I447)</f>
        <v/>
      </c>
      <c r="K447" s="755">
        <f>C447*136000</f>
        <v/>
      </c>
      <c r="L447" s="839" t="n"/>
      <c r="M447" s="770" t="n"/>
      <c r="N447" s="863">
        <f>F447*122000</f>
        <v/>
      </c>
      <c r="O447" s="757" t="n"/>
      <c r="P447" s="854" t="n"/>
      <c r="Q447" s="758" t="n"/>
      <c r="R447" s="755">
        <f>SUM(K447:Q447)</f>
        <v/>
      </c>
      <c r="S447" s="755">
        <f>J447*15700</f>
        <v/>
      </c>
    </row>
    <row r="448" customFormat="1" s="638">
      <c r="A448" s="354" t="inlineStr">
        <is>
          <t>유칼리투스(블루마레)</t>
        </is>
      </c>
      <c r="B448" s="774" t="n"/>
      <c r="C448" s="237" t="n"/>
      <c r="D448" s="234" t="n"/>
      <c r="E448" s="234" t="n"/>
      <c r="F448" s="230" t="n"/>
      <c r="G448" s="345" t="n"/>
      <c r="H448" s="80" t="n"/>
      <c r="I448" s="114" t="n"/>
      <c r="J448" s="35">
        <f>SUM(B448:I448)</f>
        <v/>
      </c>
      <c r="K448" s="755" t="n">
        <v>0</v>
      </c>
      <c r="L448" s="839" t="n"/>
      <c r="M448" s="770" t="n"/>
      <c r="N448" s="863" t="n">
        <v>0</v>
      </c>
      <c r="O448" s="757" t="n"/>
      <c r="P448" s="854" t="n"/>
      <c r="Q448" s="758" t="n"/>
      <c r="R448" s="755">
        <f>SUM(K448:Q448)</f>
        <v/>
      </c>
      <c r="S448" s="755">
        <f>J448*9459</f>
        <v/>
      </c>
    </row>
    <row r="449" customFormat="1" s="638">
      <c r="A449" s="354" t="inlineStr">
        <is>
          <t>윈터그린</t>
        </is>
      </c>
      <c r="B449" s="774" t="n"/>
      <c r="C449" s="237" t="n"/>
      <c r="D449" s="234" t="n"/>
      <c r="E449" s="234" t="n"/>
      <c r="F449" s="191" t="n"/>
      <c r="G449" s="195" t="n"/>
      <c r="H449" s="80" t="n"/>
      <c r="I449" s="114" t="n"/>
      <c r="J449" s="35">
        <f>SUM(B449:I449)</f>
        <v/>
      </c>
      <c r="K449" s="755" t="n">
        <v>0</v>
      </c>
      <c r="L449" s="839" t="n"/>
      <c r="M449" s="770" t="n"/>
      <c r="N449" s="863" t="n">
        <v>0</v>
      </c>
      <c r="O449" s="757" t="n"/>
      <c r="P449" s="854" t="n"/>
      <c r="Q449" s="758" t="n"/>
      <c r="R449" s="755">
        <f>SUM(K449:Q449)</f>
        <v/>
      </c>
      <c r="S449" s="755">
        <f>J449*13600</f>
        <v/>
      </c>
    </row>
    <row r="450" customFormat="1" s="638">
      <c r="A450" s="356" t="inlineStr">
        <is>
          <t>일랑일랑</t>
        </is>
      </c>
      <c r="B450" s="774" t="n"/>
      <c r="C450" s="35" t="n"/>
      <c r="D450" s="33" t="n"/>
      <c r="E450" s="33" t="n"/>
      <c r="F450" s="191" t="n"/>
      <c r="G450" s="195" t="n"/>
      <c r="H450" s="80" t="n"/>
      <c r="I450" s="114" t="n"/>
      <c r="J450" s="35">
        <f>SUM(B450:I450)</f>
        <v/>
      </c>
      <c r="K450" s="755" t="n">
        <v>0</v>
      </c>
      <c r="L450" s="839" t="n"/>
      <c r="M450" s="770" t="n"/>
      <c r="N450" s="863" t="n">
        <v>0</v>
      </c>
      <c r="O450" s="757" t="n"/>
      <c r="P450" s="854" t="n"/>
      <c r="Q450" s="758" t="n"/>
      <c r="R450" s="755">
        <f>SUM(K450:Q450)</f>
        <v/>
      </c>
      <c r="S450" s="755">
        <f>J450*45060</f>
        <v/>
      </c>
    </row>
    <row r="451" customFormat="1" s="638">
      <c r="A451" s="356" t="inlineStr">
        <is>
          <t>자스민(sambac)</t>
        </is>
      </c>
      <c r="B451" s="774" t="n"/>
      <c r="C451" s="35" t="n"/>
      <c r="D451" s="234" t="n"/>
      <c r="E451" s="234" t="n"/>
      <c r="F451" s="191" t="n"/>
      <c r="G451" s="195" t="n"/>
      <c r="H451" s="80" t="n"/>
      <c r="I451" s="114" t="n"/>
      <c r="J451" s="35">
        <f>SUM(B451:I451)</f>
        <v/>
      </c>
      <c r="K451" s="755" t="n">
        <v>0</v>
      </c>
      <c r="L451" s="839" t="n"/>
      <c r="M451" s="770" t="n"/>
      <c r="N451" s="863" t="n">
        <v>0</v>
      </c>
      <c r="O451" s="757" t="n"/>
      <c r="P451" s="854" t="n"/>
      <c r="Q451" s="758" t="n"/>
      <c r="R451" s="755">
        <f>SUM(K451:Q451)</f>
        <v/>
      </c>
      <c r="S451" s="755">
        <f>J451*44300</f>
        <v/>
      </c>
    </row>
    <row r="452" customFormat="1" s="638">
      <c r="A452" s="354" t="inlineStr">
        <is>
          <t>제라늄오일</t>
        </is>
      </c>
      <c r="B452" s="774" t="n"/>
      <c r="C452" s="237" t="n"/>
      <c r="D452" s="234" t="n"/>
      <c r="E452" s="234" t="n"/>
      <c r="F452" s="230" t="n"/>
      <c r="G452" s="345" t="n"/>
      <c r="H452" s="80" t="n"/>
      <c r="I452" s="114" t="n"/>
      <c r="J452" s="35">
        <f>SUM(B452:I452)</f>
        <v/>
      </c>
      <c r="K452" s="755" t="n">
        <v>0</v>
      </c>
      <c r="L452" s="839" t="n"/>
      <c r="M452" s="770" t="n"/>
      <c r="N452" s="863" t="n">
        <v>0</v>
      </c>
      <c r="O452" s="757" t="n"/>
      <c r="P452" s="854" t="n"/>
      <c r="Q452" s="758" t="n"/>
      <c r="R452" s="755">
        <f>SUM(K452:Q452)</f>
        <v/>
      </c>
      <c r="S452" s="755">
        <f>J452*56500</f>
        <v/>
      </c>
    </row>
    <row r="453" customFormat="1" s="638">
      <c r="A453" s="356" t="inlineStr">
        <is>
          <t>주니퍼베리(두송열매)</t>
        </is>
      </c>
      <c r="B453" s="774" t="n"/>
      <c r="C453" s="35" t="n"/>
      <c r="D453" s="234" t="n"/>
      <c r="E453" s="234" t="n"/>
      <c r="F453" s="191" t="n"/>
      <c r="G453" s="195" t="n"/>
      <c r="H453" s="80" t="n"/>
      <c r="I453" s="114" t="n"/>
      <c r="J453" s="35">
        <f>SUM(B453:I453)</f>
        <v/>
      </c>
      <c r="K453" s="755" t="n">
        <v>0</v>
      </c>
      <c r="L453" s="839" t="n"/>
      <c r="M453" s="770" t="n"/>
      <c r="N453" s="863" t="n">
        <v>0</v>
      </c>
      <c r="O453" s="757" t="n"/>
      <c r="P453" s="854" t="n"/>
      <c r="Q453" s="758" t="n"/>
      <c r="R453" s="755">
        <f>SUM(K453:Q453)</f>
        <v/>
      </c>
      <c r="S453" s="755">
        <f>J453*31750</f>
        <v/>
      </c>
    </row>
    <row r="454" customFormat="1" s="638">
      <c r="A454" s="356" t="inlineStr">
        <is>
          <t>진저</t>
        </is>
      </c>
      <c r="B454" s="774" t="n"/>
      <c r="C454" s="35" t="n"/>
      <c r="D454" s="234" t="n"/>
      <c r="E454" s="234" t="n"/>
      <c r="F454" s="191" t="n"/>
      <c r="G454" s="195" t="n"/>
      <c r="H454" s="80" t="n"/>
      <c r="I454" s="114" t="n"/>
      <c r="J454" s="35">
        <f>SUM(B454:I454)</f>
        <v/>
      </c>
      <c r="K454" s="755" t="n">
        <v>0</v>
      </c>
      <c r="L454" s="839" t="n"/>
      <c r="M454" s="770" t="n"/>
      <c r="N454" s="863" t="n">
        <v>0</v>
      </c>
      <c r="O454" s="757" t="n"/>
      <c r="P454" s="854" t="n"/>
      <c r="Q454" s="758" t="n"/>
      <c r="R454" s="755">
        <f>SUM(K454:Q454)</f>
        <v/>
      </c>
      <c r="S454" s="755">
        <f>J454*43300</f>
        <v/>
      </c>
    </row>
    <row r="455" customFormat="1" s="638">
      <c r="A455" s="356" t="inlineStr">
        <is>
          <t>카누카</t>
        </is>
      </c>
      <c r="B455" s="774" t="n"/>
      <c r="C455" s="35" t="n"/>
      <c r="D455" s="234" t="n"/>
      <c r="E455" s="234" t="n"/>
      <c r="F455" s="191" t="n"/>
      <c r="G455" s="195" t="n"/>
      <c r="H455" s="80" t="n"/>
      <c r="I455" s="114" t="n"/>
      <c r="J455" s="35">
        <f>SUM(B455:I455)</f>
        <v/>
      </c>
      <c r="K455" s="755">
        <f>C455*184000</f>
        <v/>
      </c>
      <c r="L455" s="839" t="n"/>
      <c r="M455" s="770" t="n"/>
      <c r="N455" s="863">
        <f>F455*166000</f>
        <v/>
      </c>
      <c r="O455" s="757" t="n"/>
      <c r="P455" s="854" t="n"/>
      <c r="Q455" s="758" t="n"/>
      <c r="R455" s="755">
        <f>SUM(K455:Q455)</f>
        <v/>
      </c>
      <c r="S455" s="755">
        <f>J455*21700</f>
        <v/>
      </c>
    </row>
    <row r="456" customFormat="1" s="638">
      <c r="A456" s="356" t="inlineStr">
        <is>
          <t>카다멈</t>
        </is>
      </c>
      <c r="B456" s="774" t="n"/>
      <c r="C456" s="35" t="n"/>
      <c r="D456" s="234" t="n"/>
      <c r="E456" s="234" t="n"/>
      <c r="F456" s="191" t="n"/>
      <c r="G456" s="195" t="n"/>
      <c r="H456" s="80" t="n"/>
      <c r="I456" s="114" t="n"/>
      <c r="J456" s="35">
        <f>SUM(B456:I456)</f>
        <v/>
      </c>
      <c r="K456" s="755">
        <f>C456*228000</f>
        <v/>
      </c>
      <c r="L456" s="839" t="n"/>
      <c r="M456" s="770" t="n"/>
      <c r="N456" s="863">
        <f>F456*205000</f>
        <v/>
      </c>
      <c r="O456" s="757" t="n"/>
      <c r="P456" s="854" t="n"/>
      <c r="Q456" s="758" t="n"/>
      <c r="R456" s="755">
        <f>SUM(K456:Q456)</f>
        <v/>
      </c>
      <c r="S456" s="755">
        <f>J456*42900</f>
        <v/>
      </c>
    </row>
    <row r="457" customFormat="1" s="638">
      <c r="A457" s="356" t="inlineStr">
        <is>
          <t>코리안더리프</t>
        </is>
      </c>
      <c r="B457" s="774" t="n"/>
      <c r="C457" s="35" t="n"/>
      <c r="D457" s="234" t="n"/>
      <c r="E457" s="234" t="n"/>
      <c r="F457" s="191" t="n"/>
      <c r="G457" s="195" t="n"/>
      <c r="H457" s="80" t="n"/>
      <c r="I457" s="114" t="n"/>
      <c r="J457" s="35">
        <f>SUM(B457:I457)</f>
        <v/>
      </c>
      <c r="K457" s="755">
        <f>C457*184000</f>
        <v/>
      </c>
      <c r="L457" s="839" t="n"/>
      <c r="M457" s="770" t="n"/>
      <c r="N457" s="863">
        <f>F457*166000</f>
        <v/>
      </c>
      <c r="O457" s="757" t="n"/>
      <c r="P457" s="854" t="n"/>
      <c r="Q457" s="758" t="n"/>
      <c r="R457" s="755">
        <f>SUM(K457:Q457)</f>
        <v/>
      </c>
      <c r="S457" s="755">
        <f>J457*21200</f>
        <v/>
      </c>
    </row>
    <row r="458" customFormat="1" s="638">
      <c r="A458" s="356" t="inlineStr">
        <is>
          <t>코파이바발삼</t>
        </is>
      </c>
      <c r="B458" s="774" t="n"/>
      <c r="C458" s="35" t="n"/>
      <c r="D458" s="234" t="n"/>
      <c r="E458" s="234" t="n"/>
      <c r="F458" s="191" t="n"/>
      <c r="G458" s="195" t="n"/>
      <c r="H458" s="80" t="n"/>
      <c r="I458" s="114" t="n"/>
      <c r="J458" s="35">
        <f>SUM(B458:I458)</f>
        <v/>
      </c>
      <c r="K458" s="755" t="n">
        <v>0</v>
      </c>
      <c r="L458" s="839" t="n"/>
      <c r="M458" s="770" t="n"/>
      <c r="N458" s="863" t="n">
        <v>0</v>
      </c>
      <c r="O458" s="757" t="n"/>
      <c r="P458" s="854" t="n"/>
      <c r="Q458" s="758" t="n"/>
      <c r="R458" s="755">
        <f>SUM(K458:Q458)</f>
        <v/>
      </c>
      <c r="S458" s="755">
        <f>J458*45500</f>
        <v/>
      </c>
    </row>
    <row r="459" customFormat="1" s="638">
      <c r="A459" s="356" t="inlineStr">
        <is>
          <t>캐롯시드</t>
        </is>
      </c>
      <c r="B459" s="774" t="n"/>
      <c r="C459" s="35" t="n"/>
      <c r="D459" s="234" t="n"/>
      <c r="E459" s="234" t="n"/>
      <c r="F459" s="191" t="n"/>
      <c r="G459" s="195" t="n"/>
      <c r="H459" s="80" t="n"/>
      <c r="I459" s="114" t="n"/>
      <c r="J459" s="35">
        <f>SUM(B459:I459)</f>
        <v/>
      </c>
      <c r="K459" s="755" t="n">
        <v>0</v>
      </c>
      <c r="L459" s="839" t="n"/>
      <c r="M459" s="770" t="n"/>
      <c r="N459" s="863" t="n">
        <v>0</v>
      </c>
      <c r="O459" s="757" t="n"/>
      <c r="P459" s="854" t="n"/>
      <c r="Q459" s="758" t="n"/>
      <c r="R459" s="755">
        <f>SUM(K459:Q459)</f>
        <v/>
      </c>
      <c r="S459" s="755">
        <f>J459*15200</f>
        <v/>
      </c>
    </row>
    <row r="460" customFormat="1" s="638">
      <c r="A460" s="356" t="inlineStr">
        <is>
          <t>캐시플라워</t>
        </is>
      </c>
      <c r="B460" s="774" t="n"/>
      <c r="C460" s="35" t="n"/>
      <c r="D460" s="234" t="n"/>
      <c r="E460" s="234" t="n"/>
      <c r="F460" s="191" t="n"/>
      <c r="G460" s="195" t="n"/>
      <c r="H460" s="80" t="n"/>
      <c r="I460" s="114" t="n"/>
      <c r="J460" s="35">
        <f>SUM(B460:I460)</f>
        <v/>
      </c>
      <c r="K460" s="755">
        <f>C460*184000</f>
        <v/>
      </c>
      <c r="L460" s="839" t="n"/>
      <c r="M460" s="770" t="n"/>
      <c r="N460" s="863">
        <f>F460*166000</f>
        <v/>
      </c>
      <c r="O460" s="757" t="n"/>
      <c r="P460" s="854" t="n"/>
      <c r="Q460" s="758" t="n"/>
      <c r="R460" s="755">
        <f>SUM(K460:Q460)</f>
        <v/>
      </c>
      <c r="S460" s="755">
        <f>J460*22800</f>
        <v/>
      </c>
    </row>
    <row r="461" customFormat="1" s="638">
      <c r="A461" s="356" t="inlineStr">
        <is>
          <t>캠퍼</t>
        </is>
      </c>
      <c r="B461" s="774" t="n"/>
      <c r="C461" s="35" t="n"/>
      <c r="D461" s="234" t="n"/>
      <c r="E461" s="234" t="n"/>
      <c r="F461" s="191" t="n"/>
      <c r="G461" s="195" t="n"/>
      <c r="H461" s="80" t="n"/>
      <c r="I461" s="114" t="n"/>
      <c r="J461" s="35">
        <f>SUM(B461:I461)</f>
        <v/>
      </c>
      <c r="K461" s="755">
        <f>C461*128000</f>
        <v/>
      </c>
      <c r="L461" s="839" t="n"/>
      <c r="M461" s="770" t="n"/>
      <c r="N461" s="863">
        <f>F461*115000</f>
        <v/>
      </c>
      <c r="O461" s="757" t="n"/>
      <c r="P461" s="854" t="n"/>
      <c r="Q461" s="758" t="n"/>
      <c r="R461" s="755">
        <f>SUM(K461:Q461)</f>
        <v/>
      </c>
      <c r="S461" s="755">
        <f>J461*10400</f>
        <v/>
      </c>
    </row>
    <row r="462" customFormat="1" s="638">
      <c r="A462" s="356" t="inlineStr">
        <is>
          <t>클라리세이지</t>
        </is>
      </c>
      <c r="B462" s="774" t="n"/>
      <c r="C462" s="35" t="n"/>
      <c r="D462" s="234" t="n"/>
      <c r="E462" s="234" t="n"/>
      <c r="F462" s="191" t="n"/>
      <c r="G462" s="195" t="n"/>
      <c r="H462" s="80" t="n"/>
      <c r="I462" s="114" t="n"/>
      <c r="J462" s="35">
        <f>SUM(B462:I462)</f>
        <v/>
      </c>
      <c r="K462" s="755" t="n">
        <v>0</v>
      </c>
      <c r="L462" s="839" t="n"/>
      <c r="M462" s="770" t="n"/>
      <c r="N462" s="863" t="n">
        <v>0</v>
      </c>
      <c r="O462" s="757" t="n"/>
      <c r="P462" s="854" t="n"/>
      <c r="Q462" s="758" t="n"/>
      <c r="R462" s="755">
        <f>SUM(K462:Q462)</f>
        <v/>
      </c>
      <c r="S462" s="755">
        <f>J462*36700</f>
        <v/>
      </c>
    </row>
    <row r="463" customFormat="1" s="638">
      <c r="A463" s="356" t="inlineStr">
        <is>
          <t>클로브리프</t>
        </is>
      </c>
      <c r="B463" s="774" t="n"/>
      <c r="C463" s="35" t="n"/>
      <c r="D463" s="234" t="n"/>
      <c r="E463" s="234" t="n"/>
      <c r="F463" s="191" t="n"/>
      <c r="G463" s="195" t="n"/>
      <c r="H463" s="80" t="n"/>
      <c r="I463" s="114" t="n"/>
      <c r="J463" s="35">
        <f>SUM(B463:I463)</f>
        <v/>
      </c>
      <c r="K463" s="755" t="n">
        <v>0</v>
      </c>
      <c r="L463" s="839" t="n"/>
      <c r="M463" s="770" t="n"/>
      <c r="N463" s="863" t="n">
        <v>0</v>
      </c>
      <c r="O463" s="757" t="n"/>
      <c r="P463" s="854" t="n"/>
      <c r="Q463" s="758" t="n"/>
      <c r="R463" s="755">
        <f>SUM(K463:Q463)</f>
        <v/>
      </c>
      <c r="S463" s="755">
        <f>J463*19980</f>
        <v/>
      </c>
    </row>
    <row r="464" customFormat="1" s="638">
      <c r="A464" s="356" t="inlineStr">
        <is>
          <t>타임</t>
        </is>
      </c>
      <c r="B464" s="774" t="n"/>
      <c r="C464" s="35" t="n"/>
      <c r="D464" s="234" t="n"/>
      <c r="E464" s="234" t="n"/>
      <c r="F464" s="191" t="n"/>
      <c r="G464" s="195" t="n"/>
      <c r="H464" s="80" t="n"/>
      <c r="I464" s="114" t="n"/>
      <c r="J464" s="35">
        <f>SUM(B464:I464)</f>
        <v/>
      </c>
      <c r="K464" s="755" t="n">
        <v>0</v>
      </c>
      <c r="L464" s="839" t="n"/>
      <c r="M464" s="770" t="n"/>
      <c r="N464" s="863" t="n">
        <v>0</v>
      </c>
      <c r="O464" s="757" t="n"/>
      <c r="P464" s="854" t="n"/>
      <c r="Q464" s="758" t="n"/>
      <c r="R464" s="755">
        <f>SUM(K464:Q464)</f>
        <v/>
      </c>
      <c r="S464" s="755">
        <f>J464*16900</f>
        <v/>
      </c>
    </row>
    <row r="465" customFormat="1" s="638">
      <c r="A465" s="356" t="inlineStr">
        <is>
          <t>투메릭</t>
        </is>
      </c>
      <c r="B465" s="774" t="n"/>
      <c r="C465" s="35" t="n"/>
      <c r="D465" s="234" t="n"/>
      <c r="E465" s="234" t="n"/>
      <c r="F465" s="191" t="n"/>
      <c r="G465" s="195" t="n"/>
      <c r="H465" s="80" t="n"/>
      <c r="I465" s="114" t="n"/>
      <c r="J465" s="35">
        <f>SUM(B465:I465)</f>
        <v/>
      </c>
      <c r="K465" s="755">
        <f>C465*128000</f>
        <v/>
      </c>
      <c r="L465" s="839" t="n"/>
      <c r="M465" s="770" t="n"/>
      <c r="N465" s="863">
        <f>F465*115000</f>
        <v/>
      </c>
      <c r="O465" s="757" t="n"/>
      <c r="P465" s="854" t="n"/>
      <c r="Q465" s="758" t="n"/>
      <c r="R465" s="755">
        <f>SUM(K465:Q465)</f>
        <v/>
      </c>
      <c r="S465" s="755">
        <f>J465*11100</f>
        <v/>
      </c>
    </row>
    <row r="466" customFormat="1" s="638">
      <c r="A466" s="354" t="inlineStr">
        <is>
          <t>티트리프리미엄</t>
        </is>
      </c>
      <c r="B466" s="774" t="n"/>
      <c r="C466" s="237" t="n"/>
      <c r="D466" s="234" t="n"/>
      <c r="E466" s="234" t="n"/>
      <c r="F466" s="230" t="n"/>
      <c r="G466" s="345" t="n"/>
      <c r="H466" s="80" t="n"/>
      <c r="I466" s="114" t="n"/>
      <c r="J466" s="35">
        <f>SUM(B466:I466)</f>
        <v/>
      </c>
      <c r="K466" s="755" t="n">
        <v>0</v>
      </c>
      <c r="L466" s="839" t="n"/>
      <c r="M466" s="770" t="n"/>
      <c r="N466" s="863" t="n">
        <v>0</v>
      </c>
      <c r="O466" s="757" t="n"/>
      <c r="P466" s="854" t="n"/>
      <c r="Q466" s="758" t="n"/>
      <c r="R466" s="755">
        <f>SUM(K466:Q466)</f>
        <v/>
      </c>
      <c r="S466" s="755">
        <f>J466*10100</f>
        <v/>
      </c>
    </row>
    <row r="467" customFormat="1" s="638">
      <c r="A467" s="356" t="inlineStr">
        <is>
          <t>파인</t>
        </is>
      </c>
      <c r="B467" s="774" t="n"/>
      <c r="C467" s="35" t="n"/>
      <c r="D467" s="234" t="n"/>
      <c r="E467" s="234" t="n"/>
      <c r="F467" s="191" t="n"/>
      <c r="G467" s="195" t="n"/>
      <c r="H467" s="80" t="n"/>
      <c r="I467" s="114" t="n"/>
      <c r="J467" s="35">
        <f>SUM(B467:I467)</f>
        <v/>
      </c>
      <c r="K467" s="755" t="n">
        <v>0</v>
      </c>
      <c r="L467" s="839" t="n"/>
      <c r="M467" s="770" t="n"/>
      <c r="N467" s="863" t="n">
        <v>0</v>
      </c>
      <c r="O467" s="757" t="n"/>
      <c r="P467" s="854" t="n"/>
      <c r="Q467" s="758" t="n"/>
      <c r="R467" s="755">
        <f>SUM(K467:Q467)</f>
        <v/>
      </c>
      <c r="S467" s="755">
        <f>J467*26800</f>
        <v/>
      </c>
    </row>
    <row r="468" customFormat="1" s="638">
      <c r="A468" s="356" t="inlineStr">
        <is>
          <t>팔마로사</t>
        </is>
      </c>
      <c r="B468" s="774" t="n"/>
      <c r="C468" s="35" t="n"/>
      <c r="D468" s="234" t="n"/>
      <c r="E468" s="234" t="n"/>
      <c r="F468" s="191" t="n"/>
      <c r="G468" s="195" t="n"/>
      <c r="H468" s="80" t="n"/>
      <c r="I468" s="114" t="n"/>
      <c r="J468" s="35">
        <f>SUM(B468:I468)</f>
        <v/>
      </c>
      <c r="K468" s="755" t="n">
        <v>0</v>
      </c>
      <c r="L468" s="839" t="n"/>
      <c r="M468" s="770" t="n"/>
      <c r="N468" s="863" t="n">
        <v>0</v>
      </c>
      <c r="O468" s="757" t="n"/>
      <c r="P468" s="854" t="n"/>
      <c r="Q468" s="758" t="n"/>
      <c r="R468" s="755">
        <f>SUM(K468:Q468)</f>
        <v/>
      </c>
      <c r="S468" s="755">
        <f>J468*13100</f>
        <v/>
      </c>
    </row>
    <row r="469" customFormat="1" s="638">
      <c r="A469" s="354" t="inlineStr">
        <is>
          <t>페퍼민트</t>
        </is>
      </c>
      <c r="B469" s="774" t="n"/>
      <c r="C469" s="237" t="n"/>
      <c r="D469" s="234" t="n"/>
      <c r="E469" s="234" t="n"/>
      <c r="F469" s="230" t="n"/>
      <c r="G469" s="345" t="n"/>
      <c r="H469" s="80" t="n"/>
      <c r="I469" s="114" t="n"/>
      <c r="J469" s="35">
        <f>SUM(B469:I469)</f>
        <v/>
      </c>
      <c r="K469" s="755" t="n">
        <v>0</v>
      </c>
      <c r="L469" s="839" t="n"/>
      <c r="M469" s="770" t="n"/>
      <c r="N469" s="863" t="n">
        <v>0</v>
      </c>
      <c r="O469" s="757" t="n"/>
      <c r="P469" s="854" t="n"/>
      <c r="Q469" s="758" t="n"/>
      <c r="R469" s="755">
        <f>SUM(K469:Q469)</f>
        <v/>
      </c>
      <c r="S469" s="755">
        <f>J469*7400</f>
        <v/>
      </c>
    </row>
    <row r="470" customFormat="1" s="638">
      <c r="A470" s="356" t="inlineStr">
        <is>
          <t>페티그레인</t>
        </is>
      </c>
      <c r="B470" s="774" t="n"/>
      <c r="C470" s="35" t="n"/>
      <c r="D470" s="234" t="n"/>
      <c r="E470" s="234" t="n"/>
      <c r="F470" s="191" t="n"/>
      <c r="G470" s="195" t="n"/>
      <c r="H470" s="80" t="n"/>
      <c r="I470" s="114" t="n"/>
      <c r="J470" s="35">
        <f>SUM(B470:I470)</f>
        <v/>
      </c>
      <c r="K470" s="755" t="n">
        <v>0</v>
      </c>
      <c r="L470" s="839" t="n"/>
      <c r="M470" s="770" t="n"/>
      <c r="N470" s="863" t="n">
        <v>0</v>
      </c>
      <c r="O470" s="757" t="n"/>
      <c r="P470" s="854" t="n"/>
      <c r="Q470" s="758" t="n"/>
      <c r="R470" s="755">
        <f>SUM(K470:Q470)</f>
        <v/>
      </c>
      <c r="S470" s="755">
        <f>J470*30100</f>
        <v/>
      </c>
    </row>
    <row r="471" customFormat="1" s="638">
      <c r="A471" s="356" t="inlineStr">
        <is>
          <t>패츌리</t>
        </is>
      </c>
      <c r="B471" s="774" t="n"/>
      <c r="C471" s="35" t="n"/>
      <c r="D471" s="234" t="n"/>
      <c r="E471" s="234" t="n"/>
      <c r="F471" s="191" t="n"/>
      <c r="G471" s="195" t="n"/>
      <c r="H471" s="80" t="n"/>
      <c r="I471" s="114" t="n"/>
      <c r="J471" s="35">
        <f>SUM(B471:I471)</f>
        <v/>
      </c>
      <c r="K471" s="755" t="n">
        <v>0</v>
      </c>
      <c r="L471" s="839" t="n"/>
      <c r="M471" s="770" t="n"/>
      <c r="N471" s="863" t="n">
        <v>0</v>
      </c>
      <c r="O471" s="757" t="n"/>
      <c r="P471" s="854" t="n"/>
      <c r="Q471" s="758" t="n"/>
      <c r="R471" s="755">
        <f>SUM(K471:Q471)</f>
        <v/>
      </c>
      <c r="S471" s="755">
        <f>J471*66400</f>
        <v/>
      </c>
    </row>
    <row r="472" customFormat="1" s="638">
      <c r="A472" s="356" t="inlineStr">
        <is>
          <t>펜넬</t>
        </is>
      </c>
      <c r="B472" s="774" t="n"/>
      <c r="C472" s="35" t="n"/>
      <c r="D472" s="234" t="n"/>
      <c r="E472" s="234" t="n"/>
      <c r="F472" s="191" t="n"/>
      <c r="G472" s="195" t="n"/>
      <c r="H472" s="80" t="n"/>
      <c r="I472" s="114" t="n"/>
      <c r="J472" s="35">
        <f>SUM(B472:I472)</f>
        <v/>
      </c>
      <c r="K472" s="755" t="n">
        <v>0</v>
      </c>
      <c r="L472" s="839" t="n"/>
      <c r="M472" s="770" t="n"/>
      <c r="N472" s="863" t="n">
        <v>0</v>
      </c>
      <c r="O472" s="757" t="n"/>
      <c r="P472" s="854" t="n"/>
      <c r="Q472" s="758" t="n"/>
      <c r="R472" s="755">
        <f>SUM(K472:Q472)</f>
        <v/>
      </c>
      <c r="S472" s="755">
        <f>J472*26800</f>
        <v/>
      </c>
    </row>
    <row r="473" customFormat="1" s="638">
      <c r="A473" s="356" t="inlineStr">
        <is>
          <t>프랑킨센스(유향나무)</t>
        </is>
      </c>
      <c r="B473" s="774" t="n"/>
      <c r="C473" s="237" t="n"/>
      <c r="D473" s="234" t="n"/>
      <c r="E473" s="234" t="n"/>
      <c r="F473" s="230" t="n"/>
      <c r="G473" s="345" t="n"/>
      <c r="H473" s="80" t="n"/>
      <c r="I473" s="114" t="n"/>
      <c r="J473" s="35">
        <f>SUM(B473:I473)</f>
        <v/>
      </c>
      <c r="K473" s="755" t="n">
        <v>0</v>
      </c>
      <c r="L473" s="839" t="n"/>
      <c r="M473" s="770" t="n"/>
      <c r="N473" s="863" t="n">
        <v>0</v>
      </c>
      <c r="O473" s="757" t="n"/>
      <c r="P473" s="854" t="n"/>
      <c r="Q473" s="758" t="n"/>
      <c r="R473" s="755">
        <f>SUM(K473:Q473)</f>
        <v/>
      </c>
      <c r="S473" s="755">
        <f>J473*41100</f>
        <v/>
      </c>
    </row>
    <row r="474" customFormat="1" s="638">
      <c r="A474" s="356" t="inlineStr">
        <is>
          <t>헬리크리섬</t>
        </is>
      </c>
      <c r="B474" s="774" t="n"/>
      <c r="C474" s="237" t="n"/>
      <c r="D474" s="234" t="n"/>
      <c r="E474" s="234" t="n"/>
      <c r="F474" s="230" t="n"/>
      <c r="G474" s="345" t="n"/>
      <c r="H474" s="80" t="n"/>
      <c r="I474" s="114" t="n"/>
      <c r="J474" s="35">
        <f>SUM(B474:I474)</f>
        <v/>
      </c>
      <c r="K474" s="755">
        <f>C474*1000000</f>
        <v/>
      </c>
      <c r="L474" s="839" t="n"/>
      <c r="M474" s="770" t="n"/>
      <c r="N474" s="863">
        <f>F474*900000</f>
        <v/>
      </c>
      <c r="O474" s="757" t="n"/>
      <c r="P474" s="854" t="n"/>
      <c r="Q474" s="758" t="n"/>
      <c r="R474" s="755">
        <f>SUM(K474:Q474)</f>
        <v/>
      </c>
      <c r="S474" s="755">
        <f>J474*25900</f>
        <v/>
      </c>
    </row>
    <row r="475" customFormat="1" s="638">
      <c r="A475" s="356" t="inlineStr">
        <is>
          <t>히노키</t>
        </is>
      </c>
      <c r="B475" s="774" t="n"/>
      <c r="C475" s="35" t="n"/>
      <c r="D475" s="234" t="n"/>
      <c r="E475" s="234" t="n"/>
      <c r="F475" s="191" t="n"/>
      <c r="G475" s="195" t="n"/>
      <c r="H475" s="80" t="n"/>
      <c r="I475" s="114" t="n"/>
      <c r="J475" s="35">
        <f>SUM(B475:I475)</f>
        <v/>
      </c>
      <c r="K475" s="755" t="n">
        <v>0</v>
      </c>
      <c r="L475" s="839" t="n"/>
      <c r="M475" s="770" t="n"/>
      <c r="N475" s="863" t="n">
        <v>0</v>
      </c>
      <c r="O475" s="757" t="n"/>
      <c r="P475" s="854" t="n"/>
      <c r="Q475" s="758" t="n"/>
      <c r="R475" s="755">
        <f>SUM(K475:Q475)</f>
        <v/>
      </c>
      <c r="S475" s="755">
        <f>J475*70800</f>
        <v/>
      </c>
    </row>
    <row r="476" customFormat="1" s="638">
      <c r="A476" s="356" t="inlineStr">
        <is>
          <t>히솝</t>
        </is>
      </c>
      <c r="B476" s="774" t="n"/>
      <c r="C476" s="35" t="n"/>
      <c r="D476" s="234" t="n"/>
      <c r="E476" s="234" t="n"/>
      <c r="F476" s="191" t="n"/>
      <c r="G476" s="195" t="n"/>
      <c r="H476" s="80" t="n"/>
      <c r="I476" s="114" t="n"/>
      <c r="J476" s="35">
        <f>SUM(B476:I476)</f>
        <v/>
      </c>
      <c r="K476" s="755">
        <f>C476*184000</f>
        <v/>
      </c>
      <c r="L476" s="839" t="n"/>
      <c r="M476" s="770" t="n"/>
      <c r="N476" s="863">
        <f>F476*166000</f>
        <v/>
      </c>
      <c r="O476" s="757" t="n"/>
      <c r="P476" s="854" t="n"/>
      <c r="Q476" s="758" t="n"/>
      <c r="R476" s="755">
        <f>SUM(K476:Q476)</f>
        <v/>
      </c>
      <c r="S476" s="755">
        <f>J476*21700</f>
        <v/>
      </c>
    </row>
    <row r="477" customFormat="1" s="638">
      <c r="A477" s="356" t="inlineStr">
        <is>
          <t xml:space="preserve"> 발삼전나무오가닉</t>
        </is>
      </c>
      <c r="B477" s="774" t="n"/>
      <c r="C477" s="35" t="n"/>
      <c r="D477" s="234" t="n"/>
      <c r="E477" s="234" t="n"/>
      <c r="F477" s="191" t="n"/>
      <c r="G477" s="195" t="n"/>
      <c r="H477" s="80" t="n"/>
      <c r="I477" s="114" t="n"/>
      <c r="J477" s="35">
        <f>SUM(B477:I477)</f>
        <v/>
      </c>
      <c r="K477" s="755" t="n">
        <v>0</v>
      </c>
      <c r="L477" s="839" t="n"/>
      <c r="M477" s="770" t="n"/>
      <c r="N477" s="863" t="n">
        <v>0</v>
      </c>
      <c r="O477" s="757" t="n"/>
      <c r="P477" s="854" t="n"/>
      <c r="Q477" s="758" t="n"/>
      <c r="R477" s="755">
        <f>SUM(K477:Q477)</f>
        <v/>
      </c>
      <c r="S477" s="755">
        <f>J477*19100</f>
        <v/>
      </c>
    </row>
    <row r="478" customFormat="1" s="638">
      <c r="A478" s="356" t="inlineStr">
        <is>
          <t>잭파인에스엠오가닉</t>
        </is>
      </c>
      <c r="B478" s="774" t="n"/>
      <c r="C478" s="35" t="n"/>
      <c r="D478" s="234" t="n"/>
      <c r="E478" s="234" t="n"/>
      <c r="F478" s="191" t="n"/>
      <c r="G478" s="195" t="n"/>
      <c r="H478" s="80" t="n"/>
      <c r="I478" s="114" t="n"/>
      <c r="J478" s="35">
        <f>SUM(B478:I478)</f>
        <v/>
      </c>
      <c r="K478" s="755" t="n">
        <v>0</v>
      </c>
      <c r="L478" s="839" t="n"/>
      <c r="M478" s="770" t="n"/>
      <c r="N478" s="863" t="n">
        <v>0</v>
      </c>
      <c r="O478" s="757" t="n"/>
      <c r="P478" s="854" t="n"/>
      <c r="Q478" s="758" t="n"/>
      <c r="R478" s="755">
        <f>SUM(K478:Q478)</f>
        <v/>
      </c>
      <c r="S478" s="755">
        <f>J478*32200</f>
        <v/>
      </c>
    </row>
    <row r="479" customFormat="1" s="638">
      <c r="A479" s="356" t="inlineStr">
        <is>
          <t>(W)가문비나무오가닉</t>
        </is>
      </c>
      <c r="B479" s="774" t="n"/>
      <c r="C479" s="35" t="n"/>
      <c r="D479" s="234" t="n"/>
      <c r="E479" s="234" t="n"/>
      <c r="F479" s="191" t="n"/>
      <c r="G479" s="195" t="n"/>
      <c r="H479" s="80" t="n"/>
      <c r="I479" s="114" t="n"/>
      <c r="J479" s="35">
        <f>SUM(B479:I479)</f>
        <v/>
      </c>
      <c r="K479" s="755" t="n">
        <v>0</v>
      </c>
      <c r="L479" s="839" t="n"/>
      <c r="M479" s="770" t="n"/>
      <c r="N479" s="863" t="n">
        <v>0</v>
      </c>
      <c r="O479" s="757" t="n"/>
      <c r="P479" s="854" t="n"/>
      <c r="Q479" s="758" t="n"/>
      <c r="R479" s="755">
        <f>SUM(K479:Q479)</f>
        <v/>
      </c>
      <c r="S479" s="755">
        <f>J479*45600</f>
        <v/>
      </c>
    </row>
    <row r="480" customFormat="1" s="638">
      <c r="A480" s="356" t="inlineStr">
        <is>
          <t>타마락낙엽송오가닉</t>
        </is>
      </c>
      <c r="B480" s="774" t="n"/>
      <c r="C480" s="35" t="n"/>
      <c r="D480" s="234" t="n"/>
      <c r="E480" s="234" t="n"/>
      <c r="F480" s="191" t="n"/>
      <c r="G480" s="195" t="n"/>
      <c r="H480" s="80" t="n"/>
      <c r="I480" s="114" t="n"/>
      <c r="J480" s="35">
        <f>SUM(B480:I480)</f>
        <v/>
      </c>
      <c r="K480" s="755" t="n">
        <v>0</v>
      </c>
      <c r="L480" s="839" t="n"/>
      <c r="M480" s="770" t="n"/>
      <c r="N480" s="863" t="n">
        <v>0</v>
      </c>
      <c r="O480" s="757" t="n"/>
      <c r="P480" s="854" t="n"/>
      <c r="Q480" s="758" t="n"/>
      <c r="R480" s="755">
        <f>SUM(K480:Q480)</f>
        <v/>
      </c>
      <c r="S480" s="755">
        <f>J480*62600</f>
        <v/>
      </c>
    </row>
    <row r="481" customFormat="1" s="638">
      <c r="A481" s="356" t="inlineStr">
        <is>
          <t>동백삼나무잎</t>
        </is>
      </c>
      <c r="B481" s="774" t="n"/>
      <c r="C481" s="35" t="n"/>
      <c r="D481" s="234" t="n"/>
      <c r="E481" s="234" t="n"/>
      <c r="F481" s="191" t="n"/>
      <c r="G481" s="195" t="n"/>
      <c r="H481" s="80" t="n"/>
      <c r="I481" s="114" t="n"/>
      <c r="J481" s="35">
        <f>SUM(B481:I481)</f>
        <v/>
      </c>
      <c r="K481" s="755" t="n">
        <v>0</v>
      </c>
      <c r="L481" s="839" t="n"/>
      <c r="M481" s="770" t="n"/>
      <c r="N481" s="863" t="n">
        <v>0</v>
      </c>
      <c r="O481" s="757" t="n"/>
      <c r="P481" s="854" t="n"/>
      <c r="Q481" s="758" t="n"/>
      <c r="R481" s="755">
        <f>SUM(K481:Q481)</f>
        <v/>
      </c>
      <c r="S481" s="755">
        <f>J481*29300</f>
        <v/>
      </c>
    </row>
    <row r="482" customFormat="1" s="638">
      <c r="A482" s="356" t="inlineStr">
        <is>
          <t>노르웨이소나무</t>
        </is>
      </c>
      <c r="B482" s="775" t="n"/>
      <c r="C482" s="35" t="n"/>
      <c r="D482" s="234" t="n"/>
      <c r="E482" s="234" t="n"/>
      <c r="F482" s="191" t="n"/>
      <c r="G482" s="195" t="n"/>
      <c r="H482" s="80" t="n"/>
      <c r="I482" s="114" t="n"/>
      <c r="J482" s="35">
        <f>SUM(B482:I482)</f>
        <v/>
      </c>
      <c r="K482" s="755" t="n">
        <v>0</v>
      </c>
      <c r="L482" s="839" t="n"/>
      <c r="M482" s="770" t="n"/>
      <c r="N482" s="863" t="n">
        <v>0</v>
      </c>
      <c r="O482" s="757" t="n"/>
      <c r="P482" s="854" t="n"/>
      <c r="Q482" s="758" t="n"/>
      <c r="R482" s="755">
        <f>SUM(K482:Q482)</f>
        <v/>
      </c>
      <c r="S482" s="755">
        <f>J482*28700</f>
        <v/>
      </c>
    </row>
    <row r="483" customFormat="1" s="638">
      <c r="A483" s="356" t="n"/>
      <c r="B483" s="697" t="n"/>
      <c r="C483" s="35" t="n"/>
      <c r="D483" s="234" t="n"/>
      <c r="E483" s="234" t="n"/>
      <c r="F483" s="191" t="n"/>
      <c r="G483" s="195" t="n"/>
      <c r="H483" s="80" t="n"/>
      <c r="I483" s="114" t="n"/>
      <c r="J483" s="35" t="n"/>
      <c r="K483" s="755" t="n"/>
      <c r="L483" s="839" t="n"/>
      <c r="M483" s="770" t="n"/>
      <c r="N483" s="863" t="n"/>
      <c r="O483" s="757" t="n"/>
      <c r="P483" s="854" t="n"/>
      <c r="Q483" s="758" t="n"/>
      <c r="R483" s="755" t="n"/>
      <c r="S483" s="755" t="n"/>
    </row>
    <row r="484" customFormat="1" s="74">
      <c r="A484" s="504" t="inlineStr">
        <is>
          <t>100ml합계</t>
        </is>
      </c>
      <c r="B484" s="506" t="n"/>
      <c r="C484" s="450">
        <f>SUM(C413:C483)</f>
        <v/>
      </c>
      <c r="D484" s="450">
        <f>SUM(D413:D483)</f>
        <v/>
      </c>
      <c r="E484" s="450">
        <f>SUM(E413:E483)</f>
        <v/>
      </c>
      <c r="F484" s="450">
        <f>SUM(F413:F483)</f>
        <v/>
      </c>
      <c r="G484" s="450">
        <f>SUM(G413:G483)</f>
        <v/>
      </c>
      <c r="H484" s="450">
        <f>SUM(H413:H483)</f>
        <v/>
      </c>
      <c r="I484" s="450">
        <f>SUM(I413:I483)</f>
        <v/>
      </c>
      <c r="J484" s="450">
        <f>SUM(J413:J483)</f>
        <v/>
      </c>
      <c r="K484" s="886">
        <f>SUM(K413:K483)</f>
        <v/>
      </c>
      <c r="L484" s="886">
        <f>SUM(L413:L483)</f>
        <v/>
      </c>
      <c r="M484" s="886">
        <f>SUM(M413:M483)</f>
        <v/>
      </c>
      <c r="N484" s="886">
        <f>SUM(N413:N483)</f>
        <v/>
      </c>
      <c r="O484" s="886">
        <f>SUM(O413:O483)</f>
        <v/>
      </c>
      <c r="P484" s="886">
        <f>SUM(P413:P483)</f>
        <v/>
      </c>
      <c r="Q484" s="886">
        <f>SUM(Q413:Q483)</f>
        <v/>
      </c>
      <c r="R484" s="886">
        <f>SUM(K484:Q484)</f>
        <v/>
      </c>
      <c r="S484" s="886">
        <f>SUM(S413:S483)</f>
        <v/>
      </c>
    </row>
    <row r="485" customFormat="1" s="638">
      <c r="A485" s="356" t="n"/>
      <c r="B485" s="505" t="n"/>
      <c r="C485" s="35" t="n"/>
      <c r="D485" s="234" t="n"/>
      <c r="E485" s="234" t="n"/>
      <c r="F485" s="191" t="n"/>
      <c r="G485" s="195" t="n"/>
      <c r="H485" s="80" t="n"/>
      <c r="I485" s="114" t="n"/>
      <c r="J485" s="35" t="n"/>
      <c r="K485" s="836" t="n"/>
      <c r="L485" s="839" t="n"/>
      <c r="M485" s="770" t="n"/>
      <c r="N485" s="771" t="n"/>
      <c r="O485" s="757" t="n"/>
      <c r="P485" s="854" t="n"/>
      <c r="Q485" s="758" t="n"/>
      <c r="R485" s="755" t="n"/>
      <c r="S485" s="755" t="n"/>
    </row>
    <row r="486" ht="16.5" customFormat="1" customHeight="1" s="638">
      <c r="A486" s="356" t="inlineStr">
        <is>
          <t>호호바골든1KG</t>
        </is>
      </c>
      <c r="B486" s="547" t="inlineStr">
        <is>
          <t>P0000BJR  /  P0000BKG</t>
        </is>
      </c>
      <c r="C486" s="35" t="n">
        <v>1</v>
      </c>
      <c r="D486" s="234" t="n"/>
      <c r="E486" s="234" t="n"/>
      <c r="F486" s="191" t="n"/>
      <c r="G486" s="195" t="n"/>
      <c r="H486" s="80" t="n"/>
      <c r="I486" s="114" t="n"/>
      <c r="J486" s="35">
        <f>SUM(B486:I486)</f>
        <v/>
      </c>
      <c r="K486" s="836">
        <f>C486*156000</f>
        <v/>
      </c>
      <c r="L486" s="839" t="n"/>
      <c r="M486" s="770">
        <f>E486*156000</f>
        <v/>
      </c>
      <c r="N486" s="771">
        <f>F486*124800</f>
        <v/>
      </c>
      <c r="O486" s="757" t="n"/>
      <c r="P486" s="854" t="n"/>
      <c r="Q486" s="758" t="n"/>
      <c r="R486" s="755">
        <f>SUM(K486:Q486)</f>
        <v/>
      </c>
      <c r="S486" s="755">
        <f>J486*22320</f>
        <v/>
      </c>
    </row>
    <row r="487" customFormat="1" s="275">
      <c r="A487" s="356" t="inlineStr">
        <is>
          <t>썬플라워오일1KG</t>
        </is>
      </c>
      <c r="B487" s="774" t="n"/>
      <c r="C487" s="539" t="n"/>
      <c r="D487" s="233" t="n"/>
      <c r="E487" s="233" t="n"/>
      <c r="F487" s="218" t="n"/>
      <c r="G487" s="413" t="n"/>
      <c r="H487" s="413" t="n"/>
      <c r="I487" s="413" t="n"/>
      <c r="J487" s="218">
        <f>SUM(B487:I487)</f>
        <v/>
      </c>
      <c r="K487" s="836">
        <f>C487*44000</f>
        <v/>
      </c>
      <c r="L487" s="888" t="n"/>
      <c r="M487" s="770">
        <f>E487*44000</f>
        <v/>
      </c>
      <c r="N487" s="771">
        <f>F487*35200</f>
        <v/>
      </c>
      <c r="O487" s="888" t="n"/>
      <c r="P487" s="889" t="n"/>
      <c r="Q487" s="890" t="n"/>
      <c r="R487" s="755">
        <f>SUM(K487:Q487)</f>
        <v/>
      </c>
      <c r="S487" s="755">
        <f>J487*10230</f>
        <v/>
      </c>
    </row>
    <row r="488" customFormat="1" s="275">
      <c r="A488" s="356" t="inlineStr">
        <is>
          <t>포도씨오일1KG</t>
        </is>
      </c>
      <c r="B488" s="774" t="n"/>
      <c r="C488" s="539" t="n"/>
      <c r="D488" s="233" t="n"/>
      <c r="E488" s="233" t="n"/>
      <c r="F488" s="218" t="n"/>
      <c r="G488" s="413" t="n"/>
      <c r="H488" s="413" t="n"/>
      <c r="I488" s="413" t="n"/>
      <c r="J488" s="218">
        <f>SUM(B488:I488)</f>
        <v/>
      </c>
      <c r="K488" s="836">
        <f>C488*44000</f>
        <v/>
      </c>
      <c r="L488" s="888" t="n"/>
      <c r="M488" s="770">
        <f>E488*44000</f>
        <v/>
      </c>
      <c r="N488" s="771">
        <f>F488*35200</f>
        <v/>
      </c>
      <c r="O488" s="888" t="n"/>
      <c r="P488" s="889" t="n"/>
      <c r="Q488" s="890" t="n"/>
      <c r="R488" s="755">
        <f>SUM(K488:Q488)</f>
        <v/>
      </c>
      <c r="S488" s="755">
        <f>J488*10780</f>
        <v/>
      </c>
    </row>
    <row r="489" customFormat="1" s="275">
      <c r="A489" s="356" t="inlineStr">
        <is>
          <t>스윗아몬드오일1KG</t>
        </is>
      </c>
      <c r="B489" s="774" t="n"/>
      <c r="C489" s="218" t="n"/>
      <c r="D489" s="233" t="n"/>
      <c r="E489" s="234" t="n"/>
      <c r="F489" s="218" t="n"/>
      <c r="G489" s="413" t="n"/>
      <c r="H489" s="413" t="n"/>
      <c r="I489" s="413" t="n"/>
      <c r="J489" s="218">
        <f>SUM(B489:I489)</f>
        <v/>
      </c>
      <c r="K489" s="836">
        <f>C489*66000</f>
        <v/>
      </c>
      <c r="L489" s="888" t="n"/>
      <c r="M489" s="770">
        <f>E489*66000</f>
        <v/>
      </c>
      <c r="N489" s="771">
        <f>F489*52800</f>
        <v/>
      </c>
      <c r="O489" s="888" t="n"/>
      <c r="P489" s="889" t="n"/>
      <c r="Q489" s="890" t="n"/>
      <c r="R489" s="755">
        <f>SUM(K489:Q489)</f>
        <v/>
      </c>
      <c r="S489" s="755">
        <f>J489*14300</f>
        <v/>
      </c>
    </row>
    <row r="490" customFormat="1" s="412">
      <c r="A490" s="356" t="inlineStr">
        <is>
          <t>코코넛오일1KG</t>
        </is>
      </c>
      <c r="B490" s="775" t="n"/>
      <c r="C490" s="218" t="n"/>
      <c r="D490" s="233" t="n"/>
      <c r="E490" s="234" t="n"/>
      <c r="F490" s="191" t="n"/>
      <c r="G490" s="413" t="n"/>
      <c r="H490" s="413" t="n"/>
      <c r="I490" s="413" t="n"/>
      <c r="J490" s="218">
        <f>SUM(B490:I490)</f>
        <v/>
      </c>
      <c r="K490" s="836">
        <f>C490*36000</f>
        <v/>
      </c>
      <c r="L490" s="888" t="n"/>
      <c r="M490" s="770">
        <f>E490*36000</f>
        <v/>
      </c>
      <c r="N490" s="771">
        <f>F490*28800</f>
        <v/>
      </c>
      <c r="O490" s="888" t="n"/>
      <c r="P490" s="889" t="n"/>
      <c r="Q490" s="890" t="n"/>
      <c r="R490" s="755">
        <f>SUM(K490:Q490)</f>
        <v/>
      </c>
      <c r="S490" s="755">
        <f>J490*6600</f>
        <v/>
      </c>
    </row>
    <row r="491">
      <c r="A491" s="515" t="inlineStr">
        <is>
          <t>캐리어오일합계</t>
        </is>
      </c>
      <c r="B491" s="516" t="n"/>
      <c r="C491" s="541">
        <f>SUM(C486:C490)</f>
        <v/>
      </c>
      <c r="D491" s="541">
        <f>SUM(D486:D490)</f>
        <v/>
      </c>
      <c r="E491" s="541">
        <f>SUM(E486:E490)</f>
        <v/>
      </c>
      <c r="F491" s="541">
        <f>SUM(F486:F490)</f>
        <v/>
      </c>
      <c r="G491" s="541">
        <f>SUM(G486:G490)</f>
        <v/>
      </c>
      <c r="H491" s="541">
        <f>SUM(H486:H490)</f>
        <v/>
      </c>
      <c r="I491" s="541">
        <f>SUM(I486:I490)</f>
        <v/>
      </c>
      <c r="J491" s="541">
        <f>SUM(J486:J490)</f>
        <v/>
      </c>
      <c r="K491" s="891">
        <f>SUM(K485:K490)</f>
        <v/>
      </c>
      <c r="L491" s="891">
        <f>SUM(L485:L490)</f>
        <v/>
      </c>
      <c r="M491" s="891">
        <f>SUM(M485:M490)</f>
        <v/>
      </c>
      <c r="N491" s="891">
        <f>SUM(N485:N490)</f>
        <v/>
      </c>
      <c r="O491" s="891">
        <f>SUM(O485:O490)</f>
        <v/>
      </c>
      <c r="P491" s="891">
        <f>SUM(P485:P490)</f>
        <v/>
      </c>
      <c r="Q491" s="891">
        <f>SUM(Q485:Q490)</f>
        <v/>
      </c>
      <c r="R491" s="892">
        <f>SUM(K491:Q491)</f>
        <v/>
      </c>
      <c r="S491" s="893">
        <f>SUM(S485:S490)</f>
        <v/>
      </c>
    </row>
    <row r="492">
      <c r="A492" s="517" t="n"/>
      <c r="D492" s="142" t="n"/>
      <c r="E492" s="143" t="n"/>
      <c r="F492" s="691" t="n"/>
      <c r="G492" s="12" t="n"/>
      <c r="H492" s="691" t="n"/>
      <c r="I492" s="691" t="inlineStr">
        <is>
          <t>자디니아로마합계</t>
        </is>
      </c>
      <c r="K492" s="894">
        <f>K491+K484+K411</f>
        <v/>
      </c>
      <c r="L492" s="895" t="n"/>
      <c r="M492" s="896" t="n"/>
      <c r="N492" s="896" t="n"/>
      <c r="O492" s="896" t="n"/>
      <c r="P492" s="897" t="n"/>
      <c r="Q492" s="898" t="n"/>
      <c r="R492" s="894">
        <f>R491+R484+R411</f>
        <v/>
      </c>
      <c r="S492" s="899">
        <f>S491+S484+S411</f>
        <v/>
      </c>
    </row>
    <row r="493" customFormat="1" s="244">
      <c r="B493" s="245" t="n"/>
      <c r="C493" s="245" t="n"/>
      <c r="D493" s="514" t="n"/>
      <c r="E493" s="500" t="n"/>
      <c r="F493" s="501" t="n"/>
      <c r="G493" s="502" t="n"/>
      <c r="H493" s="491" t="n"/>
      <c r="I493" s="501" t="n"/>
      <c r="J493" s="501" t="n"/>
      <c r="K493" s="866" t="n"/>
      <c r="L493" s="866" t="n"/>
      <c r="M493" s="867" t="n"/>
      <c r="N493" s="867" t="n"/>
      <c r="O493" s="868" t="n"/>
      <c r="P493" s="869" t="n"/>
      <c r="Q493" s="870" t="n"/>
      <c r="R493" s="866" t="n"/>
      <c r="S493" s="871" t="n"/>
    </row>
    <row r="494" ht="17.25" customFormat="1" customHeight="1" s="638" thickBot="1">
      <c r="A494" s="0" t="inlineStr">
        <is>
          <t>고마쥐튜브</t>
        </is>
      </c>
      <c r="C494" s="628" t="n"/>
      <c r="F494" s="163" t="n"/>
      <c r="J494" s="164" t="n"/>
      <c r="K494" s="900" t="n"/>
      <c r="L494" s="900" t="n"/>
      <c r="M494" s="900" t="n"/>
      <c r="N494" s="900" t="n"/>
      <c r="O494" s="820" t="n"/>
      <c r="P494" s="900" t="n"/>
      <c r="Q494" s="900" t="n"/>
      <c r="R494" s="0" t="n"/>
    </row>
    <row r="495" customFormat="1" s="638">
      <c r="A495" s="0" t="inlineStr">
        <is>
          <t>히알공병</t>
        </is>
      </c>
      <c r="C495" s="628" t="n"/>
      <c r="F495" s="163" t="n"/>
      <c r="J495" s="141" t="n"/>
      <c r="K495" s="901" t="inlineStr">
        <is>
          <t>라이콘합계</t>
        </is>
      </c>
      <c r="L495" s="902" t="inlineStr">
        <is>
          <t>제모미인합계</t>
        </is>
      </c>
      <c r="M495" s="903" t="inlineStr">
        <is>
          <t>자디니아로마</t>
        </is>
      </c>
      <c r="N495" s="904" t="inlineStr">
        <is>
          <t>비품합계</t>
        </is>
      </c>
      <c r="O495" s="905" t="n"/>
      <c r="P495" s="906" t="inlineStr">
        <is>
          <t>총합계</t>
        </is>
      </c>
      <c r="Q495" s="907" t="n"/>
      <c r="R495" s="797" t="n"/>
      <c r="S495" s="0" t="n"/>
    </row>
    <row r="496" customFormat="1" s="638">
      <c r="A496" s="0" t="n"/>
      <c r="C496" s="628" t="n"/>
      <c r="F496" s="163" t="n"/>
      <c r="J496" s="141" t="inlineStr">
        <is>
          <t>매출</t>
        </is>
      </c>
      <c r="K496" s="908">
        <f>R24+R44+R61+R85+R102+R120+R127+R133+R141+R159</f>
        <v/>
      </c>
      <c r="L496" s="829">
        <f>R222+R232+R238+R246</f>
        <v/>
      </c>
      <c r="M496" s="796">
        <f>R492</f>
        <v/>
      </c>
      <c r="N496" s="909">
        <f>R259+R330</f>
        <v/>
      </c>
      <c r="O496" s="797" t="n"/>
      <c r="P496" s="910">
        <f>SUM(K496:O496)</f>
        <v/>
      </c>
      <c r="Q496" s="907" t="n"/>
      <c r="R496" s="797" t="n"/>
      <c r="S496" s="0" t="n"/>
    </row>
    <row r="497" ht="17.25" customFormat="1" customHeight="1" s="638" thickBot="1">
      <c r="A497" s="0" t="inlineStr">
        <is>
          <t>인그로운스프레이</t>
        </is>
      </c>
      <c r="C497" s="628" t="n"/>
      <c r="F497" s="163" t="n"/>
      <c r="J497" s="520" t="inlineStr">
        <is>
          <t>원가</t>
        </is>
      </c>
      <c r="K497" s="911">
        <f>S24+S44+S61+S85+S102+S120+S127+S133+S141+S159</f>
        <v/>
      </c>
      <c r="L497" s="912">
        <f>S222+S232+S238+S246</f>
        <v/>
      </c>
      <c r="M497" s="913">
        <f>S492</f>
        <v/>
      </c>
      <c r="N497" s="914">
        <f>S259+S330</f>
        <v/>
      </c>
      <c r="O497" s="915" t="n"/>
      <c r="P497" s="916">
        <f>SUM(K497:O497)</f>
        <v/>
      </c>
      <c r="Q497" s="907" t="n"/>
      <c r="R497" s="907" t="n"/>
      <c r="S497" s="0" t="n"/>
    </row>
    <row r="498" customFormat="1" s="638">
      <c r="A498" s="0" t="inlineStr">
        <is>
          <t>공병500ml</t>
        </is>
      </c>
      <c r="C498" s="628" t="n"/>
      <c r="F498" s="163" t="n"/>
      <c r="K498" s="755" t="n"/>
      <c r="L498" s="755" t="n"/>
      <c r="M498" s="756" t="n"/>
      <c r="N498" s="917" t="n"/>
      <c r="O498" s="837" t="inlineStr">
        <is>
          <t>도매매출</t>
        </is>
      </c>
      <c r="P498" s="918" t="inlineStr">
        <is>
          <t>원가</t>
        </is>
      </c>
      <c r="Q498" s="758" t="n"/>
      <c r="R498" s="756" t="n"/>
      <c r="S498" s="0" t="n"/>
    </row>
    <row r="499" customFormat="1" s="638">
      <c r="A499" s="0" t="n"/>
      <c r="C499" s="628" t="n"/>
      <c r="F499" s="163" t="n"/>
      <c r="K499" s="755" t="n"/>
      <c r="L499" s="755" t="n"/>
      <c r="M499" s="756" t="n"/>
      <c r="N499" s="917" t="inlineStr">
        <is>
          <t>라이콘</t>
        </is>
      </c>
      <c r="O499" s="838">
        <f>K496</f>
        <v/>
      </c>
      <c r="P499" s="919">
        <f>K497</f>
        <v/>
      </c>
      <c r="Q499" s="821" t="n"/>
      <c r="R499" s="786" t="n"/>
      <c r="S499" s="0" t="n"/>
    </row>
    <row r="500" customFormat="1" s="638">
      <c r="A500" s="0" t="inlineStr">
        <is>
          <t>샘플공병20ml</t>
        </is>
      </c>
      <c r="B500" s="144" t="n"/>
      <c r="C500" s="628" t="n"/>
      <c r="F500" s="163" t="n"/>
      <c r="H500" s="216" t="n"/>
      <c r="I500" s="216" t="n"/>
      <c r="J500" s="217" t="n"/>
      <c r="K500" s="755" t="n"/>
      <c r="L500" s="755" t="n"/>
      <c r="M500" s="756" t="n"/>
      <c r="N500" s="920" t="inlineStr">
        <is>
          <t>제모미인</t>
        </is>
      </c>
      <c r="O500" s="921">
        <f>L496</f>
        <v/>
      </c>
      <c r="P500" s="922">
        <f>L497</f>
        <v/>
      </c>
      <c r="Q500" s="923" t="n"/>
      <c r="R500" s="923" t="n"/>
      <c r="S500" s="0" t="n"/>
    </row>
    <row r="501" customFormat="1" s="638">
      <c r="A501" s="0" t="inlineStr">
        <is>
          <t>샘플튜브</t>
        </is>
      </c>
      <c r="C501" s="628" t="n"/>
      <c r="F501" s="163" t="n"/>
      <c r="K501" s="755" t="n"/>
      <c r="L501" s="755" t="n"/>
      <c r="M501" s="756" t="n"/>
      <c r="N501" s="924" t="inlineStr">
        <is>
          <t>비품</t>
        </is>
      </c>
      <c r="O501" s="888">
        <f>N496</f>
        <v/>
      </c>
      <c r="P501" s="925">
        <f>N497</f>
        <v/>
      </c>
      <c r="Q501" s="926" t="n"/>
      <c r="R501" s="926" t="n"/>
      <c r="S501" s="0" t="n"/>
    </row>
    <row r="502" customFormat="1" s="638">
      <c r="A502" s="0" t="inlineStr">
        <is>
          <t>MTS롤러</t>
        </is>
      </c>
      <c r="C502" s="628" t="n"/>
      <c r="F502" s="163" t="n"/>
      <c r="K502" s="755" t="n"/>
      <c r="L502" s="927" t="n"/>
      <c r="M502" s="756" t="n"/>
      <c r="N502" s="928" t="inlineStr">
        <is>
          <t>자디니아로마</t>
        </is>
      </c>
      <c r="O502" s="863">
        <f>M496</f>
        <v/>
      </c>
      <c r="P502" s="929">
        <f>M497</f>
        <v/>
      </c>
      <c r="Q502" s="863" t="n"/>
      <c r="R502" s="930" t="n"/>
      <c r="S502" s="0" t="n"/>
    </row>
    <row r="503" customFormat="1" s="638">
      <c r="A503" s="0" t="inlineStr">
        <is>
          <t>위생장갑(S)</t>
        </is>
      </c>
      <c r="C503" s="628" t="n"/>
      <c r="F503" s="213" t="n"/>
      <c r="G503" s="212" t="n"/>
      <c r="K503" s="755" t="n"/>
      <c r="L503" s="927" t="n"/>
      <c r="M503" s="756" t="n"/>
      <c r="N503" s="931" t="n"/>
      <c r="O503" s="932" t="n"/>
      <c r="P503" s="933" t="n"/>
      <c r="Q503" s="930" t="n"/>
      <c r="R503" s="934" t="n"/>
      <c r="S503" s="0" t="n"/>
    </row>
    <row r="504" customFormat="1" s="638">
      <c r="A504" s="0" t="inlineStr">
        <is>
          <t>위생장갑(M)</t>
        </is>
      </c>
      <c r="C504" s="628" t="n"/>
      <c r="F504" s="213" t="n"/>
      <c r="K504" s="755" t="n"/>
      <c r="L504" s="755" t="n"/>
      <c r="M504" s="756" t="n"/>
      <c r="N504" s="935" t="inlineStr">
        <is>
          <t>총합계</t>
        </is>
      </c>
      <c r="O504" s="936">
        <f>SUM(O499:O503)</f>
        <v/>
      </c>
      <c r="P504" s="937">
        <f>SUM(P499:P503)</f>
        <v/>
      </c>
      <c r="Q504" s="821" t="n"/>
      <c r="R504" s="756" t="n"/>
      <c r="S504" s="0" t="n"/>
    </row>
    <row r="505" customFormat="1" s="638">
      <c r="A505" s="0" t="inlineStr">
        <is>
          <t>라텍스장갑(S)</t>
        </is>
      </c>
      <c r="B505" s="572" t="n"/>
      <c r="C505" s="628" t="n"/>
      <c r="K505" s="756" t="n"/>
      <c r="L505" s="888" t="inlineStr">
        <is>
          <t>비품</t>
        </is>
      </c>
      <c r="M505" s="756" t="inlineStr">
        <is>
          <t>라이콘</t>
        </is>
      </c>
      <c r="N505" s="938" t="inlineStr">
        <is>
          <t>제모미인</t>
        </is>
      </c>
      <c r="O505" s="863" t="inlineStr">
        <is>
          <t>자디니아로마</t>
        </is>
      </c>
      <c r="P505" s="939" t="inlineStr">
        <is>
          <t>합계</t>
        </is>
      </c>
      <c r="Q505" s="828" t="inlineStr">
        <is>
          <t>아하</t>
        </is>
      </c>
      <c r="R505" s="638" t="inlineStr">
        <is>
          <t>카페24</t>
        </is>
      </c>
      <c r="S505" s="939" t="n"/>
    </row>
    <row r="506">
      <c r="A506" s="0" t="inlineStr">
        <is>
          <t>라텍스장갑(M)</t>
        </is>
      </c>
      <c r="E506" s="270" t="n"/>
      <c r="K506" s="756" t="inlineStr">
        <is>
          <t>도매</t>
        </is>
      </c>
      <c r="L506" s="888" t="n">
        <v>8382100</v>
      </c>
      <c r="M506" s="756" t="n">
        <v>168967500</v>
      </c>
      <c r="N506" s="940" t="n">
        <v>25481590</v>
      </c>
      <c r="O506" s="863" t="n">
        <v>296000</v>
      </c>
      <c r="P506" s="941">
        <f>SUM(L506:O506)</f>
        <v/>
      </c>
      <c r="Q506" s="755" t="n">
        <v>203125194</v>
      </c>
      <c r="R506" s="266" t="n"/>
      <c r="S506" s="941" t="n"/>
    </row>
    <row r="507">
      <c r="A507" s="0" t="inlineStr">
        <is>
          <t>제모미인스파츌라</t>
        </is>
      </c>
      <c r="K507" s="756" t="n"/>
      <c r="L507" s="888" t="n">
        <v>3187718</v>
      </c>
      <c r="M507" s="756" t="n">
        <v>79425349</v>
      </c>
      <c r="N507" s="940" t="n">
        <v>5569558</v>
      </c>
      <c r="O507" s="863" t="n">
        <v>52630</v>
      </c>
      <c r="P507" s="941">
        <f>SUM(L507:O507)</f>
        <v/>
      </c>
      <c r="Q507" s="755" t="n">
        <v>88101170</v>
      </c>
      <c r="R507" s="266" t="n"/>
      <c r="S507" s="941" t="n"/>
    </row>
    <row r="508">
      <c r="K508" s="756" t="inlineStr">
        <is>
          <t>인증</t>
        </is>
      </c>
      <c r="L508" s="888" t="n"/>
      <c r="N508" s="940" t="n"/>
      <c r="O508" s="863" t="n"/>
      <c r="P508" s="941">
        <f>SUM(L508:O508)</f>
        <v/>
      </c>
      <c r="Q508" s="755" t="n"/>
      <c r="R508" s="266" t="n"/>
      <c r="S508" s="941" t="n"/>
    </row>
    <row r="509">
      <c r="K509" s="756" t="n"/>
      <c r="L509" s="888" t="n"/>
      <c r="N509" s="940" t="n"/>
      <c r="O509" s="863" t="n"/>
      <c r="P509" s="941">
        <f>SUM(L509:O509)</f>
        <v/>
      </c>
      <c r="Q509" s="755" t="n"/>
      <c r="R509" s="266" t="n"/>
      <c r="S509" s="941" t="n"/>
    </row>
    <row r="510">
      <c r="K510" s="756" t="inlineStr">
        <is>
          <t>마스터</t>
        </is>
      </c>
      <c r="L510" s="888">
        <f>N496-L506-L508</f>
        <v/>
      </c>
      <c r="M510" s="756">
        <f>K496-M506-M508</f>
        <v/>
      </c>
      <c r="N510" s="940">
        <f>L496-N506-N508</f>
        <v/>
      </c>
      <c r="O510" s="863">
        <f>M496-O506-O508</f>
        <v/>
      </c>
      <c r="P510" s="941">
        <f>SUM(L510:O510)</f>
        <v/>
      </c>
      <c r="Q510" s="755" t="n">
        <v>41599720</v>
      </c>
      <c r="R510" s="266" t="n"/>
      <c r="S510" s="941" t="n"/>
    </row>
    <row r="511">
      <c r="K511" s="756" t="n"/>
      <c r="L511" s="888">
        <f>N497-L507-L509</f>
        <v/>
      </c>
      <c r="M511" s="756">
        <f>K497-M507-M509</f>
        <v/>
      </c>
      <c r="N511" s="940">
        <f>L497-N507-N509</f>
        <v/>
      </c>
      <c r="O511" s="863">
        <f>M497-O507-O509</f>
        <v/>
      </c>
      <c r="P511" s="941">
        <f>SUM(L511:O511)</f>
        <v/>
      </c>
      <c r="Q511" s="755" t="n">
        <v>20595259</v>
      </c>
      <c r="R511" s="266" t="n"/>
      <c r="S511" s="941" t="n"/>
    </row>
    <row r="512">
      <c r="K512" s="756" t="n"/>
      <c r="L512" s="888" t="n"/>
      <c r="N512" s="940" t="n"/>
      <c r="O512" s="863" t="n"/>
      <c r="P512" s="941" t="n"/>
      <c r="Q512" s="755" t="n"/>
      <c r="R512" s="0" t="n"/>
      <c r="S512" s="941" t="n"/>
    </row>
    <row r="513">
      <c r="K513" s="756" t="inlineStr">
        <is>
          <t>매출합계</t>
        </is>
      </c>
      <c r="L513" s="888">
        <f>L506+L508+L510</f>
        <v/>
      </c>
      <c r="M513" s="756">
        <f>M506+M508+M510</f>
        <v/>
      </c>
      <c r="N513" s="921">
        <f>N506+N508+N510</f>
        <v/>
      </c>
      <c r="O513" s="863">
        <f>O506+O508+O510</f>
        <v/>
      </c>
      <c r="P513" s="941">
        <f>SUM(L513:O513)</f>
        <v/>
      </c>
      <c r="Q513" s="817">
        <f>Q506+Q508+Q510</f>
        <v/>
      </c>
      <c r="R513" s="817" t="n">
        <v>258251520</v>
      </c>
      <c r="S513" s="941" t="n"/>
    </row>
    <row r="514" customFormat="1" s="638">
      <c r="A514" s="0" t="n"/>
      <c r="C514" s="628" t="n"/>
      <c r="K514" s="756" t="inlineStr">
        <is>
          <t>원가합계</t>
        </is>
      </c>
      <c r="L514" s="888">
        <f>L507+L509+L511</f>
        <v/>
      </c>
      <c r="M514" s="756">
        <f>M507+M509+M511</f>
        <v/>
      </c>
      <c r="N514" s="921">
        <f>N507+N509+N511</f>
        <v/>
      </c>
      <c r="O514" s="863">
        <f>O507+O509+O511</f>
        <v/>
      </c>
      <c r="P514" s="941">
        <f>SUM(L514:O514)</f>
        <v/>
      </c>
      <c r="Q514" s="817">
        <f>Q507+Q509+Q511</f>
        <v/>
      </c>
      <c r="R514" s="267">
        <f>R507+R509+R511</f>
        <v/>
      </c>
      <c r="S514" s="941" t="n"/>
    </row>
    <row r="516">
      <c r="R516" s="24" t="inlineStr">
        <is>
          <t>지사가매출</t>
        </is>
      </c>
    </row>
    <row r="517">
      <c r="R517" s="349" t="inlineStr">
        <is>
          <t>온오프지사주문</t>
        </is>
      </c>
      <c r="S517" s="756" t="n">
        <v>13473000</v>
      </c>
    </row>
    <row r="518" ht="25.5" customHeight="1" s="754">
      <c r="R518" s="349" t="inlineStr">
        <is>
          <t>오프라인주문(마스터)</t>
        </is>
      </c>
    </row>
    <row r="519">
      <c r="L519" s="926" t="inlineStr">
        <is>
          <t>비품</t>
        </is>
      </c>
      <c r="M519" s="756" t="inlineStr">
        <is>
          <t>라이콘</t>
        </is>
      </c>
      <c r="N519" s="923" t="inlineStr">
        <is>
          <t>제모미인</t>
        </is>
      </c>
      <c r="O519" s="863" t="inlineStr">
        <is>
          <t>아로마연구소</t>
        </is>
      </c>
      <c r="P519" s="758" t="inlineStr">
        <is>
          <t>합계</t>
        </is>
      </c>
      <c r="R519" s="349" t="inlineStr">
        <is>
          <t>오프라인주문(도매)</t>
        </is>
      </c>
    </row>
    <row r="520">
      <c r="K520" s="755" t="inlineStr">
        <is>
          <t>도매일반</t>
        </is>
      </c>
      <c r="L520" s="888" t="n">
        <v>7578900</v>
      </c>
      <c r="M520" s="756" t="n">
        <v>45341700</v>
      </c>
      <c r="N520" s="940" t="n">
        <v>20886280</v>
      </c>
      <c r="O520" s="863" t="n">
        <v>296000</v>
      </c>
      <c r="P520" s="755">
        <f>SUM(K520:O520)</f>
        <v/>
      </c>
      <c r="Q520" s="755" t="n"/>
      <c r="R520" s="68" t="inlineStr">
        <is>
          <t>온라인주문합계</t>
        </is>
      </c>
    </row>
    <row r="521">
      <c r="L521" s="888" t="n">
        <v>2777218</v>
      </c>
      <c r="M521" s="756" t="n">
        <v>17796197</v>
      </c>
      <c r="N521" s="940" t="n">
        <v>4507930</v>
      </c>
      <c r="O521" s="863" t="n">
        <v>52630</v>
      </c>
      <c r="P521" s="755">
        <f>SUM(K521:O521)</f>
        <v/>
      </c>
      <c r="Q521" s="755" t="n"/>
      <c r="R521" s="68" t="inlineStr">
        <is>
          <t>온라인&amp;오프라인합</t>
        </is>
      </c>
      <c r="S521" s="756">
        <f>P513+S517</f>
        <v/>
      </c>
    </row>
    <row r="522">
      <c r="K522" s="755" t="inlineStr">
        <is>
          <t>도매할인</t>
        </is>
      </c>
      <c r="L522" s="888" t="n">
        <v>803200</v>
      </c>
      <c r="M522" s="756" t="n">
        <v>123625800</v>
      </c>
      <c r="N522" s="921" t="n">
        <v>4595310</v>
      </c>
      <c r="O522" s="863" t="n"/>
      <c r="P522" s="756">
        <f>SUM(K522:O522)</f>
        <v/>
      </c>
      <c r="Q522" s="756" t="n"/>
      <c r="R522" s="0" t="inlineStr">
        <is>
          <t>카페24&amp;엑셀차이</t>
        </is>
      </c>
      <c r="S522" s="756">
        <f>R513-S521</f>
        <v/>
      </c>
    </row>
    <row r="523">
      <c r="L523" s="888" t="n">
        <v>410500</v>
      </c>
      <c r="M523" s="756" t="n">
        <v>61629152</v>
      </c>
      <c r="N523" s="921" t="n">
        <v>1061628</v>
      </c>
      <c r="O523" s="863" t="n"/>
      <c r="P523" s="756">
        <f>SUM(K523:O523)</f>
        <v/>
      </c>
      <c r="Q523" s="756" t="n"/>
      <c r="R523" s="942" t="n"/>
      <c r="S523" s="942" t="n"/>
    </row>
    <row r="524">
      <c r="L524" s="756" t="n"/>
      <c r="N524" s="757" t="n"/>
      <c r="O524" s="756" t="n"/>
      <c r="Q524" s="756" t="n"/>
    </row>
    <row r="525">
      <c r="L525" s="926">
        <f>L520+L522</f>
        <v/>
      </c>
      <c r="M525" s="756">
        <f>M520+M522</f>
        <v/>
      </c>
      <c r="N525" s="923">
        <f>N520+N522</f>
        <v/>
      </c>
      <c r="O525" s="757">
        <f>O520+O522</f>
        <v/>
      </c>
      <c r="P525" s="756">
        <f>SUM(K525:O525)</f>
        <v/>
      </c>
      <c r="Q525" s="756" t="n"/>
    </row>
    <row r="526" customFormat="1" s="756">
      <c r="A526" s="0" t="n"/>
      <c r="B526" s="638" t="n"/>
      <c r="C526" s="628" t="n"/>
      <c r="D526" s="638" t="n"/>
      <c r="E526" s="638" t="n"/>
      <c r="F526" s="638" t="n"/>
      <c r="G526" s="638" t="n"/>
      <c r="H526" s="638" t="n"/>
      <c r="I526" s="638" t="n"/>
      <c r="J526" s="638" t="n"/>
      <c r="K526" s="755" t="n"/>
      <c r="L526" s="926">
        <f>L521+L523</f>
        <v/>
      </c>
      <c r="M526" s="756">
        <f>M521+M523</f>
        <v/>
      </c>
      <c r="N526" s="923">
        <f>N521+N523</f>
        <v/>
      </c>
      <c r="O526" s="757">
        <f>O521+O523</f>
        <v/>
      </c>
      <c r="P526" s="756">
        <f>SUM(K526:O526)</f>
        <v/>
      </c>
    </row>
  </sheetData>
  <mergeCells count="37">
    <mergeCell ref="D224:D226"/>
    <mergeCell ref="B199:B200"/>
    <mergeCell ref="L67:M67"/>
    <mergeCell ref="B13:B21"/>
    <mergeCell ref="L47:M47"/>
    <mergeCell ref="B318:B319"/>
    <mergeCell ref="B309:B311"/>
    <mergeCell ref="L227:N227"/>
    <mergeCell ref="L87:M87"/>
    <mergeCell ref="L106:M106"/>
    <mergeCell ref="L264:M264"/>
    <mergeCell ref="B486:B490"/>
    <mergeCell ref="L136:M136"/>
    <mergeCell ref="H85:I85"/>
    <mergeCell ref="L234:M234"/>
    <mergeCell ref="B177:B178"/>
    <mergeCell ref="B279:B280"/>
    <mergeCell ref="B216:B217"/>
    <mergeCell ref="B413:B482"/>
    <mergeCell ref="B325:B326"/>
    <mergeCell ref="L122:M122"/>
    <mergeCell ref="L128:M128"/>
    <mergeCell ref="B282:B284"/>
    <mergeCell ref="L149:M149"/>
    <mergeCell ref="B265:B266"/>
    <mergeCell ref="B219:B221"/>
    <mergeCell ref="B296:B299"/>
    <mergeCell ref="B315:B316"/>
    <mergeCell ref="L6:M6"/>
    <mergeCell ref="B306:B307"/>
    <mergeCell ref="I492:J492"/>
    <mergeCell ref="B340:B409"/>
    <mergeCell ref="B203:B204"/>
    <mergeCell ref="B214:B215"/>
    <mergeCell ref="B25:B28"/>
    <mergeCell ref="L250:M250"/>
    <mergeCell ref="L170:M170"/>
  </mergeCells>
  <pageMargins left="0.7" right="0.7" top="0.75" bottom="0.75" header="0.511805555555555" footer="0.511805555555555"/>
  <pageSetup orientation="portrait" paperSize="9" firstPageNumber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30"/>
  <sheetViews>
    <sheetView zoomScale="86" zoomScaleNormal="86" workbookViewId="0">
      <pane xSplit="2" ySplit="6" topLeftCell="C503" activePane="bottomRight" state="frozen"/>
      <selection pane="topRight" activeCell="C1" sqref="C1"/>
      <selection pane="bottomLeft" activeCell="A7" sqref="A7"/>
      <selection pane="bottomRight" activeCell="V199" sqref="V199"/>
    </sheetView>
  </sheetViews>
  <sheetFormatPr baseColWidth="8" defaultRowHeight="16.5"/>
  <cols>
    <col width="17.125" customWidth="1" style="754" min="1" max="1"/>
    <col width="9" customWidth="1" style="638" min="2" max="2"/>
    <col width="9" customWidth="1" style="628" min="3" max="3"/>
    <col width="9.75" customWidth="1" style="638" min="4" max="4"/>
    <col width="12.375" customWidth="1" style="638" min="5" max="5"/>
    <col width="10.375" customWidth="1" style="638" min="6" max="6"/>
    <col width="10" customWidth="1" style="638" min="7" max="7"/>
    <col width="9.25" customWidth="1" style="638" min="8" max="8"/>
    <col width="9" customWidth="1" style="638" min="9" max="9"/>
    <col width="7.5" customWidth="1" style="638" min="10" max="10"/>
    <col width="14" customWidth="1" style="755" min="11" max="12"/>
    <col width="14" customWidth="1" style="756" min="13" max="14"/>
    <col width="14" customWidth="1" style="757" min="15" max="15"/>
    <col width="14" customWidth="1" style="756" min="16" max="16"/>
    <col width="15.25" customWidth="1" style="758" min="17" max="17"/>
    <col width="16.25" customWidth="1" style="756" min="18" max="18"/>
    <col width="16.125" customWidth="1" style="756" min="19" max="19"/>
    <col width="8.375" customWidth="1" style="754" min="20" max="1003"/>
  </cols>
  <sheetData>
    <row r="1">
      <c r="F1" s="381" t="inlineStr">
        <is>
          <t>P0000BLA</t>
        </is>
      </c>
      <c r="G1" s="546" t="inlineStr">
        <is>
          <t>지사비즈4종</t>
        </is>
      </c>
    </row>
    <row r="2" ht="24" customHeight="1" s="754">
      <c r="A2" s="6" t="n"/>
      <c r="F2" s="20" t="inlineStr">
        <is>
          <t>P00000ZC</t>
        </is>
      </c>
      <c r="G2" s="7" t="inlineStr">
        <is>
          <t>컵비즈왁스묶음(4종)</t>
        </is>
      </c>
    </row>
    <row r="3">
      <c r="A3" s="8" t="n"/>
      <c r="C3" s="638" t="inlineStr">
        <is>
          <t>도매</t>
        </is>
      </c>
      <c r="D3" s="9" t="inlineStr">
        <is>
          <t>인증살롱</t>
        </is>
      </c>
      <c r="E3" s="10" t="inlineStr">
        <is>
          <t>마스터</t>
        </is>
      </c>
      <c r="F3" s="7" t="inlineStr">
        <is>
          <t>P00000YZ</t>
        </is>
      </c>
      <c r="G3" s="7" t="inlineStr">
        <is>
          <t>컵비즈세트</t>
        </is>
      </c>
      <c r="H3" s="12" t="inlineStr">
        <is>
          <t>할인+증정</t>
        </is>
      </c>
      <c r="I3" s="7" t="n"/>
      <c r="J3" s="639" t="inlineStr">
        <is>
          <t>합계</t>
        </is>
      </c>
    </row>
    <row r="4" ht="24" customFormat="1" customHeight="1" s="185">
      <c r="B4" s="186" t="n"/>
      <c r="C4" s="187" t="n"/>
      <c r="D4" s="388" t="inlineStr">
        <is>
          <t>P00000VS</t>
        </is>
      </c>
      <c r="E4" s="15" t="inlineStr">
        <is>
          <t>P00000QE</t>
        </is>
      </c>
      <c r="F4" s="20" t="inlineStr">
        <is>
          <t>P00000VM</t>
        </is>
      </c>
      <c r="G4" s="378" t="inlineStr">
        <is>
          <t>묶음할인15%</t>
        </is>
      </c>
      <c r="H4" s="20" t="inlineStr">
        <is>
          <t>P0000BET</t>
        </is>
      </c>
      <c r="I4" s="7" t="inlineStr">
        <is>
          <t>아나프리증정</t>
        </is>
      </c>
      <c r="J4" s="17" t="n"/>
      <c r="K4" s="759" t="n"/>
      <c r="L4" s="759" t="n"/>
      <c r="M4" s="760" t="n"/>
      <c r="N4" s="760" t="n"/>
      <c r="O4" s="761" t="n"/>
      <c r="P4" s="760" t="n"/>
      <c r="Q4" s="762" t="n"/>
      <c r="R4" s="760" t="n"/>
      <c r="S4" s="760" t="n"/>
    </row>
    <row r="5" ht="24" customHeight="1" s="754">
      <c r="C5" s="18" t="n"/>
      <c r="D5" s="389" t="inlineStr">
        <is>
          <t>P00000VR</t>
        </is>
      </c>
      <c r="E5" s="19" t="inlineStr">
        <is>
          <t>P00000QD</t>
        </is>
      </c>
      <c r="F5" s="20" t="inlineStr">
        <is>
          <t>P00000YS</t>
        </is>
      </c>
      <c r="G5" s="21" t="inlineStr">
        <is>
          <t>스타터키트</t>
        </is>
      </c>
      <c r="H5" s="20" t="inlineStr">
        <is>
          <t>P0000BMX</t>
        </is>
      </c>
      <c r="I5" s="630" t="inlineStr">
        <is>
          <t>비즈5KG행사</t>
        </is>
      </c>
      <c r="J5" s="640" t="n"/>
    </row>
    <row r="6" ht="24" customHeight="1" s="754">
      <c r="A6" s="24" t="inlineStr">
        <is>
          <t>하드왁스</t>
        </is>
      </c>
      <c r="C6" s="25" t="n"/>
      <c r="D6" s="19" t="n"/>
      <c r="E6" s="19" t="inlineStr">
        <is>
          <t>P0000BLR</t>
        </is>
      </c>
      <c r="F6" s="184" t="inlineStr">
        <is>
          <t>P00000YU</t>
        </is>
      </c>
      <c r="G6" s="26" t="inlineStr">
        <is>
          <t>바디스타터키트</t>
        </is>
      </c>
      <c r="H6" s="194" t="n"/>
      <c r="I6" s="26" t="n"/>
      <c r="J6" s="27" t="n"/>
      <c r="K6" s="763" t="inlineStr">
        <is>
          <t>도매</t>
        </is>
      </c>
      <c r="L6" s="764" t="inlineStr">
        <is>
          <t>인증살롱/마스터</t>
        </is>
      </c>
      <c r="M6" s="765" t="n"/>
      <c r="N6" s="766" t="inlineStr">
        <is>
          <t xml:space="preserve">할인 </t>
        </is>
      </c>
      <c r="O6" s="766" t="inlineStr">
        <is>
          <t>세트할인</t>
        </is>
      </c>
      <c r="P6" s="766" t="inlineStr">
        <is>
          <t>할인+증정</t>
        </is>
      </c>
      <c r="Q6" s="766" t="inlineStr">
        <is>
          <t>세트묶음할인</t>
        </is>
      </c>
      <c r="R6" s="767" t="inlineStr">
        <is>
          <t>품목별합계</t>
        </is>
      </c>
      <c r="S6" s="767" t="inlineStr">
        <is>
          <t>원가</t>
        </is>
      </c>
    </row>
    <row r="7">
      <c r="A7" s="29" t="inlineStr">
        <is>
          <t>아이브로우</t>
        </is>
      </c>
      <c r="B7" s="381" t="inlineStr">
        <is>
          <t>P00000HT</t>
        </is>
      </c>
      <c r="C7" s="263" t="n">
        <v>115</v>
      </c>
      <c r="D7" s="235" t="n"/>
      <c r="E7" s="234" t="n"/>
      <c r="F7" s="230" t="n">
        <v>4</v>
      </c>
      <c r="G7" s="322" t="n"/>
      <c r="H7" s="236" t="n"/>
      <c r="I7" s="322" t="n"/>
      <c r="J7" s="35">
        <f>C7+D7+E7+F7+G7+I7+H7</f>
        <v/>
      </c>
      <c r="K7" s="768">
        <f>C7*26300</f>
        <v/>
      </c>
      <c r="L7" s="769">
        <f>D7*19200</f>
        <v/>
      </c>
      <c r="M7" s="770">
        <f>E7*19200</f>
        <v/>
      </c>
      <c r="N7" s="771" t="n"/>
      <c r="O7" s="771">
        <f>F7*21040</f>
        <v/>
      </c>
      <c r="P7" s="771" t="n"/>
      <c r="Q7" s="772" t="n"/>
      <c r="R7" s="756">
        <f>SUM(K7:Q7)</f>
        <v/>
      </c>
      <c r="S7" s="756">
        <f>(C7+D7+E7+F7+I7+H7+G7)*8655</f>
        <v/>
      </c>
    </row>
    <row r="8">
      <c r="A8" s="29" t="inlineStr">
        <is>
          <t>하이브리드</t>
        </is>
      </c>
      <c r="B8" s="715" t="inlineStr">
        <is>
          <t>P00000BV</t>
        </is>
      </c>
      <c r="C8" s="310" t="n">
        <v>8</v>
      </c>
      <c r="D8" s="235" t="n"/>
      <c r="E8" s="234" t="n"/>
      <c r="F8" s="322" t="n"/>
      <c r="G8" s="322" t="n"/>
      <c r="H8" s="236" t="n"/>
      <c r="I8" s="322" t="n"/>
      <c r="J8" s="35">
        <f>C8+D8+E8+F8+G8+I8+H8</f>
        <v/>
      </c>
      <c r="K8" s="768">
        <f>C8*26300</f>
        <v/>
      </c>
      <c r="L8" s="769">
        <f>D8*19200</f>
        <v/>
      </c>
      <c r="M8" s="770">
        <f>E8*19200</f>
        <v/>
      </c>
      <c r="N8" s="771" t="n"/>
      <c r="O8" s="771">
        <f>F8*20000</f>
        <v/>
      </c>
      <c r="P8" s="771" t="n"/>
      <c r="Q8" s="772" t="n"/>
      <c r="R8" s="756">
        <f>SUM(K8:Q8)</f>
        <v/>
      </c>
      <c r="S8" s="756">
        <f>(C8+D8+E8+F8+I8+H8+G8)*8926</f>
        <v/>
      </c>
    </row>
    <row r="9">
      <c r="A9" s="29" t="inlineStr">
        <is>
          <t>화이트</t>
        </is>
      </c>
      <c r="B9" s="715" t="inlineStr">
        <is>
          <t>P00000CB</t>
        </is>
      </c>
      <c r="C9" s="310" t="n">
        <v>7</v>
      </c>
      <c r="D9" s="235" t="n"/>
      <c r="E9" s="234" t="n"/>
      <c r="F9" s="322" t="n"/>
      <c r="G9" s="322" t="n"/>
      <c r="H9" s="236" t="n"/>
      <c r="I9" s="322" t="n"/>
      <c r="J9" s="35">
        <f>C9+D9+E9+F9+G9+I9+H9</f>
        <v/>
      </c>
      <c r="K9" s="768">
        <f>C9*26300</f>
        <v/>
      </c>
      <c r="L9" s="769">
        <f>D9*19200</f>
        <v/>
      </c>
      <c r="M9" s="770">
        <f>E9*19200</f>
        <v/>
      </c>
      <c r="N9" s="771" t="n"/>
      <c r="O9" s="771">
        <f>F9*20000</f>
        <v/>
      </c>
      <c r="P9" s="771" t="n"/>
      <c r="Q9" s="772" t="n"/>
      <c r="R9" s="756">
        <f>SUM(K9:Q9)</f>
        <v/>
      </c>
      <c r="S9" s="756">
        <f>(C9+D9+E9+F9+I9+H9+G9)*8926</f>
        <v/>
      </c>
    </row>
    <row r="10">
      <c r="A10" s="29" t="inlineStr">
        <is>
          <t>슈퍼베리</t>
        </is>
      </c>
      <c r="B10" s="715" t="inlineStr">
        <is>
          <t>P00000BX</t>
        </is>
      </c>
      <c r="C10" s="310" t="n">
        <v>8</v>
      </c>
      <c r="D10" s="235" t="n"/>
      <c r="E10" s="234" t="n"/>
      <c r="F10" s="322" t="n"/>
      <c r="G10" s="322" t="n"/>
      <c r="H10" s="236" t="n"/>
      <c r="I10" s="322" t="n"/>
      <c r="J10" s="35">
        <f>C10+D10+E10+F10+G10+I10+H10</f>
        <v/>
      </c>
      <c r="K10" s="768">
        <f>C10*26300</f>
        <v/>
      </c>
      <c r="L10" s="769">
        <f>D10*19200</f>
        <v/>
      </c>
      <c r="M10" s="770">
        <f>E10*19200</f>
        <v/>
      </c>
      <c r="N10" s="771" t="n"/>
      <c r="O10" s="771">
        <f>F10*20000</f>
        <v/>
      </c>
      <c r="P10" s="771" t="n"/>
      <c r="Q10" s="772" t="n"/>
      <c r="R10" s="756">
        <f>SUM(K10:Q10)</f>
        <v/>
      </c>
      <c r="S10" s="756">
        <f>(C10+D10+E10+F10+I10+H10+G10)*8926</f>
        <v/>
      </c>
    </row>
    <row r="11">
      <c r="A11" s="29" t="inlineStr">
        <is>
          <t>루비500g</t>
        </is>
      </c>
      <c r="B11" s="715" t="n"/>
      <c r="C11" s="310" t="n"/>
      <c r="D11" s="235" t="n"/>
      <c r="E11" s="234" t="n"/>
      <c r="F11" s="215" t="n"/>
      <c r="G11" s="230" t="n"/>
      <c r="H11" s="236" t="n"/>
      <c r="I11" s="322" t="n"/>
      <c r="J11" s="35">
        <f>C11+D11+E11+F11+G11+I11+H11</f>
        <v/>
      </c>
      <c r="K11" s="768">
        <f>C11*26300</f>
        <v/>
      </c>
      <c r="L11" s="769">
        <f>D11*19200</f>
        <v/>
      </c>
      <c r="M11" s="770">
        <f>E11*19200</f>
        <v/>
      </c>
      <c r="N11" s="771" t="n"/>
      <c r="O11" s="771">
        <f>F11*20000</f>
        <v/>
      </c>
      <c r="P11" s="771" t="n"/>
      <c r="Q11" s="772" t="n"/>
      <c r="R11" s="756">
        <f>SUM(K11:Q11)</f>
        <v/>
      </c>
      <c r="S11" s="756">
        <f>(C11+D11+E11+G11+F11+I11+H11)*7042</f>
        <v/>
      </c>
    </row>
    <row r="12">
      <c r="A12" s="29" t="inlineStr">
        <is>
          <t>맨니하이브리드</t>
        </is>
      </c>
      <c r="B12" s="381" t="inlineStr">
        <is>
          <t>P00000XE</t>
        </is>
      </c>
      <c r="C12" s="263" t="n">
        <v>8</v>
      </c>
      <c r="D12" s="323" t="n"/>
      <c r="E12" s="324" t="n"/>
      <c r="F12" s="289" t="n"/>
      <c r="G12" s="289" t="n"/>
      <c r="H12" s="325" t="n"/>
      <c r="I12" s="289" t="n"/>
      <c r="J12" s="35">
        <f>C12+D12+E12+F12+G12+I12+H12</f>
        <v/>
      </c>
      <c r="K12" s="768">
        <f>C12*26300</f>
        <v/>
      </c>
      <c r="L12" s="769" t="n"/>
      <c r="M12" s="770" t="n"/>
      <c r="N12" s="771" t="n"/>
      <c r="O12" s="771">
        <f>F12*20000</f>
        <v/>
      </c>
      <c r="P12" s="771" t="n"/>
      <c r="Q12" s="772" t="n"/>
      <c r="R12" s="756">
        <f>SUM(K12:Q12)</f>
        <v/>
      </c>
      <c r="S12" s="756">
        <f>(C12+D12+E12+F12+I12+H12+G12)*8926</f>
        <v/>
      </c>
    </row>
    <row r="13" ht="16.5" customHeight="1" s="754">
      <c r="A13" s="29" t="inlineStr">
        <is>
          <t>비즈하이브리드800</t>
        </is>
      </c>
      <c r="B13" s="547" t="inlineStr">
        <is>
          <t>P0000BIF /     P0000BLD    /   P0000BMJ   P0000BMI / P0000BMY (3월행사)</t>
        </is>
      </c>
      <c r="C13" s="263" t="n"/>
      <c r="D13" s="323" t="n"/>
      <c r="E13" s="324" t="n"/>
      <c r="F13" s="289" t="n"/>
      <c r="G13" s="289" t="n"/>
      <c r="H13" s="326" t="n">
        <v>2</v>
      </c>
      <c r="I13" s="289" t="n"/>
      <c r="J13" s="35">
        <f>C13+D13+E13+F13+G13+I13+H13</f>
        <v/>
      </c>
      <c r="K13" s="773">
        <f>C13*35500</f>
        <v/>
      </c>
      <c r="L13" s="769" t="n"/>
      <c r="M13" s="770" t="n"/>
      <c r="N13" s="771" t="n"/>
      <c r="O13" s="771">
        <f>F13*27300</f>
        <v/>
      </c>
      <c r="P13" s="771">
        <f>H13*26700</f>
        <v/>
      </c>
      <c r="Q13" s="772" t="n"/>
      <c r="R13" s="756">
        <f>SUM(K13:Q13)</f>
        <v/>
      </c>
      <c r="S13" s="756">
        <f>(C13+D13+E13+F13+I13+H13+G13)*14876</f>
        <v/>
      </c>
    </row>
    <row r="14">
      <c r="A14" s="29" t="inlineStr">
        <is>
          <t>비즈라벤다800</t>
        </is>
      </c>
      <c r="B14" s="774" t="n"/>
      <c r="C14" s="263" t="n">
        <v>3</v>
      </c>
      <c r="D14" s="323" t="n"/>
      <c r="E14" s="324" t="n"/>
      <c r="F14" s="326" t="n"/>
      <c r="G14" s="289" t="n"/>
      <c r="H14" s="326" t="n">
        <v>11</v>
      </c>
      <c r="I14" s="289" t="n"/>
      <c r="J14" s="35">
        <f>C14+D14+E14+F14+G14+I14+H14</f>
        <v/>
      </c>
      <c r="K14" s="773">
        <f>C14*35500</f>
        <v/>
      </c>
      <c r="L14" s="769" t="n"/>
      <c r="M14" s="770">
        <f>E14*33600</f>
        <v/>
      </c>
      <c r="N14" s="771" t="n"/>
      <c r="O14" s="771" t="n"/>
      <c r="P14" s="771">
        <f>H14*26700</f>
        <v/>
      </c>
      <c r="Q14" s="772" t="n"/>
      <c r="R14" s="756">
        <f>SUM(K14:Q14)</f>
        <v/>
      </c>
      <c r="S14" s="756">
        <f>(C14+D14+E14+F14+I14+H14+G14)*14065</f>
        <v/>
      </c>
    </row>
    <row r="15">
      <c r="A15" s="29" t="inlineStr">
        <is>
          <t>비즈로제트800</t>
        </is>
      </c>
      <c r="B15" s="774" t="n"/>
      <c r="C15" s="263" t="n">
        <v>5</v>
      </c>
      <c r="D15" s="323" t="n"/>
      <c r="E15" s="324" t="n"/>
      <c r="F15" s="326" t="n"/>
      <c r="G15" s="289" t="n"/>
      <c r="H15" s="326" t="n">
        <v>18</v>
      </c>
      <c r="I15" s="289" t="n"/>
      <c r="J15" s="35">
        <f>C15+D15+E15+F15+G15+I15+H15</f>
        <v/>
      </c>
      <c r="K15" s="773">
        <f>C15*35500</f>
        <v/>
      </c>
      <c r="L15" s="769" t="n"/>
      <c r="M15" s="770">
        <f>E15*33600</f>
        <v/>
      </c>
      <c r="N15" s="771" t="n"/>
      <c r="O15" s="771" t="n"/>
      <c r="P15" s="771">
        <f>H15*26700</f>
        <v/>
      </c>
      <c r="Q15" s="772" t="n"/>
      <c r="R15" s="756">
        <f>SUM(K15:Q15)</f>
        <v/>
      </c>
      <c r="S15" s="756">
        <f>(C15+D15+E15+F15+I15+H15+G15)*14876</f>
        <v/>
      </c>
    </row>
    <row r="16">
      <c r="A16" s="29" t="inlineStr">
        <is>
          <t>비즈핑키니800</t>
        </is>
      </c>
      <c r="B16" s="774" t="n"/>
      <c r="C16" s="263" t="n">
        <v>15</v>
      </c>
      <c r="D16" s="323" t="n"/>
      <c r="E16" s="324" t="n"/>
      <c r="F16" s="326" t="n"/>
      <c r="G16" s="289" t="n"/>
      <c r="H16" s="326" t="n">
        <v>47</v>
      </c>
      <c r="I16" s="289" t="n"/>
      <c r="J16" s="35">
        <f>C16+D16+E16+F16+G16+I16+H16</f>
        <v/>
      </c>
      <c r="K16" s="773">
        <f>C16*40000</f>
        <v/>
      </c>
      <c r="L16" s="769" t="n"/>
      <c r="M16" s="770">
        <f>E16*35500</f>
        <v/>
      </c>
      <c r="N16" s="771" t="n"/>
      <c r="O16" s="771" t="n"/>
      <c r="P16" s="771">
        <f>H16*30000</f>
        <v/>
      </c>
      <c r="Q16" s="772" t="n"/>
      <c r="R16" s="756">
        <f>SUM(K16:Q16)</f>
        <v/>
      </c>
      <c r="S16" s="756">
        <f>(C16+D16+E16+F16+I16+H16+G16)*15958</f>
        <v/>
      </c>
    </row>
    <row r="17">
      <c r="A17" s="29" t="inlineStr">
        <is>
          <t>선샤인비즈</t>
        </is>
      </c>
      <c r="B17" s="774" t="n"/>
      <c r="C17" s="263" t="n">
        <v>29</v>
      </c>
      <c r="D17" s="323" t="n"/>
      <c r="E17" s="324" t="n"/>
      <c r="F17" s="326" t="n"/>
      <c r="G17" s="289" t="n"/>
      <c r="H17" s="326" t="n">
        <v>337</v>
      </c>
      <c r="I17" s="564" t="n"/>
      <c r="J17" s="35">
        <f>C17+D17+E17+F17+G17+I17+H17</f>
        <v/>
      </c>
      <c r="K17" s="773">
        <f>C17*30000</f>
        <v/>
      </c>
      <c r="L17" s="769" t="n"/>
      <c r="M17" s="770">
        <f>E17*20000</f>
        <v/>
      </c>
      <c r="N17" s="771" t="n"/>
      <c r="O17" s="771" t="n"/>
      <c r="P17" s="771">
        <f>H17*19800</f>
        <v/>
      </c>
      <c r="Q17" s="772" t="n"/>
      <c r="R17" s="756">
        <f>SUM(K17:Q17)</f>
        <v/>
      </c>
      <c r="S17" s="756">
        <f>(C17+D17+E17+F17+I17+H17+G17)*13262</f>
        <v/>
      </c>
    </row>
    <row r="18">
      <c r="A18" s="29" t="inlineStr">
        <is>
          <t>비즈하이브리드5KG</t>
        </is>
      </c>
      <c r="B18" s="774" t="n"/>
      <c r="C18" s="263" t="n">
        <v>3</v>
      </c>
      <c r="D18" s="323" t="n"/>
      <c r="E18" s="324" t="n">
        <v>5</v>
      </c>
      <c r="F18" s="289" t="n"/>
      <c r="G18" s="289" t="n"/>
      <c r="H18" s="326" t="n">
        <v>16</v>
      </c>
      <c r="I18" s="289" t="n"/>
      <c r="J18" s="35">
        <f>C18+D18+E18+F18+G18+I18+H18</f>
        <v/>
      </c>
      <c r="K18" s="773">
        <f>C18*190000</f>
        <v/>
      </c>
      <c r="L18" s="769" t="n"/>
      <c r="M18" s="770">
        <f>E18*154000</f>
        <v/>
      </c>
      <c r="N18" s="771" t="n"/>
      <c r="O18" s="771" t="n"/>
      <c r="P18" s="771">
        <f>H18*142500</f>
        <v/>
      </c>
      <c r="Q18" s="772" t="n"/>
      <c r="R18" s="756">
        <f>SUM(K18:Q18)</f>
        <v/>
      </c>
      <c r="S18" s="756">
        <f>(C18+D18+E18+F18+I18+H18+G18)*89709</f>
        <v/>
      </c>
    </row>
    <row r="19">
      <c r="A19" s="29" t="inlineStr">
        <is>
          <t>비즈라벤다5KG</t>
        </is>
      </c>
      <c r="B19" s="774" t="n"/>
      <c r="C19" s="263" t="n">
        <v>1</v>
      </c>
      <c r="D19" s="323" t="n"/>
      <c r="E19" s="324" t="n">
        <v>1</v>
      </c>
      <c r="F19" s="289" t="n"/>
      <c r="G19" s="289" t="n"/>
      <c r="H19" s="326" t="n">
        <v>31</v>
      </c>
      <c r="I19" s="289" t="n"/>
      <c r="J19" s="35">
        <f>C19+D19+E19+F19+G19+I19+H19</f>
        <v/>
      </c>
      <c r="K19" s="773">
        <f>C19*190000</f>
        <v/>
      </c>
      <c r="L19" s="769" t="n"/>
      <c r="M19" s="770">
        <f>E19*154000</f>
        <v/>
      </c>
      <c r="N19" s="771" t="n"/>
      <c r="O19" s="771" t="n"/>
      <c r="P19" s="771">
        <f>H19*142500</f>
        <v/>
      </c>
      <c r="Q19" s="772" t="n"/>
      <c r="R19" s="756">
        <f>SUM(K19:Q19)</f>
        <v/>
      </c>
      <c r="S19" s="756">
        <f>(C19+D19+E19+F19+I19+H19+G19)*85201</f>
        <v/>
      </c>
    </row>
    <row r="20">
      <c r="A20" s="29" t="inlineStr">
        <is>
          <t>비즈로제트5KG</t>
        </is>
      </c>
      <c r="B20" s="774" t="n"/>
      <c r="C20" s="263" t="n">
        <v>1</v>
      </c>
      <c r="D20" s="323" t="n"/>
      <c r="E20" s="324" t="n"/>
      <c r="F20" s="289" t="n"/>
      <c r="G20" s="289" t="n"/>
      <c r="H20" s="326" t="n">
        <v>15</v>
      </c>
      <c r="I20" s="289" t="n"/>
      <c r="J20" s="35">
        <f>C20+D20+E20+F20+G20+I20+H20</f>
        <v/>
      </c>
      <c r="K20" s="773">
        <f>C20*190000</f>
        <v/>
      </c>
      <c r="L20" s="769" t="n"/>
      <c r="M20" s="770">
        <f>E20*154000</f>
        <v/>
      </c>
      <c r="N20" s="771" t="n"/>
      <c r="O20" s="771" t="n"/>
      <c r="P20" s="771">
        <f>H20*142500</f>
        <v/>
      </c>
      <c r="Q20" s="772" t="n"/>
      <c r="R20" s="756">
        <f>SUM(K20:Q20)</f>
        <v/>
      </c>
      <c r="S20" s="756">
        <f>(C20+D20+E20+F20+I20+H20+G20)*89709</f>
        <v/>
      </c>
    </row>
    <row r="21">
      <c r="A21" s="29" t="inlineStr">
        <is>
          <t>비즈핑키니5kg</t>
        </is>
      </c>
      <c r="B21" s="775" t="n"/>
      <c r="C21" s="263" t="n">
        <v>8</v>
      </c>
      <c r="D21" s="323" t="n"/>
      <c r="E21" s="324" t="n"/>
      <c r="F21" s="289" t="n"/>
      <c r="G21" s="289" t="n"/>
      <c r="H21" s="326" t="n">
        <v>98</v>
      </c>
      <c r="I21" s="289" t="n"/>
      <c r="J21" s="35">
        <f>C21+D21+E21+F21+G21+I21+H21</f>
        <v/>
      </c>
      <c r="K21" s="773">
        <f>C21*206000</f>
        <v/>
      </c>
      <c r="L21" s="769" t="n"/>
      <c r="M21" s="770">
        <f>E21*171000</f>
        <v/>
      </c>
      <c r="N21" s="771" t="n"/>
      <c r="O21" s="771" t="n"/>
      <c r="P21" s="771">
        <f>H21*154500</f>
        <v/>
      </c>
      <c r="Q21" s="772" t="n"/>
      <c r="R21" s="756">
        <f>SUM(K21:Q21)</f>
        <v/>
      </c>
      <c r="S21" s="756">
        <f>(C21+D21+E21+F21+I21+H21+G21)*96471</f>
        <v/>
      </c>
    </row>
    <row r="22">
      <c r="A22" s="29" t="inlineStr">
        <is>
          <t>데저트500</t>
        </is>
      </c>
      <c r="B22" s="222" t="n"/>
      <c r="C22" s="31" t="n"/>
      <c r="D22" s="37" t="n"/>
      <c r="E22" s="38" t="n"/>
      <c r="F22" s="40" t="n"/>
      <c r="G22" s="39" t="n"/>
      <c r="H22" s="196" t="n"/>
      <c r="I22" s="39" t="n"/>
      <c r="J22" s="35">
        <f>C22+D22+E22+F22+G22+I22+H22</f>
        <v/>
      </c>
      <c r="K22" s="773">
        <f>C22*25000</f>
        <v/>
      </c>
      <c r="L22" s="769" t="n"/>
      <c r="M22" s="770" t="n"/>
      <c r="N22" s="771" t="n"/>
      <c r="O22" s="771" t="n"/>
      <c r="P22" s="771" t="n"/>
      <c r="Q22" s="772" t="n"/>
      <c r="R22" s="756">
        <f>SUM(K22:Q22)</f>
        <v/>
      </c>
      <c r="S22" s="756">
        <f>(C22+D22+E22+F22+I22+H22+G22)*6110</f>
        <v/>
      </c>
    </row>
    <row r="23">
      <c r="A23" s="223" t="inlineStr">
        <is>
          <t>핑키니500g</t>
        </is>
      </c>
      <c r="B23" s="222" t="n"/>
      <c r="C23" s="31" t="n"/>
      <c r="D23" s="37" t="n"/>
      <c r="E23" s="38" t="n"/>
      <c r="F23" s="40" t="n"/>
      <c r="G23" s="39" t="n"/>
      <c r="H23" s="196" t="n"/>
      <c r="I23" s="39" t="n"/>
      <c r="J23" s="35">
        <f>C23+D23+E23+F23+G23+I23+H23</f>
        <v/>
      </c>
      <c r="K23" s="776">
        <f>C23*25000</f>
        <v/>
      </c>
      <c r="L23" s="769" t="n"/>
      <c r="M23" s="770" t="n"/>
      <c r="N23" s="771" t="n"/>
      <c r="O23" s="771" t="n"/>
      <c r="P23" s="771" t="n"/>
      <c r="Q23" s="772" t="n"/>
      <c r="R23" s="756">
        <f>SUM(K23:Q23)</f>
        <v/>
      </c>
      <c r="S23" s="756">
        <f>(C23+D23+E23+F23+I23+H23+G23)*7100</f>
        <v/>
      </c>
    </row>
    <row r="24" customFormat="1" s="24">
      <c r="A24" s="439" t="inlineStr">
        <is>
          <t>500g총합계</t>
        </is>
      </c>
      <c r="B24" s="440" t="n"/>
      <c r="C24" s="441">
        <f>SUM(C7:C23)</f>
        <v/>
      </c>
      <c r="D24" s="441">
        <f>SUM(D7:D23)</f>
        <v/>
      </c>
      <c r="E24" s="441">
        <f>SUM(E7:E23)</f>
        <v/>
      </c>
      <c r="F24" s="441">
        <f>SUM(F7:F23)</f>
        <v/>
      </c>
      <c r="G24" s="441">
        <f>SUM(G7:G23)</f>
        <v/>
      </c>
      <c r="H24" s="441">
        <f>SUM(H7:H23)</f>
        <v/>
      </c>
      <c r="I24" s="441">
        <f>SUM(I7:I23)</f>
        <v/>
      </c>
      <c r="J24" s="442">
        <f>SUM(J7:J23)</f>
        <v/>
      </c>
      <c r="K24" s="777">
        <f>SUM(K7:K23)</f>
        <v/>
      </c>
      <c r="L24" s="778">
        <f>SUM(L7:L23)</f>
        <v/>
      </c>
      <c r="M24" s="779">
        <f>SUM(M7:M23)</f>
        <v/>
      </c>
      <c r="N24" s="780">
        <f>SUM(N7:N23)</f>
        <v/>
      </c>
      <c r="O24" s="780">
        <f>SUM(O7:O23)</f>
        <v/>
      </c>
      <c r="P24" s="780">
        <f>SUM(P7:P23)</f>
        <v/>
      </c>
      <c r="Q24" s="780">
        <f>SUM(Q7:Q23)</f>
        <v/>
      </c>
      <c r="R24" s="781">
        <f>SUM(R7:R23)</f>
        <v/>
      </c>
      <c r="S24" s="782">
        <f>SUM(S7:S23)</f>
        <v/>
      </c>
    </row>
    <row r="25" customFormat="1" s="24">
      <c r="A25" s="85" t="inlineStr">
        <is>
          <t>컵비즈왁스(로제트)</t>
        </is>
      </c>
      <c r="B25" s="703" t="inlineStr">
        <is>
          <t>P00000ZB</t>
        </is>
      </c>
      <c r="C25" s="310" t="n">
        <v>2</v>
      </c>
      <c r="D25" s="326" t="n"/>
      <c r="E25" s="310" t="n"/>
      <c r="F25" s="327" t="n">
        <v>1</v>
      </c>
      <c r="G25" s="326" t="n"/>
      <c r="H25" s="325" t="n"/>
      <c r="I25" s="564" t="n"/>
      <c r="J25" s="35">
        <f>SUM(C25:I25)</f>
        <v/>
      </c>
      <c r="K25" s="768">
        <f>C25*6200</f>
        <v/>
      </c>
      <c r="L25" s="783" t="n"/>
      <c r="M25" s="784" t="n"/>
      <c r="N25" s="771">
        <f>F25*5580</f>
        <v/>
      </c>
      <c r="O25" s="771">
        <f>G25*4340</f>
        <v/>
      </c>
      <c r="P25" s="785" t="n"/>
      <c r="Q25" s="758" t="n"/>
      <c r="R25" s="756">
        <f>SUM(K25:Q25)</f>
        <v/>
      </c>
      <c r="S25" s="786">
        <f>(C25+D25+E25+F25+I25+G25+H25)*3923</f>
        <v/>
      </c>
    </row>
    <row r="26" customFormat="1" s="24">
      <c r="A26" s="85" t="inlineStr">
        <is>
          <t>컵비즈왁스(라벤다)</t>
        </is>
      </c>
      <c r="B26" s="774" t="n"/>
      <c r="C26" s="310" t="n">
        <v>4</v>
      </c>
      <c r="D26" s="326" t="n"/>
      <c r="E26" s="310" t="n"/>
      <c r="F26" s="327" t="n">
        <v>8</v>
      </c>
      <c r="G26" s="326" t="n">
        <v>1</v>
      </c>
      <c r="H26" s="325" t="n"/>
      <c r="I26" s="564" t="n"/>
      <c r="J26" s="35">
        <f>SUM(C26:I26)</f>
        <v/>
      </c>
      <c r="K26" s="768">
        <f>C26*6200</f>
        <v/>
      </c>
      <c r="L26" s="783" t="n"/>
      <c r="M26" s="784" t="n"/>
      <c r="N26" s="771">
        <f>F26*5580</f>
        <v/>
      </c>
      <c r="O26" s="771">
        <f>G26*4340</f>
        <v/>
      </c>
      <c r="P26" s="785" t="n"/>
      <c r="Q26" s="758" t="n"/>
      <c r="R26" s="756">
        <f>SUM(K26:Q26)</f>
        <v/>
      </c>
      <c r="S26" s="786">
        <f>(C26+D26+E26+F26+I26+G26+H26)*3923</f>
        <v/>
      </c>
    </row>
    <row r="27" customFormat="1" s="24">
      <c r="A27" s="85" t="inlineStr">
        <is>
          <t>컵비즈왁스(하이브리드)</t>
        </is>
      </c>
      <c r="B27" s="774" t="n"/>
      <c r="C27" s="310" t="n">
        <v>2</v>
      </c>
      <c r="D27" s="326" t="n"/>
      <c r="E27" s="310" t="n"/>
      <c r="F27" s="327" t="n">
        <v>3</v>
      </c>
      <c r="G27" s="326" t="n"/>
      <c r="H27" s="325" t="n"/>
      <c r="I27" s="564" t="n"/>
      <c r="J27" s="35">
        <f>SUM(C27:I27)</f>
        <v/>
      </c>
      <c r="K27" s="768">
        <f>C27*6200</f>
        <v/>
      </c>
      <c r="L27" s="783" t="n"/>
      <c r="M27" s="784" t="n"/>
      <c r="N27" s="771">
        <f>F27*5580</f>
        <v/>
      </c>
      <c r="O27" s="771">
        <f>G27*4340</f>
        <v/>
      </c>
      <c r="P27" s="785" t="n"/>
      <c r="Q27" s="758" t="n"/>
      <c r="R27" s="756">
        <f>SUM(K27:Q27)</f>
        <v/>
      </c>
      <c r="S27" s="786">
        <f>(C27+D27+E27+F27+I27+G27+H27)*3923</f>
        <v/>
      </c>
    </row>
    <row r="28" customFormat="1" s="24">
      <c r="A28" s="85" t="inlineStr">
        <is>
          <t>컵비즈왁스(핑키니)</t>
        </is>
      </c>
      <c r="B28" s="775" t="n"/>
      <c r="C28" s="310" t="n">
        <v>7</v>
      </c>
      <c r="D28" s="326" t="n"/>
      <c r="E28" s="310" t="n"/>
      <c r="F28" s="327" t="n">
        <v>3</v>
      </c>
      <c r="G28" s="326" t="n">
        <v>1</v>
      </c>
      <c r="H28" s="325" t="n"/>
      <c r="I28" s="564" t="n"/>
      <c r="J28" s="35">
        <f>SUM(C28:I28)</f>
        <v/>
      </c>
      <c r="K28" s="768">
        <f>C28*6200</f>
        <v/>
      </c>
      <c r="L28" s="783" t="n"/>
      <c r="M28" s="784" t="n"/>
      <c r="N28" s="771">
        <f>F28*5580</f>
        <v/>
      </c>
      <c r="O28" s="771">
        <f>G28*4340</f>
        <v/>
      </c>
      <c r="P28" s="785" t="n"/>
      <c r="Q28" s="758" t="n"/>
      <c r="R28" s="756">
        <f>SUM(K28:Q28)</f>
        <v/>
      </c>
      <c r="S28" s="786">
        <f>(C28+D28+E28+F28+I28+G28+H28)*3923</f>
        <v/>
      </c>
    </row>
    <row r="29">
      <c r="A29" s="29" t="inlineStr">
        <is>
          <t>핑키니하드</t>
        </is>
      </c>
      <c r="B29" s="381" t="inlineStr">
        <is>
          <t>P00000UH</t>
        </is>
      </c>
      <c r="C29" s="258" t="n">
        <v>40</v>
      </c>
      <c r="D29" s="235" t="n"/>
      <c r="E29" s="234" t="n">
        <v>149</v>
      </c>
      <c r="F29" s="215" t="n">
        <v>317</v>
      </c>
      <c r="G29" s="215" t="n"/>
      <c r="H29" s="215" t="n">
        <v>148</v>
      </c>
      <c r="I29" s="238" t="n"/>
      <c r="J29" s="35">
        <f>SUM(C29:I29)</f>
        <v/>
      </c>
      <c r="K29" s="768">
        <f>C29*40000</f>
        <v/>
      </c>
      <c r="L29" s="769">
        <f>D29*30800</f>
        <v/>
      </c>
      <c r="M29" s="770">
        <f>E29*30800</f>
        <v/>
      </c>
      <c r="N29" s="757">
        <f>F29*34000</f>
        <v/>
      </c>
      <c r="O29" s="771" t="n"/>
      <c r="P29" s="787">
        <f>H29*34000</f>
        <v/>
      </c>
      <c r="Q29" s="787" t="n"/>
      <c r="R29" s="756">
        <f>SUM(K29:Q29)</f>
        <v/>
      </c>
      <c r="S29" s="786">
        <f>(C29+D29+E29+F29+I29+G29+H29)*17852</f>
        <v/>
      </c>
    </row>
    <row r="30">
      <c r="A30" s="29" t="inlineStr">
        <is>
          <t>루비1kg</t>
        </is>
      </c>
      <c r="B30" s="382" t="inlineStr">
        <is>
          <t>P00000TI</t>
        </is>
      </c>
      <c r="C30" s="262" t="n">
        <v>14</v>
      </c>
      <c r="D30" s="235" t="n"/>
      <c r="E30" s="234" t="n">
        <v>56</v>
      </c>
      <c r="F30" s="230" t="n">
        <v>336</v>
      </c>
      <c r="G30" s="230" t="n"/>
      <c r="H30" s="230" t="n">
        <v>15</v>
      </c>
      <c r="I30" s="322" t="n"/>
      <c r="J30" s="35">
        <f>SUM(C30:I30)</f>
        <v/>
      </c>
      <c r="K30" s="768">
        <f>C30*37800</f>
        <v/>
      </c>
      <c r="L30" s="769">
        <f>D30*27800</f>
        <v/>
      </c>
      <c r="M30" s="770">
        <f>E30*27800</f>
        <v/>
      </c>
      <c r="N30" s="757">
        <f>F30*32130</f>
        <v/>
      </c>
      <c r="O30" s="771" t="n"/>
      <c r="P30" s="787">
        <f>H30*32130</f>
        <v/>
      </c>
      <c r="Q30" s="787" t="n"/>
      <c r="R30" s="756">
        <f>SUM(K30:Q30)</f>
        <v/>
      </c>
      <c r="S30" s="786">
        <f>(C30+D30+E30+F30+I30+G30+H30)*15958</f>
        <v/>
      </c>
    </row>
    <row r="31">
      <c r="A31" s="29" t="inlineStr">
        <is>
          <t>데저트</t>
        </is>
      </c>
      <c r="B31" s="381" t="inlineStr">
        <is>
          <t>P00000BY</t>
        </is>
      </c>
      <c r="C31" s="263" t="n">
        <v>56</v>
      </c>
      <c r="D31" s="235" t="n"/>
      <c r="E31" s="234" t="n">
        <v>214</v>
      </c>
      <c r="F31" s="230" t="n">
        <v>459</v>
      </c>
      <c r="G31" s="230" t="n"/>
      <c r="H31" s="230" t="n">
        <v>396</v>
      </c>
      <c r="I31" s="330" t="n"/>
      <c r="J31" s="35">
        <f>SUM(C31:I31)</f>
        <v/>
      </c>
      <c r="K31" s="768">
        <f>C31*37800</f>
        <v/>
      </c>
      <c r="L31" s="769">
        <f>D31*27800</f>
        <v/>
      </c>
      <c r="M31" s="770">
        <f>E31*27800</f>
        <v/>
      </c>
      <c r="N31" s="757">
        <f>F31*32130</f>
        <v/>
      </c>
      <c r="O31" s="771" t="n"/>
      <c r="P31" s="787">
        <f>H31*32130</f>
        <v/>
      </c>
      <c r="Q31" s="787" t="n"/>
      <c r="R31" s="756">
        <f>SUM(K31:Q31)</f>
        <v/>
      </c>
      <c r="S31" s="786">
        <f>(C31+D31+E31+F31+I31+G31+H31)*15958</f>
        <v/>
      </c>
    </row>
    <row r="32">
      <c r="A32" s="29" t="inlineStr">
        <is>
          <t>라벤더</t>
        </is>
      </c>
      <c r="B32" s="715" t="inlineStr">
        <is>
          <t>P00000BZ</t>
        </is>
      </c>
      <c r="C32" s="263" t="n">
        <v>34</v>
      </c>
      <c r="D32" s="235" t="n"/>
      <c r="E32" s="234" t="n">
        <v>84</v>
      </c>
      <c r="F32" s="215" t="n">
        <v>152</v>
      </c>
      <c r="G32" s="215" t="n"/>
      <c r="H32" s="215" t="n">
        <v>90</v>
      </c>
      <c r="I32" s="329" t="n"/>
      <c r="J32" s="35">
        <f>SUM(C32:I32)</f>
        <v/>
      </c>
      <c r="K32" s="768">
        <f>C32*37800</f>
        <v/>
      </c>
      <c r="L32" s="769">
        <f>D32*27800</f>
        <v/>
      </c>
      <c r="M32" s="770">
        <f>E32*27800</f>
        <v/>
      </c>
      <c r="N32" s="757">
        <f>F32*32130</f>
        <v/>
      </c>
      <c r="O32" s="771" t="n"/>
      <c r="P32" s="787">
        <f>H32*32130</f>
        <v/>
      </c>
      <c r="Q32" s="787" t="n"/>
      <c r="R32" s="756">
        <f>SUM(K32:Q32)</f>
        <v/>
      </c>
      <c r="S32" s="786">
        <f>(C32+D32+E32+F32+I32+G32+H32)*15958</f>
        <v/>
      </c>
    </row>
    <row r="33">
      <c r="A33" s="43" t="inlineStr">
        <is>
          <t>로제트</t>
        </is>
      </c>
      <c r="B33" s="381" t="inlineStr">
        <is>
          <t>P00000CH</t>
        </is>
      </c>
      <c r="C33" s="263" t="n">
        <v>36</v>
      </c>
      <c r="D33" s="235" t="n"/>
      <c r="E33" s="234" t="n">
        <v>157</v>
      </c>
      <c r="F33" s="230" t="n">
        <v>312</v>
      </c>
      <c r="G33" s="230" t="n">
        <v>1</v>
      </c>
      <c r="H33" s="230" t="n">
        <v>160</v>
      </c>
      <c r="I33" s="322" t="n"/>
      <c r="J33" s="35">
        <f>SUM(C33:I33)</f>
        <v/>
      </c>
      <c r="K33" s="768">
        <f>C33*37800</f>
        <v/>
      </c>
      <c r="L33" s="769">
        <f>D33*27800</f>
        <v/>
      </c>
      <c r="M33" s="770">
        <f>E33*27800</f>
        <v/>
      </c>
      <c r="N33" s="757">
        <f>F33*32130</f>
        <v/>
      </c>
      <c r="O33" s="771">
        <f>G33*30240</f>
        <v/>
      </c>
      <c r="P33" s="787">
        <f>H33*32130</f>
        <v/>
      </c>
      <c r="Q33" s="787" t="n"/>
      <c r="R33" s="756">
        <f>SUM(K33:Q33)</f>
        <v/>
      </c>
      <c r="S33" s="786">
        <f>(C33+D33+E33+F33+I33+G33+H33)*16680</f>
        <v/>
      </c>
    </row>
    <row r="34">
      <c r="A34" s="29" t="inlineStr">
        <is>
          <t>맨니피코</t>
        </is>
      </c>
      <c r="B34" s="381" t="inlineStr">
        <is>
          <t>P00000CG</t>
        </is>
      </c>
      <c r="C34" s="263" t="n">
        <v>35</v>
      </c>
      <c r="D34" s="235" t="n"/>
      <c r="E34" s="234" t="n">
        <v>89</v>
      </c>
      <c r="F34" s="230" t="n">
        <v>322</v>
      </c>
      <c r="G34" s="230" t="n"/>
      <c r="H34" s="230" t="n">
        <v>243</v>
      </c>
      <c r="I34" s="322" t="n"/>
      <c r="J34" s="35">
        <f>SUM(C34:I34)</f>
        <v/>
      </c>
      <c r="K34" s="768">
        <f>C34*37800</f>
        <v/>
      </c>
      <c r="L34" s="769">
        <f>D34*27800</f>
        <v/>
      </c>
      <c r="M34" s="770">
        <f>E34*27800</f>
        <v/>
      </c>
      <c r="N34" s="757">
        <f>F34*32130</f>
        <v/>
      </c>
      <c r="O34" s="771" t="n"/>
      <c r="P34" s="787">
        <f>H34*32130</f>
        <v/>
      </c>
      <c r="Q34" s="787" t="n"/>
      <c r="R34" s="756">
        <f>SUM(K34:Q34)</f>
        <v/>
      </c>
      <c r="S34" s="786">
        <f>(C34+D34+E34+F34+I34+G34+H34)*16680</f>
        <v/>
      </c>
    </row>
    <row r="35">
      <c r="A35" s="29" t="inlineStr">
        <is>
          <t>올리브</t>
        </is>
      </c>
      <c r="B35" s="715" t="inlineStr">
        <is>
          <t>P00000CA</t>
        </is>
      </c>
      <c r="C35" s="263" t="n"/>
      <c r="D35" s="235" t="n"/>
      <c r="E35" s="234" t="n"/>
      <c r="F35" s="230" t="n"/>
      <c r="G35" s="230" t="n"/>
      <c r="H35" s="230" t="n"/>
      <c r="I35" s="322" t="n"/>
      <c r="J35" s="35">
        <f>SUM(C35:I35)</f>
        <v/>
      </c>
      <c r="K35" s="768">
        <f>C35*37800</f>
        <v/>
      </c>
      <c r="L35" s="769">
        <f>D35*27800</f>
        <v/>
      </c>
      <c r="M35" s="770">
        <f>E35*27800</f>
        <v/>
      </c>
      <c r="N35" s="757">
        <f>F35*32130</f>
        <v/>
      </c>
      <c r="O35" s="771" t="n"/>
      <c r="P35" s="787">
        <f>H35*32130</f>
        <v/>
      </c>
      <c r="Q35" s="787" t="n"/>
      <c r="R35" s="756">
        <f>SUM(K35:Q35)</f>
        <v/>
      </c>
      <c r="S35" s="786">
        <f>(C35+D35+E35+F35+I35+G35+H35)*16680</f>
        <v/>
      </c>
    </row>
    <row r="36">
      <c r="A36" s="29" t="inlineStr">
        <is>
          <t>바닐라</t>
        </is>
      </c>
      <c r="B36" s="715" t="inlineStr">
        <is>
          <t>P00000BW</t>
        </is>
      </c>
      <c r="C36" s="263" t="n">
        <v>15</v>
      </c>
      <c r="D36" s="235" t="n"/>
      <c r="E36" s="234" t="n">
        <v>12</v>
      </c>
      <c r="F36" s="230" t="n">
        <v>36</v>
      </c>
      <c r="G36" s="230" t="n"/>
      <c r="H36" s="230" t="n">
        <v>40</v>
      </c>
      <c r="I36" s="322" t="n"/>
      <c r="J36" s="35">
        <f>SUM(C36:I36)</f>
        <v/>
      </c>
      <c r="K36" s="768">
        <f>C36*37800</f>
        <v/>
      </c>
      <c r="L36" s="769">
        <f>D36*27800</f>
        <v/>
      </c>
      <c r="M36" s="770">
        <f>E36*27800</f>
        <v/>
      </c>
      <c r="N36" s="757">
        <f>F36*32130</f>
        <v/>
      </c>
      <c r="O36" s="771" t="n"/>
      <c r="P36" s="787">
        <f>H36*32130</f>
        <v/>
      </c>
      <c r="Q36" s="787" t="n"/>
      <c r="R36" s="756">
        <f>SUM(K36:Q36)</f>
        <v/>
      </c>
      <c r="S36" s="786">
        <f>(C36+D36+E36+F36+I36+G36+H36)*16680</f>
        <v/>
      </c>
    </row>
    <row r="37">
      <c r="A37" s="29" t="inlineStr">
        <is>
          <t>소베리</t>
        </is>
      </c>
      <c r="B37" s="715" t="inlineStr">
        <is>
          <t>P00000CI</t>
        </is>
      </c>
      <c r="C37" s="310" t="n">
        <v>4</v>
      </c>
      <c r="D37" s="235" t="n"/>
      <c r="E37" s="234" t="n"/>
      <c r="F37" s="215" t="n">
        <v>1</v>
      </c>
      <c r="G37" s="215" t="n"/>
      <c r="H37" s="215" t="n"/>
      <c r="I37" s="329" t="n"/>
      <c r="J37" s="35">
        <f>SUM(C37:I37)</f>
        <v/>
      </c>
      <c r="K37" s="768">
        <f>C37*37800</f>
        <v/>
      </c>
      <c r="L37" s="769">
        <f>D37*27800</f>
        <v/>
      </c>
      <c r="M37" s="770">
        <f>E37*27800</f>
        <v/>
      </c>
      <c r="N37" s="757">
        <f>F37*32130</f>
        <v/>
      </c>
      <c r="O37" s="771" t="n"/>
      <c r="P37" s="787">
        <f>H37*32130</f>
        <v/>
      </c>
      <c r="Q37" s="787" t="n"/>
      <c r="R37" s="756">
        <f>SUM(K37:Q37)</f>
        <v/>
      </c>
      <c r="S37" s="786">
        <f>(C37+D37+E37+F37+I37+G37+H37)*16680</f>
        <v/>
      </c>
    </row>
    <row r="38">
      <c r="A38" s="29" t="inlineStr">
        <is>
          <t>아쥴렌</t>
        </is>
      </c>
      <c r="B38" s="381" t="inlineStr">
        <is>
          <t>P00000CE</t>
        </is>
      </c>
      <c r="C38" s="310" t="n">
        <v>4</v>
      </c>
      <c r="D38" s="235" t="n"/>
      <c r="E38" s="234" t="n">
        <v>20</v>
      </c>
      <c r="F38" s="230" t="n">
        <v>46</v>
      </c>
      <c r="G38" s="230" t="n"/>
      <c r="H38" s="230" t="n">
        <v>33</v>
      </c>
      <c r="I38" s="322" t="n"/>
      <c r="J38" s="35">
        <f>SUM(C38:I38)</f>
        <v/>
      </c>
      <c r="K38" s="768">
        <f>C38*37800</f>
        <v/>
      </c>
      <c r="L38" s="769">
        <f>D38*27800</f>
        <v/>
      </c>
      <c r="M38" s="770">
        <f>E38*27800</f>
        <v/>
      </c>
      <c r="N38" s="757">
        <f>F38*32130</f>
        <v/>
      </c>
      <c r="O38" s="771" t="n"/>
      <c r="P38" s="787">
        <f>H38*32130</f>
        <v/>
      </c>
      <c r="Q38" s="787" t="n"/>
      <c r="R38" s="756">
        <f>SUM(K38:Q38)</f>
        <v/>
      </c>
      <c r="S38" s="786">
        <f>(C38+D38+E38+F38+I38+G38+H38)*16680</f>
        <v/>
      </c>
    </row>
    <row r="39">
      <c r="A39" s="29" t="inlineStr">
        <is>
          <t>액티브골드</t>
        </is>
      </c>
      <c r="B39" s="715" t="inlineStr">
        <is>
          <t>P00000KH</t>
        </is>
      </c>
      <c r="C39" s="310" t="n"/>
      <c r="D39" s="235" t="n"/>
      <c r="E39" s="234" t="n"/>
      <c r="F39" s="215" t="n"/>
      <c r="G39" s="215" t="n"/>
      <c r="H39" s="215" t="n"/>
      <c r="I39" s="329" t="n"/>
      <c r="J39" s="35">
        <f>SUM(C39:I39)</f>
        <v/>
      </c>
      <c r="K39" s="768">
        <f>C39*37800</f>
        <v/>
      </c>
      <c r="L39" s="769">
        <f>D39*27800</f>
        <v/>
      </c>
      <c r="M39" s="770">
        <f>E39*27800</f>
        <v/>
      </c>
      <c r="N39" s="757">
        <f>F39*32130</f>
        <v/>
      </c>
      <c r="O39" s="771" t="n"/>
      <c r="P39" s="787">
        <f>H39*32130</f>
        <v/>
      </c>
      <c r="Q39" s="787" t="n"/>
      <c r="R39" s="756">
        <f>SUM(K39:Q39)</f>
        <v/>
      </c>
      <c r="S39" s="786">
        <f>(C39+D39+E39+F39+I39+G39+H39)*15688</f>
        <v/>
      </c>
    </row>
    <row r="40">
      <c r="A40" s="29" t="inlineStr">
        <is>
          <t>알로에</t>
        </is>
      </c>
      <c r="B40" s="715" t="inlineStr">
        <is>
          <t>P00000CD</t>
        </is>
      </c>
      <c r="C40" s="263" t="n">
        <v>7</v>
      </c>
      <c r="D40" s="235" t="n"/>
      <c r="E40" s="234" t="n">
        <v>14</v>
      </c>
      <c r="F40" s="230" t="n">
        <v>102</v>
      </c>
      <c r="G40" s="230" t="n"/>
      <c r="H40" s="230" t="n">
        <v>85</v>
      </c>
      <c r="I40" s="322" t="n"/>
      <c r="J40" s="35">
        <f>SUM(C40:I40)</f>
        <v/>
      </c>
      <c r="K40" s="768">
        <f>C40*37800</f>
        <v/>
      </c>
      <c r="L40" s="769">
        <f>D40*27800</f>
        <v/>
      </c>
      <c r="M40" s="770">
        <f>E40*27800</f>
        <v/>
      </c>
      <c r="N40" s="757">
        <f>F40*32130</f>
        <v/>
      </c>
      <c r="O40" s="771" t="n"/>
      <c r="P40" s="787">
        <f>H40*32130</f>
        <v/>
      </c>
      <c r="Q40" s="787" t="n"/>
      <c r="R40" s="756">
        <f>SUM(K40:Q40)</f>
        <v/>
      </c>
      <c r="S40" s="786">
        <f>(C40+D40+E40+F40+I40+G40+H40)*15688</f>
        <v/>
      </c>
    </row>
    <row r="41">
      <c r="A41" s="29" t="inlineStr">
        <is>
          <t>아프리콧</t>
        </is>
      </c>
      <c r="B41" s="715" t="inlineStr">
        <is>
          <t>P00000CF</t>
        </is>
      </c>
      <c r="C41" s="263" t="n">
        <v>6</v>
      </c>
      <c r="D41" s="235" t="n"/>
      <c r="E41" s="234" t="n"/>
      <c r="F41" s="215" t="n">
        <v>1</v>
      </c>
      <c r="G41" s="215" t="n"/>
      <c r="H41" s="215" t="n"/>
      <c r="I41" s="329" t="n"/>
      <c r="J41" s="35">
        <f>SUM(C41:I41)</f>
        <v/>
      </c>
      <c r="K41" s="768">
        <f>C41*37800</f>
        <v/>
      </c>
      <c r="L41" s="769">
        <f>D41*27800</f>
        <v/>
      </c>
      <c r="M41" s="770">
        <f>E41*27800</f>
        <v/>
      </c>
      <c r="N41" s="757">
        <f>F41*32130</f>
        <v/>
      </c>
      <c r="O41" s="771" t="n"/>
      <c r="P41" s="787">
        <f>H41*32130</f>
        <v/>
      </c>
      <c r="Q41" s="787" t="n"/>
      <c r="R41" s="756">
        <f>SUM(K41:Q41)</f>
        <v/>
      </c>
      <c r="S41" s="786">
        <f>(C41+D41+E41+F41+I41+G41+H41)*15688</f>
        <v/>
      </c>
    </row>
    <row r="42">
      <c r="A42" s="29" t="n"/>
      <c r="B42" s="715" t="n"/>
      <c r="C42" s="263" t="n"/>
      <c r="D42" s="235" t="n"/>
      <c r="E42" s="234" t="n"/>
      <c r="F42" s="215" t="n"/>
      <c r="G42" s="215" t="n"/>
      <c r="H42" s="328" t="n"/>
      <c r="I42" s="329" t="n"/>
      <c r="J42" s="35">
        <f>SUM(C42:I42)</f>
        <v/>
      </c>
      <c r="K42" s="768" t="n"/>
      <c r="L42" s="769" t="n"/>
      <c r="M42" s="770" t="n"/>
      <c r="O42" s="771" t="n"/>
      <c r="P42" s="771" t="n"/>
      <c r="Q42" s="787" t="n"/>
      <c r="S42" s="786" t="n"/>
    </row>
    <row r="43">
      <c r="A43" s="29" t="n"/>
      <c r="B43" s="30" t="n"/>
      <c r="C43" s="310" t="n"/>
      <c r="D43" s="32" t="n"/>
      <c r="E43" s="33" t="n"/>
      <c r="F43" s="191" t="n"/>
      <c r="G43" s="34" t="n"/>
      <c r="H43" s="197" t="n"/>
      <c r="I43" s="34" t="n"/>
      <c r="J43" s="35">
        <f>SUM(C43:I43)</f>
        <v/>
      </c>
      <c r="K43" s="773">
        <f>C43*36000</f>
        <v/>
      </c>
      <c r="L43" s="769">
        <f>D43*28000</f>
        <v/>
      </c>
      <c r="M43" s="770" t="n"/>
      <c r="P43" s="771" t="n"/>
      <c r="S43" s="786" t="n"/>
    </row>
    <row r="44" customFormat="1" s="24">
      <c r="A44" s="439" t="inlineStr">
        <is>
          <t>1kg총합계</t>
        </is>
      </c>
      <c r="B44" s="449" t="n"/>
      <c r="C44" s="450">
        <f>SUM(C29:C43)</f>
        <v/>
      </c>
      <c r="D44" s="451">
        <f>SUM(D29:D43)</f>
        <v/>
      </c>
      <c r="E44" s="452">
        <f>SUM(E29:E43)</f>
        <v/>
      </c>
      <c r="F44" s="453">
        <f>SUM(F29:F43)</f>
        <v/>
      </c>
      <c r="G44" s="453">
        <f>SUM(G29:G43)</f>
        <v/>
      </c>
      <c r="H44" s="453">
        <f>SUM(H29:H43)</f>
        <v/>
      </c>
      <c r="I44" s="453">
        <f>SUM(I29:I43)</f>
        <v/>
      </c>
      <c r="J44" s="442">
        <f>SUM(J29:J43)</f>
        <v/>
      </c>
      <c r="K44" s="777">
        <f>SUM(K25:K43)</f>
        <v/>
      </c>
      <c r="L44" s="778">
        <f>SUM(L25:L43)</f>
        <v/>
      </c>
      <c r="M44" s="779">
        <f>SUM(M25:M43)</f>
        <v/>
      </c>
      <c r="N44" s="777">
        <f>SUM(N25:N43)</f>
        <v/>
      </c>
      <c r="O44" s="780">
        <f>SUM(O25:O43)</f>
        <v/>
      </c>
      <c r="P44" s="780">
        <f>SUM(P25:P43)</f>
        <v/>
      </c>
      <c r="Q44" s="780">
        <f>SUM(Q25:Q43)</f>
        <v/>
      </c>
      <c r="R44" s="788">
        <f>SUM(R25:R43)</f>
        <v/>
      </c>
      <c r="S44" s="782">
        <f>SUM(S25:S43)</f>
        <v/>
      </c>
    </row>
    <row r="45">
      <c r="C45" s="638" t="inlineStr">
        <is>
          <t>도매</t>
        </is>
      </c>
      <c r="D45" s="9" t="inlineStr">
        <is>
          <t>인증살롱</t>
        </is>
      </c>
      <c r="E45" s="10" t="inlineStr">
        <is>
          <t>마스터</t>
        </is>
      </c>
      <c r="F45" s="12" t="inlineStr">
        <is>
          <t>할인행사</t>
        </is>
      </c>
      <c r="G45" s="12" t="n"/>
      <c r="H45" s="12" t="inlineStr">
        <is>
          <t>할인+증정</t>
        </is>
      </c>
      <c r="I45" s="12" t="n"/>
      <c r="J45" s="639" t="inlineStr">
        <is>
          <t>합계</t>
        </is>
      </c>
      <c r="K45" s="789" t="n"/>
      <c r="P45" s="785" t="n"/>
    </row>
    <row r="46">
      <c r="C46" s="44" t="n"/>
      <c r="D46" s="406" t="inlineStr">
        <is>
          <t>P00000VT</t>
        </is>
      </c>
      <c r="E46" s="19" t="inlineStr">
        <is>
          <t>P00000QF</t>
        </is>
      </c>
      <c r="F46" s="20" t="inlineStr">
        <is>
          <t>P00000VN</t>
        </is>
      </c>
      <c r="G46" s="46" t="n">
        <v>0.15</v>
      </c>
      <c r="H46" s="20" t="n"/>
      <c r="I46" s="20" t="n"/>
      <c r="J46" s="17" t="n"/>
      <c r="P46" s="785" t="n"/>
    </row>
    <row r="47" ht="24" customHeight="1" s="754">
      <c r="A47" s="24" t="inlineStr">
        <is>
          <t>스트립왁스</t>
        </is>
      </c>
      <c r="C47" s="47" t="n"/>
      <c r="D47" s="48" t="n"/>
      <c r="E47" s="49" t="n"/>
      <c r="F47" s="20" t="inlineStr">
        <is>
          <t>P00000YU</t>
        </is>
      </c>
      <c r="G47" s="26" t="inlineStr">
        <is>
          <t>바디스타터키트</t>
        </is>
      </c>
      <c r="H47" s="20" t="n"/>
      <c r="I47" s="415" t="n"/>
      <c r="J47" s="50" t="n"/>
      <c r="K47" s="763" t="inlineStr">
        <is>
          <t>도매</t>
        </is>
      </c>
      <c r="L47" s="764" t="inlineStr">
        <is>
          <t>인증살롱/마스터</t>
        </is>
      </c>
      <c r="M47" s="765" t="n"/>
      <c r="N47" s="766" t="inlineStr">
        <is>
          <t>할인</t>
        </is>
      </c>
      <c r="O47" s="766" t="inlineStr">
        <is>
          <t>세트할인</t>
        </is>
      </c>
      <c r="P47" s="766" t="inlineStr">
        <is>
          <t>할인+증정</t>
        </is>
      </c>
      <c r="Q47" s="766" t="n"/>
      <c r="R47" s="767" t="inlineStr">
        <is>
          <t>품목별합계</t>
        </is>
      </c>
      <c r="S47" s="767" t="inlineStr">
        <is>
          <t>원가</t>
        </is>
      </c>
    </row>
    <row r="48">
      <c r="A48" s="51" t="inlineStr">
        <is>
          <t>S_화이트</t>
        </is>
      </c>
      <c r="B48" s="704" t="inlineStr">
        <is>
          <t>P00000CQ</t>
        </is>
      </c>
      <c r="C48" s="233" t="n">
        <v>26</v>
      </c>
      <c r="D48" s="331" t="n"/>
      <c r="E48" s="332" t="n">
        <v>84</v>
      </c>
      <c r="F48" s="333" t="n">
        <v>220</v>
      </c>
      <c r="G48" s="322" t="n"/>
      <c r="H48" s="333" t="n"/>
      <c r="I48" s="334" t="n"/>
      <c r="J48" s="27">
        <f>SUM(C48:I48)</f>
        <v/>
      </c>
      <c r="K48" s="768">
        <f>C48*35700</f>
        <v/>
      </c>
      <c r="L48" s="790">
        <f>D48*25400</f>
        <v/>
      </c>
      <c r="M48" s="770">
        <f>E48*25400</f>
        <v/>
      </c>
      <c r="N48" s="757">
        <f>F48*29500</f>
        <v/>
      </c>
      <c r="P48" s="771">
        <f>H48*29500</f>
        <v/>
      </c>
      <c r="R48" s="756">
        <f>SUM(K48:Q48)</f>
        <v/>
      </c>
      <c r="S48" s="756">
        <f>(C48+D48+E48+F48+I48+H48+G48)*14155</f>
        <v/>
      </c>
    </row>
    <row r="49">
      <c r="A49" s="51" t="inlineStr">
        <is>
          <t>S_슈퍼베리</t>
        </is>
      </c>
      <c r="B49" s="703" t="inlineStr">
        <is>
          <t>P00000CL</t>
        </is>
      </c>
      <c r="C49" s="233" t="n">
        <v>4</v>
      </c>
      <c r="D49" s="235" t="n"/>
      <c r="E49" s="234" t="n"/>
      <c r="F49" s="230" t="n">
        <v>38</v>
      </c>
      <c r="G49" s="334" t="n"/>
      <c r="H49" s="333" t="n"/>
      <c r="I49" s="334" t="n"/>
      <c r="J49" s="27">
        <f>SUM(C49:I49)</f>
        <v/>
      </c>
      <c r="K49" s="768">
        <f>C49*35700</f>
        <v/>
      </c>
      <c r="L49" s="790">
        <f>D49*25400</f>
        <v/>
      </c>
      <c r="M49" s="770">
        <f>E49*25400</f>
        <v/>
      </c>
      <c r="N49" s="757">
        <f>F49*29500</f>
        <v/>
      </c>
      <c r="P49" s="771">
        <f>H49*29500</f>
        <v/>
      </c>
      <c r="R49" s="756">
        <f>SUM(K49:Q49)</f>
        <v/>
      </c>
      <c r="S49" s="756">
        <f>(C49+D49+E49+F49+I49+H49+G49)*14155</f>
        <v/>
      </c>
    </row>
    <row r="50">
      <c r="A50" s="51" t="inlineStr">
        <is>
          <t>S_로제트</t>
        </is>
      </c>
      <c r="B50" s="704" t="inlineStr">
        <is>
          <t>P00000CO</t>
        </is>
      </c>
      <c r="C50" s="237" t="n">
        <v>4</v>
      </c>
      <c r="D50" s="235" t="n"/>
      <c r="E50" s="234" t="n"/>
      <c r="F50" s="230" t="n">
        <v>12</v>
      </c>
      <c r="G50" s="334" t="n"/>
      <c r="H50" s="333" t="n"/>
      <c r="I50" s="334" t="n"/>
      <c r="J50" s="27">
        <f>SUM(C50:I50)</f>
        <v/>
      </c>
      <c r="K50" s="768">
        <f>C50*34700</f>
        <v/>
      </c>
      <c r="L50" s="790">
        <f>D50*25400</f>
        <v/>
      </c>
      <c r="M50" s="770">
        <f>E50*25400</f>
        <v/>
      </c>
      <c r="N50" s="757">
        <f>F50*29500</f>
        <v/>
      </c>
      <c r="P50" s="771">
        <f>H50*29500</f>
        <v/>
      </c>
      <c r="R50" s="756">
        <f>SUM(K50:Q50)</f>
        <v/>
      </c>
      <c r="S50" s="756">
        <f>(C50+D50+E50+F50+I50+H50+G50)*13975</f>
        <v/>
      </c>
    </row>
    <row r="51">
      <c r="A51" s="51" t="inlineStr">
        <is>
          <t>S_맨니피코</t>
        </is>
      </c>
      <c r="B51" s="703" t="inlineStr">
        <is>
          <t>P00000CW</t>
        </is>
      </c>
      <c r="C51" s="233" t="n">
        <v>10</v>
      </c>
      <c r="D51" s="235" t="n"/>
      <c r="E51" s="234" t="n"/>
      <c r="F51" s="230" t="n">
        <v>71</v>
      </c>
      <c r="G51" s="334" t="n"/>
      <c r="H51" s="333" t="n"/>
      <c r="I51" s="334" t="n"/>
      <c r="J51" s="27">
        <f>SUM(C51:I51)</f>
        <v/>
      </c>
      <c r="K51" s="768">
        <f>C51*34700</f>
        <v/>
      </c>
      <c r="L51" s="790">
        <f>D51*25400</f>
        <v/>
      </c>
      <c r="M51" s="770">
        <f>E51*25400</f>
        <v/>
      </c>
      <c r="N51" s="757">
        <f>F51*29500</f>
        <v/>
      </c>
      <c r="P51" s="771">
        <f>H51*29500</f>
        <v/>
      </c>
      <c r="R51" s="756">
        <f>SUM(K51:Q51)</f>
        <v/>
      </c>
      <c r="S51" s="756">
        <f>(C51+D51+E51+F51+I51+H51+G51)*13975</f>
        <v/>
      </c>
    </row>
    <row r="52">
      <c r="A52" s="51" t="inlineStr">
        <is>
          <t>S_올리브</t>
        </is>
      </c>
      <c r="B52" s="704" t="inlineStr">
        <is>
          <t>P00000CN</t>
        </is>
      </c>
      <c r="C52" s="237" t="n"/>
      <c r="D52" s="235" t="n"/>
      <c r="E52" s="234" t="n"/>
      <c r="F52" s="230" t="n"/>
      <c r="G52" s="334" t="n"/>
      <c r="H52" s="333" t="n"/>
      <c r="I52" s="334" t="n"/>
      <c r="J52" s="27">
        <f>SUM(C52:I52)</f>
        <v/>
      </c>
      <c r="K52" s="768">
        <f>C52*34700</f>
        <v/>
      </c>
      <c r="L52" s="790">
        <f>D52*25400</f>
        <v/>
      </c>
      <c r="M52" s="770">
        <f>E52*25400</f>
        <v/>
      </c>
      <c r="N52" s="757">
        <f>F52*29500</f>
        <v/>
      </c>
      <c r="P52" s="771">
        <f>H52*29500</f>
        <v/>
      </c>
      <c r="R52" s="756">
        <f>SUM(K52:Q52)</f>
        <v/>
      </c>
      <c r="S52" s="756">
        <f>(C52+D52+E52+F52+I52+H52+G52)*13975</f>
        <v/>
      </c>
    </row>
    <row r="53">
      <c r="A53" s="51" t="inlineStr">
        <is>
          <t>S_바닐라</t>
        </is>
      </c>
      <c r="B53" s="704" t="inlineStr">
        <is>
          <t>P00000CM</t>
        </is>
      </c>
      <c r="C53" s="237" t="n">
        <v>2</v>
      </c>
      <c r="D53" s="235" t="n"/>
      <c r="E53" s="234" t="n"/>
      <c r="F53" s="230" t="n">
        <v>16</v>
      </c>
      <c r="G53" s="333" t="n">
        <v>1</v>
      </c>
      <c r="H53" s="333" t="n"/>
      <c r="I53" s="334" t="n"/>
      <c r="J53" s="27">
        <f>SUM(C53:I53)</f>
        <v/>
      </c>
      <c r="K53" s="768">
        <f>C53*34700</f>
        <v/>
      </c>
      <c r="L53" s="790">
        <f>D53*25400</f>
        <v/>
      </c>
      <c r="M53" s="770">
        <f>E53*25400</f>
        <v/>
      </c>
      <c r="N53" s="757">
        <f>F53*29500</f>
        <v/>
      </c>
      <c r="O53" s="771">
        <f>G53*27760</f>
        <v/>
      </c>
      <c r="P53" s="771">
        <f>H53*29500</f>
        <v/>
      </c>
      <c r="Q53" s="787" t="n"/>
      <c r="R53" s="756">
        <f>SUM(K53:Q53)</f>
        <v/>
      </c>
      <c r="S53" s="756">
        <f>(C53+D53+E53+F53+I53+H53+G53)*13975</f>
        <v/>
      </c>
    </row>
    <row r="54">
      <c r="A54" s="51" t="inlineStr">
        <is>
          <t>S_소베리</t>
        </is>
      </c>
      <c r="B54" s="703" t="inlineStr">
        <is>
          <t>P00000CT</t>
        </is>
      </c>
      <c r="C54" s="233" t="n">
        <v>6</v>
      </c>
      <c r="D54" s="235" t="n"/>
      <c r="E54" s="234" t="n"/>
      <c r="F54" s="230" t="n">
        <v>45</v>
      </c>
      <c r="G54" s="334" t="n"/>
      <c r="H54" s="333" t="n"/>
      <c r="I54" s="334" t="n"/>
      <c r="J54" s="27">
        <f>SUM(C54:I54)</f>
        <v/>
      </c>
      <c r="K54" s="768">
        <f>C54*34700</f>
        <v/>
      </c>
      <c r="L54" s="790">
        <f>D54*25400</f>
        <v/>
      </c>
      <c r="M54" s="770">
        <f>E54*25400</f>
        <v/>
      </c>
      <c r="N54" s="757">
        <f>F54*29500</f>
        <v/>
      </c>
      <c r="P54" s="771">
        <f>H54*29500</f>
        <v/>
      </c>
      <c r="R54" s="756">
        <f>SUM(K54:Q54)</f>
        <v/>
      </c>
      <c r="S54" s="756">
        <f>(C54+D54+E54+F54+I54+H54+G54)*13975</f>
        <v/>
      </c>
    </row>
    <row r="55">
      <c r="A55" s="51" t="inlineStr">
        <is>
          <t>S_아쥴렌</t>
        </is>
      </c>
      <c r="B55" s="704" t="inlineStr">
        <is>
          <t>P00000CU</t>
        </is>
      </c>
      <c r="C55" s="237" t="n"/>
      <c r="D55" s="235" t="n"/>
      <c r="E55" s="234" t="n"/>
      <c r="F55" s="230" t="n"/>
      <c r="G55" s="334" t="n"/>
      <c r="H55" s="333" t="n"/>
      <c r="I55" s="334" t="n"/>
      <c r="J55" s="27">
        <f>SUM(C55:I55)</f>
        <v/>
      </c>
      <c r="K55" s="768">
        <f>C55*34700</f>
        <v/>
      </c>
      <c r="L55" s="790">
        <f>D55*25400</f>
        <v/>
      </c>
      <c r="M55" s="770">
        <f>E55*25400</f>
        <v/>
      </c>
      <c r="N55" s="757">
        <f>F55*29500</f>
        <v/>
      </c>
      <c r="P55" s="771">
        <f>H55*29500</f>
        <v/>
      </c>
      <c r="R55" s="756">
        <f>SUM(K55:Q55)</f>
        <v/>
      </c>
      <c r="S55" s="756">
        <f>(C55+D55+E55+F55+I55+H55+G55)*13975</f>
        <v/>
      </c>
    </row>
    <row r="56">
      <c r="A56" s="51" t="inlineStr">
        <is>
          <t>S_액티브골드</t>
        </is>
      </c>
      <c r="B56" s="703" t="inlineStr">
        <is>
          <t>P00000CP</t>
        </is>
      </c>
      <c r="C56" s="233" t="n"/>
      <c r="D56" s="235" t="n"/>
      <c r="E56" s="234" t="n"/>
      <c r="F56" s="230" t="n">
        <v>44</v>
      </c>
      <c r="G56" s="334" t="n"/>
      <c r="H56" s="333" t="n"/>
      <c r="I56" s="334" t="n"/>
      <c r="J56" s="27">
        <f>SUM(C56:I56)</f>
        <v/>
      </c>
      <c r="K56" s="768">
        <f>C56*34700</f>
        <v/>
      </c>
      <c r="L56" s="790">
        <f>D56*25400</f>
        <v/>
      </c>
      <c r="M56" s="770">
        <f>E56*25400</f>
        <v/>
      </c>
      <c r="N56" s="757">
        <f>F56*29500</f>
        <v/>
      </c>
      <c r="P56" s="771">
        <f>H56*29500</f>
        <v/>
      </c>
      <c r="R56" s="756">
        <f>SUM(K56:Q56)</f>
        <v/>
      </c>
      <c r="S56" s="756">
        <f>(C56+D56+E56+F56+I56+H56+G56)*13434</f>
        <v/>
      </c>
    </row>
    <row r="57">
      <c r="A57" s="51" t="inlineStr">
        <is>
          <t>S_알로에</t>
        </is>
      </c>
      <c r="B57" s="703" t="inlineStr">
        <is>
          <t>P00000CS</t>
        </is>
      </c>
      <c r="C57" s="233" t="n">
        <v>19</v>
      </c>
      <c r="D57" s="235" t="n"/>
      <c r="E57" s="234" t="n"/>
      <c r="F57" s="230" t="n">
        <v>140</v>
      </c>
      <c r="G57" s="334" t="n"/>
      <c r="H57" s="333" t="n"/>
      <c r="I57" s="334" t="n"/>
      <c r="J57" s="27">
        <f>SUM(C57:I57)</f>
        <v/>
      </c>
      <c r="K57" s="768">
        <f>C57*34700</f>
        <v/>
      </c>
      <c r="L57" s="790">
        <f>D57*25400</f>
        <v/>
      </c>
      <c r="M57" s="770">
        <f>E57*25400</f>
        <v/>
      </c>
      <c r="N57" s="757">
        <f>F57*29500</f>
        <v/>
      </c>
      <c r="P57" s="771">
        <f>H57*29500</f>
        <v/>
      </c>
      <c r="R57" s="756">
        <f>SUM(K57:Q57)</f>
        <v/>
      </c>
      <c r="S57" s="756">
        <f>(C57+D57+E57+F57+I57+H57+G57)*13975</f>
        <v/>
      </c>
    </row>
    <row r="58">
      <c r="A58" s="51" t="inlineStr">
        <is>
          <t>S_아프리콧</t>
        </is>
      </c>
      <c r="B58" s="703" t="inlineStr">
        <is>
          <t>P00000CR</t>
        </is>
      </c>
      <c r="C58" s="237" t="n">
        <v>4</v>
      </c>
      <c r="D58" s="235" t="n"/>
      <c r="E58" s="234" t="n"/>
      <c r="F58" s="230" t="n">
        <v>16</v>
      </c>
      <c r="G58" s="334" t="n"/>
      <c r="H58" s="333" t="n"/>
      <c r="I58" s="334" t="n"/>
      <c r="J58" s="27">
        <f>SUM(C58:I58)</f>
        <v/>
      </c>
      <c r="K58" s="768">
        <f>C58*34700</f>
        <v/>
      </c>
      <c r="L58" s="790">
        <f>D58*25400</f>
        <v/>
      </c>
      <c r="M58" s="770">
        <f>E58*25400</f>
        <v/>
      </c>
      <c r="N58" s="757">
        <f>F58*29500</f>
        <v/>
      </c>
      <c r="P58" s="771">
        <f>H58*29500</f>
        <v/>
      </c>
      <c r="R58" s="756">
        <f>SUM(K58:Q58)</f>
        <v/>
      </c>
      <c r="S58" s="756">
        <f>(C58+D58+E58+F58+I58+H58+G58)*13434</f>
        <v/>
      </c>
    </row>
    <row r="59">
      <c r="A59" s="51" t="inlineStr">
        <is>
          <t>S_소여미</t>
        </is>
      </c>
      <c r="B59" s="703" t="inlineStr">
        <is>
          <t>P00000CV</t>
        </is>
      </c>
      <c r="C59" s="233" t="n"/>
      <c r="D59" s="235" t="n"/>
      <c r="E59" s="234" t="n"/>
      <c r="F59" s="230" t="n"/>
      <c r="G59" s="334" t="n"/>
      <c r="H59" s="333" t="n"/>
      <c r="I59" s="334" t="n"/>
      <c r="J59" s="27">
        <f>SUM(C59:I59)</f>
        <v/>
      </c>
      <c r="K59" s="768">
        <f>C59*34700</f>
        <v/>
      </c>
      <c r="L59" s="790">
        <f>D59*25400</f>
        <v/>
      </c>
      <c r="M59" s="770">
        <f>E59*25400</f>
        <v/>
      </c>
      <c r="N59" s="757">
        <f>F59*29500</f>
        <v/>
      </c>
      <c r="P59" s="771">
        <f>H59*29500</f>
        <v/>
      </c>
      <c r="R59" s="756">
        <f>SUM(K59:Q59)</f>
        <v/>
      </c>
      <c r="S59" s="756">
        <f>(C59+D59+E59+F59+I59+H59+G59)*13975</f>
        <v/>
      </c>
    </row>
    <row r="60">
      <c r="A60" s="51" t="n"/>
      <c r="B60" s="29" t="n"/>
      <c r="C60" s="35" t="n"/>
      <c r="D60" s="32" t="n"/>
      <c r="E60" s="33" t="n"/>
      <c r="F60" s="191" t="n"/>
      <c r="G60" s="53" t="n"/>
      <c r="H60" s="52" t="n"/>
      <c r="I60" s="53" t="n"/>
      <c r="J60" s="27">
        <f>SUM(C60:I60)</f>
        <v/>
      </c>
      <c r="K60" s="776" t="n"/>
      <c r="L60" s="790" t="n"/>
      <c r="M60" s="770" t="n"/>
      <c r="N60" s="771" t="n"/>
      <c r="P60" s="785" t="n"/>
    </row>
    <row r="61" customFormat="1" s="24">
      <c r="A61" s="455" t="inlineStr">
        <is>
          <t>총합계</t>
        </is>
      </c>
      <c r="B61" s="449" t="n"/>
      <c r="C61" s="450">
        <f>SUM(C48:C60)</f>
        <v/>
      </c>
      <c r="D61" s="450">
        <f>SUM(D48:D60)</f>
        <v/>
      </c>
      <c r="E61" s="450">
        <f>SUM(E48:E60)</f>
        <v/>
      </c>
      <c r="F61" s="453">
        <f>SUM(F48:F60)</f>
        <v/>
      </c>
      <c r="G61" s="453" t="n"/>
      <c r="H61" s="453">
        <f>SUM(H48:H60)</f>
        <v/>
      </c>
      <c r="I61" s="453">
        <f>SUM(I48:I60)</f>
        <v/>
      </c>
      <c r="J61" s="442">
        <f>SUM(J48:J60)</f>
        <v/>
      </c>
      <c r="K61" s="777">
        <f>SUM(K48:K60)</f>
        <v/>
      </c>
      <c r="L61" s="791">
        <f>SUM(L48:L60)</f>
        <v/>
      </c>
      <c r="M61" s="779">
        <f>SUM(M48:M60)</f>
        <v/>
      </c>
      <c r="N61" s="780">
        <f>SUM(N48:N60)</f>
        <v/>
      </c>
      <c r="O61" s="780">
        <f>SUM(O48:O60)</f>
        <v/>
      </c>
      <c r="P61" s="780">
        <f>SUM(P48:P60)</f>
        <v/>
      </c>
      <c r="Q61" s="780">
        <f>SUM(Q48:Q60)</f>
        <v/>
      </c>
      <c r="R61" s="781">
        <f>SUM(R48:R60)</f>
        <v/>
      </c>
      <c r="S61" s="782">
        <f>SUM(S48:S60)</f>
        <v/>
      </c>
    </row>
    <row r="62">
      <c r="A62" s="54" t="n"/>
      <c r="C62" s="14" t="inlineStr">
        <is>
          <t>도매</t>
        </is>
      </c>
      <c r="D62" s="55" t="inlineStr">
        <is>
          <t>인증살롱</t>
        </is>
      </c>
      <c r="E62" s="15" t="inlineStr">
        <is>
          <t>마스터</t>
        </is>
      </c>
      <c r="H62" s="416" t="n"/>
      <c r="J62" s="56" t="n"/>
      <c r="K62" s="789" t="n"/>
      <c r="P62" s="785" t="n"/>
    </row>
    <row r="63">
      <c r="A63" s="54" t="n"/>
      <c r="C63" s="14" t="n"/>
      <c r="D63" s="388" t="inlineStr">
        <is>
          <t>P00000VU</t>
        </is>
      </c>
      <c r="E63" s="15" t="inlineStr">
        <is>
          <t>P00000QG</t>
        </is>
      </c>
      <c r="F63" s="57" t="inlineStr">
        <is>
          <t>할인행사</t>
        </is>
      </c>
      <c r="G63" s="57" t="n"/>
      <c r="H63" s="200" t="n"/>
      <c r="I63" s="57" t="n"/>
      <c r="J63" s="58" t="inlineStr">
        <is>
          <t>합계</t>
        </is>
      </c>
      <c r="P63" s="785" t="n"/>
    </row>
    <row r="64">
      <c r="C64" s="18" t="n"/>
      <c r="D64" s="388" t="inlineStr">
        <is>
          <t>P00000VV</t>
        </is>
      </c>
      <c r="E64" s="15" t="inlineStr">
        <is>
          <t>P00000QH</t>
        </is>
      </c>
      <c r="F64" s="20" t="n"/>
      <c r="G64" s="45" t="n"/>
      <c r="H64" s="20" t="n"/>
      <c r="I64" s="20" t="n"/>
      <c r="J64" s="59" t="n"/>
      <c r="P64" s="785" t="n"/>
    </row>
    <row r="65" ht="24" customHeight="1" s="754">
      <c r="C65" s="18" t="inlineStr">
        <is>
          <t>5종미니</t>
        </is>
      </c>
      <c r="D65" s="55" t="inlineStr">
        <is>
          <t>P00000WO</t>
        </is>
      </c>
      <c r="E65" s="15" t="inlineStr">
        <is>
          <t>P00000UF</t>
        </is>
      </c>
      <c r="F65" s="20" t="inlineStr">
        <is>
          <t>P00000YU</t>
        </is>
      </c>
      <c r="G65" s="26" t="inlineStr">
        <is>
          <t>바디스타터키트</t>
        </is>
      </c>
      <c r="H65" s="193" t="n"/>
      <c r="I65" s="630" t="n"/>
      <c r="J65" s="60" t="n"/>
      <c r="P65" s="785" t="n"/>
    </row>
    <row r="66" ht="30" customHeight="1" s="754">
      <c r="C66" s="18" t="n"/>
      <c r="D66" s="55" t="inlineStr">
        <is>
          <t>P00000XC</t>
        </is>
      </c>
      <c r="E66" s="15" t="inlineStr">
        <is>
          <t>P00000WZ</t>
        </is>
      </c>
      <c r="F66" s="61" t="n"/>
      <c r="G66" s="630" t="n"/>
      <c r="H66" s="193" t="n"/>
      <c r="I66" s="630" t="n"/>
      <c r="J66" s="60" t="n"/>
      <c r="P66" s="785" t="n"/>
    </row>
    <row r="67">
      <c r="A67" s="24" t="inlineStr">
        <is>
          <t>전후처리제</t>
        </is>
      </c>
      <c r="C67" s="25" t="n"/>
      <c r="D67" s="55" t="n"/>
      <c r="E67" s="15" t="n"/>
      <c r="F67" s="62" t="n"/>
      <c r="G67" s="63" t="n"/>
      <c r="H67" s="201" t="n"/>
      <c r="I67" s="63" t="inlineStr">
        <is>
          <t>증정</t>
        </is>
      </c>
      <c r="J67" s="27" t="n"/>
      <c r="K67" s="763" t="inlineStr">
        <is>
          <t>도매</t>
        </is>
      </c>
      <c r="L67" s="764" t="inlineStr">
        <is>
          <t>인증살롱/마스터</t>
        </is>
      </c>
      <c r="M67" s="765" t="n"/>
      <c r="N67" s="766" t="inlineStr">
        <is>
          <t>할인</t>
        </is>
      </c>
      <c r="O67" s="766" t="inlineStr">
        <is>
          <t>세트할인</t>
        </is>
      </c>
      <c r="P67" s="766" t="inlineStr">
        <is>
          <t>할인+증정</t>
        </is>
      </c>
      <c r="Q67" s="767" t="n"/>
      <c r="R67" s="767" t="inlineStr">
        <is>
          <t>품목별합계</t>
        </is>
      </c>
      <c r="S67" s="767" t="inlineStr">
        <is>
          <t>원가</t>
        </is>
      </c>
    </row>
    <row r="68" customFormat="1" s="755">
      <c r="A68" s="115" t="inlineStr">
        <is>
          <t>스킨클렌저500</t>
        </is>
      </c>
      <c r="B68" s="703" t="inlineStr">
        <is>
          <t>P00000BP</t>
        </is>
      </c>
      <c r="C68" s="233" t="n">
        <v>153</v>
      </c>
      <c r="D68" s="235" t="n"/>
      <c r="E68" s="234" t="n">
        <v>15</v>
      </c>
      <c r="F68" s="322" t="n"/>
      <c r="G68" s="322" t="n"/>
      <c r="H68" s="236" t="n"/>
      <c r="I68" s="322" t="n"/>
      <c r="J68" s="35">
        <f>SUM(C68:I68)</f>
        <v/>
      </c>
      <c r="K68" s="792">
        <f>C68*25200</f>
        <v/>
      </c>
      <c r="L68" s="790">
        <f>D68*21000</f>
        <v/>
      </c>
      <c r="M68" s="770">
        <f>E68*21000</f>
        <v/>
      </c>
      <c r="N68" s="771" t="n"/>
      <c r="O68" s="771" t="n"/>
      <c r="P68" s="771" t="n"/>
      <c r="Q68" s="758" t="n"/>
      <c r="R68" s="756">
        <f>SUM(K68:Q68)</f>
        <v/>
      </c>
      <c r="S68" s="756">
        <f>(C68+D68+E68+F68+I68+G68+H68)*7032</f>
        <v/>
      </c>
    </row>
    <row r="69" customFormat="1" s="755">
      <c r="A69" s="115" t="inlineStr">
        <is>
          <t>스킨클렌저1000</t>
        </is>
      </c>
      <c r="B69" s="703" t="inlineStr">
        <is>
          <t>P0000BAJ</t>
        </is>
      </c>
      <c r="C69" s="237" t="n"/>
      <c r="D69" s="235" t="n"/>
      <c r="E69" s="234" t="n">
        <v>6</v>
      </c>
      <c r="F69" s="322" t="n"/>
      <c r="G69" s="322" t="n"/>
      <c r="H69" s="236" t="n"/>
      <c r="I69" s="322" t="n"/>
      <c r="J69" s="35">
        <f>SUM(C69:I69)</f>
        <v/>
      </c>
      <c r="K69" s="792">
        <f>C69*47000</f>
        <v/>
      </c>
      <c r="L69" s="790">
        <f>D69*39600</f>
        <v/>
      </c>
      <c r="M69" s="770">
        <f>E69*39600</f>
        <v/>
      </c>
      <c r="N69" s="771" t="n"/>
      <c r="O69" s="771" t="n"/>
      <c r="P69" s="771" t="n"/>
      <c r="Q69" s="758" t="n"/>
      <c r="R69" s="756">
        <f>SUM(K69:Q69)</f>
        <v/>
      </c>
      <c r="S69" s="756">
        <f>(C69+D69+E69+F69+I69+G69+H69)*11631</f>
        <v/>
      </c>
    </row>
    <row r="70" customFormat="1" s="755">
      <c r="A70" s="115" t="inlineStr">
        <is>
          <t>프리왁싱오일500</t>
        </is>
      </c>
      <c r="B70" s="703" t="inlineStr">
        <is>
          <t>P00000BQ</t>
        </is>
      </c>
      <c r="C70" s="233" t="n">
        <v>121</v>
      </c>
      <c r="D70" s="235" t="n"/>
      <c r="E70" s="234" t="n">
        <v>15</v>
      </c>
      <c r="F70" s="322" t="n"/>
      <c r="G70" s="322" t="n"/>
      <c r="H70" s="236" t="n"/>
      <c r="I70" s="322" t="n"/>
      <c r="J70" s="35">
        <f>SUM(C70:I70)</f>
        <v/>
      </c>
      <c r="K70" s="792">
        <f>C70*29400</f>
        <v/>
      </c>
      <c r="L70" s="790">
        <f>D70*25000</f>
        <v/>
      </c>
      <c r="M70" s="770">
        <f>E70*25000</f>
        <v/>
      </c>
      <c r="N70" s="771" t="n"/>
      <c r="O70" s="771" t="n"/>
      <c r="P70" s="771" t="n"/>
      <c r="Q70" s="758" t="n"/>
      <c r="R70" s="756">
        <f>SUM(K70:Q70)</f>
        <v/>
      </c>
      <c r="S70" s="756">
        <f>(C70+D70+E70+F70+I70+G70+H70)*8565</f>
        <v/>
      </c>
    </row>
    <row r="71" customFormat="1" s="755">
      <c r="A71" s="115" t="inlineStr">
        <is>
          <t>프리1000</t>
        </is>
      </c>
      <c r="B71" s="703" t="inlineStr">
        <is>
          <t>P0000BAJ</t>
        </is>
      </c>
      <c r="C71" s="233" t="n"/>
      <c r="D71" s="235" t="n"/>
      <c r="E71" s="234" t="n">
        <v>3</v>
      </c>
      <c r="F71" s="322" t="n"/>
      <c r="G71" s="322" t="n"/>
      <c r="H71" s="236" t="n"/>
      <c r="I71" s="322" t="n"/>
      <c r="J71" s="35">
        <f>SUM(C71:I71)</f>
        <v/>
      </c>
      <c r="K71" s="792">
        <f>C71*47000</f>
        <v/>
      </c>
      <c r="L71" s="790">
        <f>D71*39600</f>
        <v/>
      </c>
      <c r="M71" s="770">
        <f>E71*39600</f>
        <v/>
      </c>
      <c r="N71" s="771" t="n"/>
      <c r="O71" s="771" t="n"/>
      <c r="P71" s="771" t="n"/>
      <c r="Q71" s="758" t="n"/>
      <c r="R71" s="756">
        <f>SUM(K71:Q71)</f>
        <v/>
      </c>
      <c r="S71" s="756">
        <f>(C71+D71+E71+F71+I71+G71+H71)*13073</f>
        <v/>
      </c>
    </row>
    <row r="72" customFormat="1" s="755">
      <c r="A72" s="115" t="inlineStr">
        <is>
          <t>티트리퍼팩</t>
        </is>
      </c>
      <c r="B72" s="703" t="inlineStr">
        <is>
          <t>P00000BR</t>
        </is>
      </c>
      <c r="C72" s="233" t="n">
        <v>33</v>
      </c>
      <c r="D72" s="235" t="n"/>
      <c r="E72" s="234" t="n">
        <v>3</v>
      </c>
      <c r="F72" s="322" t="n"/>
      <c r="G72" s="322" t="n"/>
      <c r="H72" s="236" t="n"/>
      <c r="I72" s="322" t="n"/>
      <c r="J72" s="35">
        <f>SUM(C72:I72)</f>
        <v/>
      </c>
      <c r="K72" s="792">
        <f>C72*25200</f>
        <v/>
      </c>
      <c r="L72" s="790">
        <f>D72*21000</f>
        <v/>
      </c>
      <c r="M72" s="770">
        <f>E72*21000</f>
        <v/>
      </c>
      <c r="N72" s="771" t="n"/>
      <c r="O72" s="771" t="n"/>
      <c r="P72" s="771" t="n"/>
      <c r="Q72" s="758" t="n"/>
      <c r="R72" s="756">
        <f>SUM(K72:Q72)</f>
        <v/>
      </c>
      <c r="S72" s="756">
        <f>(C72+D72+E72+F72+I72+G72+H72)*7032</f>
        <v/>
      </c>
    </row>
    <row r="73" customFormat="1" s="755">
      <c r="A73" s="115" t="inlineStr">
        <is>
          <t>티트리수드500</t>
        </is>
      </c>
      <c r="B73" s="703" t="inlineStr">
        <is>
          <t>P00000BS</t>
        </is>
      </c>
      <c r="C73" s="233" t="n">
        <v>32</v>
      </c>
      <c r="D73" s="235" t="n"/>
      <c r="E73" s="234" t="n">
        <v>5</v>
      </c>
      <c r="F73" s="322" t="n"/>
      <c r="G73" s="322" t="n"/>
      <c r="H73" s="236" t="n"/>
      <c r="I73" s="322" t="n"/>
      <c r="J73" s="35">
        <f>SUM(C73:I73)</f>
        <v/>
      </c>
      <c r="K73" s="792">
        <f>C73*29400</f>
        <v/>
      </c>
      <c r="L73" s="790">
        <f>D73*25000</f>
        <v/>
      </c>
      <c r="M73" s="770">
        <f>E73*25000</f>
        <v/>
      </c>
      <c r="N73" s="771" t="n"/>
      <c r="O73" s="771" t="n"/>
      <c r="P73" s="771" t="n"/>
      <c r="Q73" s="758" t="n"/>
      <c r="R73" s="756">
        <f>SUM(K73:Q73)</f>
        <v/>
      </c>
      <c r="S73" s="756">
        <f>(C73+D73+E73+F73+I73+G73+H73)*8565</f>
        <v/>
      </c>
    </row>
    <row r="74" customFormat="1" s="755">
      <c r="A74" s="115" t="inlineStr">
        <is>
          <t>티트리수드1000</t>
        </is>
      </c>
      <c r="B74" s="703" t="inlineStr">
        <is>
          <t>P0000BAJ</t>
        </is>
      </c>
      <c r="C74" s="237" t="n"/>
      <c r="D74" s="235" t="n"/>
      <c r="E74" s="234" t="n">
        <v>2</v>
      </c>
      <c r="F74" s="322" t="n"/>
      <c r="G74" s="322" t="n"/>
      <c r="H74" s="236" t="n"/>
      <c r="I74" s="322" t="n"/>
      <c r="J74" s="35">
        <f>SUM(C74:I74)</f>
        <v/>
      </c>
      <c r="K74" s="792">
        <f>C74*47000</f>
        <v/>
      </c>
      <c r="L74" s="790">
        <f>D74*39600</f>
        <v/>
      </c>
      <c r="M74" s="770">
        <f>E74*39600</f>
        <v/>
      </c>
      <c r="N74" s="771" t="n"/>
      <c r="O74" s="771" t="n"/>
      <c r="P74" s="771" t="n"/>
      <c r="Q74" s="758" t="n"/>
      <c r="R74" s="756">
        <f>SUM(K74:Q74)</f>
        <v/>
      </c>
      <c r="S74" s="756">
        <f>(C74+D74+E74+F74+I74+G74+H74)*13073</f>
        <v/>
      </c>
    </row>
    <row r="75" customFormat="1" s="755">
      <c r="A75" s="115" t="inlineStr">
        <is>
          <t>수딩크림500</t>
        </is>
      </c>
      <c r="B75" s="703" t="inlineStr">
        <is>
          <t>P00000KP</t>
        </is>
      </c>
      <c r="C75" s="237" t="n">
        <v>4</v>
      </c>
      <c r="D75" s="235" t="n"/>
      <c r="E75" s="234" t="n">
        <v>2</v>
      </c>
      <c r="F75" s="322" t="n"/>
      <c r="G75" s="322" t="n"/>
      <c r="H75" s="236" t="n"/>
      <c r="I75" s="322" t="n"/>
      <c r="J75" s="35">
        <f>SUM(C75:I75)</f>
        <v/>
      </c>
      <c r="K75" s="792">
        <f>C75*29400</f>
        <v/>
      </c>
      <c r="L75" s="790">
        <f>D75*25000</f>
        <v/>
      </c>
      <c r="M75" s="770">
        <f>E75*25000</f>
        <v/>
      </c>
      <c r="N75" s="771" t="n"/>
      <c r="O75" s="771" t="n"/>
      <c r="P75" s="771" t="n"/>
      <c r="Q75" s="758" t="n"/>
      <c r="R75" s="756">
        <f>SUM(K75:Q75)</f>
        <v/>
      </c>
      <c r="S75" s="756">
        <f>(C75+D75+E75+F75+I75+G75+H75)*8926</f>
        <v/>
      </c>
    </row>
    <row r="76" customFormat="1" s="755">
      <c r="A76" s="115" t="inlineStr">
        <is>
          <t>솔벤트500</t>
        </is>
      </c>
      <c r="B76" s="703" t="inlineStr">
        <is>
          <t>P00000BT</t>
        </is>
      </c>
      <c r="C76" s="233" t="n"/>
      <c r="D76" s="235" t="n"/>
      <c r="E76" s="234" t="n"/>
      <c r="F76" s="322" t="n"/>
      <c r="G76" s="322" t="n"/>
      <c r="H76" s="236" t="n"/>
      <c r="I76" s="322" t="n"/>
      <c r="J76" s="35">
        <f>SUM(C76:I76)</f>
        <v/>
      </c>
      <c r="K76" s="792">
        <f>C76*25200</f>
        <v/>
      </c>
      <c r="L76" s="790">
        <f>D76*21000</f>
        <v/>
      </c>
      <c r="M76" s="770">
        <f>E76*21000</f>
        <v/>
      </c>
      <c r="N76" s="771" t="n"/>
      <c r="O76" s="771" t="n"/>
      <c r="P76" s="771" t="n"/>
      <c r="Q76" s="758" t="n"/>
      <c r="R76" s="756">
        <f>SUM(K76:Q76)</f>
        <v/>
      </c>
      <c r="S76" s="756">
        <f>(C76+D76+E76+F76+I76+G76+H76)*7032</f>
        <v/>
      </c>
    </row>
    <row r="77" customFormat="1" s="755">
      <c r="A77" s="115" t="inlineStr">
        <is>
          <t>솔벤트1000</t>
        </is>
      </c>
      <c r="B77" s="703" t="inlineStr">
        <is>
          <t>P0000BMW</t>
        </is>
      </c>
      <c r="C77" s="233" t="n">
        <v>36</v>
      </c>
      <c r="D77" s="235" t="n"/>
      <c r="E77" s="234" t="n">
        <v>1</v>
      </c>
      <c r="F77" s="322" t="n"/>
      <c r="G77" s="322" t="n"/>
      <c r="H77" s="236" t="n"/>
      <c r="I77" s="322" t="n"/>
      <c r="J77" s="35">
        <f>SUM(C77:I77)</f>
        <v/>
      </c>
      <c r="K77" s="793">
        <f>C77*47000</f>
        <v/>
      </c>
      <c r="L77" s="790">
        <f>D77*39600</f>
        <v/>
      </c>
      <c r="M77" s="770">
        <f>E77*39600</f>
        <v/>
      </c>
      <c r="N77" s="771" t="n"/>
      <c r="O77" s="771" t="n"/>
      <c r="P77" s="771" t="n"/>
      <c r="Q77" s="758" t="n"/>
      <c r="R77" s="756">
        <f>SUM(K77:Q77)</f>
        <v/>
      </c>
      <c r="S77" s="756">
        <f>(C77+D77+E77+F77+I77+G77+H77)*11631</f>
        <v/>
      </c>
    </row>
    <row r="78" customFormat="1" s="755">
      <c r="A78" s="115" t="inlineStr">
        <is>
          <t>핑키니스킨500</t>
        </is>
      </c>
      <c r="B78" s="703" t="inlineStr">
        <is>
          <t>P00000PN</t>
        </is>
      </c>
      <c r="C78" s="233" t="n">
        <v>13</v>
      </c>
      <c r="D78" s="235" t="n"/>
      <c r="E78" s="234" t="n">
        <v>4</v>
      </c>
      <c r="F78" s="322" t="n"/>
      <c r="G78" s="322" t="n"/>
      <c r="H78" s="236" t="n"/>
      <c r="I78" s="322" t="n"/>
      <c r="J78" s="35">
        <f>SUM(C78:I78)</f>
        <v/>
      </c>
      <c r="K78" s="792">
        <f>C78*29400</f>
        <v/>
      </c>
      <c r="L78" s="790">
        <f>D78*25000</f>
        <v/>
      </c>
      <c r="M78" s="770">
        <f>E78*25000</f>
        <v/>
      </c>
      <c r="N78" s="771" t="n"/>
      <c r="O78" s="771" t="n"/>
      <c r="P78" s="771" t="n"/>
      <c r="Q78" s="758" t="n"/>
      <c r="R78" s="756">
        <f>SUM(K78:Q78)</f>
        <v/>
      </c>
      <c r="S78" s="756">
        <f>(C78+D78+E78+F78+I78+G78+H78)*8926</f>
        <v/>
      </c>
    </row>
    <row r="79" customFormat="1" s="755">
      <c r="A79" s="115" t="inlineStr">
        <is>
          <t>핑키니프리500</t>
        </is>
      </c>
      <c r="B79" s="703" t="inlineStr">
        <is>
          <t>P00000PN</t>
        </is>
      </c>
      <c r="C79" s="233" t="n">
        <v>19</v>
      </c>
      <c r="D79" s="235" t="n"/>
      <c r="E79" s="234" t="n">
        <v>3</v>
      </c>
      <c r="F79" s="322" t="n"/>
      <c r="G79" s="322" t="n"/>
      <c r="H79" s="236" t="n"/>
      <c r="I79" s="322" t="n"/>
      <c r="J79" s="35">
        <f>SUM(C79:I79)</f>
        <v/>
      </c>
      <c r="K79" s="792">
        <f>C79*29400</f>
        <v/>
      </c>
      <c r="L79" s="790">
        <f>D79*25000</f>
        <v/>
      </c>
      <c r="M79" s="770">
        <f>E79*25000</f>
        <v/>
      </c>
      <c r="N79" s="771" t="n"/>
      <c r="O79" s="771" t="n"/>
      <c r="P79" s="771" t="n"/>
      <c r="Q79" s="758" t="n"/>
      <c r="R79" s="756">
        <f>SUM(K79:Q79)</f>
        <v/>
      </c>
      <c r="S79" s="756">
        <f>(C79+D79+E79+F79+I79+G79+H79)*8926</f>
        <v/>
      </c>
    </row>
    <row r="80" customFormat="1" s="755">
      <c r="A80" s="65" t="inlineStr">
        <is>
          <t>핑키니피니싱500</t>
        </is>
      </c>
      <c r="B80" s="692" t="inlineStr">
        <is>
          <t>P00000PN</t>
        </is>
      </c>
      <c r="C80" s="311" t="n">
        <v>8</v>
      </c>
      <c r="D80" s="335" t="n"/>
      <c r="E80" s="336" t="n">
        <v>1</v>
      </c>
      <c r="F80" s="337" t="n"/>
      <c r="G80" s="337" t="n"/>
      <c r="H80" s="338" t="n"/>
      <c r="I80" s="337" t="n"/>
      <c r="J80" s="35">
        <f>SUM(C80:I80)</f>
        <v/>
      </c>
      <c r="K80" s="792">
        <f>C80*29400</f>
        <v/>
      </c>
      <c r="L80" s="790">
        <f>D80*25000</f>
        <v/>
      </c>
      <c r="M80" s="770">
        <f>E80*25000</f>
        <v/>
      </c>
      <c r="N80" s="771" t="n"/>
      <c r="O80" s="771" t="n"/>
      <c r="P80" s="771" t="n"/>
      <c r="Q80" s="758" t="n"/>
      <c r="R80" s="756">
        <f>SUM(K80:Q80)</f>
        <v/>
      </c>
      <c r="S80" s="756">
        <f>(C80+D80+E80+F80+I80+G80+H80)*8926</f>
        <v/>
      </c>
    </row>
    <row r="81" customFormat="1" s="755">
      <c r="A81" s="115" t="inlineStr">
        <is>
          <t>5종미니125미리</t>
        </is>
      </c>
      <c r="B81" s="703" t="inlineStr">
        <is>
          <t>P00000BU</t>
        </is>
      </c>
      <c r="C81" s="233" t="n">
        <v>13</v>
      </c>
      <c r="D81" s="235" t="n"/>
      <c r="E81" s="234" t="n">
        <v>1</v>
      </c>
      <c r="F81" s="215" t="n">
        <v>1</v>
      </c>
      <c r="G81" s="322" t="n"/>
      <c r="H81" s="236" t="n"/>
      <c r="I81" s="322" t="n"/>
      <c r="J81" s="35">
        <f>SUM(C81:I81)</f>
        <v/>
      </c>
      <c r="K81" s="792">
        <f>C81*47000</f>
        <v/>
      </c>
      <c r="L81" s="790">
        <f>D81*35200</f>
        <v/>
      </c>
      <c r="M81" s="770">
        <f>E81*35200</f>
        <v/>
      </c>
      <c r="N81" s="771" t="n"/>
      <c r="O81" s="771">
        <f>F81*37600</f>
        <v/>
      </c>
      <c r="P81" s="771" t="n"/>
      <c r="Q81" s="758" t="n"/>
      <c r="R81" s="756">
        <f>SUM(K81:Q81)</f>
        <v/>
      </c>
      <c r="S81" s="756">
        <f>(C81+D81+E81+F81+I81+G81+H81)*18934</f>
        <v/>
      </c>
    </row>
    <row r="82" customFormat="1" s="755">
      <c r="A82" s="115" t="inlineStr">
        <is>
          <t>맨니스킨250</t>
        </is>
      </c>
      <c r="B82" s="380" t="inlineStr">
        <is>
          <t>P00000XD</t>
        </is>
      </c>
      <c r="C82" s="233" t="n">
        <v>14</v>
      </c>
      <c r="D82" s="235" t="n"/>
      <c r="E82" s="234" t="n"/>
      <c r="F82" s="230" t="n"/>
      <c r="G82" s="322" t="n"/>
      <c r="H82" s="236" t="n"/>
      <c r="I82" s="230" t="n"/>
      <c r="J82" s="35">
        <f>SUM(C82:I82)</f>
        <v/>
      </c>
      <c r="K82" s="793">
        <f>C82*16800</f>
        <v/>
      </c>
      <c r="L82" s="790">
        <f>D82*12100</f>
        <v/>
      </c>
      <c r="M82" s="770">
        <f>E82*12100</f>
        <v/>
      </c>
      <c r="N82" s="771" t="n"/>
      <c r="O82" s="771">
        <f>F82*9000</f>
        <v/>
      </c>
      <c r="P82" s="771" t="n"/>
      <c r="Q82" s="758" t="n"/>
      <c r="R82" s="756">
        <f>SUM(K82:Q82)</f>
        <v/>
      </c>
      <c r="S82" s="756">
        <f>(C82+D82+E82+F82+I82+G82+H82)*5319</f>
        <v/>
      </c>
    </row>
    <row r="83">
      <c r="A83" s="115" t="inlineStr">
        <is>
          <t>맨니오일250</t>
        </is>
      </c>
      <c r="B83" s="380" t="inlineStr">
        <is>
          <t>P00000XD</t>
        </is>
      </c>
      <c r="C83" s="237" t="n">
        <v>2</v>
      </c>
      <c r="D83" s="235" t="n"/>
      <c r="E83" s="234" t="n"/>
      <c r="F83" s="230" t="n"/>
      <c r="G83" s="322" t="n"/>
      <c r="H83" s="236" t="n"/>
      <c r="I83" s="230" t="n"/>
      <c r="J83" s="35">
        <f>SUM(C83:I83)</f>
        <v/>
      </c>
      <c r="K83" s="793">
        <f>C83*16800</f>
        <v/>
      </c>
      <c r="L83" s="790">
        <f>D83*12100</f>
        <v/>
      </c>
      <c r="M83" s="770">
        <f>E83*12100</f>
        <v/>
      </c>
      <c r="N83" s="771" t="n"/>
      <c r="O83" s="771">
        <f>F83*9000</f>
        <v/>
      </c>
      <c r="P83" s="771" t="n"/>
      <c r="R83" s="756">
        <f>SUM(K83:Q83)</f>
        <v/>
      </c>
      <c r="S83" s="756">
        <f>(C83+D83+E83+F83+I83+G83+H83)*5319</f>
        <v/>
      </c>
    </row>
    <row r="84">
      <c r="A84" s="115" t="inlineStr">
        <is>
          <t>맨니피니싱250</t>
        </is>
      </c>
      <c r="B84" s="380" t="inlineStr">
        <is>
          <t>P00000XD</t>
        </is>
      </c>
      <c r="C84" s="233" t="n">
        <v>14</v>
      </c>
      <c r="D84" s="235" t="n"/>
      <c r="E84" s="234" t="n"/>
      <c r="F84" s="230" t="n"/>
      <c r="G84" s="322" t="n"/>
      <c r="H84" s="236" t="n"/>
      <c r="I84" s="230" t="n"/>
      <c r="J84" s="35">
        <f>SUM(C84:I84)</f>
        <v/>
      </c>
      <c r="K84" s="793">
        <f>C84*16800</f>
        <v/>
      </c>
      <c r="L84" s="790">
        <f>D84*12100</f>
        <v/>
      </c>
      <c r="M84" s="770">
        <f>E84*12100</f>
        <v/>
      </c>
      <c r="N84" s="771" t="n"/>
      <c r="O84" s="771">
        <f>F84*9000</f>
        <v/>
      </c>
      <c r="P84" s="771" t="n"/>
      <c r="R84" s="756">
        <f>SUM(K84:Q84)</f>
        <v/>
      </c>
      <c r="S84" s="756">
        <f>(C84+D84+E84+F84+I84+G84+H84)*5319</f>
        <v/>
      </c>
    </row>
    <row r="85" customFormat="1" s="24">
      <c r="A85" s="68" t="n"/>
      <c r="B85" s="69" t="n"/>
      <c r="C85" s="70" t="inlineStr">
        <is>
          <t>도매</t>
        </is>
      </c>
      <c r="D85" s="9" t="inlineStr">
        <is>
          <t>인증살롱</t>
        </is>
      </c>
      <c r="E85" s="10" t="inlineStr">
        <is>
          <t>마스터</t>
        </is>
      </c>
      <c r="F85" s="12" t="inlineStr">
        <is>
          <t>할인행사</t>
        </is>
      </c>
      <c r="G85" s="12" t="n"/>
      <c r="H85" s="695" t="inlineStr">
        <is>
          <t>증정행사</t>
        </is>
      </c>
      <c r="I85" s="765" t="n"/>
      <c r="J85" s="639" t="inlineStr">
        <is>
          <t>합계</t>
        </is>
      </c>
      <c r="K85" s="777">
        <f>SUM(K68:K84)</f>
        <v/>
      </c>
      <c r="L85" s="791">
        <f>SUM(L68:L84)</f>
        <v/>
      </c>
      <c r="M85" s="779">
        <f>SUM(M68:M84)</f>
        <v/>
      </c>
      <c r="N85" s="780">
        <f>SUM(N68:N84)</f>
        <v/>
      </c>
      <c r="O85" s="780">
        <f>SUM(O68:O84)</f>
        <v/>
      </c>
      <c r="P85" s="780">
        <f>SUM(P68:P84)</f>
        <v/>
      </c>
      <c r="Q85" s="777">
        <f>SUM(Q68:Q84)</f>
        <v/>
      </c>
      <c r="R85" s="781">
        <f>SUM(R68:R84)</f>
        <v/>
      </c>
      <c r="S85" s="782">
        <f>SUM(S68:S84)</f>
        <v/>
      </c>
    </row>
    <row r="86">
      <c r="C86" s="14" t="n"/>
      <c r="D86" s="388" t="inlineStr">
        <is>
          <t>P00000WC</t>
        </is>
      </c>
      <c r="E86" s="15" t="inlineStr">
        <is>
          <t>P00000QP</t>
        </is>
      </c>
      <c r="F86" s="45" t="inlineStr">
        <is>
          <t>P00000VP</t>
        </is>
      </c>
      <c r="G86" s="7" t="inlineStr">
        <is>
          <t>라2,코코3</t>
        </is>
      </c>
      <c r="H86" s="20" t="n"/>
      <c r="I86" s="157" t="n"/>
      <c r="J86" s="17" t="n"/>
      <c r="L86" s="790" t="n"/>
      <c r="M86" s="770" t="n"/>
      <c r="P86" s="785" t="n"/>
    </row>
    <row r="87">
      <c r="A87" s="24" t="inlineStr">
        <is>
          <t>슈거스크럽</t>
        </is>
      </c>
      <c r="C87" s="18" t="n"/>
      <c r="D87" s="389" t="inlineStr">
        <is>
          <t>P00000WE</t>
        </is>
      </c>
      <c r="E87" s="19" t="inlineStr">
        <is>
          <t>P00000QQ</t>
        </is>
      </c>
      <c r="F87" s="71" t="inlineStr">
        <is>
          <t>미니묶음</t>
        </is>
      </c>
      <c r="G87" s="71" t="inlineStr">
        <is>
          <t>석3,자2</t>
        </is>
      </c>
      <c r="H87" s="203" t="n"/>
      <c r="I87" s="71" t="n"/>
      <c r="J87" s="72" t="n"/>
      <c r="K87" s="763" t="inlineStr">
        <is>
          <t>도매</t>
        </is>
      </c>
      <c r="L87" s="764" t="inlineStr">
        <is>
          <t>인증살롱/마스터</t>
        </is>
      </c>
      <c r="M87" s="765" t="n"/>
      <c r="N87" s="766" t="inlineStr">
        <is>
          <t>할인</t>
        </is>
      </c>
      <c r="O87" s="766" t="inlineStr">
        <is>
          <t>세트할인</t>
        </is>
      </c>
      <c r="P87" s="766" t="inlineStr">
        <is>
          <t>할인+증정</t>
        </is>
      </c>
      <c r="Q87" s="794" t="inlineStr">
        <is>
          <t>증정</t>
        </is>
      </c>
      <c r="R87" s="767" t="inlineStr">
        <is>
          <t>품목별합계</t>
        </is>
      </c>
      <c r="S87" s="795" t="inlineStr">
        <is>
          <t>도매,마스터원가</t>
        </is>
      </c>
    </row>
    <row r="88">
      <c r="A88" s="79" t="inlineStr">
        <is>
          <t>석류520</t>
        </is>
      </c>
      <c r="B88" s="703" t="inlineStr">
        <is>
          <t>P00000BN</t>
        </is>
      </c>
      <c r="C88" s="233" t="n">
        <v>117</v>
      </c>
      <c r="D88" s="538" t="n"/>
      <c r="E88" s="234" t="n">
        <v>6</v>
      </c>
      <c r="F88" s="230" t="n"/>
      <c r="G88" s="322" t="n"/>
      <c r="H88" s="230" t="n"/>
      <c r="I88" s="230" t="n"/>
      <c r="J88" s="35">
        <f>SUM(C88:I88)</f>
        <v/>
      </c>
      <c r="K88" s="792">
        <f>C88*18900</f>
        <v/>
      </c>
      <c r="L88" s="790">
        <f>D88*15400</f>
        <v/>
      </c>
      <c r="M88" s="770">
        <f>E88*15400</f>
        <v/>
      </c>
      <c r="N88" s="771" t="n"/>
      <c r="O88" s="771" t="n"/>
      <c r="P88" s="796">
        <f>H88*18000</f>
        <v/>
      </c>
      <c r="Q88" s="797" t="n"/>
      <c r="R88" s="756">
        <f>SUM(K88:Q88)</f>
        <v/>
      </c>
      <c r="S88" s="756">
        <f>J88*7734</f>
        <v/>
      </c>
    </row>
    <row r="89">
      <c r="A89" s="79" t="inlineStr">
        <is>
          <t>자몽520</t>
        </is>
      </c>
      <c r="B89" s="703" t="inlineStr">
        <is>
          <t>P00000BN</t>
        </is>
      </c>
      <c r="C89" s="233" t="n">
        <v>143</v>
      </c>
      <c r="D89" s="235" t="n"/>
      <c r="E89" s="234" t="n">
        <v>19</v>
      </c>
      <c r="F89" s="230" t="n"/>
      <c r="G89" s="322" t="n"/>
      <c r="H89" s="230" t="n"/>
      <c r="I89" s="230" t="n"/>
      <c r="J89" s="35">
        <f>SUM(C89:I89)</f>
        <v/>
      </c>
      <c r="K89" s="792">
        <f>C89*18900</f>
        <v/>
      </c>
      <c r="L89" s="790">
        <f>D89*15400</f>
        <v/>
      </c>
      <c r="M89" s="770">
        <f>E89*15400</f>
        <v/>
      </c>
      <c r="N89" s="771" t="n"/>
      <c r="O89" s="771" t="n"/>
      <c r="P89" s="796">
        <f>H89*18000</f>
        <v/>
      </c>
      <c r="Q89" s="797" t="n"/>
      <c r="R89" s="756">
        <f>SUM(K89:Q89)</f>
        <v/>
      </c>
      <c r="S89" s="756">
        <f>J89*7734</f>
        <v/>
      </c>
    </row>
    <row r="90">
      <c r="A90" s="79" t="inlineStr">
        <is>
          <t>라벤더520</t>
        </is>
      </c>
      <c r="B90" s="703" t="inlineStr">
        <is>
          <t>P00000BN</t>
        </is>
      </c>
      <c r="C90" s="233" t="n">
        <v>108</v>
      </c>
      <c r="D90" s="235" t="n"/>
      <c r="E90" s="234" t="n">
        <v>10</v>
      </c>
      <c r="F90" s="230" t="n"/>
      <c r="G90" s="322" t="n"/>
      <c r="H90" s="230" t="n"/>
      <c r="I90" s="230" t="n"/>
      <c r="J90" s="35">
        <f>SUM(C90:I90)</f>
        <v/>
      </c>
      <c r="K90" s="792">
        <f>C90*18900</f>
        <v/>
      </c>
      <c r="L90" s="790">
        <f>D90*15400</f>
        <v/>
      </c>
      <c r="M90" s="770">
        <f>E90*15400</f>
        <v/>
      </c>
      <c r="N90" s="771" t="n"/>
      <c r="O90" s="771" t="n"/>
      <c r="P90" s="796">
        <f>H90*18000</f>
        <v/>
      </c>
      <c r="Q90" s="797" t="n"/>
      <c r="R90" s="756">
        <f>SUM(K90:Q90)</f>
        <v/>
      </c>
      <c r="S90" s="756">
        <f>J90*7734</f>
        <v/>
      </c>
    </row>
    <row r="91">
      <c r="A91" s="79" t="inlineStr">
        <is>
          <t>코코넛520</t>
        </is>
      </c>
      <c r="B91" s="703" t="inlineStr">
        <is>
          <t>P00000BN</t>
        </is>
      </c>
      <c r="C91" s="233" t="n">
        <v>78</v>
      </c>
      <c r="D91" s="235" t="n"/>
      <c r="E91" s="234" t="n">
        <v>10</v>
      </c>
      <c r="F91" s="230" t="n"/>
      <c r="G91" s="322" t="n"/>
      <c r="H91" s="230" t="n"/>
      <c r="I91" s="230" t="n"/>
      <c r="J91" s="35">
        <f>SUM(C91:I91)</f>
        <v/>
      </c>
      <c r="K91" s="792">
        <f>C91*18900</f>
        <v/>
      </c>
      <c r="L91" s="790">
        <f>D91*15400</f>
        <v/>
      </c>
      <c r="M91" s="770">
        <f>E91*15400</f>
        <v/>
      </c>
      <c r="N91" s="771" t="n"/>
      <c r="O91" s="771" t="n"/>
      <c r="P91" s="796">
        <f>H91*18000</f>
        <v/>
      </c>
      <c r="Q91" s="797" t="n"/>
      <c r="R91" s="756">
        <f>SUM(K91:Q91)</f>
        <v/>
      </c>
      <c r="S91" s="756">
        <f>J91*7734</f>
        <v/>
      </c>
    </row>
    <row r="92">
      <c r="A92" s="79" t="inlineStr">
        <is>
          <t>애플520</t>
        </is>
      </c>
      <c r="B92" s="703" t="inlineStr">
        <is>
          <t>P00000BN</t>
        </is>
      </c>
      <c r="C92" s="233" t="n">
        <v>61</v>
      </c>
      <c r="D92" s="235" t="n"/>
      <c r="E92" s="234" t="n">
        <v>17</v>
      </c>
      <c r="F92" s="230" t="n"/>
      <c r="G92" s="322" t="n"/>
      <c r="H92" s="230" t="n"/>
      <c r="I92" s="230" t="n"/>
      <c r="J92" s="35">
        <f>SUM(C92:I92)</f>
        <v/>
      </c>
      <c r="K92" s="792">
        <f>C92*18900</f>
        <v/>
      </c>
      <c r="L92" s="790">
        <f>D92*15400</f>
        <v/>
      </c>
      <c r="M92" s="770">
        <f>E92*15400</f>
        <v/>
      </c>
      <c r="N92" s="771" t="n"/>
      <c r="O92" s="771" t="n"/>
      <c r="P92" s="796">
        <f>H92*18000</f>
        <v/>
      </c>
      <c r="Q92" s="797" t="n"/>
      <c r="R92" s="756">
        <f>SUM(K92:Q92)</f>
        <v/>
      </c>
      <c r="S92" s="756">
        <f>J92*7734</f>
        <v/>
      </c>
    </row>
    <row r="93">
      <c r="A93" s="79" t="inlineStr">
        <is>
          <t>망고520</t>
        </is>
      </c>
      <c r="B93" s="703" t="inlineStr">
        <is>
          <t>P00000BN</t>
        </is>
      </c>
      <c r="C93" s="233" t="n">
        <v>56</v>
      </c>
      <c r="D93" s="235" t="n"/>
      <c r="E93" s="234" t="n">
        <v>10</v>
      </c>
      <c r="F93" s="230" t="n"/>
      <c r="G93" s="322" t="n"/>
      <c r="H93" s="230" t="n"/>
      <c r="I93" s="230" t="n"/>
      <c r="J93" s="35">
        <f>SUM(C93:I93)</f>
        <v/>
      </c>
      <c r="K93" s="792">
        <f>C93*18900</f>
        <v/>
      </c>
      <c r="L93" s="790">
        <f>D93*15400</f>
        <v/>
      </c>
      <c r="M93" s="770">
        <f>E93*15400</f>
        <v/>
      </c>
      <c r="N93" s="771" t="n"/>
      <c r="O93" s="771" t="n"/>
      <c r="P93" s="796">
        <f>H93*18000</f>
        <v/>
      </c>
      <c r="Q93" s="797" t="n"/>
      <c r="R93" s="756">
        <f>SUM(K93:Q93)</f>
        <v/>
      </c>
      <c r="S93" s="756">
        <f>J93*7734</f>
        <v/>
      </c>
    </row>
    <row r="94">
      <c r="A94" s="79" t="inlineStr">
        <is>
          <t>석류100</t>
        </is>
      </c>
      <c r="B94" s="703" t="inlineStr">
        <is>
          <t>P00000OG</t>
        </is>
      </c>
      <c r="C94" s="233" t="n">
        <v>70</v>
      </c>
      <c r="D94" s="235" t="n"/>
      <c r="E94" s="531" t="n">
        <v>17</v>
      </c>
      <c r="F94" s="230" t="n">
        <v>693</v>
      </c>
      <c r="G94" s="322" t="n"/>
      <c r="H94" s="236" t="n"/>
      <c r="I94" s="242" t="n"/>
      <c r="J94" s="35">
        <f>SUM(C94:I94)</f>
        <v/>
      </c>
      <c r="K94" s="792">
        <f>C94*8400</f>
        <v/>
      </c>
      <c r="L94" s="790">
        <f>D94*6600</f>
        <v/>
      </c>
      <c r="M94" s="770">
        <f>E94*6600</f>
        <v/>
      </c>
      <c r="N94" s="771">
        <f>F94*6720</f>
        <v/>
      </c>
      <c r="O94" s="771" t="n"/>
      <c r="P94" s="771" t="n"/>
      <c r="Q94" s="797" t="n"/>
      <c r="R94" s="756">
        <f>SUM(K94:Q94)</f>
        <v/>
      </c>
      <c r="S94" s="756">
        <f>J94*2880</f>
        <v/>
      </c>
    </row>
    <row r="95">
      <c r="A95" s="79" t="inlineStr">
        <is>
          <t>자몽100</t>
        </is>
      </c>
      <c r="B95" s="703" t="inlineStr">
        <is>
          <t>P00000OG</t>
        </is>
      </c>
      <c r="C95" s="233" t="n">
        <v>94</v>
      </c>
      <c r="D95" s="235" t="n"/>
      <c r="E95" s="234" t="n">
        <v>70</v>
      </c>
      <c r="F95" s="230" t="n">
        <v>432</v>
      </c>
      <c r="G95" s="322" t="n"/>
      <c r="H95" s="236" t="n"/>
      <c r="I95" s="330" t="n"/>
      <c r="J95" s="35">
        <f>SUM(C95:I95)</f>
        <v/>
      </c>
      <c r="K95" s="792">
        <f>C95*8400</f>
        <v/>
      </c>
      <c r="L95" s="790">
        <f>D95*6600</f>
        <v/>
      </c>
      <c r="M95" s="770">
        <f>E95*6600</f>
        <v/>
      </c>
      <c r="N95" s="771">
        <f>F95*6720</f>
        <v/>
      </c>
      <c r="O95" s="771" t="n"/>
      <c r="P95" s="771" t="n"/>
      <c r="Q95" s="797" t="n"/>
      <c r="R95" s="756">
        <f>SUM(K95:Q95)</f>
        <v/>
      </c>
      <c r="S95" s="756">
        <f>J95*2880</f>
        <v/>
      </c>
    </row>
    <row r="96">
      <c r="A96" s="79" t="inlineStr">
        <is>
          <t>라벤더100</t>
        </is>
      </c>
      <c r="B96" s="703" t="inlineStr">
        <is>
          <t>P00000OG</t>
        </is>
      </c>
      <c r="C96" s="233" t="n">
        <v>113</v>
      </c>
      <c r="D96" s="235" t="n"/>
      <c r="E96" s="234" t="n">
        <v>26</v>
      </c>
      <c r="F96" s="230" t="n">
        <v>522</v>
      </c>
      <c r="G96" s="322" t="n"/>
      <c r="H96" s="236" t="n"/>
      <c r="I96" s="242" t="n"/>
      <c r="J96" s="35">
        <f>SUM(C96:I96)</f>
        <v/>
      </c>
      <c r="K96" s="792">
        <f>C96*8400</f>
        <v/>
      </c>
      <c r="L96" s="790">
        <f>D96*6600</f>
        <v/>
      </c>
      <c r="M96" s="770">
        <f>E96*6600</f>
        <v/>
      </c>
      <c r="N96" s="771">
        <f>F96*6720</f>
        <v/>
      </c>
      <c r="O96" s="771" t="n"/>
      <c r="P96" s="771" t="n"/>
      <c r="Q96" s="797" t="n"/>
      <c r="R96" s="756">
        <f>SUM(K96:Q96)</f>
        <v/>
      </c>
      <c r="S96" s="756">
        <f>J96*2880</f>
        <v/>
      </c>
    </row>
    <row r="97">
      <c r="A97" s="79" t="inlineStr">
        <is>
          <t>코코넛100</t>
        </is>
      </c>
      <c r="B97" s="703" t="inlineStr">
        <is>
          <t>P00000OG</t>
        </is>
      </c>
      <c r="C97" s="233" t="n">
        <v>39</v>
      </c>
      <c r="D97" s="235" t="n"/>
      <c r="E97" s="234" t="n">
        <v>7</v>
      </c>
      <c r="F97" s="230" t="n">
        <v>513</v>
      </c>
      <c r="G97" s="322" t="n"/>
      <c r="H97" s="236" t="n"/>
      <c r="I97" s="242" t="n"/>
      <c r="J97" s="35">
        <f>SUM(C97:I97)</f>
        <v/>
      </c>
      <c r="K97" s="792">
        <f>C97*8400</f>
        <v/>
      </c>
      <c r="L97" s="790">
        <f>D97*6600</f>
        <v/>
      </c>
      <c r="M97" s="770">
        <f>E97*6600</f>
        <v/>
      </c>
      <c r="N97" s="771">
        <f>F97*6720</f>
        <v/>
      </c>
      <c r="O97" s="771" t="n"/>
      <c r="P97" s="771" t="n"/>
      <c r="Q97" s="797" t="n"/>
      <c r="R97" s="756">
        <f>SUM(K97:Q97)</f>
        <v/>
      </c>
      <c r="S97" s="756">
        <f>J97*2880</f>
        <v/>
      </c>
    </row>
    <row r="98">
      <c r="A98" s="79" t="inlineStr">
        <is>
          <t>애플100</t>
        </is>
      </c>
      <c r="B98" s="703" t="inlineStr">
        <is>
          <t>P00000OG</t>
        </is>
      </c>
      <c r="C98" s="233" t="n">
        <v>76</v>
      </c>
      <c r="D98" s="235" t="n"/>
      <c r="E98" s="234" t="n">
        <v>16</v>
      </c>
      <c r="F98" s="230" t="n"/>
      <c r="G98" s="322" t="n"/>
      <c r="H98" s="236" t="n"/>
      <c r="I98" s="330" t="n"/>
      <c r="J98" s="35">
        <f>SUM(C98:I98)</f>
        <v/>
      </c>
      <c r="K98" s="792">
        <f>C98*8400</f>
        <v/>
      </c>
      <c r="L98" s="790">
        <f>D98*6600</f>
        <v/>
      </c>
      <c r="M98" s="770">
        <f>E98*6600</f>
        <v/>
      </c>
      <c r="N98" s="771">
        <f>F98*6720</f>
        <v/>
      </c>
      <c r="O98" s="771" t="n"/>
      <c r="P98" s="771" t="n"/>
      <c r="Q98" s="797" t="n"/>
      <c r="R98" s="756">
        <f>SUM(K98:Q98)</f>
        <v/>
      </c>
      <c r="S98" s="756">
        <f>J98*2880</f>
        <v/>
      </c>
    </row>
    <row r="99">
      <c r="A99" s="423" t="inlineStr">
        <is>
          <t>망고100</t>
        </is>
      </c>
      <c r="B99" s="692" t="inlineStr">
        <is>
          <t>P00000OG</t>
        </is>
      </c>
      <c r="C99" s="311" t="n">
        <v>53</v>
      </c>
      <c r="D99" s="335" t="n"/>
      <c r="E99" s="336" t="n">
        <v>15</v>
      </c>
      <c r="F99" s="424" t="n"/>
      <c r="G99" s="337" t="n"/>
      <c r="H99" s="338" t="n"/>
      <c r="I99" s="425" t="n"/>
      <c r="J99" s="66">
        <f>SUM(C99:I99)</f>
        <v/>
      </c>
      <c r="K99" s="792">
        <f>C99*8400</f>
        <v/>
      </c>
      <c r="L99" s="790">
        <f>D99*6600</f>
        <v/>
      </c>
      <c r="M99" s="770">
        <f>E99*6600</f>
        <v/>
      </c>
      <c r="N99" s="771">
        <f>F99*6720</f>
        <v/>
      </c>
      <c r="O99" s="771" t="n"/>
      <c r="P99" s="771" t="n"/>
      <c r="Q99" s="797" t="n"/>
      <c r="R99" s="756">
        <f>SUM(K99:Q99)</f>
        <v/>
      </c>
      <c r="S99" s="756">
        <f>J99*2880</f>
        <v/>
      </c>
    </row>
    <row r="100" customFormat="1" s="24">
      <c r="A100" s="81" t="inlineStr">
        <is>
          <t>520g합계</t>
        </is>
      </c>
      <c r="B100" s="703" t="n"/>
      <c r="C100" s="233">
        <f>SUM(C88:C99)</f>
        <v/>
      </c>
      <c r="D100" s="235">
        <f>SUM(D88:D99)</f>
        <v/>
      </c>
      <c r="E100" s="234">
        <f>SUM(E88:E99)</f>
        <v/>
      </c>
      <c r="F100" s="230">
        <f>SUM(F88:F93)</f>
        <v/>
      </c>
      <c r="G100" s="230">
        <f>SUM(G88:G93)</f>
        <v/>
      </c>
      <c r="H100" s="230">
        <f>SUM(H88:H93)</f>
        <v/>
      </c>
      <c r="I100" s="422">
        <f>SUM(I88:I93)</f>
        <v/>
      </c>
      <c r="J100" s="422">
        <f>SUM(J88:J93)</f>
        <v/>
      </c>
      <c r="K100" s="798">
        <f>SUM(K88:K93)</f>
        <v/>
      </c>
      <c r="L100" s="799">
        <f>SUM(L88:L93)</f>
        <v/>
      </c>
      <c r="M100" s="800">
        <f>SUM(M88:M93)</f>
        <v/>
      </c>
      <c r="N100" s="801">
        <f>SUM(N88:N93)</f>
        <v/>
      </c>
      <c r="O100" s="801">
        <f>SUM(O88:O93)</f>
        <v/>
      </c>
      <c r="P100" s="801">
        <f>SUM(P88:P93)</f>
        <v/>
      </c>
      <c r="Q100" s="802">
        <f>SUM(Q88:Q93)</f>
        <v/>
      </c>
      <c r="R100" s="803" t="n"/>
      <c r="S100" s="803" t="n"/>
    </row>
    <row r="101">
      <c r="A101" s="81" t="inlineStr">
        <is>
          <t>미니100ml합계</t>
        </is>
      </c>
      <c r="B101" s="73" t="n"/>
      <c r="C101" s="35">
        <f>SUM(C94:C99)</f>
        <v/>
      </c>
      <c r="D101" s="32">
        <f>SUM(D94:D99)</f>
        <v/>
      </c>
      <c r="E101" s="33">
        <f>SUM(E94:E99)</f>
        <v/>
      </c>
      <c r="F101" s="191">
        <f>SUM(F94:F99)</f>
        <v/>
      </c>
      <c r="G101" s="191" t="n"/>
      <c r="H101" s="191">
        <f>SUM(H94:H99)</f>
        <v/>
      </c>
      <c r="I101" s="41">
        <f>SUM(I88:I93)</f>
        <v/>
      </c>
      <c r="J101" s="438">
        <f>SUM(J94:J99)</f>
        <v/>
      </c>
      <c r="K101" s="804">
        <f>SUM(K94:K99)</f>
        <v/>
      </c>
      <c r="L101" s="805">
        <f>SUM(L94:L99)</f>
        <v/>
      </c>
      <c r="M101" s="806">
        <f>SUM(M94:M99)</f>
        <v/>
      </c>
      <c r="N101" s="807">
        <f>SUM(N94:N99)</f>
        <v/>
      </c>
      <c r="O101" s="807">
        <f>SUM(O94:O99)</f>
        <v/>
      </c>
      <c r="P101" s="807">
        <f>SUM(P94:P99)</f>
        <v/>
      </c>
      <c r="Q101" s="808" t="n"/>
      <c r="R101" s="809" t="n"/>
      <c r="S101" s="809" t="n"/>
    </row>
    <row r="102" customFormat="1" s="24">
      <c r="B102" s="74" t="n"/>
      <c r="C102" s="74" t="n"/>
      <c r="D102" s="9" t="n"/>
      <c r="E102" s="10" t="n"/>
      <c r="F102" s="12" t="n"/>
      <c r="G102" s="12" t="n"/>
      <c r="H102" s="192" t="n"/>
      <c r="I102" s="12" t="n"/>
      <c r="J102" s="639" t="inlineStr">
        <is>
          <t>합계</t>
        </is>
      </c>
      <c r="K102" s="777">
        <f>SUM(K88:K99)</f>
        <v/>
      </c>
      <c r="L102" s="791">
        <f>SUM(L88:L99)</f>
        <v/>
      </c>
      <c r="M102" s="779">
        <f>SUM(M88:M99)</f>
        <v/>
      </c>
      <c r="N102" s="780">
        <f>SUM(N88:N99)</f>
        <v/>
      </c>
      <c r="O102" s="780">
        <f>SUM(O88:O99)</f>
        <v/>
      </c>
      <c r="P102" s="780">
        <f>SUM(P88:P99)</f>
        <v/>
      </c>
      <c r="Q102" s="780">
        <f>SUM(Q88:Q99)</f>
        <v/>
      </c>
      <c r="R102" s="781">
        <f>SUM(R88:R99)</f>
        <v/>
      </c>
      <c r="S102" s="782">
        <f>SUM(S88:S99)</f>
        <v/>
      </c>
    </row>
    <row r="103" customFormat="1" s="24">
      <c r="B103" s="74" t="n"/>
      <c r="C103" s="74" t="inlineStr">
        <is>
          <t>도매</t>
        </is>
      </c>
      <c r="D103" s="9" t="inlineStr">
        <is>
          <t>인증살롱</t>
        </is>
      </c>
      <c r="E103" s="10" t="inlineStr">
        <is>
          <t>마스터</t>
        </is>
      </c>
      <c r="F103" s="12" t="inlineStr">
        <is>
          <t>할인행사</t>
        </is>
      </c>
      <c r="G103" s="12" t="n"/>
      <c r="H103" s="192" t="n"/>
      <c r="I103" s="12" t="n"/>
      <c r="J103" s="639" t="n"/>
      <c r="K103" s="810" t="n"/>
      <c r="L103" s="811" t="n"/>
      <c r="M103" s="812" t="n"/>
      <c r="N103" s="813" t="n"/>
      <c r="O103" s="813" t="n"/>
      <c r="P103" s="813" t="n"/>
      <c r="Q103" s="813" t="n"/>
      <c r="R103" s="814" t="n"/>
      <c r="S103" s="814" t="n"/>
    </row>
    <row r="104">
      <c r="C104" s="14" t="n"/>
      <c r="D104" s="388" t="inlineStr">
        <is>
          <t>P00000WG</t>
        </is>
      </c>
      <c r="E104" s="15" t="inlineStr">
        <is>
          <t>P00000QS</t>
        </is>
      </c>
      <c r="F104" s="20" t="inlineStr">
        <is>
          <t>P0000BMZ</t>
        </is>
      </c>
      <c r="G104" s="75" t="n"/>
      <c r="H104" s="204" t="n"/>
      <c r="I104" s="76" t="n"/>
      <c r="J104" s="76" t="n"/>
      <c r="K104" s="789" t="n"/>
      <c r="P104" s="785" t="n"/>
    </row>
    <row r="105">
      <c r="C105" s="314" t="n"/>
      <c r="D105" s="388" t="inlineStr">
        <is>
          <t>P00000WF</t>
        </is>
      </c>
      <c r="E105" s="15" t="inlineStr">
        <is>
          <t>P00000QR</t>
        </is>
      </c>
      <c r="F105" s="20" t="inlineStr">
        <is>
          <t>P0000BMA</t>
        </is>
      </c>
      <c r="G105" s="75" t="inlineStr">
        <is>
          <t>기한임박</t>
        </is>
      </c>
      <c r="H105" s="205" t="n"/>
      <c r="I105" s="78" t="n"/>
      <c r="J105" s="78" t="n"/>
      <c r="P105" s="785" t="n"/>
    </row>
    <row r="106">
      <c r="A106" s="24" t="inlineStr">
        <is>
          <t>바디로션</t>
        </is>
      </c>
      <c r="C106" s="25" t="n"/>
      <c r="D106" s="389" t="inlineStr">
        <is>
          <t>P00000VV</t>
        </is>
      </c>
      <c r="E106" s="19" t="inlineStr">
        <is>
          <t>P00000QH</t>
        </is>
      </c>
      <c r="F106" s="75" t="n"/>
      <c r="G106" s="77" t="n"/>
      <c r="H106" s="205" t="n"/>
      <c r="I106" s="78" t="n"/>
      <c r="J106" s="78" t="n"/>
      <c r="K106" s="763" t="inlineStr">
        <is>
          <t>도매</t>
        </is>
      </c>
      <c r="L106" s="764" t="inlineStr">
        <is>
          <t>인증살롱/마스터</t>
        </is>
      </c>
      <c r="M106" s="765" t="n"/>
      <c r="N106" s="766" t="inlineStr">
        <is>
          <t>할인</t>
        </is>
      </c>
      <c r="O106" s="766" t="inlineStr">
        <is>
          <t>기한임박할인</t>
        </is>
      </c>
      <c r="P106" s="766" t="inlineStr">
        <is>
          <t>할인+증정</t>
        </is>
      </c>
      <c r="Q106" s="767" t="n"/>
      <c r="R106" s="767" t="inlineStr">
        <is>
          <t>품목별합계</t>
        </is>
      </c>
      <c r="S106" s="795" t="inlineStr">
        <is>
          <t>도매,마스터원가</t>
        </is>
      </c>
    </row>
    <row r="107">
      <c r="A107" s="79" t="inlineStr">
        <is>
          <t>석류로션250</t>
        </is>
      </c>
      <c r="B107" s="703" t="inlineStr">
        <is>
          <t>P000000U</t>
        </is>
      </c>
      <c r="C107" s="240" t="n"/>
      <c r="D107" s="235" t="n"/>
      <c r="E107" s="256" t="n"/>
      <c r="F107" s="230" t="n"/>
      <c r="G107" s="241" t="n"/>
      <c r="H107" s="236" t="n"/>
      <c r="I107" s="35" t="n"/>
      <c r="J107" s="35">
        <f>SUM(C107:I107)</f>
        <v/>
      </c>
      <c r="K107" s="815">
        <f>C107*12000</f>
        <v/>
      </c>
      <c r="L107" s="790">
        <f>D107*12000</f>
        <v/>
      </c>
      <c r="M107" s="770">
        <f>E107*12000</f>
        <v/>
      </c>
      <c r="N107" s="771" t="n"/>
      <c r="O107" s="771" t="n"/>
      <c r="P107" s="771" t="n"/>
      <c r="Q107" s="787" t="n"/>
      <c r="R107" s="756">
        <f>SUM(K107:Q107)</f>
        <v/>
      </c>
      <c r="S107" s="756">
        <f>J107*5967</f>
        <v/>
      </c>
    </row>
    <row r="108">
      <c r="A108" s="228" t="inlineStr">
        <is>
          <t>자몽로션250</t>
        </is>
      </c>
      <c r="B108" s="357" t="inlineStr">
        <is>
          <t>P000000U</t>
        </is>
      </c>
      <c r="C108" s="240" t="n"/>
      <c r="D108" s="235" t="n"/>
      <c r="E108" s="256" t="n"/>
      <c r="F108" s="230" t="n"/>
      <c r="G108" s="231" t="n"/>
      <c r="H108" s="236" t="n"/>
      <c r="I108" s="41" t="n"/>
      <c r="J108" s="35">
        <f>SUM(C108:I108)</f>
        <v/>
      </c>
      <c r="K108" s="815">
        <f>C108*12000</f>
        <v/>
      </c>
      <c r="L108" s="790">
        <f>D108*12000</f>
        <v/>
      </c>
      <c r="M108" s="770">
        <f>E108*12000</f>
        <v/>
      </c>
      <c r="N108" s="771" t="n"/>
      <c r="O108" s="771" t="n"/>
      <c r="P108" s="771" t="n"/>
      <c r="Q108" s="787" t="n"/>
      <c r="R108" s="756">
        <f>SUM(K108:Q108)</f>
        <v/>
      </c>
      <c r="S108" s="756">
        <f>J108*5967</f>
        <v/>
      </c>
    </row>
    <row r="109">
      <c r="A109" s="79" t="inlineStr">
        <is>
          <t>라벤더로션</t>
        </is>
      </c>
      <c r="B109" s="703" t="inlineStr">
        <is>
          <t>P000000U</t>
        </is>
      </c>
      <c r="C109" s="239" t="n"/>
      <c r="D109" s="235" t="n"/>
      <c r="E109" s="256" t="n"/>
      <c r="F109" s="230" t="n"/>
      <c r="G109" s="231" t="n"/>
      <c r="H109" s="236" t="n"/>
      <c r="I109" s="35" t="n"/>
      <c r="J109" s="35">
        <f>SUM(C109:I109)</f>
        <v/>
      </c>
      <c r="K109" s="815">
        <f>C109*12000</f>
        <v/>
      </c>
      <c r="L109" s="790">
        <f>D109*12000</f>
        <v/>
      </c>
      <c r="M109" s="770">
        <f>E109*12000</f>
        <v/>
      </c>
      <c r="N109" s="771" t="n"/>
      <c r="O109" s="771" t="n"/>
      <c r="P109" s="771" t="n"/>
      <c r="Q109" s="787" t="n"/>
      <c r="R109" s="756">
        <f>SUM(K109:Q109)</f>
        <v/>
      </c>
      <c r="S109" s="756">
        <f>J109*5967</f>
        <v/>
      </c>
    </row>
    <row r="110">
      <c r="A110" s="79" t="inlineStr">
        <is>
          <t>코코넛250</t>
        </is>
      </c>
      <c r="B110" s="703" t="inlineStr">
        <is>
          <t>P000000U</t>
        </is>
      </c>
      <c r="C110" s="240" t="n"/>
      <c r="D110" s="235" t="n"/>
      <c r="E110" s="256" t="n"/>
      <c r="F110" s="230" t="n"/>
      <c r="G110" s="231" t="n"/>
      <c r="H110" s="236" t="n"/>
      <c r="I110" s="35" t="n"/>
      <c r="J110" s="35">
        <f>SUM(C110:I110)</f>
        <v/>
      </c>
      <c r="K110" s="815">
        <f>C110*12000</f>
        <v/>
      </c>
      <c r="L110" s="790">
        <f>D110*12000</f>
        <v/>
      </c>
      <c r="M110" s="770">
        <f>E110*12000</f>
        <v/>
      </c>
      <c r="N110" s="771" t="n"/>
      <c r="O110" s="771" t="n"/>
      <c r="P110" s="771" t="n"/>
      <c r="Q110" s="787" t="n"/>
      <c r="R110" s="756">
        <f>SUM(K110:Q110)</f>
        <v/>
      </c>
      <c r="S110" s="756">
        <f>J110*5967</f>
        <v/>
      </c>
    </row>
    <row r="111">
      <c r="A111" s="79" t="inlineStr">
        <is>
          <t>애플로션250</t>
        </is>
      </c>
      <c r="B111" s="703" t="inlineStr">
        <is>
          <t>P000000U</t>
        </is>
      </c>
      <c r="C111" s="240" t="n">
        <v>26</v>
      </c>
      <c r="D111" s="235" t="n"/>
      <c r="E111" s="256" t="n"/>
      <c r="F111" s="230" t="n"/>
      <c r="G111" s="231" t="n"/>
      <c r="H111" s="236" t="n"/>
      <c r="I111" s="35" t="n"/>
      <c r="J111" s="35">
        <f>SUM(C111:I111)</f>
        <v/>
      </c>
      <c r="K111" s="815">
        <f>C111*12000</f>
        <v/>
      </c>
      <c r="L111" s="790">
        <f>D111*12000</f>
        <v/>
      </c>
      <c r="M111" s="770">
        <f>E111*12000</f>
        <v/>
      </c>
      <c r="N111" s="771" t="n"/>
      <c r="O111" s="771" t="n"/>
      <c r="P111" s="771" t="n"/>
      <c r="Q111" s="787" t="n"/>
      <c r="R111" s="756">
        <f>SUM(K111:Q111)</f>
        <v/>
      </c>
      <c r="S111" s="756">
        <f>J111*5967</f>
        <v/>
      </c>
    </row>
    <row r="112">
      <c r="A112" s="79" t="inlineStr">
        <is>
          <t>망고로션250</t>
        </is>
      </c>
      <c r="B112" s="703" t="inlineStr">
        <is>
          <t>P000000U</t>
        </is>
      </c>
      <c r="C112" s="240" t="n">
        <v>12</v>
      </c>
      <c r="D112" s="235" t="n"/>
      <c r="E112" s="256" t="n"/>
      <c r="F112" s="230" t="n"/>
      <c r="G112" s="231" t="n"/>
      <c r="H112" s="236" t="n"/>
      <c r="I112" s="35" t="n"/>
      <c r="J112" s="35">
        <f>SUM(C112:I112)</f>
        <v/>
      </c>
      <c r="K112" s="815">
        <f>C112*12000</f>
        <v/>
      </c>
      <c r="L112" s="790">
        <f>D112*12000</f>
        <v/>
      </c>
      <c r="M112" s="770">
        <f>E112*12000</f>
        <v/>
      </c>
      <c r="N112" s="771" t="n"/>
      <c r="O112" s="771" t="n"/>
      <c r="P112" s="771" t="n"/>
      <c r="Q112" s="787" t="n"/>
      <c r="R112" s="756">
        <f>SUM(K112:Q112)</f>
        <v/>
      </c>
      <c r="S112" s="756">
        <f>J112*5967</f>
        <v/>
      </c>
    </row>
    <row r="113">
      <c r="A113" s="79" t="inlineStr">
        <is>
          <t>석류1000</t>
        </is>
      </c>
      <c r="B113" s="703" t="inlineStr">
        <is>
          <t>P000000V</t>
        </is>
      </c>
      <c r="C113" s="35" t="n">
        <v>3</v>
      </c>
      <c r="D113" s="235" t="n"/>
      <c r="E113" s="256" t="n"/>
      <c r="F113" s="230" t="n">
        <v>4</v>
      </c>
      <c r="G113" s="231" t="n"/>
      <c r="H113" s="236" t="n"/>
      <c r="I113" s="35" t="n"/>
      <c r="J113" s="35">
        <f>SUM(C113:I113)</f>
        <v/>
      </c>
      <c r="K113" s="792">
        <f>C113*47000</f>
        <v/>
      </c>
      <c r="L113" s="790">
        <f>D113*35200</f>
        <v/>
      </c>
      <c r="M113" s="770">
        <f>E113*35200</f>
        <v/>
      </c>
      <c r="N113" s="771">
        <f>F113*23500</f>
        <v/>
      </c>
      <c r="O113" s="771" t="n"/>
      <c r="P113" s="771" t="n"/>
      <c r="Q113" s="787" t="n"/>
      <c r="R113" s="756">
        <f>SUM(K113:Q113)</f>
        <v/>
      </c>
      <c r="S113" s="756">
        <f>J113*15480</f>
        <v/>
      </c>
    </row>
    <row r="114">
      <c r="A114" s="79" t="inlineStr">
        <is>
          <t>자몽1000</t>
        </is>
      </c>
      <c r="B114" s="703" t="inlineStr">
        <is>
          <t>P0000BHQ</t>
        </is>
      </c>
      <c r="C114" s="240" t="n"/>
      <c r="D114" s="235" t="n"/>
      <c r="E114" s="256" t="n"/>
      <c r="F114" s="230" t="n">
        <v>15</v>
      </c>
      <c r="G114" s="231" t="n"/>
      <c r="H114" s="236" t="n"/>
      <c r="I114" s="35" t="n"/>
      <c r="J114" s="35">
        <f>SUM(C114:I114)</f>
        <v/>
      </c>
      <c r="K114" s="792">
        <f>C114*47000</f>
        <v/>
      </c>
      <c r="L114" s="790">
        <f>D114*35200</f>
        <v/>
      </c>
      <c r="M114" s="770">
        <f>E114*35200</f>
        <v/>
      </c>
      <c r="N114" s="771">
        <f>F114*23500</f>
        <v/>
      </c>
      <c r="O114" s="771">
        <f>G114*22500</f>
        <v/>
      </c>
      <c r="P114" s="771" t="n"/>
      <c r="Q114" s="787" t="n"/>
      <c r="R114" s="756">
        <f>SUM(K114:Q114)</f>
        <v/>
      </c>
      <c r="S114" s="756">
        <f>J114*15480</f>
        <v/>
      </c>
    </row>
    <row r="115">
      <c r="A115" s="79" t="inlineStr">
        <is>
          <t>라벤더1000</t>
        </is>
      </c>
      <c r="B115" s="703" t="inlineStr">
        <is>
          <t>P0000BIO</t>
        </is>
      </c>
      <c r="C115" s="240" t="n"/>
      <c r="D115" s="235" t="n"/>
      <c r="E115" s="256" t="n"/>
      <c r="F115" s="230" t="n">
        <v>20</v>
      </c>
      <c r="G115" s="231" t="n"/>
      <c r="H115" s="236" t="n"/>
      <c r="I115" s="35" t="n"/>
      <c r="J115" s="35">
        <f>SUM(C115:I115)</f>
        <v/>
      </c>
      <c r="K115" s="792">
        <f>C115*47000</f>
        <v/>
      </c>
      <c r="L115" s="790">
        <f>D115*35200</f>
        <v/>
      </c>
      <c r="M115" s="770">
        <f>E115*35200</f>
        <v/>
      </c>
      <c r="N115" s="771">
        <f>F115*23500</f>
        <v/>
      </c>
      <c r="O115" s="771">
        <f>G115*22500</f>
        <v/>
      </c>
      <c r="P115" s="771" t="n"/>
      <c r="Q115" s="787" t="n"/>
      <c r="R115" s="756">
        <f>SUM(K115:Q115)</f>
        <v/>
      </c>
      <c r="S115" s="756">
        <f>J115*15480</f>
        <v/>
      </c>
    </row>
    <row r="116">
      <c r="A116" s="79" t="inlineStr">
        <is>
          <t>코코넛1000</t>
        </is>
      </c>
      <c r="B116" s="703" t="inlineStr">
        <is>
          <t>P0000BHP</t>
        </is>
      </c>
      <c r="C116" s="240" t="n"/>
      <c r="D116" s="235" t="n"/>
      <c r="E116" s="256" t="n"/>
      <c r="F116" s="230" t="n">
        <v>11</v>
      </c>
      <c r="G116" s="230" t="n">
        <v>3</v>
      </c>
      <c r="H116" s="236" t="n"/>
      <c r="I116" s="35" t="n"/>
      <c r="J116" s="35">
        <f>SUM(C116:I116)</f>
        <v/>
      </c>
      <c r="K116" s="792">
        <f>C116*47000</f>
        <v/>
      </c>
      <c r="L116" s="790">
        <f>D116*35200</f>
        <v/>
      </c>
      <c r="M116" s="770">
        <f>E116*35200</f>
        <v/>
      </c>
      <c r="N116" s="771">
        <f>F116*23500</f>
        <v/>
      </c>
      <c r="O116" s="771">
        <f>G116*23500</f>
        <v/>
      </c>
      <c r="P116" s="771" t="n"/>
      <c r="Q116" s="787" t="n"/>
      <c r="R116" s="756">
        <f>SUM(K116:Q116)</f>
        <v/>
      </c>
      <c r="S116" s="756">
        <f>J116*15480</f>
        <v/>
      </c>
    </row>
    <row r="117">
      <c r="A117" s="79" t="inlineStr">
        <is>
          <t>애플1000</t>
        </is>
      </c>
      <c r="B117" s="703" t="inlineStr">
        <is>
          <t>P000000V</t>
        </is>
      </c>
      <c r="C117" s="240" t="n"/>
      <c r="D117" s="235" t="n"/>
      <c r="E117" s="256" t="n"/>
      <c r="F117" s="230" t="n">
        <v>8</v>
      </c>
      <c r="G117" s="230" t="n">
        <v>2</v>
      </c>
      <c r="H117" s="236" t="n"/>
      <c r="I117" s="35" t="n"/>
      <c r="J117" s="35">
        <f>SUM(C117:I117)</f>
        <v/>
      </c>
      <c r="K117" s="792">
        <f>C117*47000</f>
        <v/>
      </c>
      <c r="L117" s="790">
        <f>D117*35200</f>
        <v/>
      </c>
      <c r="M117" s="770">
        <f>E117*35200</f>
        <v/>
      </c>
      <c r="N117" s="771">
        <f>F117*23500</f>
        <v/>
      </c>
      <c r="O117" s="771">
        <f>G117*23500</f>
        <v/>
      </c>
      <c r="P117" s="771" t="n"/>
      <c r="Q117" s="787" t="n"/>
      <c r="R117" s="756">
        <f>SUM(K117:Q117)</f>
        <v/>
      </c>
      <c r="S117" s="756">
        <f>J117*15480</f>
        <v/>
      </c>
    </row>
    <row r="118">
      <c r="A118" s="79" t="inlineStr">
        <is>
          <t>망고1000</t>
        </is>
      </c>
      <c r="B118" s="703" t="inlineStr">
        <is>
          <t>P0000BAO</t>
        </is>
      </c>
      <c r="C118" s="237" t="n">
        <v>1</v>
      </c>
      <c r="D118" s="235" t="n"/>
      <c r="E118" s="234" t="n"/>
      <c r="F118" s="230" t="n">
        <v>7</v>
      </c>
      <c r="G118" s="230" t="n"/>
      <c r="H118" s="197" t="n"/>
      <c r="I118" s="35" t="n"/>
      <c r="J118" s="35">
        <f>SUM(C118:I118)</f>
        <v/>
      </c>
      <c r="K118" s="792">
        <f>C118*47000</f>
        <v/>
      </c>
      <c r="L118" s="790">
        <f>D118*35200</f>
        <v/>
      </c>
      <c r="M118" s="770">
        <f>E118*35200</f>
        <v/>
      </c>
      <c r="N118" s="771">
        <f>F118*23500</f>
        <v/>
      </c>
      <c r="O118" s="771" t="n"/>
      <c r="P118" s="771" t="n"/>
      <c r="Q118" s="787" t="n"/>
      <c r="R118" s="756">
        <f>SUM(K118:Q118)</f>
        <v/>
      </c>
      <c r="S118" s="756">
        <f>J118*15480</f>
        <v/>
      </c>
    </row>
    <row r="119">
      <c r="A119" s="81" t="n"/>
      <c r="B119" s="29" t="n"/>
      <c r="C119" s="35" t="n"/>
      <c r="D119" s="32" t="n"/>
      <c r="E119" s="33" t="n"/>
      <c r="F119" s="191" t="n"/>
      <c r="G119" s="191" t="n"/>
      <c r="H119" s="191" t="n"/>
      <c r="I119" s="191" t="n"/>
      <c r="J119" s="35" t="n"/>
      <c r="L119" s="790" t="n"/>
      <c r="M119" s="770" t="n"/>
      <c r="N119" s="771" t="n"/>
      <c r="O119" s="771" t="n"/>
      <c r="P119" s="771" t="n"/>
      <c r="Q119" s="787" t="n"/>
    </row>
    <row r="120" customFormat="1" s="24">
      <c r="B120" s="639" t="n"/>
      <c r="C120" s="74" t="n"/>
      <c r="D120" s="82" t="n"/>
      <c r="E120" s="83" t="n"/>
      <c r="F120" s="84" t="n"/>
      <c r="G120" s="84" t="n"/>
      <c r="H120" s="206" t="n"/>
      <c r="I120" s="84" t="n"/>
      <c r="J120" s="85" t="inlineStr">
        <is>
          <t>합계</t>
        </is>
      </c>
      <c r="K120" s="777">
        <f>SUM(K107:K119)</f>
        <v/>
      </c>
      <c r="L120" s="791">
        <f>SUM(L107:L119)</f>
        <v/>
      </c>
      <c r="M120" s="779">
        <f>SUM(M107:M119)</f>
        <v/>
      </c>
      <c r="N120" s="780">
        <f>SUM(N107:N119)</f>
        <v/>
      </c>
      <c r="O120" s="780">
        <f>SUM(O107:O119)</f>
        <v/>
      </c>
      <c r="P120" s="780">
        <f>SUM(P107:P119)</f>
        <v/>
      </c>
      <c r="Q120" s="816">
        <f>SUM(Q107:Q119)</f>
        <v/>
      </c>
      <c r="R120" s="781">
        <f>SUM(R107:R119)</f>
        <v/>
      </c>
      <c r="S120" s="782">
        <f>SUM(S107:S119)</f>
        <v/>
      </c>
    </row>
    <row r="121" customFormat="1" s="24">
      <c r="B121" s="639" t="n"/>
      <c r="C121" s="74" t="inlineStr">
        <is>
          <t>도매</t>
        </is>
      </c>
      <c r="D121" s="82" t="inlineStr">
        <is>
          <t>인증살롱</t>
        </is>
      </c>
      <c r="E121" s="83" t="inlineStr">
        <is>
          <t>마스터</t>
        </is>
      </c>
      <c r="F121" s="84" t="inlineStr">
        <is>
          <t>할인행사</t>
        </is>
      </c>
      <c r="G121" s="84" t="n"/>
      <c r="H121" s="206" t="n"/>
      <c r="I121" s="84" t="n"/>
      <c r="J121" s="85" t="n"/>
      <c r="K121" s="817" t="n"/>
      <c r="L121" s="818" t="n"/>
      <c r="M121" s="819" t="n"/>
      <c r="N121" s="820" t="n"/>
      <c r="O121" s="820" t="n"/>
      <c r="P121" s="820" t="n"/>
      <c r="Q121" s="783" t="n"/>
      <c r="R121" s="821" t="n"/>
      <c r="S121" s="821" t="n"/>
    </row>
    <row r="122">
      <c r="A122" s="24" t="inlineStr">
        <is>
          <t>대용량슈거스크럽</t>
        </is>
      </c>
      <c r="B122" s="86" t="n"/>
      <c r="D122" s="55" t="inlineStr">
        <is>
          <t>P00000WD</t>
        </is>
      </c>
      <c r="E122" s="15" t="inlineStr">
        <is>
          <t>P00000QY</t>
        </is>
      </c>
      <c r="F122" s="45" t="n"/>
      <c r="G122" s="45" t="n"/>
      <c r="H122" s="199" t="n"/>
      <c r="I122" s="35" t="n"/>
      <c r="J122" s="35" t="n"/>
      <c r="K122" s="822" t="inlineStr">
        <is>
          <t>도매</t>
        </is>
      </c>
      <c r="L122" s="764" t="inlineStr">
        <is>
          <t>인증살롱/마스터</t>
        </is>
      </c>
      <c r="M122" s="765" t="n"/>
      <c r="N122" s="823" t="inlineStr">
        <is>
          <t>할인</t>
        </is>
      </c>
      <c r="O122" s="823" t="inlineStr">
        <is>
          <t>세트할인</t>
        </is>
      </c>
      <c r="P122" s="823" t="inlineStr">
        <is>
          <t>할인+증정</t>
        </is>
      </c>
      <c r="Q122" s="824" t="n"/>
      <c r="R122" s="824" t="inlineStr">
        <is>
          <t>품목별합계</t>
        </is>
      </c>
      <c r="S122" s="825" t="inlineStr">
        <is>
          <t>도매,마스터원가</t>
        </is>
      </c>
    </row>
    <row r="123">
      <c r="A123" s="29" t="inlineStr">
        <is>
          <t>석류2.5kg</t>
        </is>
      </c>
      <c r="B123" s="703" t="inlineStr">
        <is>
          <t>P000000W</t>
        </is>
      </c>
      <c r="C123" s="237" t="n">
        <v>2</v>
      </c>
      <c r="D123" s="235" t="n"/>
      <c r="E123" s="234" t="n"/>
      <c r="F123" s="230" t="n"/>
      <c r="G123" s="230" t="n"/>
      <c r="H123" s="197" t="n"/>
      <c r="I123" s="35" t="n"/>
      <c r="J123" s="35">
        <f>SUM(C123:I123)</f>
        <v/>
      </c>
      <c r="K123" s="793">
        <f>C123*100800</f>
        <v/>
      </c>
      <c r="L123" s="790">
        <f>D123*86900</f>
        <v/>
      </c>
      <c r="M123" s="770">
        <f>E123*86900</f>
        <v/>
      </c>
      <c r="N123" s="771" t="n"/>
      <c r="O123" s="771" t="n"/>
      <c r="P123" s="771" t="n"/>
      <c r="R123" s="756">
        <f>SUM(K123:Q123)</f>
        <v/>
      </c>
      <c r="S123" s="756">
        <f>J123*36064</f>
        <v/>
      </c>
    </row>
    <row r="124">
      <c r="A124" s="29" t="inlineStr">
        <is>
          <t>자몽2.5kg</t>
        </is>
      </c>
      <c r="B124" s="703" t="inlineStr">
        <is>
          <t>P000000W</t>
        </is>
      </c>
      <c r="C124" s="237" t="n">
        <v>3</v>
      </c>
      <c r="D124" s="235" t="n"/>
      <c r="E124" s="234" t="n"/>
      <c r="F124" s="230" t="n"/>
      <c r="G124" s="230" t="n"/>
      <c r="H124" s="197" t="n"/>
      <c r="I124" s="35" t="n"/>
      <c r="J124" s="35">
        <f>SUM(C124:I124)</f>
        <v/>
      </c>
      <c r="K124" s="793">
        <f>C124*100800</f>
        <v/>
      </c>
      <c r="L124" s="790">
        <f>D124*86900</f>
        <v/>
      </c>
      <c r="M124" s="770">
        <f>E124*86900</f>
        <v/>
      </c>
      <c r="N124" s="771" t="n"/>
      <c r="O124" s="771" t="n"/>
      <c r="P124" s="771" t="n"/>
      <c r="R124" s="756">
        <f>SUM(K124:Q124)</f>
        <v/>
      </c>
      <c r="S124" s="756">
        <f>J124*36064</f>
        <v/>
      </c>
    </row>
    <row r="125">
      <c r="A125" s="29" t="inlineStr">
        <is>
          <t>라벤더2.5kg</t>
        </is>
      </c>
      <c r="B125" s="703" t="inlineStr">
        <is>
          <t>P000000W</t>
        </is>
      </c>
      <c r="C125" s="233" t="n">
        <v>3</v>
      </c>
      <c r="D125" s="235" t="n"/>
      <c r="E125" s="234" t="n"/>
      <c r="F125" s="230" t="n"/>
      <c r="G125" s="230" t="n"/>
      <c r="H125" s="197" t="n"/>
      <c r="I125" s="35" t="n"/>
      <c r="J125" s="35">
        <f>SUM(C125:I125)</f>
        <v/>
      </c>
      <c r="K125" s="793">
        <f>C125*100800</f>
        <v/>
      </c>
      <c r="L125" s="790">
        <f>D125*86900</f>
        <v/>
      </c>
      <c r="M125" s="770">
        <f>E125*86900</f>
        <v/>
      </c>
      <c r="N125" s="771" t="n"/>
      <c r="O125" s="771" t="n"/>
      <c r="P125" s="771" t="n"/>
      <c r="R125" s="756">
        <f>SUM(K125:Q125)</f>
        <v/>
      </c>
      <c r="S125" s="756">
        <f>J125*36064</f>
        <v/>
      </c>
    </row>
    <row r="126">
      <c r="A126" s="29" t="inlineStr">
        <is>
          <t>코코넛2.5kg</t>
        </is>
      </c>
      <c r="B126" s="703" t="inlineStr">
        <is>
          <t>P000000W</t>
        </is>
      </c>
      <c r="C126" s="237" t="n"/>
      <c r="D126" s="235" t="n"/>
      <c r="E126" s="234" t="n"/>
      <c r="F126" s="230" t="n"/>
      <c r="G126" s="230" t="n"/>
      <c r="H126" s="197" t="n"/>
      <c r="I126" s="35" t="n"/>
      <c r="J126" s="35">
        <f>SUM(C126:I126)</f>
        <v/>
      </c>
      <c r="K126" s="793">
        <f>C126*100800</f>
        <v/>
      </c>
      <c r="L126" s="790">
        <f>D126*86900</f>
        <v/>
      </c>
      <c r="M126" s="770">
        <f>E126*86900</f>
        <v/>
      </c>
      <c r="N126" s="771" t="n"/>
      <c r="O126" s="771" t="n"/>
      <c r="P126" s="771" t="n"/>
      <c r="R126" s="756">
        <f>SUM(K126:Q126)</f>
        <v/>
      </c>
      <c r="S126" s="756">
        <f>J126*36064</f>
        <v/>
      </c>
    </row>
    <row r="127" customFormat="1" s="24">
      <c r="B127" s="74" t="n"/>
      <c r="C127" s="74" t="n"/>
      <c r="D127" s="82" t="inlineStr">
        <is>
          <t>인증살롱</t>
        </is>
      </c>
      <c r="E127" s="83" t="inlineStr">
        <is>
          <t>마스터</t>
        </is>
      </c>
      <c r="F127" s="84" t="inlineStr">
        <is>
          <t>할인행사</t>
        </is>
      </c>
      <c r="G127" s="84" t="n"/>
      <c r="H127" s="206" t="n"/>
      <c r="I127" s="84" t="n"/>
      <c r="J127" s="74" t="inlineStr">
        <is>
          <t>합계</t>
        </is>
      </c>
      <c r="K127" s="777">
        <f>SUM(K123:K126)</f>
        <v/>
      </c>
      <c r="L127" s="791">
        <f>SUM(L123:L126)</f>
        <v/>
      </c>
      <c r="M127" s="779">
        <f>SUM(M123:M126)</f>
        <v/>
      </c>
      <c r="N127" s="780">
        <f>SUM(N123:N126)</f>
        <v/>
      </c>
      <c r="O127" s="780">
        <f>SUM(O123:O126)</f>
        <v/>
      </c>
      <c r="P127" s="780">
        <f>SUM(P123:P126)</f>
        <v/>
      </c>
      <c r="Q127" s="777">
        <f>SUM(Q123:Q126)</f>
        <v/>
      </c>
      <c r="R127" s="781">
        <f>SUM(R123:R126)</f>
        <v/>
      </c>
      <c r="S127" s="782">
        <f>SUM(S123:S126)</f>
        <v/>
      </c>
    </row>
    <row r="128">
      <c r="A128" s="24" t="inlineStr">
        <is>
          <t>페디제품</t>
        </is>
      </c>
      <c r="B128" s="628" t="inlineStr">
        <is>
          <t>도매</t>
        </is>
      </c>
      <c r="C128" s="87" t="n"/>
      <c r="D128" s="88" t="inlineStr">
        <is>
          <t>P00000WJ</t>
        </is>
      </c>
      <c r="E128" s="731" t="inlineStr">
        <is>
          <t>P00000RC</t>
        </is>
      </c>
      <c r="F128" s="90" t="inlineStr">
        <is>
          <t>P00000YY</t>
        </is>
      </c>
      <c r="G128" s="73" t="n"/>
      <c r="H128" s="195" t="n"/>
      <c r="I128" s="73" t="n"/>
      <c r="J128" s="74" t="n"/>
      <c r="K128" s="763" t="inlineStr">
        <is>
          <t>도매</t>
        </is>
      </c>
      <c r="L128" s="764" t="inlineStr">
        <is>
          <t>인증살롱/마스터</t>
        </is>
      </c>
      <c r="M128" s="765" t="n"/>
      <c r="N128" s="766" t="inlineStr">
        <is>
          <t>할인</t>
        </is>
      </c>
      <c r="O128" s="766" t="inlineStr">
        <is>
          <t>세트할인</t>
        </is>
      </c>
      <c r="P128" s="766" t="inlineStr">
        <is>
          <t>할인+증정</t>
        </is>
      </c>
      <c r="Q128" s="767" t="n"/>
      <c r="R128" s="767" t="inlineStr">
        <is>
          <t>품목별합계</t>
        </is>
      </c>
      <c r="S128" s="795" t="inlineStr">
        <is>
          <t>도매,마스터원가</t>
        </is>
      </c>
    </row>
    <row r="129">
      <c r="A129" s="129" t="inlineStr">
        <is>
          <t>리프레싱속</t>
        </is>
      </c>
      <c r="B129" s="87" t="n"/>
      <c r="C129" s="35" t="n"/>
      <c r="D129" s="32" t="n"/>
      <c r="E129" s="33" t="n"/>
      <c r="F129" s="230" t="n"/>
      <c r="G129" s="241" t="n"/>
      <c r="H129" s="195" t="n"/>
      <c r="I129" s="73" t="n"/>
      <c r="J129" s="35">
        <f>SUM(C129:I129)</f>
        <v/>
      </c>
      <c r="L129" s="769" t="n"/>
      <c r="M129" s="770" t="n"/>
      <c r="N129" s="771">
        <f>F129*39000</f>
        <v/>
      </c>
      <c r="P129" s="785" t="n"/>
      <c r="R129" s="756">
        <f>SUM(K129:Q129)</f>
        <v/>
      </c>
      <c r="S129" s="756">
        <f>J129*22255</f>
        <v/>
      </c>
    </row>
    <row r="130">
      <c r="A130" s="129" t="inlineStr">
        <is>
          <t>페디마사지로션</t>
        </is>
      </c>
      <c r="B130" s="87" t="n"/>
      <c r="C130" s="35" t="n"/>
      <c r="D130" s="32" t="n"/>
      <c r="E130" s="33" t="n"/>
      <c r="F130" s="230" t="n"/>
      <c r="G130" s="241" t="n"/>
      <c r="H130" s="195" t="n"/>
      <c r="I130" s="73" t="n"/>
      <c r="J130" s="35">
        <f>SUM(C130:I130)</f>
        <v/>
      </c>
      <c r="L130" s="769" t="n"/>
      <c r="M130" s="770" t="n"/>
      <c r="N130" s="771">
        <f>F130*39000</f>
        <v/>
      </c>
      <c r="P130" s="785" t="n"/>
      <c r="R130" s="756">
        <f>SUM(K130:Q130)</f>
        <v/>
      </c>
      <c r="S130" s="756">
        <f>J130*32062</f>
        <v/>
      </c>
    </row>
    <row r="131">
      <c r="A131" s="129" t="inlineStr">
        <is>
          <t>페디스크럽2.5</t>
        </is>
      </c>
      <c r="B131" s="87" t="n"/>
      <c r="C131" s="35" t="n"/>
      <c r="D131" s="32" t="n"/>
      <c r="E131" s="33" t="n"/>
      <c r="F131" s="230" t="n"/>
      <c r="G131" s="241" t="n"/>
      <c r="H131" s="195" t="n"/>
      <c r="I131" s="73" t="n"/>
      <c r="J131" s="35">
        <f>SUM(C131:I131)</f>
        <v/>
      </c>
      <c r="L131" s="769" t="n"/>
      <c r="M131" s="770" t="n"/>
      <c r="N131" s="771">
        <f>F131*39000</f>
        <v/>
      </c>
      <c r="P131" s="785" t="n"/>
      <c r="R131" s="756">
        <f>SUM(K131:Q131)</f>
        <v/>
      </c>
      <c r="S131" s="756">
        <f>J131*29799</f>
        <v/>
      </c>
    </row>
    <row r="132">
      <c r="A132" s="129" t="inlineStr">
        <is>
          <t>페디마스크팩</t>
        </is>
      </c>
      <c r="B132" s="87" t="n"/>
      <c r="C132" s="35" t="n"/>
      <c r="D132" s="32" t="n"/>
      <c r="E132" s="33" t="n"/>
      <c r="F132" s="230" t="n"/>
      <c r="G132" s="241" t="n"/>
      <c r="H132" s="195" t="n"/>
      <c r="I132" s="73" t="n"/>
      <c r="J132" s="35">
        <f>SUM(C132:I132)</f>
        <v/>
      </c>
      <c r="L132" s="769" t="n"/>
      <c r="M132" s="770" t="n"/>
      <c r="N132" s="771">
        <f>F132*39000</f>
        <v/>
      </c>
      <c r="P132" s="785" t="n"/>
      <c r="R132" s="756">
        <f>SUM(K132:Q132)</f>
        <v/>
      </c>
      <c r="S132" s="756">
        <f>J132*32062</f>
        <v/>
      </c>
    </row>
    <row r="133" customFormat="1" s="24">
      <c r="B133" s="74" t="n"/>
      <c r="C133" s="74" t="n"/>
      <c r="D133" s="9" t="n"/>
      <c r="E133" s="10" t="n"/>
      <c r="F133" s="12" t="n"/>
      <c r="G133" s="12" t="n"/>
      <c r="H133" s="192" t="n"/>
      <c r="I133" s="84" t="n"/>
      <c r="J133" s="639" t="inlineStr">
        <is>
          <t>합계</t>
        </is>
      </c>
      <c r="K133" s="777">
        <f>SUM(K129:K132)</f>
        <v/>
      </c>
      <c r="L133" s="778">
        <f>SUM(L129:L132)</f>
        <v/>
      </c>
      <c r="M133" s="779">
        <f>SUM(M129:M132)</f>
        <v/>
      </c>
      <c r="N133" s="780">
        <f>SUM(N129:N132)</f>
        <v/>
      </c>
      <c r="O133" s="780">
        <f>SUM(O129:O132)</f>
        <v/>
      </c>
      <c r="P133" s="777">
        <f>SUM(P129:P132)</f>
        <v/>
      </c>
      <c r="Q133" s="777">
        <f>SUM(Q129:Q132)</f>
        <v/>
      </c>
      <c r="R133" s="781">
        <f>SUM(R129:R132)</f>
        <v/>
      </c>
      <c r="S133" s="782">
        <f>SUM(S129:S132)</f>
        <v/>
      </c>
    </row>
    <row r="134" customFormat="1" s="24">
      <c r="B134" s="74" t="n"/>
      <c r="C134" s="74" t="inlineStr">
        <is>
          <t>도매</t>
        </is>
      </c>
      <c r="D134" s="9" t="inlineStr">
        <is>
          <t>인증살롱</t>
        </is>
      </c>
      <c r="E134" s="10" t="inlineStr">
        <is>
          <t>마스터</t>
        </is>
      </c>
      <c r="F134" s="12" t="inlineStr">
        <is>
          <t>할인행사</t>
        </is>
      </c>
      <c r="G134" s="12" t="n"/>
      <c r="H134" s="192" t="n"/>
      <c r="I134" s="92" t="n"/>
      <c r="J134" s="639" t="n"/>
      <c r="K134" s="817" t="n"/>
      <c r="L134" s="826" t="n"/>
      <c r="M134" s="819" t="n"/>
      <c r="N134" s="820" t="n"/>
      <c r="O134" s="820" t="n"/>
      <c r="P134" s="817" t="n"/>
      <c r="Q134" s="817" t="n"/>
      <c r="R134" s="821" t="n"/>
      <c r="S134" s="821" t="n"/>
    </row>
    <row r="135">
      <c r="C135" s="638" t="n"/>
      <c r="D135" s="55" t="inlineStr">
        <is>
          <t>P00000WH</t>
        </is>
      </c>
      <c r="E135" s="15" t="inlineStr">
        <is>
          <t>P00000QZ</t>
        </is>
      </c>
      <c r="F135" s="84" t="n"/>
      <c r="G135" s="12" t="n"/>
      <c r="H135" s="192" t="n"/>
      <c r="I135" s="92" t="n"/>
      <c r="J135" s="639" t="n"/>
      <c r="L135" s="769" t="n"/>
      <c r="M135" s="770" t="n"/>
      <c r="P135" s="785" t="n"/>
    </row>
    <row r="136">
      <c r="A136" s="24" t="inlineStr">
        <is>
          <t>세트제품</t>
        </is>
      </c>
      <c r="B136" s="93" t="n"/>
      <c r="C136" s="94" t="n"/>
      <c r="D136" s="55" t="inlineStr">
        <is>
          <t>P00000XB</t>
        </is>
      </c>
      <c r="E136" s="15" t="inlineStr">
        <is>
          <t>P00000XA</t>
        </is>
      </c>
      <c r="F136" s="45" t="n"/>
      <c r="G136" s="630" t="n"/>
      <c r="H136" s="193" t="n"/>
      <c r="I136" s="66" t="n"/>
      <c r="J136" s="66" t="n"/>
      <c r="K136" s="763" t="inlineStr">
        <is>
          <t>도매</t>
        </is>
      </c>
      <c r="L136" s="764" t="inlineStr">
        <is>
          <t>인증살롱/마스터</t>
        </is>
      </c>
      <c r="M136" s="765" t="n"/>
      <c r="N136" s="766" t="inlineStr">
        <is>
          <t>할인</t>
        </is>
      </c>
      <c r="O136" s="766" t="inlineStr">
        <is>
          <t>세트할인</t>
        </is>
      </c>
      <c r="P136" s="766" t="inlineStr">
        <is>
          <t>할인+증정</t>
        </is>
      </c>
      <c r="Q136" s="827" t="n"/>
      <c r="R136" s="767" t="inlineStr">
        <is>
          <t>품목별합계</t>
        </is>
      </c>
      <c r="S136" s="795" t="inlineStr">
        <is>
          <t>도매,마스터원가</t>
        </is>
      </c>
    </row>
    <row r="137">
      <c r="A137" s="24" t="n"/>
      <c r="B137" s="365" t="n"/>
      <c r="C137" s="94" t="n"/>
      <c r="D137" s="55" t="n"/>
      <c r="E137" s="15" t="inlineStr">
        <is>
          <t>P0000BHU</t>
        </is>
      </c>
      <c r="F137" s="45" t="n"/>
      <c r="G137" s="630" t="n"/>
      <c r="H137" s="193" t="n"/>
      <c r="I137" s="66" t="n"/>
      <c r="J137" s="66" t="n"/>
      <c r="K137" s="828" t="n"/>
      <c r="L137" s="829" t="n"/>
      <c r="M137" s="830" t="n"/>
      <c r="N137" s="796" t="n"/>
      <c r="O137" s="796" t="n"/>
      <c r="P137" s="796" t="n"/>
      <c r="Q137" s="772" t="n"/>
      <c r="R137" s="758" t="n"/>
    </row>
    <row r="138">
      <c r="A138" s="95" t="inlineStr">
        <is>
          <t>핑키니브라질리언세트</t>
        </is>
      </c>
      <c r="B138" s="67" t="inlineStr">
        <is>
          <t>P00000PN</t>
        </is>
      </c>
      <c r="C138" s="312" t="n">
        <v>7</v>
      </c>
      <c r="D138" s="235" t="n"/>
      <c r="E138" s="234" t="n"/>
      <c r="F138" s="34" t="n"/>
      <c r="G138" s="34" t="n"/>
      <c r="H138" s="195" t="n"/>
      <c r="I138" s="41" t="n"/>
      <c r="J138" s="35">
        <f>SUM(C138:I138)</f>
        <v/>
      </c>
      <c r="K138" s="815">
        <f>C138*134000</f>
        <v/>
      </c>
      <c r="L138" s="769">
        <f>D138*106700</f>
        <v/>
      </c>
      <c r="M138" s="770">
        <f>E138*106700</f>
        <v/>
      </c>
      <c r="N138" s="771" t="n"/>
      <c r="O138" s="771" t="n"/>
      <c r="P138" s="771" t="n"/>
      <c r="Q138" s="772" t="n"/>
      <c r="R138" s="756">
        <f>SUM(K138:Q138)</f>
        <v/>
      </c>
      <c r="S138" s="756">
        <f>J138*59055</f>
        <v/>
      </c>
    </row>
    <row r="139">
      <c r="A139" s="95" t="inlineStr">
        <is>
          <t>맨니피코세트</t>
        </is>
      </c>
      <c r="B139" s="67" t="inlineStr">
        <is>
          <t>P00000XD</t>
        </is>
      </c>
      <c r="C139" s="312" t="n"/>
      <c r="D139" s="235" t="n"/>
      <c r="E139" s="234" t="n"/>
      <c r="F139" s="34" t="n"/>
      <c r="G139" s="34" t="n"/>
      <c r="H139" s="195" t="n"/>
      <c r="I139" s="41" t="n"/>
      <c r="J139" s="35">
        <f>SUM(C139:I139)</f>
        <v/>
      </c>
      <c r="K139" s="815">
        <f>C139*134000</f>
        <v/>
      </c>
      <c r="L139" s="769">
        <f>D139*106700</f>
        <v/>
      </c>
      <c r="M139" s="770">
        <f>E139*106700</f>
        <v/>
      </c>
      <c r="N139" s="771" t="n"/>
      <c r="O139" s="771" t="n"/>
      <c r="P139" s="771" t="n"/>
      <c r="Q139" s="772" t="n"/>
      <c r="R139" s="756">
        <f>SUM(K139:Q139)</f>
        <v/>
      </c>
      <c r="S139" s="756">
        <f>J139*40000</f>
        <v/>
      </c>
    </row>
    <row r="140">
      <c r="A140" s="555" t="inlineStr">
        <is>
          <t>라이코페디7종세트</t>
        </is>
      </c>
      <c r="B140" s="556" t="inlineStr">
        <is>
          <t>P0000BHS</t>
        </is>
      </c>
      <c r="C140" s="559" t="n"/>
      <c r="D140" s="235" t="n"/>
      <c r="E140" s="234" t="n"/>
      <c r="F140" s="191" t="n"/>
      <c r="G140" s="34" t="n"/>
      <c r="H140" s="195" t="n"/>
      <c r="I140" s="41" t="n"/>
      <c r="J140" s="35">
        <f>SUM(C140:I140)</f>
        <v/>
      </c>
      <c r="K140" s="831">
        <f>C140*89600</f>
        <v/>
      </c>
      <c r="L140" s="769">
        <f>D140*89600</f>
        <v/>
      </c>
      <c r="M140" s="770">
        <f>E140*89600</f>
        <v/>
      </c>
      <c r="N140" s="771">
        <f>F140*89600</f>
        <v/>
      </c>
      <c r="O140" s="771" t="n"/>
      <c r="P140" s="771" t="n"/>
      <c r="Q140" s="772" t="n"/>
      <c r="R140" s="756">
        <f>SUM(K140:Q140)</f>
        <v/>
      </c>
      <c r="S140" s="756">
        <f>J140*55173</f>
        <v/>
      </c>
    </row>
    <row r="141">
      <c r="A141" s="96" t="n"/>
      <c r="D141" s="97" t="n"/>
      <c r="E141" s="98" t="n"/>
      <c r="F141" s="99" t="n"/>
      <c r="G141" s="100" t="n"/>
      <c r="H141" s="198" t="n"/>
      <c r="I141" s="72" t="n"/>
      <c r="J141" s="72" t="inlineStr">
        <is>
          <t>합계</t>
        </is>
      </c>
      <c r="K141" s="777">
        <f>SUM(K137:K140)</f>
        <v/>
      </c>
      <c r="L141" s="778">
        <f>SUM(L137:L140)</f>
        <v/>
      </c>
      <c r="M141" s="779">
        <f>SUM(M137:M140)</f>
        <v/>
      </c>
      <c r="N141" s="780">
        <f>SUM(N137:N140)</f>
        <v/>
      </c>
      <c r="O141" s="780">
        <f>SUM(O137:O140)</f>
        <v/>
      </c>
      <c r="P141" s="780">
        <f>SUM(P137:P140)</f>
        <v/>
      </c>
      <c r="Q141" s="780">
        <f>SUM(Q137:Q140)</f>
        <v/>
      </c>
      <c r="R141" s="781">
        <f>SUM(R137:R140)</f>
        <v/>
      </c>
      <c r="S141" s="782">
        <f>SUM(S137:S140)</f>
        <v/>
      </c>
    </row>
    <row r="142" customFormat="1" s="24">
      <c r="B142" s="74" t="n"/>
      <c r="C142" s="31" t="n"/>
      <c r="D142" s="588" t="inlineStr">
        <is>
          <t>인증살롱</t>
        </is>
      </c>
      <c r="E142" s="589" t="inlineStr">
        <is>
          <t>마스터</t>
        </is>
      </c>
      <c r="F142" s="695" t="inlineStr">
        <is>
          <t>할인행사</t>
        </is>
      </c>
      <c r="G142" s="695" t="n"/>
      <c r="H142" s="590" t="n"/>
      <c r="I142" s="84" t="inlineStr">
        <is>
          <t>행사</t>
        </is>
      </c>
      <c r="J142" s="85" t="n"/>
      <c r="K142" s="817" t="n"/>
      <c r="L142" s="826" t="n"/>
      <c r="M142" s="819" t="n"/>
      <c r="N142" s="820" t="n"/>
      <c r="O142" s="820" t="n"/>
      <c r="P142" s="820" t="n"/>
      <c r="Q142" s="820" t="n"/>
      <c r="R142" s="821" t="n"/>
      <c r="S142" s="821" t="n"/>
    </row>
    <row r="143">
      <c r="A143" s="24" t="n"/>
      <c r="C143" s="584" t="n"/>
      <c r="D143" s="584" t="inlineStr">
        <is>
          <t>인그로운15</t>
        </is>
      </c>
      <c r="E143" s="585" t="inlineStr">
        <is>
          <t>P00000QK</t>
        </is>
      </c>
      <c r="F143" s="586" t="n"/>
      <c r="G143" s="108" t="n"/>
      <c r="H143" s="587" t="n"/>
      <c r="I143" s="108" t="n"/>
      <c r="J143" s="107" t="n"/>
      <c r="L143" s="769" t="n"/>
      <c r="P143" s="785" t="n"/>
    </row>
    <row r="144">
      <c r="A144" s="24" t="n"/>
      <c r="C144" s="104" t="inlineStr">
        <is>
          <t>인스125,50</t>
        </is>
      </c>
      <c r="D144" s="394" t="inlineStr">
        <is>
          <t>P00000VW</t>
        </is>
      </c>
      <c r="E144" s="15" t="inlineStr">
        <is>
          <t>P00000QI</t>
        </is>
      </c>
      <c r="F144" s="20" t="inlineStr">
        <is>
          <t>P0000BJQ</t>
        </is>
      </c>
      <c r="G144" s="84" t="inlineStr">
        <is>
          <t>기한임박</t>
        </is>
      </c>
      <c r="H144" s="195" t="n"/>
      <c r="I144" s="73" t="n"/>
      <c r="J144" s="102" t="n"/>
      <c r="L144" s="769" t="n"/>
      <c r="P144" s="785" t="n"/>
    </row>
    <row r="145">
      <c r="A145" s="24" t="n"/>
      <c r="C145" s="104" t="inlineStr">
        <is>
          <t>인크,헤어</t>
        </is>
      </c>
      <c r="D145" s="394" t="inlineStr">
        <is>
          <t>P00000VY</t>
        </is>
      </c>
      <c r="E145" s="15" t="inlineStr">
        <is>
          <t>P00000QL</t>
        </is>
      </c>
      <c r="F145" s="45" t="inlineStr">
        <is>
          <t>P00000KX</t>
        </is>
      </c>
      <c r="G145" s="101" t="inlineStr">
        <is>
          <t>인15+브팩</t>
        </is>
      </c>
      <c r="H145" s="207" t="n"/>
      <c r="I145" s="84" t="n"/>
      <c r="J145" s="102" t="n"/>
      <c r="L145" s="769" t="n"/>
      <c r="P145" s="785" t="n"/>
    </row>
    <row r="146" ht="24" customHeight="1" s="754">
      <c r="A146" s="24" t="inlineStr">
        <is>
          <t>사후관리제품</t>
        </is>
      </c>
      <c r="C146" s="104" t="inlineStr">
        <is>
          <t>바디,셀룰</t>
        </is>
      </c>
      <c r="D146" s="394" t="inlineStr">
        <is>
          <t>P00000VZ</t>
        </is>
      </c>
      <c r="E146" s="15" t="inlineStr">
        <is>
          <t>P00000QM</t>
        </is>
      </c>
      <c r="F146" s="20" t="inlineStr">
        <is>
          <t>P00000YU</t>
        </is>
      </c>
      <c r="G146" s="26" t="inlineStr">
        <is>
          <t>바디스타터키트</t>
        </is>
      </c>
      <c r="H146" s="195" t="n"/>
      <c r="I146" s="20" t="n"/>
      <c r="J146" s="102" t="n"/>
      <c r="L146" s="769" t="n"/>
      <c r="P146" s="785" t="n"/>
    </row>
    <row r="147">
      <c r="A147" s="24" t="n"/>
      <c r="C147" s="104" t="inlineStr">
        <is>
          <t>핑키니</t>
        </is>
      </c>
      <c r="D147" s="394" t="inlineStr">
        <is>
          <t>P00000WB</t>
        </is>
      </c>
      <c r="E147" s="15" t="inlineStr">
        <is>
          <t>P00000QO</t>
        </is>
      </c>
      <c r="F147" s="20" t="n"/>
      <c r="G147" s="292" t="n"/>
      <c r="H147" s="195" t="n"/>
      <c r="I147" s="109" t="n"/>
      <c r="J147" s="124" t="n"/>
      <c r="L147" s="769" t="n"/>
      <c r="P147" s="785" t="n"/>
    </row>
    <row r="148">
      <c r="A148" s="24" t="n"/>
      <c r="B148" s="104" t="n"/>
      <c r="C148" s="104" t="inlineStr">
        <is>
          <t>로션250</t>
        </is>
      </c>
      <c r="D148" s="55" t="inlineStr">
        <is>
          <t>P00000WG</t>
        </is>
      </c>
      <c r="E148" s="15" t="inlineStr">
        <is>
          <t>P00000QS</t>
        </is>
      </c>
      <c r="F148" s="20" t="n"/>
      <c r="G148" s="147" t="n"/>
      <c r="H148" s="195" t="n"/>
      <c r="I148" s="20" t="n"/>
      <c r="J148" s="124" t="n"/>
      <c r="L148" s="769" t="n"/>
      <c r="P148" s="785" t="n"/>
    </row>
    <row r="149">
      <c r="A149" s="24" t="n"/>
      <c r="B149" s="638" t="inlineStr">
        <is>
          <t>도매</t>
        </is>
      </c>
      <c r="C149" s="552" t="n"/>
      <c r="D149" s="553" t="n"/>
      <c r="E149" s="553" t="n"/>
      <c r="F149" s="106" t="n"/>
      <c r="G149" s="107" t="n"/>
      <c r="H149" s="202" t="n"/>
      <c r="I149" s="107" t="n"/>
      <c r="J149" s="108" t="n"/>
      <c r="K149" s="832" t="inlineStr">
        <is>
          <t>도매</t>
        </is>
      </c>
      <c r="L149" s="764" t="inlineStr">
        <is>
          <t>인증살롱/마스터</t>
        </is>
      </c>
      <c r="M149" s="765" t="n"/>
      <c r="N149" s="766" t="inlineStr">
        <is>
          <t>할인</t>
        </is>
      </c>
      <c r="O149" s="766" t="inlineStr">
        <is>
          <t>세트할인</t>
        </is>
      </c>
      <c r="P149" s="766" t="inlineStr">
        <is>
          <t>할인+증정</t>
        </is>
      </c>
      <c r="Q149" s="766" t="inlineStr">
        <is>
          <t>세트할인</t>
        </is>
      </c>
      <c r="R149" s="767" t="inlineStr">
        <is>
          <t>품목별합계</t>
        </is>
      </c>
      <c r="S149" s="795" t="inlineStr">
        <is>
          <t>도매,마스터원가</t>
        </is>
      </c>
    </row>
    <row r="150">
      <c r="A150" s="79" t="inlineStr">
        <is>
          <t>인그로운50ml</t>
        </is>
      </c>
      <c r="B150" s="703" t="inlineStr">
        <is>
          <t>P000000Q</t>
        </is>
      </c>
      <c r="C150" s="233" t="n">
        <v>492</v>
      </c>
      <c r="D150" s="366" t="n"/>
      <c r="E150" s="339" t="n">
        <v>108</v>
      </c>
      <c r="F150" s="230" t="n"/>
      <c r="G150" s="231" t="n"/>
      <c r="H150" s="236" t="n"/>
      <c r="I150" s="242" t="n"/>
      <c r="J150" s="35">
        <f>SUM(C150:I150)</f>
        <v/>
      </c>
      <c r="K150" s="815">
        <f>C150*10400</f>
        <v/>
      </c>
      <c r="L150" s="769">
        <f>D150*9000</f>
        <v/>
      </c>
      <c r="M150" s="770">
        <f>E150*9000</f>
        <v/>
      </c>
      <c r="N150" s="771" t="n"/>
      <c r="O150" s="771" t="n"/>
      <c r="P150" s="771" t="n"/>
      <c r="Q150" s="796" t="n"/>
      <c r="R150" s="756">
        <f>SUM(K150:Q150)</f>
        <v/>
      </c>
      <c r="S150" s="756">
        <f>J150*5400</f>
        <v/>
      </c>
    </row>
    <row r="151">
      <c r="A151" s="79" t="inlineStr">
        <is>
          <t>인그로운125ml</t>
        </is>
      </c>
      <c r="B151" s="703" t="inlineStr">
        <is>
          <t>P00000BJ</t>
        </is>
      </c>
      <c r="C151" s="233" t="n">
        <v>286</v>
      </c>
      <c r="D151" s="235" t="n"/>
      <c r="E151" s="234" t="n">
        <v>72</v>
      </c>
      <c r="F151" s="230" t="n">
        <v>1</v>
      </c>
      <c r="G151" s="242" t="n"/>
      <c r="H151" s="236" t="n"/>
      <c r="I151" s="230" t="n"/>
      <c r="J151" s="35">
        <f>SUM(C151:I151)</f>
        <v/>
      </c>
      <c r="K151" s="815">
        <f>C151*14700</f>
        <v/>
      </c>
      <c r="L151" s="769">
        <f>D151*12900</f>
        <v/>
      </c>
      <c r="M151" s="770">
        <f>E151*12900</f>
        <v/>
      </c>
      <c r="N151" s="771" t="n"/>
      <c r="O151" s="771">
        <f>F151*11760</f>
        <v/>
      </c>
      <c r="P151" s="771" t="n"/>
      <c r="Q151" s="796" t="n"/>
      <c r="R151" s="756">
        <f>SUM(K151:Q151)</f>
        <v/>
      </c>
      <c r="S151" s="756">
        <f>J151*7140</f>
        <v/>
      </c>
    </row>
    <row r="152">
      <c r="A152" s="79" t="inlineStr">
        <is>
          <t>인그로운15ml</t>
        </is>
      </c>
      <c r="B152" s="373" t="n"/>
      <c r="C152" s="261" t="n"/>
      <c r="D152" s="340" t="n"/>
      <c r="E152" s="341" t="n"/>
      <c r="F152" s="230" t="n"/>
      <c r="G152" s="231" t="n"/>
      <c r="H152" s="236" t="n"/>
      <c r="I152" s="230" t="n"/>
      <c r="J152" s="35">
        <f>SUM(C152:I152)</f>
        <v/>
      </c>
      <c r="K152" s="789">
        <f>C152*4500</f>
        <v/>
      </c>
      <c r="L152" s="769">
        <f>D152*4500</f>
        <v/>
      </c>
      <c r="M152" s="770">
        <f>E152*4500</f>
        <v/>
      </c>
      <c r="N152" s="771">
        <f>F152*4200</f>
        <v/>
      </c>
      <c r="O152" s="771" t="n"/>
      <c r="P152" s="771" t="n"/>
      <c r="Q152" s="796" t="n"/>
      <c r="R152" s="756">
        <f>SUM(K152:Q152)</f>
        <v/>
      </c>
      <c r="S152" s="756">
        <f>J152*1984</f>
        <v/>
      </c>
    </row>
    <row r="153">
      <c r="A153" s="79" t="inlineStr">
        <is>
          <t>인그로운크림</t>
        </is>
      </c>
      <c r="B153" s="703" t="inlineStr">
        <is>
          <t>P00000BI</t>
        </is>
      </c>
      <c r="C153" s="233" t="n">
        <v>6</v>
      </c>
      <c r="D153" s="235" t="n"/>
      <c r="E153" s="234" t="n"/>
      <c r="F153" s="230" t="n"/>
      <c r="G153" s="231" t="n"/>
      <c r="H153" s="236" t="n"/>
      <c r="I153" s="230" t="n"/>
      <c r="J153" s="35">
        <f>SUM(C153:I153)</f>
        <v/>
      </c>
      <c r="K153" s="815">
        <f>C153*14700</f>
        <v/>
      </c>
      <c r="L153" s="769">
        <f>D153*11000</f>
        <v/>
      </c>
      <c r="M153" s="770">
        <f>E153*11000</f>
        <v/>
      </c>
      <c r="N153" s="771" t="n"/>
      <c r="O153" s="771" t="n"/>
      <c r="P153" s="771" t="n"/>
      <c r="Q153" s="796" t="n"/>
      <c r="R153" s="756">
        <f>SUM(K153:Q153)</f>
        <v/>
      </c>
      <c r="S153" s="756">
        <f>J153*4658</f>
        <v/>
      </c>
    </row>
    <row r="154">
      <c r="A154" s="79" t="inlineStr">
        <is>
          <t>바디엑스폴리언트</t>
        </is>
      </c>
      <c r="B154" s="703" t="inlineStr">
        <is>
          <t>P00000BL</t>
        </is>
      </c>
      <c r="C154" s="233" t="n">
        <v>81</v>
      </c>
      <c r="D154" s="235" t="n"/>
      <c r="E154" s="234" t="n"/>
      <c r="F154" s="230" t="n"/>
      <c r="G154" s="231" t="n"/>
      <c r="H154" s="236" t="n"/>
      <c r="I154" s="230" t="n"/>
      <c r="J154" s="35">
        <f>SUM(C154:I154)</f>
        <v/>
      </c>
      <c r="K154" s="815">
        <f>C154*26400</f>
        <v/>
      </c>
      <c r="L154" s="769">
        <f>D154*18500</f>
        <v/>
      </c>
      <c r="M154" s="770">
        <f>E154*18500</f>
        <v/>
      </c>
      <c r="N154" s="771" t="n"/>
      <c r="O154" s="771" t="n"/>
      <c r="P154" s="771" t="n"/>
      <c r="Q154" s="796" t="n"/>
      <c r="R154" s="756">
        <f>SUM(K154:Q154)</f>
        <v/>
      </c>
      <c r="S154" s="756">
        <f>J154*6653</f>
        <v/>
      </c>
    </row>
    <row r="155">
      <c r="A155" s="79" t="inlineStr">
        <is>
          <t>핑키니미백세럼ea</t>
        </is>
      </c>
      <c r="B155" s="703" t="inlineStr">
        <is>
          <t>P00000JL</t>
        </is>
      </c>
      <c r="C155" s="233" t="n">
        <v>22</v>
      </c>
      <c r="D155" s="235" t="n"/>
      <c r="E155" s="234" t="n"/>
      <c r="F155" s="230" t="n"/>
      <c r="G155" s="231" t="n"/>
      <c r="H155" s="236" t="n"/>
      <c r="I155" s="230" t="n"/>
      <c r="J155" s="35">
        <f>SUM(C155:I155)</f>
        <v/>
      </c>
      <c r="K155" s="815">
        <f>C155*23100</f>
        <v/>
      </c>
      <c r="L155" s="769">
        <f>D155*17000</f>
        <v/>
      </c>
      <c r="M155" s="770">
        <f>E155*17000</f>
        <v/>
      </c>
      <c r="N155" s="771" t="n"/>
      <c r="O155" s="771" t="n"/>
      <c r="P155" s="771" t="n"/>
      <c r="Q155" s="796" t="n"/>
      <c r="R155" s="756">
        <f>SUM(K155:Q155)</f>
        <v/>
      </c>
      <c r="S155" s="756">
        <f>J155*8415</f>
        <v/>
      </c>
    </row>
    <row r="156">
      <c r="A156" s="109" t="inlineStr">
        <is>
          <t>핑키니미백세럼box</t>
        </is>
      </c>
      <c r="B156" s="45" t="inlineStr">
        <is>
          <t>P00000PP</t>
        </is>
      </c>
      <c r="C156" s="215" t="n"/>
      <c r="D156" s="235" t="n"/>
      <c r="E156" s="234" t="n">
        <v>36</v>
      </c>
      <c r="F156" s="230" t="n">
        <v>81</v>
      </c>
      <c r="G156" s="231" t="n"/>
      <c r="H156" s="236" t="n"/>
      <c r="I156" s="230" t="n"/>
      <c r="J156" s="35">
        <f>SUM(C156:I156)</f>
        <v/>
      </c>
      <c r="K156" s="820">
        <f>C156*21000</f>
        <v/>
      </c>
      <c r="L156" s="769">
        <f>D156*15200</f>
        <v/>
      </c>
      <c r="M156" s="770">
        <f>E156*15200</f>
        <v/>
      </c>
      <c r="N156" s="771">
        <f>F156*19640</f>
        <v/>
      </c>
      <c r="O156" s="771" t="n"/>
      <c r="P156" s="771" t="n"/>
      <c r="Q156" s="796" t="n"/>
      <c r="R156" s="756">
        <f>SUM(K156:Q156)</f>
        <v/>
      </c>
      <c r="S156" s="756">
        <f>J156*8415</f>
        <v/>
      </c>
    </row>
    <row r="157">
      <c r="A157" s="115" t="inlineStr">
        <is>
          <t>인그로운XIT포밍젤</t>
        </is>
      </c>
      <c r="B157" s="703" t="inlineStr">
        <is>
          <t>P00000BH</t>
        </is>
      </c>
      <c r="C157" s="237" t="n"/>
      <c r="D157" s="235" t="n"/>
      <c r="E157" s="234" t="n"/>
      <c r="F157" s="230" t="n"/>
      <c r="G157" s="231" t="n"/>
      <c r="H157" s="236" t="n"/>
      <c r="I157" s="230" t="n"/>
      <c r="J157" s="35">
        <f>SUM(C157:I157)</f>
        <v/>
      </c>
      <c r="K157" s="815">
        <f>C157*14700</f>
        <v/>
      </c>
      <c r="L157" s="769">
        <f>D157*11000</f>
        <v/>
      </c>
      <c r="M157" s="770">
        <f>E157*11000</f>
        <v/>
      </c>
      <c r="N157" s="771" t="n"/>
      <c r="O157" s="771" t="n"/>
      <c r="P157" s="771" t="n"/>
      <c r="Q157" s="796" t="n"/>
      <c r="R157" s="756">
        <f>SUM(K157:Q157)</f>
        <v/>
      </c>
      <c r="S157" s="756">
        <f>J157*5590</f>
        <v/>
      </c>
    </row>
    <row r="158">
      <c r="A158" s="115" t="inlineStr">
        <is>
          <t>티트리토탈워시</t>
        </is>
      </c>
      <c r="B158" s="703" t="inlineStr">
        <is>
          <t>P00000BM</t>
        </is>
      </c>
      <c r="C158" s="237" t="n">
        <v>5</v>
      </c>
      <c r="D158" s="235" t="n"/>
      <c r="E158" s="234" t="n"/>
      <c r="F158" s="230" t="n"/>
      <c r="G158" s="231" t="n"/>
      <c r="H158" s="236" t="n"/>
      <c r="I158" s="230" t="n"/>
      <c r="J158" s="35">
        <f>SUM(C158:I158)</f>
        <v/>
      </c>
      <c r="K158" s="815">
        <f>C158*17500</f>
        <v/>
      </c>
      <c r="L158" s="769">
        <f>D158*17500</f>
        <v/>
      </c>
      <c r="M158" s="770">
        <f>E158*17500</f>
        <v/>
      </c>
      <c r="N158" s="771" t="n"/>
      <c r="O158" s="771" t="n"/>
      <c r="P158" s="771" t="n"/>
      <c r="Q158" s="796" t="n"/>
      <c r="R158" s="756">
        <f>SUM(K158:Q158)</f>
        <v/>
      </c>
      <c r="S158" s="756">
        <f>J158*7123</f>
        <v/>
      </c>
    </row>
    <row r="159" customFormat="1" s="24">
      <c r="A159" s="468" t="inlineStr">
        <is>
          <t xml:space="preserve">밀크클렌징 </t>
        </is>
      </c>
      <c r="B159" s="88" t="inlineStr">
        <is>
          <t>P0000BGK</t>
        </is>
      </c>
      <c r="C159" s="560" t="inlineStr">
        <is>
          <t>리본펩타이드</t>
        </is>
      </c>
      <c r="D159" s="313" t="inlineStr">
        <is>
          <t>P0000BFS</t>
        </is>
      </c>
      <c r="E159" s="731" t="inlineStr">
        <is>
          <t>스파에이전</t>
        </is>
      </c>
      <c r="F159" s="357" t="n"/>
      <c r="G159" s="357" t="n"/>
      <c r="H159" s="358" t="n"/>
      <c r="I159" s="92" t="inlineStr">
        <is>
          <t>기타</t>
        </is>
      </c>
      <c r="J159" s="58" t="inlineStr">
        <is>
          <t>합계</t>
        </is>
      </c>
      <c r="K159" s="777">
        <f>SUM(K150:K158)</f>
        <v/>
      </c>
      <c r="L159" s="778">
        <f>SUM(L150:L158)</f>
        <v/>
      </c>
      <c r="M159" s="779">
        <f>SUM(M150:M158)</f>
        <v/>
      </c>
      <c r="N159" s="777">
        <f>SUM(N150:N158)</f>
        <v/>
      </c>
      <c r="O159" s="780">
        <f>SUM(O150:O158)</f>
        <v/>
      </c>
      <c r="P159" s="780">
        <f>SUM(P150:P158)</f>
        <v/>
      </c>
      <c r="Q159" s="780">
        <f>SUM(Q150:Q158)</f>
        <v/>
      </c>
      <c r="R159" s="781">
        <f>SUM(R150:R158)</f>
        <v/>
      </c>
      <c r="S159" s="782">
        <f>SUM(S150:S158)</f>
        <v/>
      </c>
    </row>
    <row r="160">
      <c r="A160" s="469" t="inlineStr">
        <is>
          <t>알로에800</t>
        </is>
      </c>
      <c r="B160" s="55" t="inlineStr">
        <is>
          <t>P00000NE</t>
        </is>
      </c>
      <c r="C160" s="388" t="inlineStr">
        <is>
          <t>안티바이오</t>
        </is>
      </c>
      <c r="D160" s="88" t="inlineStr">
        <is>
          <t>P00000ZI</t>
        </is>
      </c>
      <c r="E160" s="682" t="n"/>
      <c r="F160" s="20" t="inlineStr">
        <is>
          <t>P00000YS</t>
        </is>
      </c>
      <c r="G160" s="392" t="inlineStr">
        <is>
          <t>스타터키트</t>
        </is>
      </c>
      <c r="H160" s="20" t="n"/>
      <c r="I160" s="558" t="n"/>
      <c r="J160" s="353" t="n"/>
      <c r="K160" s="391" t="n"/>
      <c r="P160" s="785" t="n"/>
    </row>
    <row r="161">
      <c r="A161" s="469" t="inlineStr">
        <is>
          <t>알로에200</t>
        </is>
      </c>
      <c r="B161" s="88" t="inlineStr">
        <is>
          <t>P0000BFP</t>
        </is>
      </c>
      <c r="C161" s="560" t="inlineStr">
        <is>
          <t>안티로션</t>
        </is>
      </c>
      <c r="D161" s="88" t="inlineStr">
        <is>
          <t>P0000BFA</t>
        </is>
      </c>
      <c r="E161" s="391" t="inlineStr">
        <is>
          <t>P0000BFG</t>
        </is>
      </c>
      <c r="F161" s="20" t="n"/>
      <c r="G161" s="392" t="n"/>
      <c r="H161" s="20" t="n"/>
      <c r="I161" s="543" t="n"/>
      <c r="J161" s="395" t="n"/>
      <c r="K161" s="391" t="n"/>
      <c r="P161" s="785" t="n"/>
    </row>
    <row r="162">
      <c r="A162" s="468" t="inlineStr">
        <is>
          <t>밀크클렌징 800</t>
        </is>
      </c>
      <c r="B162" s="88" t="inlineStr">
        <is>
          <t>P00000NA</t>
        </is>
      </c>
      <c r="C162" s="468" t="inlineStr">
        <is>
          <t>BTS오일</t>
        </is>
      </c>
      <c r="D162" s="55" t="inlineStr">
        <is>
          <t>P00000XS</t>
        </is>
      </c>
      <c r="E162" s="391" t="inlineStr">
        <is>
          <t>P0000BIY</t>
        </is>
      </c>
      <c r="F162" s="20" t="n"/>
      <c r="G162" s="392" t="n"/>
      <c r="H162" s="20" t="n"/>
      <c r="I162" s="558" t="n"/>
      <c r="J162" s="107" t="n"/>
      <c r="K162" s="391" t="n"/>
      <c r="L162" s="142" t="n"/>
      <c r="P162" s="785" t="n"/>
    </row>
    <row r="163">
      <c r="A163" s="469" t="inlineStr">
        <is>
          <t>네출럴포밍</t>
        </is>
      </c>
      <c r="B163" s="88" t="inlineStr">
        <is>
          <t>P00000YV</t>
        </is>
      </c>
      <c r="C163" s="560" t="inlineStr">
        <is>
          <t>헤어프리</t>
        </is>
      </c>
      <c r="D163" s="88" t="inlineStr">
        <is>
          <t>P0000BFJ</t>
        </is>
      </c>
      <c r="E163" s="391" t="inlineStr">
        <is>
          <t>P0000BIT</t>
        </is>
      </c>
      <c r="F163" s="20" t="n"/>
      <c r="G163" s="533" t="n"/>
      <c r="H163" s="20" t="n"/>
      <c r="I163" s="157" t="n"/>
      <c r="J163" s="473" t="n"/>
      <c r="K163" s="391" t="n"/>
      <c r="L163" s="313" t="n"/>
      <c r="P163" s="785" t="n"/>
    </row>
    <row r="164">
      <c r="A164" s="469" t="inlineStr">
        <is>
          <t>큐어셀토너</t>
        </is>
      </c>
      <c r="B164" s="88" t="inlineStr">
        <is>
          <t>P0000BFM</t>
        </is>
      </c>
      <c r="C164" s="560" t="inlineStr">
        <is>
          <t>리본미스트</t>
        </is>
      </c>
      <c r="D164" s="88" t="inlineStr">
        <is>
          <t>P00000ND</t>
        </is>
      </c>
      <c r="E164" s="391" t="inlineStr">
        <is>
          <t>P0000BJB</t>
        </is>
      </c>
      <c r="F164" s="20" t="inlineStr">
        <is>
          <t>P0000BKV</t>
        </is>
      </c>
      <c r="G164" s="542" t="inlineStr">
        <is>
          <t>톤업5개40%</t>
        </is>
      </c>
      <c r="H164" s="20" t="n"/>
      <c r="I164" s="20" t="n"/>
      <c r="J164" s="112" t="n"/>
      <c r="K164" s="470" t="n"/>
      <c r="L164" s="313" t="n"/>
      <c r="P164" s="785" t="n"/>
    </row>
    <row r="165" ht="24" customHeight="1" s="754">
      <c r="A165" s="469" t="inlineStr">
        <is>
          <t>큐어셀스무디</t>
        </is>
      </c>
      <c r="B165" s="88" t="inlineStr">
        <is>
          <t>P0000BGE</t>
        </is>
      </c>
      <c r="C165" s="88" t="inlineStr">
        <is>
          <t>시카팩</t>
        </is>
      </c>
      <c r="D165" s="88" t="inlineStr">
        <is>
          <t>P00000XY</t>
        </is>
      </c>
      <c r="E165" s="391" t="inlineStr">
        <is>
          <t>P0000BLH</t>
        </is>
      </c>
      <c r="F165" s="20" t="inlineStr">
        <is>
          <t>P0000BKU</t>
        </is>
      </c>
      <c r="G165" s="565" t="inlineStr">
        <is>
          <t>UV5개40%</t>
        </is>
      </c>
      <c r="H165" s="20" t="n"/>
      <c r="I165" s="45" t="inlineStr">
        <is>
          <t>P00000YZ</t>
        </is>
      </c>
      <c r="J165" s="473" t="inlineStr">
        <is>
          <t>컵세트할인</t>
        </is>
      </c>
      <c r="K165" s="470" t="n"/>
      <c r="L165" s="142" t="n"/>
      <c r="P165" s="785" t="n"/>
    </row>
    <row r="166" ht="24" customHeight="1" s="754">
      <c r="A166" s="469" t="inlineStr">
        <is>
          <t>큐어셀크림</t>
        </is>
      </c>
      <c r="B166" s="88" t="inlineStr">
        <is>
          <t>P0000BGX</t>
        </is>
      </c>
      <c r="C166" s="88" t="inlineStr">
        <is>
          <t>아나프리오일</t>
        </is>
      </c>
      <c r="D166" s="88" t="inlineStr">
        <is>
          <t>P0000BFY</t>
        </is>
      </c>
      <c r="E166" s="391" t="inlineStr">
        <is>
          <t>P0000BLJ</t>
        </is>
      </c>
      <c r="F166" s="20" t="inlineStr">
        <is>
          <t>P0000BMP</t>
        </is>
      </c>
      <c r="G166" s="576" t="inlineStr">
        <is>
          <t>호호바2종+큐어셀세럼증정</t>
        </is>
      </c>
      <c r="H166" s="575" t="n"/>
      <c r="I166" s="577" t="n"/>
      <c r="J166" s="45" t="n"/>
      <c r="K166" s="471" t="n"/>
      <c r="P166" s="785" t="n"/>
    </row>
    <row r="167" ht="24" customHeight="1" s="754">
      <c r="A167" s="469" t="inlineStr">
        <is>
          <t>큐어셀세럼</t>
        </is>
      </c>
      <c r="B167" s="88" t="inlineStr">
        <is>
          <t>P00000NI</t>
        </is>
      </c>
      <c r="C167" s="562" t="inlineStr">
        <is>
          <t>버진오일</t>
        </is>
      </c>
      <c r="D167" s="88" t="inlineStr">
        <is>
          <t>P0000BGB</t>
        </is>
      </c>
      <c r="E167" s="391" t="inlineStr">
        <is>
          <t>P0000BLF</t>
        </is>
      </c>
      <c r="F167" s="20" t="inlineStr">
        <is>
          <t>P0000BJW</t>
        </is>
      </c>
      <c r="G167" s="578" t="inlineStr">
        <is>
          <t>2종워터+로즈증정</t>
        </is>
      </c>
      <c r="H167" s="20" t="n"/>
      <c r="I167" s="308" t="n"/>
      <c r="J167" s="124" t="inlineStr">
        <is>
          <t>행사</t>
        </is>
      </c>
      <c r="K167" s="630" t="n"/>
      <c r="P167" s="785" t="n"/>
    </row>
    <row r="168">
      <c r="A168" s="469" t="inlineStr">
        <is>
          <t>히알세럼</t>
        </is>
      </c>
      <c r="B168" s="88" t="inlineStr">
        <is>
          <t>P00000NF</t>
        </is>
      </c>
      <c r="C168" s="563" t="inlineStr">
        <is>
          <t>썬,톤업</t>
        </is>
      </c>
      <c r="D168" s="88" t="inlineStr">
        <is>
          <t>P0000BIL</t>
        </is>
      </c>
      <c r="E168" s="391" t="inlineStr">
        <is>
          <t>P0000BMU</t>
        </is>
      </c>
      <c r="F168" s="20" t="inlineStr">
        <is>
          <t>P0000BEY</t>
        </is>
      </c>
      <c r="G168" s="471" t="inlineStr">
        <is>
          <t>티로사증정</t>
        </is>
      </c>
      <c r="H168" s="90" t="inlineStr">
        <is>
          <t>P00000VA</t>
        </is>
      </c>
      <c r="I168" s="467" t="inlineStr">
        <is>
          <t>화이트팩+스크럽10</t>
        </is>
      </c>
      <c r="J168" s="124" t="n"/>
      <c r="K168" s="630" t="n"/>
      <c r="P168" s="785" t="n"/>
    </row>
    <row r="169">
      <c r="A169" s="469" t="inlineStr">
        <is>
          <t>리본수딩젤</t>
        </is>
      </c>
      <c r="B169" s="88" t="inlineStr">
        <is>
          <t>P0000BHK</t>
        </is>
      </c>
      <c r="C169" s="88" t="inlineStr">
        <is>
          <t>고마지</t>
        </is>
      </c>
      <c r="D169" s="88" t="inlineStr">
        <is>
          <t>P00000NJ</t>
        </is>
      </c>
      <c r="E169" s="391" t="inlineStr">
        <is>
          <t>P0000BMV</t>
        </is>
      </c>
      <c r="F169" s="90" t="n"/>
      <c r="G169" s="557" t="n"/>
      <c r="H169" s="630" t="n"/>
      <c r="I169" s="308" t="n"/>
      <c r="J169" s="124" t="n"/>
      <c r="K169" s="472" t="n"/>
      <c r="P169" s="785" t="n"/>
    </row>
    <row r="170">
      <c r="A170" s="468" t="inlineStr">
        <is>
          <t>안자라로션</t>
        </is>
      </c>
      <c r="B170" s="88" t="inlineStr">
        <is>
          <t>P0000BHD</t>
        </is>
      </c>
      <c r="C170" s="561" t="n"/>
      <c r="D170" s="88" t="n"/>
      <c r="E170" s="313" t="n"/>
      <c r="F170" s="20" t="n"/>
      <c r="G170" s="393" t="n"/>
      <c r="H170" s="193" t="n"/>
      <c r="I170" s="535" t="inlineStr">
        <is>
          <t>증정행사</t>
        </is>
      </c>
      <c r="J170" s="52" t="inlineStr">
        <is>
          <t>행사</t>
        </is>
      </c>
      <c r="K170" s="474" t="inlineStr">
        <is>
          <t>도매</t>
        </is>
      </c>
      <c r="L170" s="764" t="inlineStr">
        <is>
          <t>인증살롱/마스터</t>
        </is>
      </c>
      <c r="M170" s="765" t="n"/>
      <c r="N170" s="766" t="inlineStr">
        <is>
          <t>할인</t>
        </is>
      </c>
      <c r="O170" s="833" t="inlineStr">
        <is>
          <t>세트할인(스타터)</t>
        </is>
      </c>
      <c r="P170" s="766" t="inlineStr">
        <is>
          <t>할인+증정</t>
        </is>
      </c>
      <c r="Q170" s="833" t="inlineStr">
        <is>
          <t>컵세트묶음할인. 증정</t>
        </is>
      </c>
      <c r="R170" s="767" t="inlineStr">
        <is>
          <t>품목별합계</t>
        </is>
      </c>
      <c r="S170" s="795" t="inlineStr">
        <is>
          <t>도매,마스터원가</t>
        </is>
      </c>
    </row>
    <row r="171">
      <c r="A171" s="24" t="inlineStr">
        <is>
          <t>제모미인제품</t>
        </is>
      </c>
      <c r="B171" s="357" t="n"/>
      <c r="C171" s="233" t="n"/>
      <c r="D171" s="235" t="n"/>
      <c r="E171" s="241" t="n"/>
      <c r="F171" s="342" t="n"/>
      <c r="G171" s="241" t="n"/>
      <c r="H171" s="343" t="n"/>
      <c r="I171" s="232" t="n"/>
      <c r="J171" s="35" t="n"/>
      <c r="K171" s="828" t="n"/>
      <c r="L171" s="834" t="n"/>
      <c r="M171" s="770" t="n"/>
      <c r="N171" s="796" t="n"/>
      <c r="O171" s="796" t="n"/>
      <c r="P171" s="796" t="n"/>
      <c r="Q171" s="772" t="n"/>
      <c r="R171" s="758" t="n"/>
    </row>
    <row r="172">
      <c r="A172" s="79" t="inlineStr">
        <is>
          <t>밀크클렌징200</t>
        </is>
      </c>
      <c r="B172" s="703" t="inlineStr">
        <is>
          <t>P0000BGJ</t>
        </is>
      </c>
      <c r="C172" s="233" t="n">
        <v>3</v>
      </c>
      <c r="D172" s="235" t="n">
        <v>2</v>
      </c>
      <c r="E172" s="234" t="n"/>
      <c r="F172" s="342" t="n"/>
      <c r="G172" s="241" t="n"/>
      <c r="H172" s="343" t="n"/>
      <c r="I172" s="232" t="n"/>
      <c r="J172" s="35">
        <f>SUM(C172:I172)</f>
        <v/>
      </c>
      <c r="K172" s="835">
        <f>C172*12800</f>
        <v/>
      </c>
      <c r="L172" s="834">
        <f>D172*9600</f>
        <v/>
      </c>
      <c r="M172" s="770">
        <f>E172*9600</f>
        <v/>
      </c>
      <c r="N172" s="796" t="n"/>
      <c r="O172" s="796" t="n"/>
      <c r="P172" s="796" t="n"/>
      <c r="Q172" s="772" t="n"/>
      <c r="R172" s="758">
        <f>SUM(K172:Q172)</f>
        <v/>
      </c>
      <c r="S172" s="756">
        <f>J172*3857</f>
        <v/>
      </c>
    </row>
    <row r="173">
      <c r="A173" s="79" t="inlineStr">
        <is>
          <t>밀크클렌징800</t>
        </is>
      </c>
      <c r="B173" s="703" t="inlineStr">
        <is>
          <t>P00000JP</t>
        </is>
      </c>
      <c r="C173" s="233" t="n">
        <v>1</v>
      </c>
      <c r="D173" s="235" t="n">
        <v>1</v>
      </c>
      <c r="E173" s="234" t="n"/>
      <c r="F173" s="342" t="n"/>
      <c r="G173" s="241" t="n"/>
      <c r="H173" s="343" t="n"/>
      <c r="I173" s="232" t="n"/>
      <c r="J173" s="35">
        <f>SUM(C173:I173)</f>
        <v/>
      </c>
      <c r="K173" s="835">
        <f>C173*36000</f>
        <v/>
      </c>
      <c r="L173" s="834">
        <f>D173*33000</f>
        <v/>
      </c>
      <c r="M173" s="770">
        <f>E173*33000</f>
        <v/>
      </c>
      <c r="N173" s="796" t="n"/>
      <c r="O173" s="796" t="n"/>
      <c r="P173" s="796" t="n"/>
      <c r="Q173" s="772" t="n"/>
      <c r="R173" s="758">
        <f>SUM(K173:Q173)</f>
        <v/>
      </c>
      <c r="S173" s="756">
        <f>J173*8619</f>
        <v/>
      </c>
    </row>
    <row r="174">
      <c r="A174" s="115" t="inlineStr">
        <is>
          <t>알로에800</t>
        </is>
      </c>
      <c r="B174" s="703" t="inlineStr">
        <is>
          <t>P00000LP</t>
        </is>
      </c>
      <c r="C174" s="233" t="n">
        <v>150</v>
      </c>
      <c r="D174" s="235" t="n">
        <v>47</v>
      </c>
      <c r="E174" s="234" t="n"/>
      <c r="F174" s="215" t="n"/>
      <c r="G174" s="230" t="n"/>
      <c r="H174" s="230" t="n"/>
      <c r="I174" s="230" t="n"/>
      <c r="J174" s="35">
        <f>SUM(C174:I174)</f>
        <v/>
      </c>
      <c r="K174" s="815">
        <f>C174*28800</f>
        <v/>
      </c>
      <c r="L174" s="790">
        <f>D174*26400</f>
        <v/>
      </c>
      <c r="M174" s="770">
        <f>E174*26400</f>
        <v/>
      </c>
      <c r="N174" s="771" t="n"/>
      <c r="O174" s="771" t="n"/>
      <c r="P174" s="771">
        <f>F174*28800</f>
        <v/>
      </c>
      <c r="Q174" s="772" t="n"/>
      <c r="R174" s="758">
        <f>SUM(K174:Q174)</f>
        <v/>
      </c>
      <c r="S174" s="756">
        <f>J174*6704</f>
        <v/>
      </c>
    </row>
    <row r="175">
      <c r="A175" s="115" t="inlineStr">
        <is>
          <t>알로에200</t>
        </is>
      </c>
      <c r="B175" s="703" t="inlineStr">
        <is>
          <t>P0000BFO</t>
        </is>
      </c>
      <c r="C175" s="233" t="n">
        <v>98</v>
      </c>
      <c r="D175" s="235" t="n">
        <v>54</v>
      </c>
      <c r="E175" s="234" t="n"/>
      <c r="F175" s="238" t="n"/>
      <c r="G175" s="242" t="n"/>
      <c r="H175" s="230" t="n"/>
      <c r="I175" s="242" t="n"/>
      <c r="J175" s="35">
        <f>SUM(C175:I175)</f>
        <v/>
      </c>
      <c r="K175" s="815">
        <f>C175*16000</f>
        <v/>
      </c>
      <c r="L175" s="790">
        <f>D175*11200</f>
        <v/>
      </c>
      <c r="M175" s="770">
        <f>E175*11200</f>
        <v/>
      </c>
      <c r="N175" s="771" t="n"/>
      <c r="O175" s="796" t="n"/>
      <c r="P175" s="771" t="n"/>
      <c r="Q175" s="772" t="n"/>
      <c r="R175" s="758">
        <f>SUM(K175:Q175)</f>
        <v/>
      </c>
      <c r="S175" s="756">
        <f>J175*3489</f>
        <v/>
      </c>
    </row>
    <row r="176">
      <c r="A176" s="227" t="inlineStr">
        <is>
          <t>자디니네츄럴포밍</t>
        </is>
      </c>
      <c r="B176" s="704" t="inlineStr">
        <is>
          <t>P00000PT</t>
        </is>
      </c>
      <c r="C176" s="233" t="n">
        <v>13</v>
      </c>
      <c r="D176" s="235" t="n">
        <v>44</v>
      </c>
      <c r="E176" s="234" t="n"/>
      <c r="F176" s="215" t="n"/>
      <c r="G176" s="231" t="n"/>
      <c r="H176" s="236" t="n"/>
      <c r="I176" s="230" t="n"/>
      <c r="J176" s="35">
        <f>SUM(C176:I176)</f>
        <v/>
      </c>
      <c r="K176" s="815">
        <f>C176*16800</f>
        <v/>
      </c>
      <c r="L176" s="790">
        <f>D176*12800</f>
        <v/>
      </c>
      <c r="M176" s="770">
        <f>E176*12800</f>
        <v/>
      </c>
      <c r="N176" s="771" t="n"/>
      <c r="O176" s="771" t="n"/>
      <c r="P176" s="771" t="n"/>
      <c r="Q176" s="772" t="n"/>
      <c r="R176" s="758">
        <f>SUM(K176:Q176)</f>
        <v/>
      </c>
      <c r="S176" s="756">
        <f>J176*3075</f>
        <v/>
      </c>
    </row>
    <row r="177">
      <c r="A177" s="227" t="inlineStr">
        <is>
          <t>큐어셀토너800</t>
        </is>
      </c>
      <c r="B177" s="704" t="inlineStr">
        <is>
          <t>P0000BFL</t>
        </is>
      </c>
      <c r="C177" s="233" t="n">
        <v>26</v>
      </c>
      <c r="D177" s="235" t="n">
        <v>11</v>
      </c>
      <c r="E177" s="234" t="n"/>
      <c r="F177" s="215" t="n"/>
      <c r="G177" s="231" t="n"/>
      <c r="H177" s="236" t="n"/>
      <c r="I177" s="242" t="n"/>
      <c r="J177" s="35">
        <f>SUM(C177:I177)</f>
        <v/>
      </c>
      <c r="K177" s="815">
        <f>C177*36800</f>
        <v/>
      </c>
      <c r="L177" s="790">
        <f>D177*27200</f>
        <v/>
      </c>
      <c r="M177" s="770">
        <f>E177*27200</f>
        <v/>
      </c>
      <c r="N177" s="771" t="n"/>
      <c r="O177" s="771" t="n"/>
      <c r="P177" s="771" t="n"/>
      <c r="Q177" s="772" t="n"/>
      <c r="R177" s="758">
        <f>SUM(K177:Q177)</f>
        <v/>
      </c>
      <c r="S177" s="756">
        <f>J177*6040</f>
        <v/>
      </c>
    </row>
    <row r="178">
      <c r="A178" s="227" t="inlineStr">
        <is>
          <t>큐어셀토너200</t>
        </is>
      </c>
      <c r="B178" s="775" t="n"/>
      <c r="C178" s="233" t="n">
        <v>3</v>
      </c>
      <c r="D178" s="235" t="n"/>
      <c r="E178" s="234" t="n"/>
      <c r="F178" s="215" t="n"/>
      <c r="G178" s="231" t="n"/>
      <c r="H178" s="236" t="n"/>
      <c r="I178" s="242" t="n"/>
      <c r="J178" s="35">
        <f>SUM(C178:I178)</f>
        <v/>
      </c>
      <c r="K178" s="815">
        <f>C178*16000</f>
        <v/>
      </c>
      <c r="L178" s="790">
        <f>D178*12800</f>
        <v/>
      </c>
      <c r="M178" s="770">
        <f>E178*12800</f>
        <v/>
      </c>
      <c r="N178" s="771" t="n"/>
      <c r="O178" s="771" t="n"/>
      <c r="P178" s="771" t="n"/>
      <c r="Q178" s="772" t="n"/>
      <c r="R178" s="758">
        <f>SUM(K178:Q178)</f>
        <v/>
      </c>
      <c r="S178" s="756">
        <f>J178*4212</f>
        <v/>
      </c>
    </row>
    <row r="179">
      <c r="A179" s="227" t="inlineStr">
        <is>
          <t>큐어셀스무디</t>
        </is>
      </c>
      <c r="B179" s="704" t="inlineStr">
        <is>
          <t>P0000BGD</t>
        </is>
      </c>
      <c r="C179" s="233" t="n">
        <v>2</v>
      </c>
      <c r="D179" s="235" t="n"/>
      <c r="E179" s="234" t="n"/>
      <c r="F179" s="215" t="n"/>
      <c r="G179" s="231" t="n"/>
      <c r="H179" s="236" t="n"/>
      <c r="I179" s="230" t="n"/>
      <c r="J179" s="35">
        <f>SUM(C179:I179)</f>
        <v/>
      </c>
      <c r="K179" s="815">
        <f>C179*28000</f>
        <v/>
      </c>
      <c r="L179" s="790">
        <f>D179*19600</f>
        <v/>
      </c>
      <c r="M179" s="770">
        <f>E179*19600</f>
        <v/>
      </c>
      <c r="N179" s="771" t="n"/>
      <c r="O179" s="771" t="n"/>
      <c r="P179" s="771" t="n"/>
      <c r="Q179" s="772" t="n"/>
      <c r="R179" s="758">
        <f>SUM(K179:Q179)</f>
        <v/>
      </c>
      <c r="S179" s="756">
        <f>J179*6097</f>
        <v/>
      </c>
    </row>
    <row r="180">
      <c r="A180" s="227" t="inlineStr">
        <is>
          <t>큐어셀크림100</t>
        </is>
      </c>
      <c r="B180" s="704" t="inlineStr">
        <is>
          <t>P0000BGW</t>
        </is>
      </c>
      <c r="C180" s="233" t="n">
        <v>7</v>
      </c>
      <c r="D180" s="235" t="n">
        <v>7</v>
      </c>
      <c r="E180" s="234" t="n"/>
      <c r="F180" s="215" t="n"/>
      <c r="G180" s="231" t="n"/>
      <c r="H180" s="236" t="n"/>
      <c r="I180" s="230" t="n"/>
      <c r="J180" s="35">
        <f>SUM(C180:I180)</f>
        <v/>
      </c>
      <c r="K180" s="815">
        <f>C180*31000</f>
        <v/>
      </c>
      <c r="L180" s="790">
        <f>D180*19800</f>
        <v/>
      </c>
      <c r="M180" s="770">
        <f>E180*19800</f>
        <v/>
      </c>
      <c r="N180" s="771" t="n"/>
      <c r="O180" s="771" t="n"/>
      <c r="P180" s="771" t="n"/>
      <c r="Q180" s="772" t="n"/>
      <c r="R180" s="758">
        <f>SUM(K180:Q180)</f>
        <v/>
      </c>
      <c r="S180" s="756">
        <f>J180*6612</f>
        <v/>
      </c>
    </row>
    <row r="181" customFormat="1" s="567">
      <c r="A181" s="346" t="inlineStr">
        <is>
          <t>큐어셀세럼(PR세럼)</t>
        </is>
      </c>
      <c r="B181" s="704" t="inlineStr">
        <is>
          <t>P00000MG</t>
        </is>
      </c>
      <c r="C181" s="233" t="n">
        <v>6</v>
      </c>
      <c r="D181" s="235" t="n">
        <v>3</v>
      </c>
      <c r="E181" s="330" t="n"/>
      <c r="F181" s="242" t="n"/>
      <c r="G181" s="330" t="n"/>
      <c r="H181" s="242" t="n"/>
      <c r="I181" s="242" t="n"/>
      <c r="J181" s="218">
        <f>SUM(C181:I181)</f>
        <v/>
      </c>
      <c r="K181" s="836">
        <f>C181*27200</f>
        <v/>
      </c>
      <c r="L181" s="790">
        <f>D181*20000</f>
        <v/>
      </c>
      <c r="M181" s="770">
        <f>E181*20000</f>
        <v/>
      </c>
      <c r="N181" s="771" t="n"/>
      <c r="O181" s="771" t="n"/>
      <c r="P181" s="771" t="n"/>
      <c r="Q181" s="772" t="n"/>
      <c r="R181" s="837">
        <f>SUM(K181:Q181)</f>
        <v/>
      </c>
      <c r="S181" s="838">
        <f>J181*4582</f>
        <v/>
      </c>
    </row>
    <row r="182">
      <c r="A182" s="115" t="inlineStr">
        <is>
          <t>히아루로닉50</t>
        </is>
      </c>
      <c r="B182" s="547" t="inlineStr">
        <is>
          <t>P00000TJ</t>
        </is>
      </c>
      <c r="C182" s="233" t="n">
        <v>17</v>
      </c>
      <c r="D182" s="235" t="n">
        <v>9</v>
      </c>
      <c r="E182" s="259" t="n"/>
      <c r="F182" s="230" t="n"/>
      <c r="G182" s="231" t="n"/>
      <c r="H182" s="230" t="n"/>
      <c r="I182" s="230" t="n"/>
      <c r="J182" s="35">
        <f>SUM(C182:I182)</f>
        <v/>
      </c>
      <c r="K182" s="815">
        <f>C182*16000</f>
        <v/>
      </c>
      <c r="L182" s="790">
        <f>D182*12000</f>
        <v/>
      </c>
      <c r="M182" s="770">
        <f>E182*19200</f>
        <v/>
      </c>
      <c r="N182" s="771" t="n"/>
      <c r="O182" s="771" t="n"/>
      <c r="P182" s="771" t="n"/>
      <c r="Q182" s="772" t="n"/>
      <c r="R182" s="758">
        <f>SUM(K182:Q182)</f>
        <v/>
      </c>
      <c r="S182" s="756">
        <f>J182*3501</f>
        <v/>
      </c>
    </row>
    <row r="183">
      <c r="A183" s="115" t="inlineStr">
        <is>
          <t>리본수딩젤(구천년초)</t>
        </is>
      </c>
      <c r="B183" s="547" t="inlineStr">
        <is>
          <t>P0000BHJ</t>
        </is>
      </c>
      <c r="C183" s="233" t="n">
        <v>11</v>
      </c>
      <c r="D183" s="255" t="n"/>
      <c r="E183" s="232" t="n"/>
      <c r="F183" s="230" t="n"/>
      <c r="G183" s="231" t="n"/>
      <c r="H183" s="230" t="n"/>
      <c r="I183" s="230" t="n"/>
      <c r="J183" s="35">
        <f>SUM(C183:I183)</f>
        <v/>
      </c>
      <c r="K183" s="815">
        <f>C183*19000</f>
        <v/>
      </c>
      <c r="L183" s="790">
        <f>D183*13000</f>
        <v/>
      </c>
      <c r="M183" s="770">
        <f>E183*13000</f>
        <v/>
      </c>
      <c r="N183" s="771" t="n"/>
      <c r="O183" s="771" t="n"/>
      <c r="P183" s="771" t="n"/>
      <c r="Q183" s="772" t="n"/>
      <c r="R183" s="758">
        <f>SUM(K183:Q183)</f>
        <v/>
      </c>
      <c r="S183" s="756">
        <f>J183*3677</f>
        <v/>
      </c>
    </row>
    <row r="184">
      <c r="A184" s="346" t="inlineStr">
        <is>
          <t>안자라로션</t>
        </is>
      </c>
      <c r="B184" s="704" t="inlineStr">
        <is>
          <t>P0000BHC</t>
        </is>
      </c>
      <c r="C184" s="239" t="n"/>
      <c r="D184" s="235" t="n"/>
      <c r="E184" s="234" t="n"/>
      <c r="F184" s="230" t="n"/>
      <c r="G184" s="322" t="n"/>
      <c r="H184" s="230" t="n"/>
      <c r="I184" s="242" t="n"/>
      <c r="J184" s="35">
        <f>SUM(C184:I184)</f>
        <v/>
      </c>
      <c r="K184" s="815">
        <f>C184*16000</f>
        <v/>
      </c>
      <c r="L184" s="790">
        <f>D184*12000</f>
        <v/>
      </c>
      <c r="M184" s="770">
        <f>E184*12000</f>
        <v/>
      </c>
      <c r="N184" s="771" t="n"/>
      <c r="O184" s="771" t="n"/>
      <c r="P184" s="771" t="n"/>
      <c r="Q184" s="772" t="n"/>
      <c r="R184" s="758">
        <f>SUM(K184:Q184)</f>
        <v/>
      </c>
      <c r="S184" s="756">
        <f>J184*4716</f>
        <v/>
      </c>
    </row>
    <row r="185" customFormat="1" s="307">
      <c r="A185" s="306" t="inlineStr">
        <is>
          <t>리본펩타이드세럼50</t>
        </is>
      </c>
      <c r="B185" s="703" t="inlineStr">
        <is>
          <t>P0000BFR</t>
        </is>
      </c>
      <c r="C185" s="344" t="n">
        <v>1</v>
      </c>
      <c r="D185" s="235" t="n"/>
      <c r="E185" s="234" t="n"/>
      <c r="F185" s="230" t="n"/>
      <c r="G185" s="322" t="n"/>
      <c r="H185" s="230" t="n"/>
      <c r="I185" s="257" t="n"/>
      <c r="J185" s="35">
        <f>SUM(C185:I185)</f>
        <v/>
      </c>
      <c r="K185" s="815">
        <f>C185*26880</f>
        <v/>
      </c>
      <c r="L185" s="790">
        <f>D185*26400</f>
        <v/>
      </c>
      <c r="M185" s="770">
        <f>E185*26400</f>
        <v/>
      </c>
      <c r="N185" s="771" t="n"/>
      <c r="O185" s="771" t="n"/>
      <c r="P185" s="771">
        <f>H185*26880</f>
        <v/>
      </c>
      <c r="Q185" s="772" t="n"/>
      <c r="R185" s="758">
        <f>SUM(K185:Q185)</f>
        <v/>
      </c>
      <c r="S185" s="756">
        <f>J185*8712</f>
        <v/>
      </c>
    </row>
    <row r="186">
      <c r="A186" s="115" t="inlineStr">
        <is>
          <t>안티바이오자디니</t>
        </is>
      </c>
      <c r="B186" s="703" t="inlineStr">
        <is>
          <t>P00000JX</t>
        </is>
      </c>
      <c r="C186" s="239" t="n">
        <v>9</v>
      </c>
      <c r="D186" s="235" t="n">
        <v>7</v>
      </c>
      <c r="E186" s="232" t="n"/>
      <c r="F186" s="230" t="n"/>
      <c r="G186" s="322" t="n"/>
      <c r="H186" s="230" t="n"/>
      <c r="I186" s="242" t="n"/>
      <c r="J186" s="35">
        <f>SUM(C186:I186)</f>
        <v/>
      </c>
      <c r="K186" s="815">
        <f>C186*30400</f>
        <v/>
      </c>
      <c r="L186" s="790">
        <f>D186*25600</f>
        <v/>
      </c>
      <c r="M186" s="770">
        <f>E186*25600</f>
        <v/>
      </c>
      <c r="N186" s="771" t="n"/>
      <c r="O186" s="771" t="n"/>
      <c r="P186" s="771" t="n"/>
      <c r="Q186" s="772" t="n"/>
      <c r="R186" s="758">
        <f>SUM(K186:Q186)</f>
        <v/>
      </c>
      <c r="S186" s="756">
        <f>J186*5760</f>
        <v/>
      </c>
    </row>
    <row r="187">
      <c r="A187" s="115" t="inlineStr">
        <is>
          <t>안티바이오로션</t>
        </is>
      </c>
      <c r="B187" s="703" t="inlineStr">
        <is>
          <t>P0000BEZ</t>
        </is>
      </c>
      <c r="C187" s="239" t="n">
        <v>34</v>
      </c>
      <c r="D187" s="235" t="n">
        <v>3</v>
      </c>
      <c r="E187" s="232" t="n"/>
      <c r="F187" s="230" t="n"/>
      <c r="G187" s="322" t="n"/>
      <c r="H187" s="230" t="n"/>
      <c r="I187" s="242" t="n"/>
      <c r="J187" s="35">
        <f>SUM(C187:I187)</f>
        <v/>
      </c>
      <c r="K187" s="815">
        <f>C187*17600</f>
        <v/>
      </c>
      <c r="L187" s="790">
        <f>D187*14400</f>
        <v/>
      </c>
      <c r="M187" s="839">
        <f>E187*14400</f>
        <v/>
      </c>
      <c r="N187" s="820" t="n"/>
      <c r="O187" s="771" t="n"/>
      <c r="P187" s="771" t="n"/>
      <c r="Q187" s="772" t="n"/>
      <c r="R187" s="758">
        <f>SUM(K187:Q187)</f>
        <v/>
      </c>
      <c r="S187" s="756">
        <f>J187*3867</f>
        <v/>
      </c>
    </row>
    <row r="188">
      <c r="A188" s="115" t="inlineStr">
        <is>
          <t>13TS오일</t>
        </is>
      </c>
      <c r="B188" s="703" t="inlineStr">
        <is>
          <t>P00000HO</t>
        </is>
      </c>
      <c r="C188" s="233" t="n"/>
      <c r="D188" s="235" t="n"/>
      <c r="E188" s="232" t="n"/>
      <c r="F188" s="230" t="n"/>
      <c r="G188" s="322" t="n"/>
      <c r="H188" s="230" t="n"/>
      <c r="I188" s="230" t="n"/>
      <c r="J188" s="35">
        <f>SUM(C188:I188)</f>
        <v/>
      </c>
      <c r="K188" s="815">
        <f>C188*64800</f>
        <v/>
      </c>
      <c r="L188" s="790">
        <f>D188*51840</f>
        <v/>
      </c>
      <c r="M188" s="770">
        <f>E188*51840</f>
        <v/>
      </c>
      <c r="N188" s="771">
        <f>F188*45360</f>
        <v/>
      </c>
      <c r="O188" s="771" t="n"/>
      <c r="P188" s="771">
        <f>H188*45360</f>
        <v/>
      </c>
      <c r="Q188" s="772" t="n"/>
      <c r="R188" s="758">
        <f>SUM(K188:Q188)</f>
        <v/>
      </c>
      <c r="S188" s="756">
        <f>J188*20308</f>
        <v/>
      </c>
    </row>
    <row r="189">
      <c r="A189" s="227" t="inlineStr">
        <is>
          <t>자디니헤어프리</t>
        </is>
      </c>
      <c r="B189" s="703" t="inlineStr">
        <is>
          <t>P0000BFE</t>
        </is>
      </c>
      <c r="C189" s="233" t="n">
        <v>282</v>
      </c>
      <c r="D189" s="235" t="n">
        <v>20</v>
      </c>
      <c r="E189" s="234" t="n">
        <v>72</v>
      </c>
      <c r="F189" s="230" t="n"/>
      <c r="G189" s="230" t="n"/>
      <c r="H189" s="230" t="n">
        <v>447</v>
      </c>
      <c r="I189" s="230" t="n"/>
      <c r="J189" s="35">
        <f>SUM(C189:I189)</f>
        <v/>
      </c>
      <c r="K189" s="815">
        <f>C189*11000</f>
        <v/>
      </c>
      <c r="L189" s="790">
        <f>D189*9900</f>
        <v/>
      </c>
      <c r="M189" s="770">
        <f>E189*8800</f>
        <v/>
      </c>
      <c r="N189" s="771" t="n"/>
      <c r="O189" s="771">
        <f>F189*11000</f>
        <v/>
      </c>
      <c r="P189" s="771">
        <f>H189*11000</f>
        <v/>
      </c>
      <c r="Q189" s="772" t="n"/>
      <c r="R189" s="758">
        <f>SUM(K189:Q189)</f>
        <v/>
      </c>
      <c r="S189" s="756">
        <f>J189*2006</f>
        <v/>
      </c>
    </row>
    <row r="190">
      <c r="A190" s="115" t="inlineStr">
        <is>
          <t>리본미스트</t>
        </is>
      </c>
      <c r="B190" s="703" t="inlineStr">
        <is>
          <t>P00000XU</t>
        </is>
      </c>
      <c r="C190" s="233" t="n">
        <v>12</v>
      </c>
      <c r="D190" s="235" t="n">
        <v>2</v>
      </c>
      <c r="E190" s="232" t="n"/>
      <c r="F190" s="215" t="n">
        <v>4</v>
      </c>
      <c r="G190" s="242" t="n"/>
      <c r="H190" s="230" t="n"/>
      <c r="I190" s="238" t="n"/>
      <c r="J190" s="35">
        <f>SUM(C190:I190)</f>
        <v/>
      </c>
      <c r="K190" s="815">
        <f>C190*16000</f>
        <v/>
      </c>
      <c r="L190" s="790">
        <f>D190*12000</f>
        <v/>
      </c>
      <c r="M190" s="770">
        <f>E190*12000</f>
        <v/>
      </c>
      <c r="N190" s="771" t="n"/>
      <c r="O190" s="771">
        <f>F190*12800</f>
        <v/>
      </c>
      <c r="P190" s="771" t="n"/>
      <c r="Q190" s="772" t="n"/>
      <c r="R190" s="758">
        <f>SUM(K190:Q190)</f>
        <v/>
      </c>
      <c r="S190" s="756">
        <f>J190*2144</f>
        <v/>
      </c>
    </row>
    <row r="191">
      <c r="A191" s="224" t="inlineStr">
        <is>
          <t>자디니시카팩</t>
        </is>
      </c>
      <c r="B191" s="90" t="inlineStr">
        <is>
          <t>P00000XW</t>
        </is>
      </c>
      <c r="C191" s="230" t="n">
        <v>200</v>
      </c>
      <c r="D191" s="235" t="n">
        <v>100</v>
      </c>
      <c r="E191" s="259" t="n"/>
      <c r="F191" s="230" t="n">
        <v>20</v>
      </c>
      <c r="G191" s="230" t="n"/>
      <c r="H191" s="230" t="n"/>
      <c r="I191" s="238" t="n"/>
      <c r="J191" s="35">
        <f>SUM(C191:I191)</f>
        <v/>
      </c>
      <c r="K191" s="820">
        <f>C191*1800</f>
        <v/>
      </c>
      <c r="L191" s="790">
        <f>D191*1600</f>
        <v/>
      </c>
      <c r="M191" s="770">
        <f>E191*1600</f>
        <v/>
      </c>
      <c r="N191" s="771" t="n"/>
      <c r="O191" s="771">
        <f>F191*1600</f>
        <v/>
      </c>
      <c r="P191" s="771" t="n"/>
      <c r="Q191" s="772" t="n"/>
      <c r="R191" s="758">
        <f>SUM(K191:Q191)</f>
        <v/>
      </c>
      <c r="S191" s="756">
        <f>J191*818</f>
        <v/>
      </c>
    </row>
    <row r="192">
      <c r="A192" s="115" t="inlineStr">
        <is>
          <t>시카마스크5개</t>
        </is>
      </c>
      <c r="B192" s="703" t="inlineStr">
        <is>
          <t>P00000XW</t>
        </is>
      </c>
      <c r="C192" s="233" t="n">
        <v>100</v>
      </c>
      <c r="D192" s="235" t="n"/>
      <c r="E192" s="259" t="n"/>
      <c r="F192" s="230" t="n"/>
      <c r="G192" s="230" t="n"/>
      <c r="H192" s="230" t="n"/>
      <c r="I192" s="215" t="n"/>
      <c r="J192" s="35">
        <f>SUM(C192:I192)</f>
        <v/>
      </c>
      <c r="K192" s="815">
        <f>C192*2000</f>
        <v/>
      </c>
      <c r="L192" s="790">
        <f>D192*1600</f>
        <v/>
      </c>
      <c r="M192" s="770">
        <f>E192*1600</f>
        <v/>
      </c>
      <c r="N192" s="771" t="n"/>
      <c r="O192" s="771">
        <f>F192*1600</f>
        <v/>
      </c>
      <c r="P192" s="771" t="n"/>
      <c r="Q192" s="772" t="n"/>
      <c r="R192" s="758">
        <f>SUM(K192:Q192)</f>
        <v/>
      </c>
      <c r="S192" s="756">
        <f>J192*863</f>
        <v/>
      </c>
    </row>
    <row r="193">
      <c r="A193" s="115" t="inlineStr">
        <is>
          <t>티로사카밍로션</t>
        </is>
      </c>
      <c r="B193" s="703" t="inlineStr">
        <is>
          <t>P0000BNA</t>
        </is>
      </c>
      <c r="C193" s="233" t="n">
        <v>5</v>
      </c>
      <c r="D193" s="235" t="n"/>
      <c r="E193" s="259" t="n"/>
      <c r="F193" s="230" t="n"/>
      <c r="G193" s="230" t="n"/>
      <c r="H193" s="230" t="n"/>
      <c r="I193" s="238" t="n">
        <v>166</v>
      </c>
      <c r="J193" s="35">
        <f>SUM(C193:I193)</f>
        <v/>
      </c>
      <c r="K193" s="815">
        <f>C193*24000</f>
        <v/>
      </c>
      <c r="L193" s="790" t="n"/>
      <c r="M193" s="770">
        <f>E193*18000</f>
        <v/>
      </c>
      <c r="N193" s="771" t="n"/>
      <c r="O193" s="771" t="n"/>
      <c r="P193" s="771" t="n"/>
      <c r="Q193" s="772" t="n"/>
      <c r="R193" s="758">
        <f>SUM(K193:Q193)</f>
        <v/>
      </c>
      <c r="S193" s="756">
        <f>J193*3816</f>
        <v/>
      </c>
    </row>
    <row r="194">
      <c r="A194" s="115" t="inlineStr">
        <is>
          <t>아나프리오일</t>
        </is>
      </c>
      <c r="B194" s="703" t="inlineStr">
        <is>
          <t>P0000BLE</t>
        </is>
      </c>
      <c r="C194" s="233" t="n">
        <v>45</v>
      </c>
      <c r="D194" s="235" t="n"/>
      <c r="E194" s="234" t="n"/>
      <c r="F194" s="230" t="n"/>
      <c r="G194" s="230" t="n"/>
      <c r="H194" s="230" t="n"/>
      <c r="I194" s="238" t="n">
        <v>199</v>
      </c>
      <c r="J194" s="35">
        <f>SUM(C194:I194)</f>
        <v/>
      </c>
      <c r="K194" s="815">
        <f>C194*19200</f>
        <v/>
      </c>
      <c r="L194" s="790">
        <f>D194*21000</f>
        <v/>
      </c>
      <c r="M194" s="770">
        <f>E194*11000</f>
        <v/>
      </c>
      <c r="N194" s="771" t="n"/>
      <c r="O194" s="771">
        <f>G194*19200</f>
        <v/>
      </c>
      <c r="P194" s="771" t="n"/>
      <c r="Q194" s="772" t="n"/>
      <c r="R194" s="758">
        <f>SUM(K194:Q194)</f>
        <v/>
      </c>
      <c r="S194" s="756">
        <f>J194*4062</f>
        <v/>
      </c>
    </row>
    <row r="195">
      <c r="A195" s="115" t="inlineStr">
        <is>
          <t>버진오일</t>
        </is>
      </c>
      <c r="B195" s="703" t="inlineStr">
        <is>
          <t>P0000BGA</t>
        </is>
      </c>
      <c r="C195" s="233" t="n"/>
      <c r="D195" s="235" t="n"/>
      <c r="E195" s="234" t="n"/>
      <c r="F195" s="230" t="n"/>
      <c r="G195" s="230" t="n"/>
      <c r="H195" s="230" t="n"/>
      <c r="I195" s="215" t="n"/>
      <c r="J195" s="35">
        <f>SUM(C195:I195)</f>
        <v/>
      </c>
      <c r="K195" s="815">
        <f>C195*24000</f>
        <v/>
      </c>
      <c r="L195" s="790">
        <f>D195*21000</f>
        <v/>
      </c>
      <c r="M195" s="770">
        <f>E195*21000</f>
        <v/>
      </c>
      <c r="N195" s="771" t="n"/>
      <c r="O195" s="771">
        <f>G195*19200</f>
        <v/>
      </c>
      <c r="P195" s="771" t="n"/>
      <c r="Q195" s="772" t="n"/>
      <c r="R195" s="758">
        <f>SUM(K195:Q195)</f>
        <v/>
      </c>
      <c r="S195" s="756">
        <f>J195*7146</f>
        <v/>
      </c>
    </row>
    <row r="196">
      <c r="A196" s="115" t="inlineStr">
        <is>
          <t>딥릴리프오일200</t>
        </is>
      </c>
      <c r="B196" s="703" t="inlineStr">
        <is>
          <t>P0000BLG</t>
        </is>
      </c>
      <c r="C196" s="233" t="n"/>
      <c r="D196" s="235" t="n"/>
      <c r="E196" s="234" t="n"/>
      <c r="F196" s="230" t="n"/>
      <c r="G196" s="230" t="n"/>
      <c r="H196" s="230" t="n"/>
      <c r="I196" s="215" t="n"/>
      <c r="J196" s="35">
        <f>SUM(C196:I196)</f>
        <v/>
      </c>
      <c r="K196" s="815">
        <f>C196*19200</f>
        <v/>
      </c>
      <c r="L196" s="790" t="n"/>
      <c r="M196" s="770">
        <f>E196*11000</f>
        <v/>
      </c>
      <c r="N196" s="771" t="n"/>
      <c r="O196" s="771" t="n"/>
      <c r="P196" s="771" t="n"/>
      <c r="Q196" s="772" t="n"/>
      <c r="R196" s="758">
        <f>SUM(K196:Q196)</f>
        <v/>
      </c>
      <c r="S196" s="756">
        <f>J196*4314</f>
        <v/>
      </c>
    </row>
    <row r="197">
      <c r="A197" s="115" t="inlineStr">
        <is>
          <t>딥릴리프오일75</t>
        </is>
      </c>
      <c r="B197" s="703" t="inlineStr">
        <is>
          <t>P0000BLI</t>
        </is>
      </c>
      <c r="C197" s="233" t="n">
        <v>1</v>
      </c>
      <c r="D197" s="235" t="n"/>
      <c r="E197" s="234" t="n"/>
      <c r="F197" s="230" t="n"/>
      <c r="G197" s="230" t="n"/>
      <c r="H197" s="230" t="n"/>
      <c r="I197" s="238" t="n"/>
      <c r="J197" s="35">
        <f>SUM(C197:I197)</f>
        <v/>
      </c>
      <c r="K197" s="815">
        <f>C197*9000</f>
        <v/>
      </c>
      <c r="L197" s="790" t="n"/>
      <c r="M197" s="770">
        <f>E197*6600</f>
        <v/>
      </c>
      <c r="N197" s="771" t="n"/>
      <c r="O197" s="771" t="n"/>
      <c r="P197" s="771" t="n"/>
      <c r="Q197" s="772" t="n"/>
      <c r="R197" s="758">
        <f>SUM(K197:Q197)</f>
        <v/>
      </c>
      <c r="S197" s="756">
        <f>J197*3131</f>
        <v/>
      </c>
    </row>
    <row r="198">
      <c r="A198" s="115" t="inlineStr">
        <is>
          <t>안티버그오일(10묶음)</t>
        </is>
      </c>
      <c r="B198" s="703" t="inlineStr">
        <is>
          <t>P0000BLM</t>
        </is>
      </c>
      <c r="C198" s="233" t="n"/>
      <c r="D198" s="235" t="n"/>
      <c r="E198" s="234" t="n"/>
      <c r="F198" s="230" t="n"/>
      <c r="G198" s="230" t="n"/>
      <c r="H198" s="230" t="n"/>
      <c r="I198" s="238" t="n"/>
      <c r="J198" s="35">
        <f>SUM(C198:I198)</f>
        <v/>
      </c>
      <c r="K198" s="815">
        <f>C198*5500</f>
        <v/>
      </c>
      <c r="L198" s="815">
        <f>D198*5500</f>
        <v/>
      </c>
      <c r="M198" s="770">
        <f>E198*5500</f>
        <v/>
      </c>
      <c r="N198" s="771" t="n"/>
      <c r="O198" s="771" t="n"/>
      <c r="P198" s="771" t="n"/>
      <c r="Q198" s="772" t="n"/>
      <c r="R198" s="758">
        <f>SUM(K198:Q198)</f>
        <v/>
      </c>
      <c r="S198" s="756">
        <f>J198*2426</f>
        <v/>
      </c>
    </row>
    <row r="199">
      <c r="A199" s="115" t="inlineStr">
        <is>
          <t>자디니트래블키트</t>
        </is>
      </c>
      <c r="B199" s="703" t="inlineStr">
        <is>
          <t>P0000BLN</t>
        </is>
      </c>
      <c r="C199" s="233" t="n"/>
      <c r="D199" s="235" t="n"/>
      <c r="E199" s="234" t="n"/>
      <c r="F199" s="230" t="n"/>
      <c r="G199" s="230" t="n"/>
      <c r="H199" s="230" t="n"/>
      <c r="I199" s="238" t="n"/>
      <c r="J199" s="35">
        <f>SUM(C199:I199)</f>
        <v/>
      </c>
      <c r="K199" s="815">
        <f>C199*14500</f>
        <v/>
      </c>
      <c r="L199" s="815">
        <f>D199*14500</f>
        <v/>
      </c>
      <c r="M199" s="770">
        <f>E199*12100</f>
        <v/>
      </c>
      <c r="N199" s="771" t="n"/>
      <c r="O199" s="771" t="n"/>
      <c r="P199" s="771" t="n"/>
      <c r="Q199" s="772" t="n"/>
      <c r="R199" s="758">
        <f>SUM(K199:Q199)</f>
        <v/>
      </c>
      <c r="S199" s="756">
        <f>J199*5557</f>
        <v/>
      </c>
    </row>
    <row r="200" customFormat="1" s="755">
      <c r="A200" s="115" t="inlineStr">
        <is>
          <t>썬데일리크림</t>
        </is>
      </c>
      <c r="B200" s="703" t="inlineStr">
        <is>
          <t>P0000BIK</t>
        </is>
      </c>
      <c r="C200" s="233" t="n">
        <v>4</v>
      </c>
      <c r="D200" s="235" t="n"/>
      <c r="E200" s="234" t="n"/>
      <c r="F200" s="230" t="n">
        <v>60</v>
      </c>
      <c r="G200" s="230" t="n"/>
      <c r="H200" s="230" t="n"/>
      <c r="I200" s="238" t="n"/>
      <c r="J200" s="35">
        <f>SUM(C200:I200)</f>
        <v/>
      </c>
      <c r="K200" s="815">
        <f>C200*12000</f>
        <v/>
      </c>
      <c r="L200" s="790">
        <f>D200*9900</f>
        <v/>
      </c>
      <c r="M200" s="770">
        <f>E200*9900</f>
        <v/>
      </c>
      <c r="N200" s="771" t="n"/>
      <c r="O200" s="771">
        <f>F200*7200</f>
        <v/>
      </c>
      <c r="P200" s="771" t="n"/>
      <c r="Q200" s="772" t="n"/>
      <c r="R200" s="758">
        <f>SUM(K200:Q200)</f>
        <v/>
      </c>
      <c r="S200" s="756">
        <f>J200*2633</f>
        <v/>
      </c>
    </row>
    <row r="201" customFormat="1" s="755">
      <c r="A201" s="227" t="inlineStr">
        <is>
          <t>썬톤업크림</t>
        </is>
      </c>
      <c r="B201" s="775" t="n"/>
      <c r="C201" s="233" t="n">
        <v>4</v>
      </c>
      <c r="D201" s="235" t="n">
        <v>10</v>
      </c>
      <c r="E201" s="234" t="n"/>
      <c r="F201" s="230" t="n">
        <v>30</v>
      </c>
      <c r="G201" s="322" t="n"/>
      <c r="H201" s="230" t="n"/>
      <c r="I201" s="238" t="n"/>
      <c r="J201" s="35">
        <f>SUM(C201:I201)</f>
        <v/>
      </c>
      <c r="K201" s="755">
        <f>C201*14000</f>
        <v/>
      </c>
      <c r="L201" s="790">
        <f>D201*11600</f>
        <v/>
      </c>
      <c r="M201" s="770">
        <f>E201*11600</f>
        <v/>
      </c>
      <c r="N201" s="771" t="n"/>
      <c r="O201" s="771">
        <f>F201*8400</f>
        <v/>
      </c>
      <c r="P201" s="771" t="n"/>
      <c r="Q201" s="772" t="n"/>
      <c r="R201" s="758">
        <f>SUM(K201:Q201)</f>
        <v/>
      </c>
      <c r="S201" s="756">
        <f>J201*3569</f>
        <v/>
      </c>
    </row>
    <row r="202" customFormat="1" s="755">
      <c r="A202" s="227" t="inlineStr">
        <is>
          <t>알루아마미레스트</t>
        </is>
      </c>
      <c r="B202" s="703" t="inlineStr">
        <is>
          <t>P0000BMS</t>
        </is>
      </c>
      <c r="C202" s="233" t="n"/>
      <c r="D202" s="235" t="n"/>
      <c r="E202" s="234" t="n">
        <v>2</v>
      </c>
      <c r="F202" s="230" t="n"/>
      <c r="G202" s="322" t="n"/>
      <c r="H202" s="230" t="n"/>
      <c r="I202" s="238" t="n"/>
      <c r="J202" s="35">
        <f>SUM(C202:I202)</f>
        <v/>
      </c>
      <c r="K202" s="755">
        <f>C202*28000</f>
        <v/>
      </c>
      <c r="L202" s="790" t="n"/>
      <c r="M202" s="770">
        <f>E202*22400</f>
        <v/>
      </c>
      <c r="N202" s="771" t="n"/>
      <c r="O202" s="771" t="n"/>
      <c r="P202" s="771" t="n"/>
      <c r="Q202" s="772" t="n"/>
      <c r="R202" s="758">
        <f>SUM(K202:Q202)</f>
        <v/>
      </c>
      <c r="S202" s="756">
        <f>J202*4618</f>
        <v/>
      </c>
    </row>
    <row r="203" customFormat="1" s="755">
      <c r="A203" s="227" t="inlineStr">
        <is>
          <t>마인드밸런스풀슬립</t>
        </is>
      </c>
      <c r="B203" s="703" t="inlineStr">
        <is>
          <t>P0000BMQ</t>
        </is>
      </c>
      <c r="C203" s="233" t="n">
        <v>3</v>
      </c>
      <c r="D203" s="235" t="n"/>
      <c r="E203" s="234" t="n">
        <v>2</v>
      </c>
      <c r="F203" s="230" t="n"/>
      <c r="G203" s="322" t="n"/>
      <c r="H203" s="230" t="n"/>
      <c r="I203" s="238" t="n"/>
      <c r="J203" s="35">
        <f>SUM(C203:I203)</f>
        <v/>
      </c>
      <c r="K203" s="755">
        <f>C203*27000</f>
        <v/>
      </c>
      <c r="L203" s="790" t="n"/>
      <c r="M203" s="770">
        <f>E203*21600</f>
        <v/>
      </c>
      <c r="N203" s="771" t="n"/>
      <c r="O203" s="771" t="n"/>
      <c r="P203" s="771" t="n"/>
      <c r="Q203" s="772" t="n"/>
      <c r="R203" s="758">
        <f>SUM(K203:Q203)</f>
        <v/>
      </c>
      <c r="S203" s="756">
        <f>J203*4063</f>
        <v/>
      </c>
    </row>
    <row r="204" customFormat="1" s="755">
      <c r="A204" s="115" t="inlineStr">
        <is>
          <t>제모미인스킨100</t>
        </is>
      </c>
      <c r="B204" s="703" t="inlineStr">
        <is>
          <t>P00000ZA</t>
        </is>
      </c>
      <c r="C204" s="233" t="n">
        <v>45</v>
      </c>
      <c r="D204" s="235" t="n"/>
      <c r="E204" s="259" t="n"/>
      <c r="F204" s="215" t="n">
        <v>4</v>
      </c>
      <c r="G204" s="230" t="n"/>
      <c r="H204" s="230" t="n"/>
      <c r="I204" s="230" t="n">
        <v>2</v>
      </c>
      <c r="J204" s="35">
        <f>SUM(C204:I204)</f>
        <v/>
      </c>
      <c r="K204" s="815">
        <f>C204*6600</f>
        <v/>
      </c>
      <c r="L204" s="790" t="n"/>
      <c r="M204" s="770">
        <f>E204*5500</f>
        <v/>
      </c>
      <c r="N204" s="771" t="n"/>
      <c r="O204" s="771">
        <f>F204*5300</f>
        <v/>
      </c>
      <c r="P204" s="771" t="n"/>
      <c r="Q204" s="796">
        <f>I204*4620</f>
        <v/>
      </c>
      <c r="R204" s="758">
        <f>SUM(K204:Q204)</f>
        <v/>
      </c>
      <c r="S204" s="756">
        <f>J204*2573</f>
        <v/>
      </c>
    </row>
    <row r="205" customFormat="1" s="755">
      <c r="A205" s="115" t="inlineStr">
        <is>
          <t>제모미인오일100</t>
        </is>
      </c>
      <c r="B205" s="775" t="n"/>
      <c r="C205" s="233" t="n">
        <v>37</v>
      </c>
      <c r="D205" s="235" t="n"/>
      <c r="E205" s="259" t="n"/>
      <c r="F205" s="215" t="n">
        <v>4</v>
      </c>
      <c r="G205" s="230" t="n"/>
      <c r="H205" s="230" t="n"/>
      <c r="I205" s="230" t="n">
        <v>2</v>
      </c>
      <c r="J205" s="35">
        <f>SUM(C205:I205)</f>
        <v/>
      </c>
      <c r="K205" s="815">
        <f>C205*6600</f>
        <v/>
      </c>
      <c r="L205" s="790" t="n"/>
      <c r="M205" s="770">
        <f>E205*5500</f>
        <v/>
      </c>
      <c r="N205" s="771" t="n"/>
      <c r="O205" s="771">
        <f>F205*5300</f>
        <v/>
      </c>
      <c r="P205" s="771" t="n"/>
      <c r="Q205" s="796">
        <f>I205*4620</f>
        <v/>
      </c>
      <c r="R205" s="758">
        <f>SUM(K205:Q205)</f>
        <v/>
      </c>
      <c r="S205" s="756">
        <f>J205*3222</f>
        <v/>
      </c>
    </row>
    <row r="206" customFormat="1" s="755">
      <c r="A206" s="115" t="inlineStr">
        <is>
          <t>제모스킨덕용10L</t>
        </is>
      </c>
      <c r="B206" s="373" t="n"/>
      <c r="C206" s="237" t="n"/>
      <c r="D206" s="235" t="n"/>
      <c r="E206" s="234" t="n"/>
      <c r="F206" s="230" t="n"/>
      <c r="G206" s="322" t="n"/>
      <c r="H206" s="230" t="n"/>
      <c r="I206" s="351" t="n"/>
      <c r="J206" s="35">
        <f>SUM(C206:I206)</f>
        <v/>
      </c>
      <c r="L206" s="790" t="n"/>
      <c r="M206" s="770">
        <f>E206*180000</f>
        <v/>
      </c>
      <c r="N206" s="771" t="n"/>
      <c r="O206" s="771" t="n"/>
      <c r="P206" s="771" t="n"/>
      <c r="Q206" s="772" t="n"/>
      <c r="R206" s="758">
        <f>SUM(K206:Q206)</f>
        <v/>
      </c>
      <c r="S206" s="756">
        <f>J206*63000</f>
        <v/>
      </c>
    </row>
    <row r="207" customFormat="1" s="755">
      <c r="A207" s="115" t="inlineStr">
        <is>
          <t>제모오일덕용10L</t>
        </is>
      </c>
      <c r="B207" s="373" t="n"/>
      <c r="C207" s="35" t="n"/>
      <c r="D207" s="32" t="n"/>
      <c r="E207" s="234" t="n"/>
      <c r="F207" s="34" t="n"/>
      <c r="G207" s="34" t="n"/>
      <c r="H207" s="191" t="n"/>
      <c r="I207" s="80" t="n"/>
      <c r="J207" s="35">
        <f>SUM(C207:I207)</f>
        <v/>
      </c>
      <c r="L207" s="790" t="n"/>
      <c r="M207" s="770">
        <f>E207*180000</f>
        <v/>
      </c>
      <c r="N207" s="771" t="n"/>
      <c r="O207" s="771" t="n"/>
      <c r="P207" s="771" t="n"/>
      <c r="Q207" s="772" t="n"/>
      <c r="R207" s="758">
        <f>SUM(K207:Q207)</f>
        <v/>
      </c>
      <c r="S207" s="756">
        <f>J207*90000</f>
        <v/>
      </c>
    </row>
    <row r="208" customFormat="1" s="755">
      <c r="A208" s="115" t="inlineStr">
        <is>
          <t>포레스트페이셜스크럽</t>
        </is>
      </c>
      <c r="B208" s="703" t="inlineStr">
        <is>
          <t>P0000BIZ</t>
        </is>
      </c>
      <c r="C208" s="237" t="n">
        <v>96</v>
      </c>
      <c r="D208" s="235" t="n"/>
      <c r="E208" s="234" t="n">
        <v>17</v>
      </c>
      <c r="F208" s="242" t="n"/>
      <c r="G208" s="230" t="n"/>
      <c r="H208" s="230" t="n"/>
      <c r="I208" s="238" t="n"/>
      <c r="J208" s="35">
        <f>SUM(C208:I208)</f>
        <v/>
      </c>
      <c r="K208" s="755">
        <f>C208*16500</f>
        <v/>
      </c>
      <c r="L208" s="790" t="n"/>
      <c r="M208" s="770">
        <f>E208*12500</f>
        <v/>
      </c>
      <c r="N208" s="771" t="n"/>
      <c r="O208" s="771" t="n"/>
      <c r="P208" s="771" t="n"/>
      <c r="Q208" s="796" t="n"/>
      <c r="R208" s="758">
        <f>SUM(K208:Q208)</f>
        <v/>
      </c>
      <c r="S208" s="756">
        <f>J208*3069</f>
        <v/>
      </c>
    </row>
    <row r="209" customFormat="1" s="755">
      <c r="A209" s="115" t="inlineStr">
        <is>
          <t>포레스트바디로션</t>
        </is>
      </c>
      <c r="B209" s="703" t="inlineStr">
        <is>
          <t>P0000BIV</t>
        </is>
      </c>
      <c r="C209" s="237" t="n">
        <v>35</v>
      </c>
      <c r="D209" s="235" t="n"/>
      <c r="E209" s="234" t="n">
        <v>12</v>
      </c>
      <c r="F209" s="230" t="n"/>
      <c r="G209" s="322" t="n"/>
      <c r="H209" s="230" t="n"/>
      <c r="I209" s="238" t="n"/>
      <c r="J209" s="35">
        <f>SUM(C209:I209)</f>
        <v/>
      </c>
      <c r="K209" s="755">
        <f>C209*18000</f>
        <v/>
      </c>
      <c r="L209" s="790" t="n"/>
      <c r="M209" s="770">
        <f>E209*13200</f>
        <v/>
      </c>
      <c r="N209" s="771">
        <f>F209*18000</f>
        <v/>
      </c>
      <c r="O209" s="771" t="n"/>
      <c r="P209" s="771" t="n"/>
      <c r="Q209" s="772" t="n"/>
      <c r="R209" s="758">
        <f>SUM(K209:Q209)</f>
        <v/>
      </c>
      <c r="S209" s="756">
        <f>J209*3147</f>
        <v/>
      </c>
    </row>
    <row r="210" customFormat="1" s="755">
      <c r="A210" s="115" t="inlineStr">
        <is>
          <t>포레스트바디워시</t>
        </is>
      </c>
      <c r="B210" s="703" t="inlineStr">
        <is>
          <t>P0000BJC</t>
        </is>
      </c>
      <c r="C210" s="237" t="n">
        <v>3</v>
      </c>
      <c r="D210" s="235" t="n"/>
      <c r="E210" s="234" t="n">
        <v>8</v>
      </c>
      <c r="F210" s="230" t="n"/>
      <c r="G210" s="230" t="n">
        <v>10</v>
      </c>
      <c r="H210" s="230" t="n"/>
      <c r="I210" s="238" t="n"/>
      <c r="J210" s="35">
        <f>SUM(C210:I210)</f>
        <v/>
      </c>
      <c r="K210" s="755">
        <f>C210*12000</f>
        <v/>
      </c>
      <c r="L210" s="790" t="n"/>
      <c r="M210" s="770">
        <f>E210*9600</f>
        <v/>
      </c>
      <c r="N210" s="771">
        <f>F210*12000</f>
        <v/>
      </c>
      <c r="O210" s="771">
        <f>G210*9600</f>
        <v/>
      </c>
      <c r="P210" s="771" t="n"/>
      <c r="Q210" s="772" t="n"/>
      <c r="R210" s="758">
        <f>SUM(K210:Q210)</f>
        <v/>
      </c>
      <c r="S210" s="756">
        <f>J210*2740</f>
        <v/>
      </c>
    </row>
    <row r="211" customFormat="1" s="755">
      <c r="A211" s="115" t="inlineStr">
        <is>
          <t>아로마헤어샴푸</t>
        </is>
      </c>
      <c r="B211" s="703" t="inlineStr">
        <is>
          <t>P0000BKJ</t>
        </is>
      </c>
      <c r="C211" s="237" t="n">
        <v>2</v>
      </c>
      <c r="D211" s="235" t="n"/>
      <c r="E211" s="234" t="n"/>
      <c r="F211" s="230" t="n"/>
      <c r="G211" s="322" t="n"/>
      <c r="H211" s="230" t="n"/>
      <c r="I211" s="238" t="n"/>
      <c r="J211" s="35">
        <f>SUM(C211:I211)</f>
        <v/>
      </c>
      <c r="K211" s="755">
        <f>C211*28000</f>
        <v/>
      </c>
      <c r="L211" s="790" t="n"/>
      <c r="M211" s="770" t="n"/>
      <c r="N211" s="771">
        <f>F211*19600</f>
        <v/>
      </c>
      <c r="O211" s="771" t="n"/>
      <c r="P211" s="771">
        <f>H211*22400</f>
        <v/>
      </c>
      <c r="Q211" s="772" t="n"/>
      <c r="R211" s="758">
        <f>SUM(K211:Q211)</f>
        <v/>
      </c>
      <c r="S211" s="756">
        <f>J211*6493</f>
        <v/>
      </c>
    </row>
    <row r="212" customFormat="1" s="755">
      <c r="A212" s="115" t="inlineStr">
        <is>
          <t>아로마헤어트리트먼트</t>
        </is>
      </c>
      <c r="B212" s="703" t="inlineStr">
        <is>
          <t>P0000BKK</t>
        </is>
      </c>
      <c r="C212" s="35" t="n">
        <v>4</v>
      </c>
      <c r="D212" s="235" t="n"/>
      <c r="E212" s="234" t="n"/>
      <c r="F212" s="230" t="n"/>
      <c r="G212" s="322" t="n"/>
      <c r="H212" s="230" t="n"/>
      <c r="I212" s="238" t="n"/>
      <c r="J212" s="35">
        <f>SUM(C212:I212)</f>
        <v/>
      </c>
      <c r="K212" s="755">
        <f>C212*28000</f>
        <v/>
      </c>
      <c r="L212" s="790" t="n"/>
      <c r="M212" s="770" t="n"/>
      <c r="N212" s="771">
        <f>F212*19600</f>
        <v/>
      </c>
      <c r="O212" s="771" t="n"/>
      <c r="P212" s="771">
        <f>H212*22400</f>
        <v/>
      </c>
      <c r="Q212" s="772" t="n"/>
      <c r="R212" s="758">
        <f>SUM(K212:Q212)</f>
        <v/>
      </c>
      <c r="S212" s="756">
        <f>J212*6900</f>
        <v/>
      </c>
    </row>
    <row r="213" customFormat="1" s="755">
      <c r="A213" s="115" t="inlineStr">
        <is>
          <t>아로마헤어루트인핸서</t>
        </is>
      </c>
      <c r="B213" s="703" t="inlineStr">
        <is>
          <t>P0000BKL</t>
        </is>
      </c>
      <c r="C213" s="237" t="n"/>
      <c r="D213" s="235" t="n"/>
      <c r="E213" s="234" t="n"/>
      <c r="F213" s="230" t="n"/>
      <c r="G213" s="322" t="n"/>
      <c r="H213" s="230" t="n"/>
      <c r="I213" s="238" t="n"/>
      <c r="J213" s="35">
        <f>SUM(C213:I213)</f>
        <v/>
      </c>
      <c r="K213" s="755">
        <f>C213*22000</f>
        <v/>
      </c>
      <c r="L213" s="790" t="n"/>
      <c r="M213" s="770" t="n"/>
      <c r="N213" s="771">
        <f>F213*17100</f>
        <v/>
      </c>
      <c r="O213" s="771" t="n"/>
      <c r="P213" s="771" t="n"/>
      <c r="Q213" s="772" t="n"/>
      <c r="R213" s="758">
        <f>SUM(K213:Q213)</f>
        <v/>
      </c>
      <c r="S213" s="756">
        <f>J213*2573</f>
        <v/>
      </c>
    </row>
    <row r="214" ht="24" customFormat="1" customHeight="1" s="755">
      <c r="A214" s="115" t="inlineStr">
        <is>
          <t>무수알코올1KG</t>
        </is>
      </c>
      <c r="B214" s="532" t="inlineStr">
        <is>
          <t>P0000BJY /  P0000BKI</t>
        </is>
      </c>
      <c r="C214" s="237" t="n"/>
      <c r="D214" s="235" t="n"/>
      <c r="E214" s="234" t="n"/>
      <c r="F214" s="230" t="n">
        <v>1</v>
      </c>
      <c r="G214" s="322" t="n"/>
      <c r="H214" s="230" t="n"/>
      <c r="I214" s="351" t="n"/>
      <c r="J214" s="35">
        <f>SUM(C214:I214)</f>
        <v/>
      </c>
      <c r="K214" s="755">
        <f>C214*22000</f>
        <v/>
      </c>
      <c r="L214" s="790" t="n"/>
      <c r="M214" s="770" t="n"/>
      <c r="N214" s="771">
        <f>F214*17600</f>
        <v/>
      </c>
      <c r="O214" s="771" t="n"/>
      <c r="P214" s="771" t="n"/>
      <c r="Q214" s="772" t="n"/>
      <c r="R214" s="758">
        <f>SUM(K214:Q214)</f>
        <v/>
      </c>
      <c r="S214" s="756">
        <f>J214*4950</f>
        <v/>
      </c>
    </row>
    <row r="215" ht="16.5" customFormat="1" customHeight="1" s="755">
      <c r="A215" s="115" t="inlineStr">
        <is>
          <t>라벤더워터120ml</t>
        </is>
      </c>
      <c r="B215" s="532" t="inlineStr">
        <is>
          <t>P0000BJD / P0000BKB</t>
        </is>
      </c>
      <c r="C215" s="237" t="n">
        <v>7</v>
      </c>
      <c r="D215" s="235" t="n"/>
      <c r="E215" s="234" t="n"/>
      <c r="F215" s="230" t="n"/>
      <c r="G215" s="322" t="n"/>
      <c r="H215" s="230" t="n">
        <v>2</v>
      </c>
      <c r="I215" s="238" t="n"/>
      <c r="J215" s="35">
        <f>SUM(C215:I215)</f>
        <v/>
      </c>
      <c r="K215" s="755">
        <f>C215*12000</f>
        <v/>
      </c>
      <c r="L215" s="790" t="n"/>
      <c r="M215" s="770">
        <f>E215*12000</f>
        <v/>
      </c>
      <c r="N215" s="771">
        <f>F215*9600</f>
        <v/>
      </c>
      <c r="O215" s="771" t="n"/>
      <c r="P215" s="771">
        <f>H215*12000</f>
        <v/>
      </c>
      <c r="Q215" s="772" t="n"/>
      <c r="R215" s="758">
        <f>SUM(K215:Q215)</f>
        <v/>
      </c>
      <c r="S215" s="756">
        <f>J215*2645</f>
        <v/>
      </c>
    </row>
    <row r="216" customFormat="1" s="755">
      <c r="A216" s="115" t="inlineStr">
        <is>
          <t>라벤더워터500ml</t>
        </is>
      </c>
      <c r="B216" s="775" t="n"/>
      <c r="C216" s="237" t="n"/>
      <c r="D216" s="235" t="n"/>
      <c r="E216" s="234" t="n"/>
      <c r="F216" s="230" t="n"/>
      <c r="G216" s="322" t="n"/>
      <c r="H216" s="230" t="n"/>
      <c r="I216" s="238" t="n"/>
      <c r="J216" s="35">
        <f>SUM(C216:I216)</f>
        <v/>
      </c>
      <c r="K216" s="755">
        <f>C216*48000</f>
        <v/>
      </c>
      <c r="L216" s="790" t="n"/>
      <c r="M216" s="770">
        <f>E216*48000</f>
        <v/>
      </c>
      <c r="N216" s="771">
        <f>F216*38400</f>
        <v/>
      </c>
      <c r="O216" s="771" t="n"/>
      <c r="P216" s="771" t="n"/>
      <c r="Q216" s="772" t="n"/>
      <c r="R216" s="758">
        <f>SUM(K216:Q216)</f>
        <v/>
      </c>
      <c r="S216" s="756">
        <f>J216*5981</f>
        <v/>
      </c>
    </row>
    <row r="217" ht="16.5" customHeight="1" s="754">
      <c r="A217" s="115" t="inlineStr">
        <is>
          <t>티트리워터120ml</t>
        </is>
      </c>
      <c r="B217" s="532" t="inlineStr">
        <is>
          <t>P0000BJE / P0000BKC</t>
        </is>
      </c>
      <c r="C217" s="257" t="n">
        <v>11</v>
      </c>
      <c r="D217" s="235" t="n"/>
      <c r="E217" s="234" t="n"/>
      <c r="F217" s="230" t="n"/>
      <c r="G217" s="322" t="n"/>
      <c r="H217" s="230" t="n">
        <v>2</v>
      </c>
      <c r="I217" s="351" t="n"/>
      <c r="J217" s="35">
        <f>SUM(C217:I217)</f>
        <v/>
      </c>
      <c r="K217" s="755">
        <f>C217*12000</f>
        <v/>
      </c>
      <c r="L217" s="790" t="n"/>
      <c r="M217" s="770">
        <f>E217*12000</f>
        <v/>
      </c>
      <c r="N217" s="771">
        <f>F217*9600</f>
        <v/>
      </c>
      <c r="O217" s="771" t="n"/>
      <c r="P217" s="771">
        <f>H217*12000</f>
        <v/>
      </c>
      <c r="Q217" s="772" t="n"/>
      <c r="R217" s="758">
        <f>SUM(K217:Q217)</f>
        <v/>
      </c>
      <c r="S217" s="756">
        <f>J217*2718</f>
        <v/>
      </c>
    </row>
    <row r="218">
      <c r="A218" s="115" t="inlineStr">
        <is>
          <t>티트리워터500ml</t>
        </is>
      </c>
      <c r="B218" s="775" t="n"/>
      <c r="C218" s="237" t="n"/>
      <c r="D218" s="235" t="n"/>
      <c r="E218" s="234" t="n"/>
      <c r="F218" s="230" t="n"/>
      <c r="G218" s="322" t="n"/>
      <c r="H218" s="230" t="n"/>
      <c r="I218" s="351" t="n"/>
      <c r="J218" s="35">
        <f>SUM(C218:I218)</f>
        <v/>
      </c>
      <c r="K218" s="755">
        <f>C218*48000</f>
        <v/>
      </c>
      <c r="L218" s="790" t="n"/>
      <c r="M218" s="770">
        <f>E218*48000</f>
        <v/>
      </c>
      <c r="N218" s="771">
        <f>F218*38400</f>
        <v/>
      </c>
      <c r="O218" s="771" t="n"/>
      <c r="P218" s="771" t="n"/>
      <c r="Q218" s="772" t="n"/>
      <c r="R218" s="758">
        <f>SUM(K218:Q218)</f>
        <v/>
      </c>
      <c r="S218" s="756">
        <f>J218*6197</f>
        <v/>
      </c>
    </row>
    <row r="219" ht="24" customHeight="1" s="754">
      <c r="A219" s="115" t="inlineStr">
        <is>
          <t>로즈워터120ml</t>
        </is>
      </c>
      <c r="B219" s="532" t="inlineStr">
        <is>
          <t>P0000BJF / P0000BKD</t>
        </is>
      </c>
      <c r="C219" s="237" t="n">
        <v>2</v>
      </c>
      <c r="D219" s="235" t="n"/>
      <c r="E219" s="234" t="n"/>
      <c r="F219" s="230" t="n">
        <v>2</v>
      </c>
      <c r="G219" s="322" t="n"/>
      <c r="H219" s="242" t="n">
        <v>2</v>
      </c>
      <c r="I219" s="238" t="n"/>
      <c r="J219" s="35">
        <f>SUM(C219:I219)</f>
        <v/>
      </c>
      <c r="K219" s="755">
        <f>C219*18000</f>
        <v/>
      </c>
      <c r="L219" s="790" t="n"/>
      <c r="M219" s="770" t="n"/>
      <c r="N219" s="771">
        <f>F219*14400</f>
        <v/>
      </c>
      <c r="O219" s="771" t="n"/>
      <c r="P219" s="771" t="n"/>
      <c r="Q219" s="772" t="n"/>
      <c r="R219" s="758">
        <f>SUM(K219:Q219)</f>
        <v/>
      </c>
      <c r="S219" s="756">
        <f>J219*3129</f>
        <v/>
      </c>
    </row>
    <row r="220" ht="16.5" customHeight="1" s="754">
      <c r="A220" s="115" t="inlineStr">
        <is>
          <t>호호바골든오가닉30</t>
        </is>
      </c>
      <c r="B220" s="532" t="inlineStr">
        <is>
          <t>P0000BIS  /  P0000BKA</t>
        </is>
      </c>
      <c r="C220" s="257" t="n">
        <v>13</v>
      </c>
      <c r="D220" s="235" t="n"/>
      <c r="E220" s="234" t="n"/>
      <c r="F220" s="230" t="n"/>
      <c r="G220" s="322" t="n"/>
      <c r="H220" s="230" t="n"/>
      <c r="I220" s="238" t="n"/>
      <c r="J220" s="35">
        <f>SUM(C220:I220)</f>
        <v/>
      </c>
      <c r="K220" s="755">
        <f>C220*18000</f>
        <v/>
      </c>
      <c r="L220" s="790" t="n"/>
      <c r="M220" s="770">
        <f>E220*18000</f>
        <v/>
      </c>
      <c r="N220" s="771">
        <f>F220*14400</f>
        <v/>
      </c>
      <c r="O220" s="771" t="n"/>
      <c r="P220" s="771">
        <f>H220*18000</f>
        <v/>
      </c>
      <c r="Q220" s="772" t="n"/>
      <c r="R220" s="758">
        <f>SUM(K220:Q220)</f>
        <v/>
      </c>
      <c r="S220" s="756">
        <f>J220*2748</f>
        <v/>
      </c>
    </row>
    <row r="221">
      <c r="A221" s="115" t="inlineStr">
        <is>
          <t>호호바골든오가닉100</t>
        </is>
      </c>
      <c r="B221" s="774" t="n"/>
      <c r="C221" s="257" t="n">
        <v>9</v>
      </c>
      <c r="D221" s="235" t="n"/>
      <c r="E221" s="234" t="n"/>
      <c r="F221" s="230" t="n"/>
      <c r="G221" s="322" t="n"/>
      <c r="H221" s="230" t="n"/>
      <c r="I221" s="351" t="n"/>
      <c r="J221" s="35">
        <f>SUM(C221:I221)</f>
        <v/>
      </c>
      <c r="K221" s="755">
        <f>C221*36000</f>
        <v/>
      </c>
      <c r="L221" s="790" t="n"/>
      <c r="M221" s="770">
        <f>E221*36000</f>
        <v/>
      </c>
      <c r="N221" s="771">
        <f>F221*28800</f>
        <v/>
      </c>
      <c r="O221" s="771" t="n"/>
      <c r="P221" s="771">
        <f>H221*36000</f>
        <v/>
      </c>
      <c r="Q221" s="772" t="n"/>
      <c r="R221" s="758">
        <f>SUM(K221:Q221)</f>
        <v/>
      </c>
      <c r="S221" s="756">
        <f>J221*4960</f>
        <v/>
      </c>
    </row>
    <row r="222">
      <c r="A222" s="115" t="inlineStr">
        <is>
          <t>호호바골든오가닉500</t>
        </is>
      </c>
      <c r="B222" s="775" t="n"/>
      <c r="C222" s="539" t="n"/>
      <c r="D222" s="32" t="n"/>
      <c r="E222" s="234" t="n"/>
      <c r="F222" s="191" t="n"/>
      <c r="G222" s="34" t="n"/>
      <c r="H222" s="191" t="n"/>
      <c r="I222" s="80" t="n"/>
      <c r="J222" s="35">
        <f>SUM(C222:I222)</f>
        <v/>
      </c>
      <c r="K222" s="755">
        <f>C222*90000</f>
        <v/>
      </c>
      <c r="L222" s="790" t="n"/>
      <c r="M222" s="770">
        <f>E222*90000</f>
        <v/>
      </c>
      <c r="N222" s="771">
        <f>F222*72000</f>
        <v/>
      </c>
      <c r="O222" s="771" t="n"/>
      <c r="P222" s="771" t="n"/>
      <c r="Q222" s="772" t="n"/>
      <c r="R222" s="758">
        <f>SUM(K222:Q222)</f>
        <v/>
      </c>
      <c r="S222" s="756">
        <f>J222*14800</f>
        <v/>
      </c>
    </row>
    <row r="223" customFormat="1" s="24">
      <c r="B223" s="74" t="n"/>
      <c r="C223" s="74" t="n"/>
      <c r="D223" s="116" t="n"/>
      <c r="E223" s="10" t="n"/>
      <c r="F223" s="10" t="n"/>
      <c r="G223" s="11" t="n"/>
      <c r="H223" s="192" t="n"/>
      <c r="I223" s="12" t="inlineStr">
        <is>
          <t>할인행사</t>
        </is>
      </c>
      <c r="J223" s="117" t="inlineStr">
        <is>
          <t>합계</t>
        </is>
      </c>
      <c r="K223" s="840">
        <f>SUM(K171:K222)</f>
        <v/>
      </c>
      <c r="L223" s="841">
        <f>SUM(L171:L222)</f>
        <v/>
      </c>
      <c r="M223" s="842">
        <f>SUM(M171:M222)</f>
        <v/>
      </c>
      <c r="N223" s="843">
        <f>SUM(N171:N222)</f>
        <v/>
      </c>
      <c r="O223" s="843">
        <f>SUM(O171:O222)</f>
        <v/>
      </c>
      <c r="P223" s="843">
        <f>SUM(P171:P222)</f>
        <v/>
      </c>
      <c r="Q223" s="840">
        <f>SUM(Q171:Q222)</f>
        <v/>
      </c>
      <c r="R223" s="844">
        <f>SUM(R171:R222)</f>
        <v/>
      </c>
      <c r="S223" s="844">
        <f>SUM(S171:S222)</f>
        <v/>
      </c>
    </row>
    <row r="224" customFormat="1" s="244">
      <c r="B224" s="245" t="n"/>
      <c r="C224" s="245" t="n"/>
      <c r="D224" s="116" t="inlineStr">
        <is>
          <t>가맹점단품</t>
        </is>
      </c>
      <c r="E224" s="475" t="n"/>
      <c r="F224" s="475" t="n"/>
      <c r="G224" s="476" t="n"/>
      <c r="H224" s="477" t="n"/>
      <c r="I224" s="478" t="n"/>
      <c r="J224" s="479" t="n"/>
      <c r="K224" s="845" t="n"/>
      <c r="L224" s="846" t="n"/>
      <c r="M224" s="847" t="n"/>
      <c r="N224" s="848" t="n"/>
      <c r="O224" s="848" t="n"/>
      <c r="P224" s="848" t="n"/>
      <c r="Q224" s="845" t="n"/>
      <c r="R224" s="849" t="n"/>
      <c r="S224" s="849" t="n"/>
    </row>
    <row r="225" ht="24" customHeight="1" s="754">
      <c r="A225" s="120" t="inlineStr">
        <is>
          <t>바자즐링제품</t>
        </is>
      </c>
      <c r="C225" s="121" t="inlineStr">
        <is>
          <t>y존미스트</t>
        </is>
      </c>
      <c r="D225" s="682" t="n"/>
      <c r="E225" s="313" t="n"/>
      <c r="F225" s="10" t="inlineStr">
        <is>
          <t>마스터단품</t>
        </is>
      </c>
      <c r="G225" s="15" t="inlineStr">
        <is>
          <t>마스터번들(50+10)</t>
        </is>
      </c>
      <c r="H225" s="16" t="n"/>
      <c r="I225" s="125" t="n"/>
      <c r="J225" s="107" t="n"/>
      <c r="K225" s="789" t="n"/>
      <c r="P225" s="785" t="n"/>
    </row>
    <row r="226" ht="17.25" customHeight="1" s="754">
      <c r="A226" s="120" t="n"/>
      <c r="C226" s="592" t="inlineStr">
        <is>
          <t>세정제</t>
        </is>
      </c>
      <c r="D226" s="774" t="n"/>
      <c r="E226" s="398" t="n"/>
      <c r="F226" s="397" t="n"/>
      <c r="G226" s="20" t="n"/>
      <c r="H226" s="544" t="n"/>
      <c r="I226" s="534" t="n"/>
      <c r="J226" s="20" t="n"/>
      <c r="K226" s="414" t="n"/>
      <c r="P226" s="785" t="n"/>
    </row>
    <row r="227" ht="21.75" customHeight="1" s="754">
      <c r="A227" s="120" t="n"/>
      <c r="C227" s="592" t="inlineStr">
        <is>
          <t>청결제</t>
        </is>
      </c>
      <c r="D227" s="774" t="n"/>
      <c r="E227" s="398" t="n"/>
      <c r="F227" s="396" t="inlineStr">
        <is>
          <t>P00000SF</t>
        </is>
      </c>
      <c r="G227" s="566" t="n"/>
      <c r="H227" s="20" t="inlineStr">
        <is>
          <t>P0000BLK</t>
        </is>
      </c>
      <c r="I227" s="534" t="n"/>
      <c r="J227" s="320" t="n"/>
      <c r="K227" s="321" t="n"/>
      <c r="P227" s="785" t="n"/>
    </row>
    <row r="228" ht="24" customHeight="1" s="754">
      <c r="B228" s="628" t="inlineStr">
        <is>
          <t>도매</t>
        </is>
      </c>
      <c r="C228" s="563" t="inlineStr">
        <is>
          <t>토너패드(30)</t>
        </is>
      </c>
      <c r="D228" s="398" t="n"/>
      <c r="E228" s="595" t="inlineStr">
        <is>
          <t>P0000BIH</t>
        </is>
      </c>
      <c r="F228" s="208" t="n"/>
      <c r="G228" s="399" t="inlineStr">
        <is>
          <t>P00000WW</t>
        </is>
      </c>
      <c r="H228" s="20" t="inlineStr">
        <is>
          <t>P0000BFU</t>
        </is>
      </c>
      <c r="I228" s="575" t="inlineStr">
        <is>
          <t>Y존미스트2+1증정</t>
        </is>
      </c>
      <c r="J228" s="124" t="n"/>
      <c r="K228" s="763" t="inlineStr">
        <is>
          <t>도매</t>
        </is>
      </c>
      <c r="L228" s="764" t="inlineStr">
        <is>
          <t>가맹점/마스터단품</t>
        </is>
      </c>
      <c r="M228" s="765" t="n"/>
      <c r="N228" s="765" t="n"/>
      <c r="O228" s="850" t="n"/>
      <c r="P228" s="851" t="n"/>
      <c r="Q228" s="852" t="inlineStr">
        <is>
          <t>제품+중정</t>
        </is>
      </c>
      <c r="R228" s="767" t="inlineStr">
        <is>
          <t>품목별합계</t>
        </is>
      </c>
      <c r="S228" s="795" t="inlineStr">
        <is>
          <t>도매,마스터원가</t>
        </is>
      </c>
    </row>
    <row r="229">
      <c r="A229" s="29" t="inlineStr">
        <is>
          <t>y존케어150</t>
        </is>
      </c>
      <c r="B229" s="374" t="inlineStr">
        <is>
          <t>P00000KB</t>
        </is>
      </c>
      <c r="C229" s="233" t="n">
        <v>85</v>
      </c>
      <c r="D229" s="235" t="n"/>
      <c r="E229" s="234" t="n"/>
      <c r="F229" s="234" t="n">
        <v>5</v>
      </c>
      <c r="G229" s="235" t="n"/>
      <c r="H229" s="230" t="n">
        <v>238</v>
      </c>
      <c r="I229" s="352" t="n">
        <v>126</v>
      </c>
      <c r="J229" s="35">
        <f>SUM(C229:I229)</f>
        <v/>
      </c>
      <c r="K229" s="815">
        <f>C229*12000</f>
        <v/>
      </c>
      <c r="L229" s="790">
        <f>D229*9900</f>
        <v/>
      </c>
      <c r="M229" s="839">
        <f>F229*9900</f>
        <v/>
      </c>
      <c r="N229" s="770" t="n"/>
      <c r="O229" s="853" t="n"/>
      <c r="P229" s="854" t="n"/>
      <c r="Q229" s="772">
        <f>H229*12000</f>
        <v/>
      </c>
      <c r="R229" s="756">
        <f>SUM(K229:Q229)</f>
        <v/>
      </c>
      <c r="S229" s="756">
        <f>J229*2723</f>
        <v/>
      </c>
    </row>
    <row r="230">
      <c r="A230" s="29" t="inlineStr">
        <is>
          <t>여성세정제</t>
        </is>
      </c>
      <c r="B230" s="374" t="inlineStr">
        <is>
          <t>P00000LL</t>
        </is>
      </c>
      <c r="C230" s="233" t="n">
        <v>127</v>
      </c>
      <c r="D230" s="235" t="n"/>
      <c r="E230" s="234" t="n"/>
      <c r="F230" s="234" t="n">
        <v>60</v>
      </c>
      <c r="G230" s="229" t="n"/>
      <c r="H230" s="230" t="n"/>
      <c r="I230" s="36" t="n"/>
      <c r="J230" s="35">
        <f>SUM(C230:I230)</f>
        <v/>
      </c>
      <c r="K230" s="815">
        <f>C230*22000</f>
        <v/>
      </c>
      <c r="L230" s="790">
        <f>D230*18000</f>
        <v/>
      </c>
      <c r="M230" s="839">
        <f>F230*18000</f>
        <v/>
      </c>
      <c r="N230" s="770" t="n"/>
      <c r="O230" s="853" t="n"/>
      <c r="P230" s="854" t="n"/>
      <c r="Q230" s="772">
        <f>H230*22000</f>
        <v/>
      </c>
      <c r="R230" s="756">
        <f>SUM(K230:Q230)</f>
        <v/>
      </c>
      <c r="S230" s="756">
        <f>J230*2338</f>
        <v/>
      </c>
    </row>
    <row r="231">
      <c r="A231" s="29" t="inlineStr">
        <is>
          <t>여성청결제</t>
        </is>
      </c>
      <c r="B231" s="374" t="inlineStr">
        <is>
          <t>P00000KY</t>
        </is>
      </c>
      <c r="C231" s="239" t="n">
        <v>29</v>
      </c>
      <c r="D231" s="255" t="n"/>
      <c r="E231" s="234" t="n"/>
      <c r="F231" s="234" t="n">
        <v>13</v>
      </c>
      <c r="G231" s="229" t="n"/>
      <c r="H231" s="230" t="n"/>
      <c r="I231" s="352" t="n"/>
      <c r="J231" s="35">
        <f>SUM(C231:I231)</f>
        <v/>
      </c>
      <c r="K231" s="815">
        <f>C231*16500</f>
        <v/>
      </c>
      <c r="L231" s="790">
        <f>D231*13200</f>
        <v/>
      </c>
      <c r="M231" s="839">
        <f>F231*13200</f>
        <v/>
      </c>
      <c r="N231" s="770" t="n"/>
      <c r="O231" s="853" t="n"/>
      <c r="P231" s="854" t="n"/>
      <c r="Q231" s="772">
        <f>H231*13200</f>
        <v/>
      </c>
      <c r="R231" s="756">
        <f>SUM(K231:Q231)</f>
        <v/>
      </c>
      <c r="S231" s="756">
        <f>J231*2598</f>
        <v/>
      </c>
    </row>
    <row r="232">
      <c r="A232" s="29" t="inlineStr">
        <is>
          <t>Y존패드</t>
        </is>
      </c>
      <c r="B232" s="374" t="inlineStr">
        <is>
          <t>P0000BIG</t>
        </is>
      </c>
      <c r="C232" s="239" t="n">
        <v>27</v>
      </c>
      <c r="D232" s="255" t="n"/>
      <c r="E232" s="234" t="n">
        <v>30</v>
      </c>
      <c r="F232" s="234" t="n"/>
      <c r="G232" s="229" t="n"/>
      <c r="H232" s="230" t="n"/>
      <c r="I232" s="352" t="n"/>
      <c r="J232" s="35">
        <f>SUM(C232:I232)</f>
        <v/>
      </c>
      <c r="K232" s="815">
        <f>C232*16000</f>
        <v/>
      </c>
      <c r="L232" s="790">
        <f>D232*13100</f>
        <v/>
      </c>
      <c r="M232" s="839">
        <f>E232*13100</f>
        <v/>
      </c>
      <c r="N232" s="770" t="n"/>
      <c r="O232" s="853" t="n"/>
      <c r="P232" s="854" t="n"/>
      <c r="Q232" s="772">
        <f>G232*16000</f>
        <v/>
      </c>
      <c r="R232" s="756">
        <f>SUM(K232:Q232)</f>
        <v/>
      </c>
      <c r="S232" s="756">
        <f>J232*4740</f>
        <v/>
      </c>
    </row>
    <row r="233" ht="40.5" customFormat="1" customHeight="1" s="24">
      <c r="B233" s="628" t="inlineStr">
        <is>
          <t>도매</t>
        </is>
      </c>
      <c r="C233" s="74" t="n"/>
      <c r="D233" s="113" t="inlineStr">
        <is>
          <t>가맹점</t>
        </is>
      </c>
      <c r="E233" s="347" t="inlineStr">
        <is>
          <t>P00000WW</t>
        </is>
      </c>
      <c r="F233" s="123" t="n"/>
      <c r="G233" s="123" t="n"/>
      <c r="H233" s="20" t="n"/>
      <c r="I233" s="125" t="inlineStr">
        <is>
          <t>할인증정(센서형손소독기)</t>
        </is>
      </c>
      <c r="J233" s="58" t="inlineStr">
        <is>
          <t>합계</t>
        </is>
      </c>
      <c r="K233" s="840">
        <f>SUM(K229:K232)</f>
        <v/>
      </c>
      <c r="L233" s="841">
        <f>SUM(L229:L232)</f>
        <v/>
      </c>
      <c r="M233" s="840">
        <f>SUM(M229:M232)</f>
        <v/>
      </c>
      <c r="N233" s="842">
        <f>SUM(N229:N232)</f>
        <v/>
      </c>
      <c r="O233" s="843">
        <f>SUM(O229:O232)</f>
        <v/>
      </c>
      <c r="P233" s="843">
        <f>SUM(P229:P232)</f>
        <v/>
      </c>
      <c r="Q233" s="840">
        <f>SUM(Q229:Q232)</f>
        <v/>
      </c>
      <c r="R233" s="844">
        <f>SUM(R229:R232)</f>
        <v/>
      </c>
      <c r="S233" s="844">
        <f>SUM(S229:S232)</f>
        <v/>
      </c>
    </row>
    <row r="234" customFormat="1" s="24">
      <c r="B234" s="628" t="n"/>
      <c r="C234" s="74" t="n"/>
      <c r="D234" s="401" t="inlineStr">
        <is>
          <t>P00000SG</t>
        </is>
      </c>
      <c r="E234" s="123" t="n"/>
      <c r="F234" s="123" t="n"/>
      <c r="G234" s="123" t="n"/>
      <c r="H234" s="20" t="n"/>
      <c r="I234" s="317" t="n"/>
      <c r="J234" s="117" t="n"/>
      <c r="K234" s="845" t="n"/>
      <c r="L234" s="846" t="n"/>
      <c r="M234" s="845" t="n"/>
      <c r="N234" s="845" t="n"/>
      <c r="O234" s="848" t="n"/>
      <c r="P234" s="845" t="n"/>
      <c r="Q234" s="845" t="n"/>
      <c r="R234" s="849" t="n"/>
      <c r="S234" s="849" t="n"/>
    </row>
    <row r="235">
      <c r="A235" s="74" t="inlineStr">
        <is>
          <t>파우치</t>
        </is>
      </c>
      <c r="B235" s="126" t="n"/>
      <c r="C235" s="100" t="n"/>
      <c r="D235" s="682" t="inlineStr">
        <is>
          <t>P00000SV</t>
        </is>
      </c>
      <c r="E235" s="113" t="n"/>
      <c r="F235" s="127" t="n"/>
      <c r="G235" s="209" t="n"/>
      <c r="H235" s="20" t="inlineStr">
        <is>
          <t>세트할인</t>
        </is>
      </c>
      <c r="I235" s="20" t="n"/>
      <c r="J235" s="108" t="n"/>
      <c r="K235" s="828" t="inlineStr">
        <is>
          <t>도매</t>
        </is>
      </c>
      <c r="L235" s="855" t="inlineStr">
        <is>
          <t xml:space="preserve">가맹점/마스터 </t>
        </is>
      </c>
      <c r="N235" s="796" t="inlineStr">
        <is>
          <t>할인</t>
        </is>
      </c>
      <c r="O235" s="796" t="inlineStr">
        <is>
          <t>세트할인</t>
        </is>
      </c>
      <c r="P235" s="856" t="inlineStr">
        <is>
          <t>할인+증정</t>
        </is>
      </c>
      <c r="Q235" s="796" t="n"/>
      <c r="R235" s="758" t="inlineStr">
        <is>
          <t>품목별합계</t>
        </is>
      </c>
      <c r="S235" s="756" t="inlineStr">
        <is>
          <t>도매,마스터원가</t>
        </is>
      </c>
    </row>
    <row r="236">
      <c r="A236" s="128" t="inlineStr">
        <is>
          <t>센서형소독용제</t>
        </is>
      </c>
      <c r="B236" s="715" t="inlineStr">
        <is>
          <t>P00000ZM</t>
        </is>
      </c>
      <c r="C236" s="237" t="n"/>
      <c r="D236" s="32" t="n"/>
      <c r="E236" s="33" t="n"/>
      <c r="F236" s="191" t="n"/>
      <c r="G236" s="197" t="n"/>
      <c r="H236" s="36" t="n"/>
      <c r="I236" s="191" t="n"/>
      <c r="J236" s="35">
        <f>SUM(C236:I236)</f>
        <v/>
      </c>
      <c r="K236" s="755">
        <f>C236*7000</f>
        <v/>
      </c>
      <c r="L236" s="790" t="n"/>
      <c r="M236" s="770">
        <f>E236*0</f>
        <v/>
      </c>
      <c r="N236" s="771" t="n"/>
      <c r="O236" s="771">
        <f>H236*1680</f>
        <v/>
      </c>
      <c r="P236" s="857" t="n"/>
      <c r="Q236" s="796" t="n"/>
      <c r="R236" s="756">
        <f>SUM(K236:Q236)</f>
        <v/>
      </c>
      <c r="S236" s="756">
        <f>J236*1957</f>
        <v/>
      </c>
    </row>
    <row r="237">
      <c r="A237" s="129" t="inlineStr">
        <is>
          <t>센서형소독용세트</t>
        </is>
      </c>
      <c r="B237" s="378" t="inlineStr">
        <is>
          <t>P00000ZM</t>
        </is>
      </c>
      <c r="C237" s="215" t="n"/>
      <c r="D237" s="32" t="n"/>
      <c r="E237" s="33" t="n"/>
      <c r="F237" s="191" t="n"/>
      <c r="G237" s="197" t="n"/>
      <c r="H237" s="36" t="n"/>
      <c r="I237" s="191" t="n"/>
      <c r="J237" s="35">
        <f>SUM(C237:I237)</f>
        <v/>
      </c>
      <c r="K237" s="820">
        <f>C237*7800</f>
        <v/>
      </c>
      <c r="L237" s="790" t="n"/>
      <c r="M237" s="770">
        <f>E237*0</f>
        <v/>
      </c>
      <c r="N237" s="771" t="n"/>
      <c r="O237" s="771">
        <f>H237*1680</f>
        <v/>
      </c>
      <c r="P237" s="857" t="n"/>
      <c r="Q237" s="796" t="n"/>
      <c r="R237" s="756">
        <f>SUM(K237:Q237)</f>
        <v/>
      </c>
      <c r="S237" s="756">
        <f>J237*10200</f>
        <v/>
      </c>
    </row>
    <row r="238">
      <c r="A238" s="128" t="inlineStr">
        <is>
          <t>미니파우치포밍</t>
        </is>
      </c>
      <c r="B238" s="374" t="inlineStr">
        <is>
          <t>P00000OD</t>
        </is>
      </c>
      <c r="C238" s="237" t="n">
        <v>60</v>
      </c>
      <c r="D238" s="235" t="n"/>
      <c r="E238" s="33" t="n"/>
      <c r="F238" s="191" t="n"/>
      <c r="G238" s="197" t="n"/>
      <c r="H238" s="191" t="n"/>
      <c r="I238" s="36" t="n"/>
      <c r="J238" s="35">
        <f>SUM(C238:I238)</f>
        <v/>
      </c>
      <c r="K238" s="815">
        <f>C238*600</f>
        <v/>
      </c>
      <c r="L238" s="790">
        <f>D238*600</f>
        <v/>
      </c>
      <c r="M238" s="770">
        <f>E238*600</f>
        <v/>
      </c>
      <c r="N238" s="771" t="n"/>
      <c r="O238" s="771">
        <f>H238*1680</f>
        <v/>
      </c>
      <c r="P238" s="857" t="n"/>
      <c r="Q238" s="796" t="n"/>
      <c r="R238" s="756">
        <f>SUM(K238:Q238)</f>
        <v/>
      </c>
      <c r="S238" s="756">
        <f>J238*480</f>
        <v/>
      </c>
    </row>
    <row r="239" ht="27" customFormat="1" customHeight="1" s="24">
      <c r="B239" s="74" t="n"/>
      <c r="C239" s="74" t="n"/>
      <c r="D239" s="55" t="inlineStr">
        <is>
          <t>가맹점단품</t>
        </is>
      </c>
      <c r="E239" s="125" t="inlineStr">
        <is>
          <t>도매번들50+10</t>
        </is>
      </c>
      <c r="F239" s="130" t="inlineStr">
        <is>
          <t xml:space="preserve">인증/마스터50   </t>
        </is>
      </c>
      <c r="G239" s="10" t="inlineStr">
        <is>
          <t>마스터단품</t>
        </is>
      </c>
      <c r="H239" s="130" t="n"/>
      <c r="I239" s="131" t="inlineStr">
        <is>
          <t>마스터박스</t>
        </is>
      </c>
      <c r="J239" s="58" t="inlineStr">
        <is>
          <t>합계</t>
        </is>
      </c>
      <c r="K239" s="840">
        <f>SUM(K236:K238)</f>
        <v/>
      </c>
      <c r="L239" s="841">
        <f>SUM(L236:L238)</f>
        <v/>
      </c>
      <c r="M239" s="858">
        <f>SUM(M236:M238)</f>
        <v/>
      </c>
      <c r="N239" s="843">
        <f>SUM(N236:N238)</f>
        <v/>
      </c>
      <c r="O239" s="843">
        <f>SUM(O236:O238)</f>
        <v/>
      </c>
      <c r="P239" s="843">
        <f>SUM(P236:P238)</f>
        <v/>
      </c>
      <c r="Q239" s="843">
        <f>SUM(Q236:Q238)</f>
        <v/>
      </c>
      <c r="R239" s="844">
        <f>SUM(R236:R238)</f>
        <v/>
      </c>
      <c r="S239" s="844">
        <f>SUM(S236:S238)</f>
        <v/>
      </c>
    </row>
    <row r="240">
      <c r="C240" s="592" t="inlineStr">
        <is>
          <t>팩2종</t>
        </is>
      </c>
      <c r="D240" s="404" t="inlineStr">
        <is>
          <t>P00000SF</t>
        </is>
      </c>
      <c r="E240" s="400" t="inlineStr">
        <is>
          <t>P00000TG</t>
        </is>
      </c>
      <c r="F240" s="399" t="inlineStr">
        <is>
          <t>P00000WW</t>
        </is>
      </c>
      <c r="G240" s="396" t="inlineStr">
        <is>
          <t>P00000SF</t>
        </is>
      </c>
      <c r="H240" s="103" t="n"/>
      <c r="I240" s="103" t="inlineStr">
        <is>
          <t>P00000TY</t>
        </is>
      </c>
      <c r="J240" s="107" t="n"/>
      <c r="P240" s="785" t="n"/>
    </row>
    <row r="241">
      <c r="D241" s="404" t="n"/>
      <c r="E241" s="402" t="inlineStr">
        <is>
          <t>P00000VA</t>
        </is>
      </c>
      <c r="F241" s="402" t="n"/>
      <c r="G241" s="405" t="n"/>
      <c r="H241" s="399" t="n"/>
      <c r="I241" s="400" t="n"/>
      <c r="J241" s="124" t="n"/>
      <c r="P241" s="785" t="n"/>
    </row>
    <row r="242">
      <c r="D242" s="88" t="n"/>
      <c r="E242" s="403" t="inlineStr">
        <is>
          <t>P00000KX</t>
        </is>
      </c>
      <c r="F242" s="400" t="n"/>
      <c r="G242" s="209" t="n"/>
      <c r="H242" s="132" t="n"/>
      <c r="I242" s="132" t="n"/>
      <c r="J242" s="124" t="inlineStr">
        <is>
          <t>행사</t>
        </is>
      </c>
      <c r="P242" s="785" t="n"/>
    </row>
    <row r="243">
      <c r="A243" s="74" t="n"/>
      <c r="D243" s="133" t="n"/>
      <c r="E243" s="402" t="inlineStr">
        <is>
          <t>P00000UZ</t>
        </is>
      </c>
      <c r="F243" s="402" t="inlineStr">
        <is>
          <t>P0000BEW</t>
        </is>
      </c>
      <c r="G243" s="209" t="n"/>
      <c r="H243" s="122" t="n"/>
      <c r="I243" s="536" t="inlineStr">
        <is>
          <t>증정</t>
        </is>
      </c>
      <c r="J243" s="102" t="n"/>
      <c r="P243" s="785" t="n"/>
    </row>
    <row r="244">
      <c r="C244" s="628" t="inlineStr">
        <is>
          <t>도매</t>
        </is>
      </c>
      <c r="D244" s="134" t="n"/>
      <c r="E244" s="108" t="n"/>
      <c r="F244" s="350" t="n"/>
      <c r="G244" s="206" t="n"/>
      <c r="H244" s="109" t="n"/>
      <c r="I244" s="64" t="n"/>
      <c r="J244" s="108" t="n"/>
      <c r="K244" s="828" t="inlineStr">
        <is>
          <t>도매</t>
        </is>
      </c>
      <c r="L244" s="859" t="inlineStr">
        <is>
          <t>가맹/마스터단품</t>
        </is>
      </c>
      <c r="M244" s="787" t="inlineStr">
        <is>
          <t>도매,인증번들</t>
        </is>
      </c>
      <c r="N244" s="860" t="inlineStr">
        <is>
          <t>인증/마스터번들</t>
        </is>
      </c>
      <c r="O244" s="861" t="n"/>
      <c r="P244" s="862" t="inlineStr">
        <is>
          <t>마스터박스</t>
        </is>
      </c>
      <c r="Q244" s="862" t="n"/>
      <c r="R244" s="828" t="inlineStr">
        <is>
          <t>품목별합계</t>
        </is>
      </c>
      <c r="S244" s="756" t="inlineStr">
        <is>
          <t>도매,마스터원가</t>
        </is>
      </c>
    </row>
    <row r="245">
      <c r="A245" s="79" t="inlineStr">
        <is>
          <t>브라질리언수딩팩</t>
        </is>
      </c>
      <c r="B245" s="374" t="inlineStr">
        <is>
          <t>P00000ID</t>
        </is>
      </c>
      <c r="C245" s="233" t="n">
        <v>200</v>
      </c>
      <c r="D245" s="235" t="n"/>
      <c r="E245" s="215" t="n">
        <v>2000</v>
      </c>
      <c r="F245" s="234" t="n">
        <v>400</v>
      </c>
      <c r="G245" s="234" t="n"/>
      <c r="H245" s="234" t="n"/>
      <c r="I245" s="234" t="n"/>
      <c r="J245" s="35">
        <f>SUM(C245:I245)+I244</f>
        <v/>
      </c>
      <c r="K245" s="815">
        <f>C245*1750</f>
        <v/>
      </c>
      <c r="L245" s="790">
        <f>D245*1750</f>
        <v/>
      </c>
      <c r="M245" s="863">
        <f>E245*1400</f>
        <v/>
      </c>
      <c r="N245" s="770">
        <f>F245*1400</f>
        <v/>
      </c>
      <c r="O245" s="861">
        <f>G245*1750</f>
        <v/>
      </c>
      <c r="P245" s="770">
        <f>H245*1200</f>
        <v/>
      </c>
      <c r="Q245" s="770" t="n"/>
      <c r="R245" s="755">
        <f>SUM(K245:Q245)</f>
        <v/>
      </c>
      <c r="S245" s="755">
        <f>J245*289</f>
        <v/>
      </c>
    </row>
    <row r="246">
      <c r="A246" s="128" t="inlineStr">
        <is>
          <t>화이트브라질팩</t>
        </is>
      </c>
      <c r="B246" s="374" t="inlineStr">
        <is>
          <t>P00000UK</t>
        </is>
      </c>
      <c r="C246" s="237" t="n">
        <v>90</v>
      </c>
      <c r="D246" s="235" t="n"/>
      <c r="E246" s="215" t="n">
        <v>2300</v>
      </c>
      <c r="F246" s="234" t="n">
        <v>300</v>
      </c>
      <c r="G246" s="234" t="n"/>
      <c r="H246" s="234" t="n"/>
      <c r="I246" s="242" t="n"/>
      <c r="J246" s="35">
        <f>SUM(C246:I246)</f>
        <v/>
      </c>
      <c r="K246" s="815">
        <f>C246*1750</f>
        <v/>
      </c>
      <c r="L246" s="790">
        <f>D246*1750</f>
        <v/>
      </c>
      <c r="M246" s="863">
        <f>E246*1400</f>
        <v/>
      </c>
      <c r="N246" s="770">
        <f>F246*1400</f>
        <v/>
      </c>
      <c r="O246" s="861">
        <f>G246*1750</f>
        <v/>
      </c>
      <c r="P246" s="770">
        <f>H246*1200</f>
        <v/>
      </c>
      <c r="Q246" s="770" t="n"/>
      <c r="R246" s="755">
        <f>SUM(I246:Q246)</f>
        <v/>
      </c>
      <c r="S246" s="755">
        <f>J246*305</f>
        <v/>
      </c>
    </row>
    <row r="247" customFormat="1" s="24">
      <c r="B247" s="74" t="n"/>
      <c r="C247" s="486" t="n"/>
      <c r="D247" s="486" t="n"/>
      <c r="E247" s="273" t="n"/>
      <c r="F247" s="272" t="n"/>
      <c r="G247" s="272" t="n"/>
      <c r="H247" s="272" t="n"/>
      <c r="I247" s="84" t="inlineStr">
        <is>
          <t>기타</t>
        </is>
      </c>
      <c r="J247" s="58" t="inlineStr">
        <is>
          <t>합계</t>
        </is>
      </c>
      <c r="K247" s="840">
        <f>SUM(K245:K246)</f>
        <v/>
      </c>
      <c r="L247" s="841">
        <f>SUM(L245:L246)</f>
        <v/>
      </c>
      <c r="M247" s="840">
        <f>SUM(M245:M246)</f>
        <v/>
      </c>
      <c r="N247" s="840">
        <f>SUM(N245:N246)</f>
        <v/>
      </c>
      <c r="O247" s="842">
        <f>SUM(O245:O246)</f>
        <v/>
      </c>
      <c r="P247" s="840">
        <f>SUM(P245:P246)</f>
        <v/>
      </c>
      <c r="Q247" s="840">
        <f>SUM(Q245:Q246)</f>
        <v/>
      </c>
      <c r="R247" s="864">
        <f>SUM(R245:R246)</f>
        <v/>
      </c>
      <c r="S247" s="865">
        <f>SUM(S245:S246)</f>
        <v/>
      </c>
    </row>
    <row r="248" customFormat="1" s="24">
      <c r="B248" s="74" t="n"/>
      <c r="C248" s="74" t="n"/>
      <c r="D248" s="142" t="n"/>
      <c r="E248" s="143" t="n"/>
      <c r="F248" s="630" t="n"/>
      <c r="G248" s="26" t="n"/>
      <c r="H248" s="144" t="n"/>
      <c r="I248" s="630" t="n"/>
      <c r="J248" s="630" t="n"/>
      <c r="K248" s="866" t="n"/>
      <c r="L248" s="866" t="n"/>
      <c r="M248" s="867" t="n"/>
      <c r="N248" s="867" t="n"/>
      <c r="O248" s="868" t="n"/>
      <c r="P248" s="869" t="n"/>
      <c r="Q248" s="870" t="n"/>
      <c r="R248" s="866" t="n"/>
      <c r="S248" s="871" t="n"/>
    </row>
    <row r="249" customFormat="1" s="24">
      <c r="B249" s="74" t="n"/>
      <c r="C249" s="74" t="n"/>
      <c r="D249" s="723" t="inlineStr">
        <is>
          <t>P00000QT</t>
        </is>
      </c>
      <c r="E249" s="143" t="inlineStr">
        <is>
          <t>마스터</t>
        </is>
      </c>
      <c r="F249" s="691" t="inlineStr">
        <is>
          <t>P00000VL</t>
        </is>
      </c>
      <c r="G249" s="12" t="inlineStr">
        <is>
          <t>보상판매</t>
        </is>
      </c>
      <c r="H249" s="144" t="n"/>
      <c r="I249" s="691" t="n"/>
      <c r="J249" s="499" t="inlineStr">
        <is>
          <t>할인</t>
        </is>
      </c>
      <c r="K249" s="866" t="n"/>
      <c r="L249" s="866" t="n"/>
      <c r="M249" s="867" t="n"/>
      <c r="N249" s="867" t="n"/>
      <c r="O249" s="868" t="n"/>
      <c r="P249" s="869" t="n"/>
      <c r="Q249" s="870" t="n"/>
      <c r="R249" s="866" t="n"/>
      <c r="S249" s="871" t="n"/>
    </row>
    <row r="250" ht="24" customFormat="1" customHeight="1" s="244">
      <c r="B250" s="245" t="n"/>
      <c r="C250" s="245" t="n"/>
      <c r="D250" s="406" t="inlineStr">
        <is>
          <t>P00000WK</t>
        </is>
      </c>
      <c r="E250" s="19" t="inlineStr">
        <is>
          <t>P00000QU</t>
        </is>
      </c>
      <c r="F250" s="20" t="inlineStr">
        <is>
          <t>P00000YU</t>
        </is>
      </c>
      <c r="G250" s="26" t="inlineStr">
        <is>
          <t>바디스타터키트</t>
        </is>
      </c>
      <c r="H250" s="491" t="n"/>
      <c r="I250" s="20" t="inlineStr">
        <is>
          <t>P00000YZ</t>
        </is>
      </c>
      <c r="J250" s="77" t="inlineStr">
        <is>
          <t>컵세트할인</t>
        </is>
      </c>
      <c r="K250" s="866" t="n"/>
      <c r="L250" s="866" t="n"/>
      <c r="M250" s="867" t="n"/>
      <c r="N250" s="867" t="n"/>
      <c r="O250" s="868" t="n"/>
      <c r="P250" s="869" t="n"/>
      <c r="Q250" s="870" t="n"/>
      <c r="R250" s="866" t="n"/>
      <c r="S250" s="871" t="n"/>
    </row>
    <row r="251">
      <c r="A251" s="24" t="inlineStr">
        <is>
          <t>워머기&amp;컵</t>
        </is>
      </c>
      <c r="C251" s="628" t="inlineStr">
        <is>
          <t>도매</t>
        </is>
      </c>
      <c r="D251" s="406" t="inlineStr">
        <is>
          <t>P00000NL</t>
        </is>
      </c>
      <c r="E251" s="91" t="n"/>
      <c r="F251" s="20" t="inlineStr">
        <is>
          <t>P00000YS</t>
        </is>
      </c>
      <c r="G251" s="110" t="inlineStr">
        <is>
          <t>스타터키트</t>
        </is>
      </c>
      <c r="I251" s="102" t="n"/>
      <c r="J251" s="140" t="n"/>
      <c r="K251" s="763" t="inlineStr">
        <is>
          <t>도매</t>
        </is>
      </c>
      <c r="L251" s="764" t="inlineStr">
        <is>
          <t>마스터/인증살롱</t>
        </is>
      </c>
      <c r="M251" s="765" t="n"/>
      <c r="N251" s="827" t="n"/>
      <c r="O251" s="827" t="inlineStr">
        <is>
          <t>스타터키트</t>
        </is>
      </c>
      <c r="P251" s="872" t="n"/>
      <c r="Q251" s="852" t="inlineStr">
        <is>
          <t>세트할인</t>
        </is>
      </c>
      <c r="R251" s="767" t="inlineStr">
        <is>
          <t>품목별합계</t>
        </is>
      </c>
      <c r="S251" s="873" t="inlineStr">
        <is>
          <t>도매,마스터원가</t>
        </is>
      </c>
    </row>
    <row r="252">
      <c r="A252" s="79" t="inlineStr">
        <is>
          <t>1000/1000</t>
        </is>
      </c>
      <c r="B252" s="548" t="inlineStr">
        <is>
          <t>P00000VK</t>
        </is>
      </c>
      <c r="C252" s="233" t="n">
        <v>31</v>
      </c>
      <c r="D252" s="235" t="n"/>
      <c r="E252" s="234" t="n">
        <v>3</v>
      </c>
      <c r="F252" s="215" t="n">
        <v>1</v>
      </c>
      <c r="G252" s="242" t="inlineStr">
        <is>
          <t>불량교환</t>
        </is>
      </c>
      <c r="H252" s="231" t="n"/>
      <c r="I252" s="230" t="n"/>
      <c r="J252" s="35">
        <f>SUM(C252:I252)</f>
        <v/>
      </c>
      <c r="K252" s="815">
        <f>C252*204000</f>
        <v/>
      </c>
      <c r="L252" s="790">
        <f>D252*176000</f>
        <v/>
      </c>
      <c r="M252" s="770">
        <f>E252*176000</f>
        <v/>
      </c>
      <c r="N252" s="757" t="n"/>
      <c r="O252" s="757">
        <f>F252*163200</f>
        <v/>
      </c>
      <c r="P252" s="785" t="n"/>
      <c r="Q252" s="772" t="n"/>
      <c r="R252" s="756">
        <f>SUM(K252:Q252)</f>
        <v/>
      </c>
      <c r="S252" s="756">
        <f>J252*55000</f>
        <v/>
      </c>
    </row>
    <row r="253">
      <c r="A253" s="79" t="inlineStr">
        <is>
          <t>베이비히터</t>
        </is>
      </c>
      <c r="B253" s="548" t="inlineStr">
        <is>
          <t>P00000VK</t>
        </is>
      </c>
      <c r="C253" s="233" t="n">
        <v>20</v>
      </c>
      <c r="D253" s="235" t="n"/>
      <c r="E253" s="234" t="n"/>
      <c r="F253" s="215" t="n">
        <v>4</v>
      </c>
      <c r="G253" s="242" t="n">
        <v>1</v>
      </c>
      <c r="H253" s="231" t="n"/>
      <c r="I253" s="215" t="n">
        <v>2</v>
      </c>
      <c r="J253" s="35">
        <f>SUM(C253:I253)</f>
        <v/>
      </c>
      <c r="K253" s="815">
        <f>C253*46200</f>
        <v/>
      </c>
      <c r="L253" s="790">
        <f>D253*44000</f>
        <v/>
      </c>
      <c r="M253" s="770">
        <f>E253*44000</f>
        <v/>
      </c>
      <c r="N253" s="757" t="n"/>
      <c r="O253" s="757">
        <f>F253*36920</f>
        <v/>
      </c>
      <c r="P253" s="785" t="n"/>
      <c r="Q253" s="772">
        <f>I253*30800</f>
        <v/>
      </c>
      <c r="R253" s="756">
        <f>SUM(K253:Q253)</f>
        <v/>
      </c>
      <c r="S253" s="756">
        <f>J253*13500</f>
        <v/>
      </c>
    </row>
    <row r="254">
      <c r="A254" s="79" t="inlineStr">
        <is>
          <t>컵500</t>
        </is>
      </c>
      <c r="B254" s="715" t="inlineStr">
        <is>
          <t>P00000DY</t>
        </is>
      </c>
      <c r="C254" s="233" t="n">
        <v>22</v>
      </c>
      <c r="D254" s="235" t="n"/>
      <c r="E254" s="234" t="n">
        <v>7</v>
      </c>
      <c r="F254" s="229" t="n"/>
      <c r="G254" s="236" t="n"/>
      <c r="H254" s="231" t="n"/>
      <c r="I254" s="231" t="n"/>
      <c r="J254" s="35">
        <f>SUM(C254:I254)</f>
        <v/>
      </c>
      <c r="K254" s="815">
        <f>C254*21000</f>
        <v/>
      </c>
      <c r="L254" s="790">
        <f>D254*15400</f>
        <v/>
      </c>
      <c r="M254" s="770">
        <f>E254*15400</f>
        <v/>
      </c>
      <c r="N254" s="757" t="n"/>
      <c r="P254" s="785" t="n"/>
      <c r="Q254" s="772" t="n"/>
      <c r="R254" s="756">
        <f>SUM(K254:Q254)</f>
        <v/>
      </c>
      <c r="S254" s="756">
        <f>J254*4500</f>
        <v/>
      </c>
    </row>
    <row r="255">
      <c r="A255" s="128" t="inlineStr">
        <is>
          <t>컵1000</t>
        </is>
      </c>
      <c r="B255" s="715" t="inlineStr">
        <is>
          <t>P00000DY</t>
        </is>
      </c>
      <c r="C255" s="233" t="n">
        <v>29</v>
      </c>
      <c r="D255" s="235" t="n"/>
      <c r="E255" s="234" t="n">
        <v>3</v>
      </c>
      <c r="F255" s="230" t="n"/>
      <c r="G255" s="236" t="n"/>
      <c r="H255" s="231" t="n"/>
      <c r="I255" s="231" t="n"/>
      <c r="J255" s="35">
        <f>SUM(C255:I255)</f>
        <v/>
      </c>
      <c r="K255" s="815">
        <f>C255*21000</f>
        <v/>
      </c>
      <c r="L255" s="790">
        <f>D255*15400</f>
        <v/>
      </c>
      <c r="M255" s="770">
        <f>E255*15400</f>
        <v/>
      </c>
      <c r="N255" s="757" t="n"/>
      <c r="P255" s="785" t="n"/>
      <c r="Q255" s="772" t="n"/>
      <c r="R255" s="756">
        <f>SUM(K255:Q255)</f>
        <v/>
      </c>
      <c r="S255" s="756">
        <f>J255*4700</f>
        <v/>
      </c>
    </row>
    <row r="256">
      <c r="A256" s="128" t="inlineStr">
        <is>
          <t>베이비컵</t>
        </is>
      </c>
      <c r="B256" s="715" t="inlineStr">
        <is>
          <t>P00000DY</t>
        </is>
      </c>
      <c r="C256" s="233" t="n">
        <v>3</v>
      </c>
      <c r="D256" s="235" t="n"/>
      <c r="E256" s="234" t="n"/>
      <c r="F256" s="230" t="n"/>
      <c r="G256" s="236" t="n"/>
      <c r="H256" s="231" t="n"/>
      <c r="I256" s="230" t="n"/>
      <c r="J256" s="35">
        <f>SUM(C256:I256)</f>
        <v/>
      </c>
      <c r="K256" s="815">
        <f>C256*10400</f>
        <v/>
      </c>
      <c r="L256" s="790">
        <f>D256*10400</f>
        <v/>
      </c>
      <c r="M256" s="770">
        <f>E256*10400</f>
        <v/>
      </c>
      <c r="N256" s="757" t="n"/>
      <c r="P256" s="785" t="n"/>
      <c r="Q256" s="772" t="n"/>
      <c r="R256" s="756">
        <f>SUM(K256:Q256)</f>
        <v/>
      </c>
      <c r="S256" s="756">
        <f>J256*2700</f>
        <v/>
      </c>
    </row>
    <row r="257">
      <c r="A257" s="79" t="inlineStr">
        <is>
          <t>에어브러쉬건</t>
        </is>
      </c>
      <c r="B257" s="715" t="inlineStr">
        <is>
          <t>P00000QC</t>
        </is>
      </c>
      <c r="C257" s="237" t="n"/>
      <c r="D257" s="235" t="n"/>
      <c r="E257" s="234" t="n"/>
      <c r="F257" s="230" t="n"/>
      <c r="G257" s="236" t="n"/>
      <c r="H257" s="231" t="n"/>
      <c r="I257" s="231" t="n"/>
      <c r="J257" s="35">
        <f>SUM(C257:I257)</f>
        <v/>
      </c>
      <c r="K257" s="755">
        <f>C257*150000</f>
        <v/>
      </c>
      <c r="L257" s="790">
        <f>D257*120000</f>
        <v/>
      </c>
      <c r="M257" s="770">
        <f>E257*120000</f>
        <v/>
      </c>
      <c r="N257" s="757" t="n"/>
      <c r="P257" s="785" t="n"/>
      <c r="Q257" s="772" t="n"/>
      <c r="R257" s="756">
        <f>SUM(K257:Q257)</f>
        <v/>
      </c>
      <c r="S257" s="756">
        <f>J257*79000</f>
        <v/>
      </c>
    </row>
    <row r="258">
      <c r="A258" s="109" t="inlineStr">
        <is>
          <t>센서형손소독기</t>
        </is>
      </c>
      <c r="B258" s="378" t="inlineStr">
        <is>
          <t>P00000ZM</t>
        </is>
      </c>
      <c r="C258" s="230" t="n"/>
      <c r="D258" s="32" t="n"/>
      <c r="E258" s="33" t="n"/>
      <c r="F258" s="191" t="n"/>
      <c r="G258" s="197" t="n"/>
      <c r="H258" s="80" t="n"/>
      <c r="I258" s="80" t="n"/>
      <c r="J258" s="35">
        <f>SUM(C258:I258)</f>
        <v/>
      </c>
      <c r="K258" s="831">
        <f>C258*12000</f>
        <v/>
      </c>
      <c r="L258" s="790" t="n"/>
      <c r="M258" s="770" t="n"/>
      <c r="N258" s="757" t="n"/>
      <c r="P258" s="785" t="n"/>
      <c r="Q258" s="772">
        <f>F258*12000</f>
        <v/>
      </c>
      <c r="R258" s="756">
        <f>SUM(K258:Q258)</f>
        <v/>
      </c>
      <c r="S258" s="756">
        <f>J258*8230</f>
        <v/>
      </c>
    </row>
    <row r="259" customFormat="1" s="244">
      <c r="B259" s="245" t="n"/>
      <c r="C259" s="486" t="n"/>
      <c r="D259" s="475" t="n"/>
      <c r="E259" s="487" t="n"/>
      <c r="F259" s="488" t="n"/>
      <c r="G259" s="488" t="n"/>
      <c r="H259" s="488" t="n"/>
      <c r="I259" s="246" t="n"/>
      <c r="J259" s="247" t="n"/>
      <c r="K259" s="845" t="n"/>
      <c r="L259" s="846" t="n"/>
      <c r="M259" s="845" t="n"/>
      <c r="N259" s="845" t="n"/>
      <c r="O259" s="847" t="n"/>
      <c r="P259" s="845" t="n"/>
      <c r="Q259" s="845" t="n"/>
      <c r="R259" s="845" t="n"/>
      <c r="S259" s="874" t="n"/>
    </row>
    <row r="260" customFormat="1" s="24">
      <c r="B260" s="74" t="n"/>
      <c r="C260" s="74" t="n"/>
      <c r="D260" s="9" t="inlineStr">
        <is>
          <t>인증살롱</t>
        </is>
      </c>
      <c r="E260" s="10" t="n"/>
      <c r="F260" s="12" t="n"/>
      <c r="G260" s="12" t="n"/>
      <c r="H260" s="12" t="n"/>
      <c r="I260" s="12" t="n"/>
      <c r="J260" s="117" t="inlineStr">
        <is>
          <t>합계</t>
        </is>
      </c>
      <c r="K260" s="875">
        <f>SUM(K252:K259)</f>
        <v/>
      </c>
      <c r="L260" s="875">
        <f>SUM(L252:L259)</f>
        <v/>
      </c>
      <c r="M260" s="875">
        <f>SUM(M252:M259)</f>
        <v/>
      </c>
      <c r="N260" s="875">
        <f>SUM(N252:N259)</f>
        <v/>
      </c>
      <c r="O260" s="875">
        <f>SUM(O252:O259)</f>
        <v/>
      </c>
      <c r="P260" s="875">
        <f>SUM(P252:P259)</f>
        <v/>
      </c>
      <c r="Q260" s="875">
        <f>SUM(Q252:Q259)</f>
        <v/>
      </c>
      <c r="R260" s="875">
        <f>SUM(R252:R259)</f>
        <v/>
      </c>
      <c r="S260" s="875">
        <f>SUM(S252:S259)</f>
        <v/>
      </c>
    </row>
    <row r="261">
      <c r="C261" s="104" t="inlineStr">
        <is>
          <t>위생용품</t>
        </is>
      </c>
      <c r="D261" s="55" t="inlineStr">
        <is>
          <t>P00000WN</t>
        </is>
      </c>
      <c r="E261" s="10" t="inlineStr">
        <is>
          <t>마스터</t>
        </is>
      </c>
      <c r="F261" s="12" t="inlineStr">
        <is>
          <t>할인행사</t>
        </is>
      </c>
      <c r="G261" s="12" t="n"/>
      <c r="H261" s="12" t="n"/>
      <c r="I261" s="12" t="inlineStr">
        <is>
          <t>증정</t>
        </is>
      </c>
      <c r="J261" s="110" t="n"/>
      <c r="P261" s="785" t="n"/>
    </row>
    <row r="262">
      <c r="A262" s="74" t="inlineStr">
        <is>
          <t>소모품</t>
        </is>
      </c>
      <c r="C262" s="104" t="inlineStr">
        <is>
          <t>스파츌라</t>
        </is>
      </c>
      <c r="D262" s="55" t="inlineStr">
        <is>
          <t>P00000WL</t>
        </is>
      </c>
      <c r="E262" s="15" t="inlineStr">
        <is>
          <t>P00000QW</t>
        </is>
      </c>
      <c r="F262" s="20" t="n"/>
      <c r="G262" s="110" t="n"/>
      <c r="H262" s="137" t="n"/>
      <c r="I262" s="20" t="inlineStr">
        <is>
          <t>P00000YS</t>
        </is>
      </c>
      <c r="J262" s="110" t="inlineStr">
        <is>
          <t>스타터키트</t>
        </is>
      </c>
      <c r="P262" s="785" t="n"/>
    </row>
    <row r="263" ht="24" customHeight="1" s="754">
      <c r="C263" s="106" t="inlineStr">
        <is>
          <t>스파츌라</t>
        </is>
      </c>
      <c r="D263" s="105" t="inlineStr">
        <is>
          <t>P00000WM</t>
        </is>
      </c>
      <c r="E263" s="15" t="inlineStr">
        <is>
          <t>P00000QV</t>
        </is>
      </c>
      <c r="F263" s="19" t="inlineStr">
        <is>
          <t>P0000BMO</t>
        </is>
      </c>
      <c r="G263" s="146" t="n"/>
      <c r="H263" s="146" t="n"/>
      <c r="I263" s="20" t="inlineStr">
        <is>
          <t>P00000YU</t>
        </is>
      </c>
      <c r="J263" s="26" t="inlineStr">
        <is>
          <t>바디스타터키트</t>
        </is>
      </c>
      <c r="P263" s="785" t="n"/>
    </row>
    <row r="264">
      <c r="C264" s="106" t="inlineStr">
        <is>
          <t>부직포</t>
        </is>
      </c>
      <c r="D264" s="545" t="n"/>
      <c r="E264" s="19" t="inlineStr">
        <is>
          <t>P00000QX</t>
        </is>
      </c>
      <c r="F264" s="19" t="inlineStr">
        <is>
          <t>P0000BMB</t>
        </is>
      </c>
      <c r="G264" s="146" t="n"/>
      <c r="H264" s="146" t="n"/>
      <c r="I264" s="20" t="n"/>
      <c r="J264" s="309" t="n"/>
      <c r="P264" s="785" t="n"/>
    </row>
    <row r="265">
      <c r="A265" s="148" t="n"/>
      <c r="B265" s="628" t="inlineStr">
        <is>
          <t>도매</t>
        </is>
      </c>
      <c r="C265" s="104" t="inlineStr">
        <is>
          <t>롤러,거울</t>
        </is>
      </c>
      <c r="D265" s="105" t="inlineStr">
        <is>
          <t>P00000NL</t>
        </is>
      </c>
      <c r="E265" s="19" t="inlineStr">
        <is>
          <t>P0000BLZ</t>
        </is>
      </c>
      <c r="F265" s="20" t="n"/>
      <c r="G265" s="26" t="n"/>
      <c r="H265" s="146" t="n"/>
      <c r="I265" s="124" t="inlineStr">
        <is>
          <t>증정행사</t>
        </is>
      </c>
      <c r="J265" s="140" t="n"/>
      <c r="K265" s="763" t="inlineStr">
        <is>
          <t>도매</t>
        </is>
      </c>
      <c r="L265" s="764" t="inlineStr">
        <is>
          <t>마스터/인증살롱</t>
        </is>
      </c>
      <c r="M265" s="765" t="n"/>
      <c r="N265" s="766" t="inlineStr">
        <is>
          <t xml:space="preserve">할인 </t>
        </is>
      </c>
      <c r="O265" s="766" t="inlineStr">
        <is>
          <t>세트할인</t>
        </is>
      </c>
      <c r="P265" s="766" t="inlineStr">
        <is>
          <t>할인+증정</t>
        </is>
      </c>
      <c r="Q265" s="767" t="n"/>
      <c r="R265" s="767" t="inlineStr">
        <is>
          <t>품목별합계</t>
        </is>
      </c>
      <c r="S265" s="873" t="inlineStr">
        <is>
          <t>도매,마스터원가</t>
        </is>
      </c>
    </row>
    <row r="266" customFormat="1" s="755">
      <c r="A266" s="115" t="inlineStr">
        <is>
          <t>위생시트(개수)</t>
        </is>
      </c>
      <c r="B266" s="532" t="inlineStr">
        <is>
          <t>P00000DB</t>
        </is>
      </c>
      <c r="C266" s="237" t="n">
        <v>14</v>
      </c>
      <c r="D266" s="235" t="n"/>
      <c r="E266" s="234" t="n">
        <v>12</v>
      </c>
      <c r="F266" s="230" t="n"/>
      <c r="G266" s="236" t="n"/>
      <c r="H266" s="231" t="n"/>
      <c r="I266" s="230" t="n"/>
      <c r="J266" s="35">
        <f>SUM(C266:I266)</f>
        <v/>
      </c>
      <c r="K266" s="815">
        <f>C266*25000</f>
        <v/>
      </c>
      <c r="L266" s="790">
        <f>D266*22000</f>
        <v/>
      </c>
      <c r="M266" s="770">
        <f>E266*22000</f>
        <v/>
      </c>
      <c r="N266" s="771">
        <f>F266*10000</f>
        <v/>
      </c>
      <c r="O266" s="771" t="n"/>
      <c r="P266" s="771" t="n"/>
      <c r="Q266" s="758" t="n"/>
      <c r="R266" s="756">
        <f>SUM(K266:Q266)</f>
        <v/>
      </c>
      <c r="S266" s="756">
        <f>J266*15400</f>
        <v/>
      </c>
    </row>
    <row r="267" customFormat="1" s="755">
      <c r="A267" s="115" t="inlineStr">
        <is>
          <t>제모미인항균시트</t>
        </is>
      </c>
      <c r="B267" s="775" t="n"/>
      <c r="C267" s="233" t="n">
        <v>52</v>
      </c>
      <c r="D267" s="235" t="n"/>
      <c r="E267" s="234" t="n"/>
      <c r="F267" s="230" t="n"/>
      <c r="G267" s="236" t="n"/>
      <c r="H267" s="231" t="n"/>
      <c r="I267" s="242" t="n"/>
      <c r="J267" s="35">
        <f>SUM(C267:I267)</f>
        <v/>
      </c>
      <c r="K267" s="815">
        <f>C267*12000</f>
        <v/>
      </c>
      <c r="L267" s="790">
        <f>D267*12000</f>
        <v/>
      </c>
      <c r="M267" s="770">
        <f>E267*12000</f>
        <v/>
      </c>
      <c r="N267" s="771" t="n"/>
      <c r="O267" s="771" t="n"/>
      <c r="P267" s="771" t="n"/>
      <c r="Q267" s="758" t="n"/>
      <c r="R267" s="756">
        <f>SUM(K267:Q267)</f>
        <v/>
      </c>
      <c r="S267" s="756">
        <f>J267*7150</f>
        <v/>
      </c>
    </row>
    <row r="268" customFormat="1" s="755">
      <c r="A268" s="115" t="inlineStr">
        <is>
          <t>5겹솜</t>
        </is>
      </c>
      <c r="B268" s="369" t="inlineStr">
        <is>
          <t>P00000PS</t>
        </is>
      </c>
      <c r="C268" s="233" t="n">
        <v>34</v>
      </c>
      <c r="D268" s="235" t="n"/>
      <c r="E268" s="234" t="n">
        <v>5</v>
      </c>
      <c r="F268" s="229" t="n"/>
      <c r="G268" s="236" t="n"/>
      <c r="H268" s="231" t="n"/>
      <c r="I268" s="230" t="n"/>
      <c r="J268" s="35">
        <f>SUM(C268:I268)</f>
        <v/>
      </c>
      <c r="K268" s="815">
        <f>C268*22000</f>
        <v/>
      </c>
      <c r="L268" s="790">
        <f>D268*22000</f>
        <v/>
      </c>
      <c r="M268" s="770">
        <f>E268*15000</f>
        <v/>
      </c>
      <c r="N268" s="771" t="n"/>
      <c r="O268" s="771" t="n"/>
      <c r="P268" s="771" t="n"/>
      <c r="Q268" s="758" t="n"/>
      <c r="R268" s="756">
        <f>SUM(K268:Q268)</f>
        <v/>
      </c>
      <c r="S268" s="756">
        <f>J268*10835</f>
        <v/>
      </c>
    </row>
    <row r="269" customFormat="1" s="755">
      <c r="A269" s="115" t="inlineStr">
        <is>
          <t>깃털천</t>
        </is>
      </c>
      <c r="B269" s="370" t="inlineStr">
        <is>
          <t>P00000CZ</t>
        </is>
      </c>
      <c r="C269" s="233" t="n">
        <v>17</v>
      </c>
      <c r="D269" s="235" t="n"/>
      <c r="E269" s="234" t="n">
        <v>10</v>
      </c>
      <c r="F269" s="230" t="n"/>
      <c r="G269" s="236" t="n"/>
      <c r="H269" s="231" t="n"/>
      <c r="I269" s="242" t="n"/>
      <c r="J269" s="35">
        <f>SUM(C269:I269)</f>
        <v/>
      </c>
      <c r="K269" s="815">
        <f>C269*22000</f>
        <v/>
      </c>
      <c r="L269" s="790">
        <f>D269*22000</f>
        <v/>
      </c>
      <c r="M269" s="770">
        <f>E269*22000</f>
        <v/>
      </c>
      <c r="N269" s="771" t="n"/>
      <c r="O269" s="771" t="n"/>
      <c r="P269" s="771" t="n"/>
      <c r="Q269" s="758" t="n"/>
      <c r="R269" s="756">
        <f>SUM(K269:Q269)</f>
        <v/>
      </c>
      <c r="S269" s="756">
        <f>J269*9361</f>
        <v/>
      </c>
    </row>
    <row r="270" customFormat="1" s="755">
      <c r="A270" s="115" t="inlineStr">
        <is>
          <t>부직포250</t>
        </is>
      </c>
      <c r="B270" s="370" t="inlineStr">
        <is>
          <t>P00000DD</t>
        </is>
      </c>
      <c r="C270" s="257" t="n">
        <v>22</v>
      </c>
      <c r="D270" s="235" t="n"/>
      <c r="E270" s="234" t="n">
        <v>19</v>
      </c>
      <c r="F270" s="230" t="n"/>
      <c r="G270" s="236" t="n"/>
      <c r="H270" s="231" t="n"/>
      <c r="I270" s="215" t="n">
        <v>1</v>
      </c>
      <c r="J270" s="35">
        <f>SUM(C270:I270)</f>
        <v/>
      </c>
      <c r="K270" s="815">
        <f>C270*18000</f>
        <v/>
      </c>
      <c r="L270" s="790">
        <f>D270*15000</f>
        <v/>
      </c>
      <c r="M270" s="770">
        <f>E270*15000</f>
        <v/>
      </c>
      <c r="N270" s="771" t="n"/>
      <c r="O270" s="771">
        <f>I270*14400</f>
        <v/>
      </c>
      <c r="P270" s="771" t="n"/>
      <c r="Q270" s="796" t="n"/>
      <c r="R270" s="756">
        <f>SUM(K270:Q270)</f>
        <v/>
      </c>
      <c r="S270" s="756">
        <f>J270*4238</f>
        <v/>
      </c>
    </row>
    <row r="271" customFormat="1" s="755">
      <c r="A271" s="115" t="inlineStr">
        <is>
          <t>라이콘롤50m</t>
        </is>
      </c>
      <c r="B271" s="370" t="inlineStr">
        <is>
          <t>P00000DA</t>
        </is>
      </c>
      <c r="C271" s="237" t="n">
        <v>14</v>
      </c>
      <c r="D271" s="235" t="n"/>
      <c r="E271" s="234" t="n">
        <v>1</v>
      </c>
      <c r="F271" s="230" t="n"/>
      <c r="G271" s="236" t="n"/>
      <c r="H271" s="231" t="n"/>
      <c r="I271" s="215" t="n"/>
      <c r="J271" s="35">
        <f>SUM(C271:I271)</f>
        <v/>
      </c>
      <c r="K271" s="815">
        <f>C271*15000</f>
        <v/>
      </c>
      <c r="L271" s="790">
        <f>D271*11600</f>
        <v/>
      </c>
      <c r="M271" s="770">
        <f>E271*11600</f>
        <v/>
      </c>
      <c r="N271" s="771" t="n"/>
      <c r="O271" s="771" t="n"/>
      <c r="P271" s="771" t="n"/>
      <c r="Q271" s="758" t="n"/>
      <c r="R271" s="756">
        <f>SUM(K271:Q271)</f>
        <v/>
      </c>
      <c r="S271" s="756">
        <f>J271*3719</f>
        <v/>
      </c>
    </row>
    <row r="272" customFormat="1" s="755">
      <c r="A272" s="115" t="inlineStr">
        <is>
          <t>픽미트위저</t>
        </is>
      </c>
      <c r="B272" s="383" t="inlineStr">
        <is>
          <t>P0000BBL</t>
        </is>
      </c>
      <c r="C272" s="237" t="n">
        <v>4</v>
      </c>
      <c r="D272" s="235" t="n"/>
      <c r="E272" s="234" t="n"/>
      <c r="F272" s="230" t="n"/>
      <c r="G272" s="236" t="n"/>
      <c r="H272" s="231" t="n"/>
      <c r="I272" s="215" t="n"/>
      <c r="J272" s="35">
        <f>SUM(C272:I272)</f>
        <v/>
      </c>
      <c r="K272" s="815">
        <f>C272*33000</f>
        <v/>
      </c>
      <c r="L272" s="790">
        <f>D272*33000</f>
        <v/>
      </c>
      <c r="M272" s="839">
        <f>E272*33000</f>
        <v/>
      </c>
      <c r="N272" s="820" t="n"/>
      <c r="O272" s="820" t="n"/>
      <c r="P272" s="820" t="n"/>
      <c r="Q272" s="758" t="n"/>
      <c r="R272" s="756">
        <f>SUM(K272:Q272)</f>
        <v/>
      </c>
      <c r="S272" s="756">
        <f>J272*16500</f>
        <v/>
      </c>
    </row>
    <row r="273" customFormat="1" s="755">
      <c r="A273" s="211" t="inlineStr">
        <is>
          <t>인그로운족집게</t>
        </is>
      </c>
      <c r="B273" s="383" t="inlineStr">
        <is>
          <t>P00000ZL</t>
        </is>
      </c>
      <c r="C273" s="237" t="n"/>
      <c r="D273" s="235" t="n"/>
      <c r="E273" s="234" t="n"/>
      <c r="F273" s="230" t="n"/>
      <c r="G273" s="236" t="n"/>
      <c r="H273" s="231" t="n"/>
      <c r="I273" s="215" t="n"/>
      <c r="J273" s="35">
        <f>SUM(C273:I273)</f>
        <v/>
      </c>
      <c r="K273" s="755">
        <f>C273*77000</f>
        <v/>
      </c>
      <c r="L273" s="790">
        <f>D273*77000</f>
        <v/>
      </c>
      <c r="M273" s="839">
        <f>E273*77000</f>
        <v/>
      </c>
      <c r="N273" s="820" t="n"/>
      <c r="O273" s="820" t="n"/>
      <c r="P273" s="820" t="n"/>
      <c r="Q273" s="796" t="n"/>
      <c r="R273" s="756">
        <f>SUM(K273:Q273)</f>
        <v/>
      </c>
      <c r="S273" s="756">
        <f>J273*38500</f>
        <v/>
      </c>
    </row>
    <row r="274" ht="21.75" customFormat="1" customHeight="1" s="755">
      <c r="A274" s="149" t="inlineStr">
        <is>
          <t>바디스파츌라</t>
        </is>
      </c>
      <c r="B274" s="383" t="inlineStr">
        <is>
          <t>P00000DH</t>
        </is>
      </c>
      <c r="C274" s="233" t="n">
        <v>159</v>
      </c>
      <c r="D274" s="235" t="n"/>
      <c r="E274" s="234" t="n"/>
      <c r="F274" s="230" t="n"/>
      <c r="G274" s="236" t="n"/>
      <c r="H274" s="231" t="n"/>
      <c r="I274" s="214" t="n"/>
      <c r="J274" s="35">
        <f>SUM(C274:I274)</f>
        <v/>
      </c>
      <c r="K274" s="836">
        <f>C274*2500</f>
        <v/>
      </c>
      <c r="L274" s="790" t="n"/>
      <c r="M274" s="770" t="n"/>
      <c r="N274" s="771" t="n"/>
      <c r="O274" s="771" t="n"/>
      <c r="P274" s="771" t="n"/>
      <c r="Q274" s="796" t="n"/>
      <c r="R274" s="756">
        <f>SUM(K274:Q274)</f>
        <v/>
      </c>
      <c r="S274" s="756">
        <f>J274*1070</f>
        <v/>
      </c>
    </row>
    <row r="275" customFormat="1" s="755">
      <c r="A275" s="150" t="inlineStr">
        <is>
          <t>바디스파츌라(묶음)</t>
        </is>
      </c>
      <c r="B275" s="371" t="inlineStr">
        <is>
          <t>P00000TX</t>
        </is>
      </c>
      <c r="C275" s="215" t="n">
        <v>700</v>
      </c>
      <c r="D275" s="235" t="n"/>
      <c r="E275" s="234" t="n">
        <v>100</v>
      </c>
      <c r="F275" s="230" t="n"/>
      <c r="G275" s="236" t="n"/>
      <c r="H275" s="231" t="n"/>
      <c r="I275" s="215" t="n">
        <v>1</v>
      </c>
      <c r="J275" s="35">
        <f>SUM(C275:I275)</f>
        <v/>
      </c>
      <c r="K275" s="820">
        <f>C275*1700</f>
        <v/>
      </c>
      <c r="L275" s="790">
        <f>D275*1700</f>
        <v/>
      </c>
      <c r="M275" s="770">
        <f>E275*1700</f>
        <v/>
      </c>
      <c r="N275" s="771" t="n"/>
      <c r="O275" s="771">
        <f>I275*2000</f>
        <v/>
      </c>
      <c r="P275" s="771" t="n"/>
      <c r="Q275" s="796" t="n"/>
      <c r="R275" s="756">
        <f>SUM(K275:Q275)</f>
        <v/>
      </c>
      <c r="S275" s="756">
        <f>J275*1070</f>
        <v/>
      </c>
    </row>
    <row r="276" customFormat="1" s="755">
      <c r="A276" s="151" t="inlineStr">
        <is>
          <t>패들팝</t>
        </is>
      </c>
      <c r="B276" s="383" t="inlineStr">
        <is>
          <t>P00000DE</t>
        </is>
      </c>
      <c r="C276" s="239" t="n">
        <v>66</v>
      </c>
      <c r="D276" s="235" t="n"/>
      <c r="E276" s="234" t="n"/>
      <c r="F276" s="230" t="n"/>
      <c r="G276" s="236" t="n"/>
      <c r="H276" s="231" t="n"/>
      <c r="I276" s="215" t="n"/>
      <c r="J276" s="35">
        <f>SUM(C276:I276)</f>
        <v/>
      </c>
      <c r="K276" s="836">
        <f>C276*2500</f>
        <v/>
      </c>
      <c r="L276" s="790" t="n"/>
      <c r="M276" s="770">
        <f>E276*1500</f>
        <v/>
      </c>
      <c r="N276" s="771" t="n"/>
      <c r="O276" s="771" t="n"/>
      <c r="P276" s="771" t="n"/>
      <c r="Q276" s="758" t="n"/>
      <c r="R276" s="756">
        <f>SUM(K276:Q276)</f>
        <v/>
      </c>
      <c r="S276" s="756">
        <f>J276*495</f>
        <v/>
      </c>
    </row>
    <row r="277" customFormat="1" s="755">
      <c r="A277" s="152" t="inlineStr">
        <is>
          <t>패들팝(묶음)</t>
        </is>
      </c>
      <c r="B277" s="372" t="inlineStr">
        <is>
          <t>P00000TX</t>
        </is>
      </c>
      <c r="C277" s="215" t="n">
        <v>100</v>
      </c>
      <c r="D277" s="235" t="n"/>
      <c r="E277" s="234" t="n"/>
      <c r="F277" s="230" t="n"/>
      <c r="G277" s="236" t="n"/>
      <c r="H277" s="231" t="n"/>
      <c r="I277" s="215" t="n"/>
      <c r="J277" s="35">
        <f>SUM(C277:I277)</f>
        <v/>
      </c>
      <c r="K277" s="820">
        <f>C277*1700</f>
        <v/>
      </c>
      <c r="L277" s="790">
        <f>D277*1700</f>
        <v/>
      </c>
      <c r="M277" s="770">
        <f>E277*1700</f>
        <v/>
      </c>
      <c r="N277" s="771" t="n"/>
      <c r="O277" s="771">
        <f>I277*2000</f>
        <v/>
      </c>
      <c r="P277" s="771" t="n"/>
      <c r="Q277" s="758" t="n"/>
      <c r="R277" s="756">
        <f>SUM(K277:Q277)</f>
        <v/>
      </c>
      <c r="S277" s="756">
        <f>J277*495</f>
        <v/>
      </c>
    </row>
    <row r="278" customFormat="1" s="755">
      <c r="A278" s="153" t="inlineStr">
        <is>
          <t>페이스스파츌라</t>
        </is>
      </c>
      <c r="B278" s="384" t="inlineStr">
        <is>
          <t>P00000LA</t>
        </is>
      </c>
      <c r="C278" s="239" t="n">
        <v>185</v>
      </c>
      <c r="D278" s="235" t="n"/>
      <c r="E278" s="234" t="n"/>
      <c r="F278" s="230" t="n"/>
      <c r="G278" s="236" t="n"/>
      <c r="H278" s="231" t="n"/>
      <c r="I278" s="214" t="n"/>
      <c r="J278" s="35">
        <f>SUM(C278:I278)</f>
        <v/>
      </c>
      <c r="K278" s="836">
        <f>C278*2500</f>
        <v/>
      </c>
      <c r="L278" s="790" t="n"/>
      <c r="M278" s="770" t="n"/>
      <c r="N278" s="771" t="n"/>
      <c r="O278" s="771" t="n"/>
      <c r="P278" s="771" t="n"/>
      <c r="Q278" s="796" t="n"/>
      <c r="R278" s="756">
        <f>SUM(K278:Q278)</f>
        <v/>
      </c>
      <c r="S278" s="756">
        <f>J278*310</f>
        <v/>
      </c>
    </row>
    <row r="279" customFormat="1" s="755">
      <c r="A279" s="154" t="inlineStr">
        <is>
          <t>페이스스파츌라(묶음)</t>
        </is>
      </c>
      <c r="B279" s="372" t="inlineStr">
        <is>
          <t>P00000TX</t>
        </is>
      </c>
      <c r="C279" s="215" t="n">
        <v>100</v>
      </c>
      <c r="D279" s="235" t="n"/>
      <c r="E279" s="234" t="n"/>
      <c r="F279" s="229" t="n"/>
      <c r="G279" s="236" t="n"/>
      <c r="H279" s="231" t="n"/>
      <c r="I279" s="215" t="n">
        <v>5</v>
      </c>
      <c r="J279" s="35">
        <f>SUM(C279:I279)</f>
        <v/>
      </c>
      <c r="K279" s="820">
        <f>C279*1700</f>
        <v/>
      </c>
      <c r="L279" s="790">
        <f>D279*1700</f>
        <v/>
      </c>
      <c r="M279" s="770">
        <f>E279*1700</f>
        <v/>
      </c>
      <c r="N279" s="771" t="n"/>
      <c r="O279" s="771">
        <f>I279*2000</f>
        <v/>
      </c>
      <c r="P279" s="771" t="n"/>
      <c r="Q279" s="796" t="n"/>
      <c r="R279" s="756">
        <f>SUM(K279:Q279)</f>
        <v/>
      </c>
      <c r="S279" s="756">
        <f>J279*310</f>
        <v/>
      </c>
    </row>
    <row r="280" customFormat="1" s="755">
      <c r="A280" s="260" t="inlineStr">
        <is>
          <t>메탈스파츌라(라이콘)</t>
        </is>
      </c>
      <c r="B280" s="876" t="inlineStr">
        <is>
          <t>P00000DG</t>
        </is>
      </c>
      <c r="C280" s="239" t="n">
        <v>6</v>
      </c>
      <c r="D280" s="235" t="n"/>
      <c r="E280" s="234" t="n">
        <v>1</v>
      </c>
      <c r="F280" s="233" t="n"/>
      <c r="G280" s="233" t="n"/>
      <c r="H280" s="242" t="n"/>
      <c r="I280" s="215" t="n">
        <v>1</v>
      </c>
      <c r="J280" s="35">
        <f>SUM(C280:I280)</f>
        <v/>
      </c>
      <c r="K280" s="815">
        <f>C280*18900</f>
        <v/>
      </c>
      <c r="L280" s="790">
        <f>D280*15400</f>
        <v/>
      </c>
      <c r="M280" s="839">
        <f>E280*15400</f>
        <v/>
      </c>
      <c r="N280" s="820" t="n"/>
      <c r="O280" s="877">
        <f>I280*15120</f>
        <v/>
      </c>
      <c r="P280" s="820" t="n"/>
      <c r="Q280" s="820" t="n"/>
      <c r="R280" s="756">
        <f>SUM(K280:Q280)</f>
        <v/>
      </c>
      <c r="S280" s="756">
        <f>J280*4794</f>
        <v/>
      </c>
    </row>
    <row r="281" customFormat="1" s="755">
      <c r="A281" s="155" t="inlineStr">
        <is>
          <t>메탈스파츌라(제모)</t>
        </is>
      </c>
      <c r="B281" s="775" t="n"/>
      <c r="C281" s="239" t="n"/>
      <c r="D281" s="235" t="n"/>
      <c r="E281" s="234" t="n"/>
      <c r="F281" s="229" t="n"/>
      <c r="G281" s="236" t="n"/>
      <c r="H281" s="231" t="n"/>
      <c r="I281" s="215" t="n"/>
      <c r="J281" s="35">
        <f>SUM(C281:I281)</f>
        <v/>
      </c>
      <c r="K281" s="755">
        <f>C281*11000</f>
        <v/>
      </c>
      <c r="L281" s="790">
        <f>D281*7000</f>
        <v/>
      </c>
      <c r="M281" s="770">
        <f>E281*7000</f>
        <v/>
      </c>
      <c r="N281" s="771" t="n"/>
      <c r="O281" s="771" t="n"/>
      <c r="P281" s="771" t="n"/>
      <c r="Q281" s="758" t="n"/>
      <c r="R281" s="756">
        <f>SUM(K281:Q281)</f>
        <v/>
      </c>
      <c r="S281" s="756">
        <f>J281*1200</f>
        <v/>
      </c>
    </row>
    <row r="282">
      <c r="A282" s="115" t="inlineStr">
        <is>
          <t>스파앞치마</t>
        </is>
      </c>
      <c r="B282" s="383" t="inlineStr">
        <is>
          <t>P00000LD</t>
        </is>
      </c>
      <c r="C282" s="237" t="n">
        <v>3</v>
      </c>
      <c r="D282" s="235" t="n"/>
      <c r="E282" s="234" t="n">
        <v>1</v>
      </c>
      <c r="F282" s="230" t="n"/>
      <c r="G282" s="236" t="n"/>
      <c r="H282" s="231" t="n"/>
      <c r="I282" s="238" t="n"/>
      <c r="J282" s="35">
        <f>SUM(C282:I282)</f>
        <v/>
      </c>
      <c r="K282" s="815">
        <f>C282*25000</f>
        <v/>
      </c>
      <c r="L282" s="790">
        <f>D282*20000</f>
        <v/>
      </c>
      <c r="M282" s="770">
        <f>E282*20000</f>
        <v/>
      </c>
      <c r="N282" s="771" t="n"/>
      <c r="O282" s="771" t="n"/>
      <c r="P282" s="771" t="n"/>
      <c r="R282" s="756">
        <f>SUM(K282:Q282)</f>
        <v/>
      </c>
      <c r="S282" s="756">
        <f>J282*12400</f>
        <v/>
      </c>
    </row>
    <row r="283">
      <c r="A283" s="155" t="inlineStr">
        <is>
          <t>스파타올(대)</t>
        </is>
      </c>
      <c r="B283" s="876" t="inlineStr">
        <is>
          <t>P0000BES</t>
        </is>
      </c>
      <c r="C283" s="237" t="n">
        <v>1</v>
      </c>
      <c r="D283" s="235" t="n"/>
      <c r="E283" s="234" t="n">
        <v>2</v>
      </c>
      <c r="F283" s="237" t="n"/>
      <c r="G283" s="236" t="n"/>
      <c r="H283" s="241" t="n"/>
      <c r="I283" s="237" t="n"/>
      <c r="J283" s="35">
        <f>SUM(C283:I283)</f>
        <v/>
      </c>
      <c r="K283" s="815">
        <f>C283*40000</f>
        <v/>
      </c>
      <c r="L283" s="790">
        <f>D283*40000</f>
        <v/>
      </c>
      <c r="M283" s="770">
        <f>E283*38000</f>
        <v/>
      </c>
      <c r="N283" s="771" t="n"/>
      <c r="O283" s="877" t="n"/>
      <c r="P283" s="771" t="n"/>
      <c r="R283" s="756">
        <f>SUM(K283:Q283)</f>
        <v/>
      </c>
      <c r="S283" s="756">
        <f>J283*26400</f>
        <v/>
      </c>
    </row>
    <row r="284">
      <c r="A284" s="155" t="inlineStr">
        <is>
          <t>스파타올(중)</t>
        </is>
      </c>
      <c r="B284" s="774" t="n"/>
      <c r="C284" s="237" t="n"/>
      <c r="D284" s="235" t="n"/>
      <c r="E284" s="234" t="n"/>
      <c r="F284" s="237" t="n"/>
      <c r="G284" s="236" t="n"/>
      <c r="H284" s="241" t="n"/>
      <c r="I284" s="237" t="n"/>
      <c r="J284" s="35">
        <f>SUM(C284:I284)</f>
        <v/>
      </c>
      <c r="K284" s="815">
        <f>C284*22000</f>
        <v/>
      </c>
      <c r="L284" s="790">
        <f>D284*22000</f>
        <v/>
      </c>
      <c r="M284" s="770">
        <f>E284*18000</f>
        <v/>
      </c>
      <c r="N284" s="771" t="n"/>
      <c r="O284" s="771" t="n"/>
      <c r="P284" s="771" t="n"/>
      <c r="R284" s="756">
        <f>SUM(K284:Q284)</f>
        <v/>
      </c>
      <c r="S284" s="756">
        <f>J284*11000</f>
        <v/>
      </c>
    </row>
    <row r="285">
      <c r="A285" s="155" t="inlineStr">
        <is>
          <t>스파타올(소)</t>
        </is>
      </c>
      <c r="B285" s="775" t="n"/>
      <c r="C285" s="237" t="n"/>
      <c r="D285" s="235" t="n"/>
      <c r="E285" s="234" t="n">
        <v>10</v>
      </c>
      <c r="F285" s="237" t="n"/>
      <c r="G285" s="236" t="n"/>
      <c r="H285" s="241" t="n"/>
      <c r="I285" s="237" t="n"/>
      <c r="J285" s="35">
        <f>SUM(C285:I285)</f>
        <v/>
      </c>
      <c r="K285" s="755">
        <f>C285*4000</f>
        <v/>
      </c>
      <c r="L285" s="790">
        <f>D285*4000</f>
        <v/>
      </c>
      <c r="M285" s="770">
        <f>E285*3000</f>
        <v/>
      </c>
      <c r="N285" s="771" t="n"/>
      <c r="O285" s="771" t="n"/>
      <c r="P285" s="771" t="n"/>
      <c r="R285" s="756">
        <f>SUM(K285:Q285)</f>
        <v/>
      </c>
      <c r="S285" s="756">
        <f>J285*1760</f>
        <v/>
      </c>
    </row>
    <row r="286">
      <c r="A286" s="155" t="inlineStr">
        <is>
          <t>케이프세트</t>
        </is>
      </c>
      <c r="B286" s="385" t="inlineStr">
        <is>
          <t>P00000ED</t>
        </is>
      </c>
      <c r="C286" s="233" t="n">
        <v>2</v>
      </c>
      <c r="D286" s="237" t="n"/>
      <c r="E286" s="234" t="n"/>
      <c r="F286" s="237" t="n"/>
      <c r="G286" s="236" t="n"/>
      <c r="H286" s="241" t="n"/>
      <c r="I286" s="237" t="n"/>
      <c r="J286" s="35">
        <f>SUM(C286:I286)</f>
        <v/>
      </c>
      <c r="K286" s="815">
        <f>C286*25000</f>
        <v/>
      </c>
      <c r="L286" s="790">
        <f>D286*25000</f>
        <v/>
      </c>
      <c r="M286" s="770">
        <f>E286*25000</f>
        <v/>
      </c>
      <c r="N286" s="771" t="n"/>
      <c r="O286" s="771" t="n"/>
      <c r="P286" s="771" t="n"/>
      <c r="R286" s="756">
        <f>SUM(K286:Q286)</f>
        <v/>
      </c>
      <c r="S286" s="756">
        <f>J286*18000</f>
        <v/>
      </c>
    </row>
    <row r="287">
      <c r="A287" s="155" t="inlineStr">
        <is>
          <t>제모미인터번</t>
        </is>
      </c>
      <c r="B287" s="385" t="inlineStr">
        <is>
          <t>P0000BFC</t>
        </is>
      </c>
      <c r="C287" s="237" t="n">
        <v>1</v>
      </c>
      <c r="D287" s="235" t="n"/>
      <c r="E287" s="234" t="n"/>
      <c r="F287" s="237" t="n"/>
      <c r="G287" s="236" t="n"/>
      <c r="H287" s="241" t="n"/>
      <c r="I287" s="237" t="n"/>
      <c r="J287" s="35">
        <f>SUM(C287:I287)</f>
        <v/>
      </c>
      <c r="K287" s="815">
        <f>C287*5000</f>
        <v/>
      </c>
      <c r="L287" s="790">
        <f>D287*5000</f>
        <v/>
      </c>
      <c r="M287" s="770">
        <f>E287*4500</f>
        <v/>
      </c>
      <c r="N287" s="771" t="n"/>
      <c r="O287" s="771" t="n"/>
      <c r="P287" s="771" t="n"/>
      <c r="R287" s="756">
        <f>SUM(K287:Q287)</f>
        <v/>
      </c>
      <c r="S287" s="756">
        <f>J287*1800</f>
        <v/>
      </c>
    </row>
    <row r="288">
      <c r="A288" s="128" t="inlineStr">
        <is>
          <t>자디니스파앞치마</t>
        </is>
      </c>
      <c r="B288" s="156" t="n"/>
      <c r="C288" s="237" t="n"/>
      <c r="D288" s="235" t="n"/>
      <c r="E288" s="234" t="n"/>
      <c r="F288" s="237" t="n"/>
      <c r="G288" s="236" t="n"/>
      <c r="H288" s="241" t="n"/>
      <c r="I288" s="242" t="n"/>
      <c r="J288" s="35">
        <f>SUM(C288:I288)</f>
        <v/>
      </c>
      <c r="K288" s="815">
        <f>C288*27000</f>
        <v/>
      </c>
      <c r="L288" s="790">
        <f>D288*20000</f>
        <v/>
      </c>
      <c r="M288" s="770">
        <f>E288*20000</f>
        <v/>
      </c>
      <c r="N288" s="771" t="n"/>
      <c r="O288" s="771" t="n"/>
      <c r="P288" s="771" t="n"/>
      <c r="R288" s="756">
        <f>SUM(K288:Q288)</f>
        <v/>
      </c>
      <c r="S288" s="756">
        <f>J288*14850</f>
        <v/>
      </c>
    </row>
    <row r="289">
      <c r="A289" s="155" t="inlineStr">
        <is>
          <t>mts롤러</t>
        </is>
      </c>
      <c r="B289" s="373" t="n"/>
      <c r="C289" s="237" t="n"/>
      <c r="D289" s="235" t="n"/>
      <c r="E289" s="234" t="n"/>
      <c r="F289" s="237" t="n"/>
      <c r="G289" s="236" t="n"/>
      <c r="H289" s="241" t="n"/>
      <c r="I289" s="237" t="n"/>
      <c r="J289" s="35">
        <f>SUM(C289:I289)</f>
        <v/>
      </c>
      <c r="K289" s="755">
        <f>C289*4000</f>
        <v/>
      </c>
      <c r="L289" s="790">
        <f>D289*4000</f>
        <v/>
      </c>
      <c r="M289" s="770">
        <f>E289*4000</f>
        <v/>
      </c>
      <c r="N289" s="771" t="n"/>
      <c r="O289" s="771" t="n"/>
      <c r="P289" s="771" t="n"/>
      <c r="R289" s="756">
        <f>SUM(K289:Q289)</f>
        <v/>
      </c>
      <c r="S289" s="756">
        <f>J289*2600</f>
        <v/>
      </c>
    </row>
    <row r="290">
      <c r="A290" s="155" t="inlineStr">
        <is>
          <t>위생장갑</t>
        </is>
      </c>
      <c r="B290" s="385" t="inlineStr">
        <is>
          <t>P0000BBR</t>
        </is>
      </c>
      <c r="C290" s="233" t="n">
        <v>92</v>
      </c>
      <c r="D290" s="235" t="n"/>
      <c r="E290" s="234" t="n"/>
      <c r="F290" s="237" t="n"/>
      <c r="G290" s="236" t="n"/>
      <c r="H290" s="241" t="n"/>
      <c r="I290" s="230" t="n"/>
      <c r="J290" s="35">
        <f>SUM(C290:I290)</f>
        <v/>
      </c>
      <c r="K290" s="755">
        <f>C290*3900</f>
        <v/>
      </c>
      <c r="L290" s="790">
        <f>D290*3900</f>
        <v/>
      </c>
      <c r="M290" s="770">
        <f>E290*3900</f>
        <v/>
      </c>
      <c r="N290" s="771" t="n"/>
      <c r="O290" s="771" t="n"/>
      <c r="P290" s="771" t="n"/>
      <c r="R290" s="756">
        <f>SUM(K290:Q290)</f>
        <v/>
      </c>
      <c r="S290" s="756">
        <f>J290*3000</f>
        <v/>
      </c>
    </row>
    <row r="291">
      <c r="A291" s="155" t="inlineStr">
        <is>
          <t>라텍스장갑</t>
        </is>
      </c>
      <c r="B291" s="385" t="inlineStr">
        <is>
          <t>P0000BLQ</t>
        </is>
      </c>
      <c r="C291" s="233" t="n">
        <v>4</v>
      </c>
      <c r="D291" s="235" t="n"/>
      <c r="E291" s="234" t="n"/>
      <c r="F291" s="237" t="n"/>
      <c r="G291" s="236" t="n"/>
      <c r="H291" s="241" t="n"/>
      <c r="I291" s="230" t="n"/>
      <c r="J291" s="35">
        <f>SUM(C291:I291)</f>
        <v/>
      </c>
      <c r="K291" s="755">
        <f>C291*6600</f>
        <v/>
      </c>
      <c r="L291" s="790">
        <f>D291*6600</f>
        <v/>
      </c>
      <c r="M291" s="770">
        <f>E291*6600</f>
        <v/>
      </c>
      <c r="N291" s="771" t="n"/>
      <c r="O291" s="771" t="n"/>
      <c r="P291" s="771" t="n"/>
      <c r="R291" s="756">
        <f>SUM(K291:Q291)</f>
        <v/>
      </c>
      <c r="S291" s="756">
        <f>J291*4400</f>
        <v/>
      </c>
    </row>
    <row r="292">
      <c r="A292" s="155" t="inlineStr">
        <is>
          <t>아이스쿨러</t>
        </is>
      </c>
      <c r="B292" s="373" t="n"/>
      <c r="C292" s="237" t="n"/>
      <c r="D292" s="235" t="n"/>
      <c r="E292" s="234" t="n"/>
      <c r="F292" s="237" t="n"/>
      <c r="G292" s="236" t="n"/>
      <c r="H292" s="241" t="n"/>
      <c r="I292" s="241" t="n"/>
      <c r="J292" s="35">
        <f>SUM(C292:I292)</f>
        <v/>
      </c>
      <c r="K292" s="755">
        <f>C292*25000</f>
        <v/>
      </c>
      <c r="L292" s="790">
        <f>D292*20000</f>
        <v/>
      </c>
      <c r="M292" s="770">
        <f>E292*20000</f>
        <v/>
      </c>
      <c r="N292" s="771" t="n"/>
      <c r="O292" s="771" t="n"/>
      <c r="P292" s="771" t="n"/>
      <c r="R292" s="756">
        <f>SUM(K292:Q292)</f>
        <v/>
      </c>
      <c r="S292" s="756">
        <f>J292*8800</f>
        <v/>
      </c>
    </row>
    <row r="293">
      <c r="A293" s="155" t="inlineStr">
        <is>
          <t>롤러아이스쿨러(바디)</t>
        </is>
      </c>
      <c r="B293" s="370" t="inlineStr">
        <is>
          <t>P00000KD</t>
        </is>
      </c>
      <c r="C293" s="237" t="n"/>
      <c r="D293" s="235" t="n"/>
      <c r="E293" s="234" t="n"/>
      <c r="F293" s="237" t="n"/>
      <c r="G293" s="236" t="n"/>
      <c r="H293" s="241" t="n"/>
      <c r="I293" s="241" t="n"/>
      <c r="J293" s="35">
        <f>SUM(C293:I293)</f>
        <v/>
      </c>
      <c r="K293" s="815">
        <f>C293*15000</f>
        <v/>
      </c>
      <c r="L293" s="790">
        <f>D293*10000</f>
        <v/>
      </c>
      <c r="M293" s="770">
        <f>E293*10000</f>
        <v/>
      </c>
      <c r="N293" s="771" t="n"/>
      <c r="O293" s="771" t="n"/>
      <c r="P293" s="771" t="n"/>
      <c r="R293" s="756">
        <f>SUM(K293:Q293)</f>
        <v/>
      </c>
      <c r="S293" s="756">
        <f>J293*4000</f>
        <v/>
      </c>
    </row>
    <row r="294">
      <c r="A294" s="155" t="inlineStr">
        <is>
          <t>롤러아이스쿨러(얼굴)</t>
        </is>
      </c>
      <c r="B294" s="370" t="inlineStr">
        <is>
          <t>P00000KE</t>
        </is>
      </c>
      <c r="C294" s="237" t="n">
        <v>1</v>
      </c>
      <c r="D294" s="235" t="n"/>
      <c r="E294" s="234" t="n"/>
      <c r="F294" s="237" t="n"/>
      <c r="G294" s="236" t="n"/>
      <c r="H294" s="241" t="n"/>
      <c r="I294" s="241" t="n"/>
      <c r="J294" s="35">
        <f>SUM(C294:I294)</f>
        <v/>
      </c>
      <c r="K294" s="815">
        <f>C294*15000</f>
        <v/>
      </c>
      <c r="L294" s="790">
        <f>D294*10000</f>
        <v/>
      </c>
      <c r="M294" s="770">
        <f>E294*10000</f>
        <v/>
      </c>
      <c r="N294" s="771" t="n"/>
      <c r="O294" s="771" t="n"/>
      <c r="P294" s="771" t="n"/>
      <c r="R294" s="756">
        <f>SUM(K294:Q294)</f>
        <v/>
      </c>
      <c r="S294" s="756">
        <f>J294*4000</f>
        <v/>
      </c>
    </row>
    <row r="295" customFormat="1" s="161">
      <c r="A295" s="128" t="inlineStr">
        <is>
          <t>가위</t>
        </is>
      </c>
      <c r="B295" s="385" t="inlineStr">
        <is>
          <t>P00000OE</t>
        </is>
      </c>
      <c r="C295" s="237" t="n">
        <v>1</v>
      </c>
      <c r="D295" s="237" t="n"/>
      <c r="E295" s="234" t="n"/>
      <c r="F295" s="237" t="n"/>
      <c r="G295" s="236" t="n"/>
      <c r="H295" s="243" t="n"/>
      <c r="I295" s="243" t="n"/>
      <c r="J295" s="35">
        <f>SUM(C295:I295)</f>
        <v/>
      </c>
      <c r="K295" s="836">
        <f>C295*30000</f>
        <v/>
      </c>
      <c r="L295" s="790">
        <f>D295*25000</f>
        <v/>
      </c>
      <c r="M295" s="770">
        <f>E295*25000</f>
        <v/>
      </c>
      <c r="N295" s="771" t="n"/>
      <c r="O295" s="771" t="n"/>
      <c r="P295" s="771" t="n"/>
      <c r="Q295" s="878" t="n"/>
      <c r="R295" s="756">
        <f>SUM(K295:Q295)</f>
        <v/>
      </c>
      <c r="S295" s="756">
        <f>J295*16500</f>
        <v/>
      </c>
    </row>
    <row r="296">
      <c r="A296" s="128" t="inlineStr">
        <is>
          <t>온도계</t>
        </is>
      </c>
      <c r="B296" s="385" t="inlineStr">
        <is>
          <t>P00000KG</t>
        </is>
      </c>
      <c r="C296" s="237" t="n"/>
      <c r="D296" s="237" t="n"/>
      <c r="E296" s="234" t="n"/>
      <c r="F296" s="237" t="n"/>
      <c r="G296" s="236" t="n"/>
      <c r="H296" s="241" t="n"/>
      <c r="I296" s="241" t="n"/>
      <c r="J296" s="35">
        <f>SUM(C296:I296)</f>
        <v/>
      </c>
      <c r="K296" s="755">
        <f>C296*24000</f>
        <v/>
      </c>
      <c r="L296" s="790">
        <f>D296*20000</f>
        <v/>
      </c>
      <c r="M296" s="770">
        <f>E296*18000</f>
        <v/>
      </c>
      <c r="N296" s="771" t="n"/>
      <c r="O296" s="771" t="n"/>
      <c r="P296" s="771" t="n"/>
      <c r="R296" s="756">
        <f>SUM(K296:Q296)</f>
        <v/>
      </c>
      <c r="S296" s="756">
        <f>J296*9945</f>
        <v/>
      </c>
    </row>
    <row r="297">
      <c r="A297" s="0" t="inlineStr">
        <is>
          <t>파우치</t>
        </is>
      </c>
      <c r="B297" s="876" t="inlineStr">
        <is>
          <t>P00000ED</t>
        </is>
      </c>
      <c r="C297" s="237" t="n"/>
      <c r="D297" s="235" t="n"/>
      <c r="E297" s="234" t="n"/>
      <c r="F297" s="230" t="n"/>
      <c r="G297" s="236" t="n"/>
      <c r="H297" s="231" t="n"/>
      <c r="I297" s="215" t="n"/>
      <c r="J297" s="35">
        <f>SUM(C297:I297)</f>
        <v/>
      </c>
      <c r="K297" s="755">
        <f>C297*25000</f>
        <v/>
      </c>
      <c r="L297" s="790">
        <f>D297*25000</f>
        <v/>
      </c>
      <c r="M297" s="770">
        <f>E297*25000</f>
        <v/>
      </c>
      <c r="N297" s="771" t="n"/>
      <c r="O297" s="771" t="n"/>
      <c r="P297" s="771" t="n"/>
      <c r="R297" s="756">
        <f>SUM(K297:Q297)</f>
        <v/>
      </c>
      <c r="S297" s="756">
        <f>J297*18000</f>
        <v/>
      </c>
    </row>
    <row r="298">
      <c r="A298" s="128" t="inlineStr">
        <is>
          <t>브러쉬</t>
        </is>
      </c>
      <c r="B298" s="774" t="n"/>
      <c r="C298" s="237" t="n"/>
      <c r="D298" s="237" t="n"/>
      <c r="E298" s="234" t="n"/>
      <c r="F298" s="237" t="n"/>
      <c r="G298" s="236" t="n"/>
      <c r="H298" s="241" t="n"/>
      <c r="I298" s="241" t="n"/>
      <c r="J298" s="35">
        <f>SUM(C298:I298)</f>
        <v/>
      </c>
      <c r="K298" s="815">
        <f>C298*10000</f>
        <v/>
      </c>
      <c r="L298" s="790" t="n"/>
      <c r="M298" s="770" t="n"/>
      <c r="N298" s="771" t="n"/>
      <c r="O298" s="771" t="n"/>
      <c r="P298" s="771" t="n"/>
      <c r="R298" s="756">
        <f>SUM(K298:Q298)</f>
        <v/>
      </c>
      <c r="S298" s="756">
        <f>J298*9000</f>
        <v/>
      </c>
    </row>
    <row r="299">
      <c r="A299" s="128" t="inlineStr">
        <is>
          <t>브로우펜슬</t>
        </is>
      </c>
      <c r="B299" s="774" t="n"/>
      <c r="C299" s="237" t="n"/>
      <c r="D299" s="237" t="n"/>
      <c r="E299" s="234" t="n"/>
      <c r="F299" s="237" t="n"/>
      <c r="G299" s="236" t="n"/>
      <c r="H299" s="241" t="n"/>
      <c r="I299" s="241" t="n"/>
      <c r="J299" s="35">
        <f>SUM(C299:I299)</f>
        <v/>
      </c>
      <c r="K299" s="755">
        <f>C299*24000</f>
        <v/>
      </c>
      <c r="L299" s="790" t="n"/>
      <c r="M299" s="770" t="n"/>
      <c r="N299" s="771" t="n"/>
      <c r="O299" s="771" t="n"/>
      <c r="P299" s="771" t="n"/>
      <c r="R299" s="756">
        <f>SUM(K299:Q299)</f>
        <v/>
      </c>
      <c r="S299" s="756">
        <f>J299*18000</f>
        <v/>
      </c>
    </row>
    <row r="300">
      <c r="A300" s="128" t="inlineStr">
        <is>
          <t>거울</t>
        </is>
      </c>
      <c r="B300" s="775" t="n"/>
      <c r="C300" s="237" t="n">
        <v>1</v>
      </c>
      <c r="D300" s="237" t="n"/>
      <c r="E300" s="234" t="n"/>
      <c r="F300" s="237" t="n"/>
      <c r="G300" s="236" t="n"/>
      <c r="H300" s="241" t="n"/>
      <c r="I300" s="241" t="n"/>
      <c r="J300" s="35">
        <f>SUM(C300:I300)</f>
        <v/>
      </c>
      <c r="K300" s="755">
        <f>C300*7000</f>
        <v/>
      </c>
      <c r="L300" s="790">
        <f>D300*7000</f>
        <v/>
      </c>
      <c r="M300" s="770">
        <f>E300*7000</f>
        <v/>
      </c>
      <c r="N300" s="771" t="n"/>
      <c r="O300" s="771" t="n"/>
      <c r="P300" s="771" t="n"/>
      <c r="R300" s="756">
        <f>SUM(K300:Q300)</f>
        <v/>
      </c>
      <c r="S300" s="756">
        <f>J300*4000</f>
        <v/>
      </c>
    </row>
    <row r="301">
      <c r="A301" s="128" t="inlineStr">
        <is>
          <t>브로우펜슬(컨실러)</t>
        </is>
      </c>
      <c r="B301" s="598" t="n"/>
      <c r="C301" s="237" t="n"/>
      <c r="D301" s="237" t="n"/>
      <c r="E301" s="234" t="n"/>
      <c r="F301" s="237" t="n"/>
      <c r="G301" s="236" t="n"/>
      <c r="H301" s="241" t="n"/>
      <c r="I301" s="241" t="n"/>
      <c r="J301" s="35">
        <f>SUM(C301:I301)</f>
        <v/>
      </c>
      <c r="K301" s="755">
        <f>C301*10000</f>
        <v/>
      </c>
      <c r="L301" s="790">
        <f>D301*10000</f>
        <v/>
      </c>
      <c r="M301" s="770">
        <f>E301*10000</f>
        <v/>
      </c>
      <c r="N301" s="771" t="n"/>
      <c r="O301" s="771" t="n"/>
      <c r="P301" s="771" t="n"/>
      <c r="R301" s="756">
        <f>SUM(K301:Q301)</f>
        <v/>
      </c>
      <c r="S301" s="756">
        <f>J301*2664</f>
        <v/>
      </c>
    </row>
    <row r="302">
      <c r="A302" s="128" t="inlineStr">
        <is>
          <t xml:space="preserve">워머기카라 </t>
        </is>
      </c>
      <c r="B302" s="386" t="inlineStr">
        <is>
          <t>P00000OR</t>
        </is>
      </c>
      <c r="C302" s="237" t="n">
        <v>200</v>
      </c>
      <c r="D302" s="237" t="n"/>
      <c r="E302" s="234" t="n"/>
      <c r="F302" s="237" t="n"/>
      <c r="G302" s="236" t="n"/>
      <c r="H302" s="241" t="n"/>
      <c r="I302" s="242" t="n"/>
      <c r="J302" s="35">
        <f>SUM(C302:I302)</f>
        <v/>
      </c>
      <c r="K302" s="815">
        <f>C302*200</f>
        <v/>
      </c>
      <c r="L302" s="790">
        <f>D302*200</f>
        <v/>
      </c>
      <c r="M302" s="770">
        <f>E302*200</f>
        <v/>
      </c>
      <c r="N302" s="771" t="n"/>
      <c r="O302" s="771" t="n"/>
      <c r="P302" s="771" t="n"/>
      <c r="R302" s="756">
        <f>SUM(K302:Q302)</f>
        <v/>
      </c>
      <c r="S302" s="756">
        <f>J302*110</f>
        <v/>
      </c>
    </row>
    <row r="303">
      <c r="A303" s="162" t="inlineStr">
        <is>
          <t>왁스네임텍</t>
        </is>
      </c>
      <c r="B303" s="386" t="inlineStr">
        <is>
          <t>P00000OQ</t>
        </is>
      </c>
      <c r="C303" s="237" t="n">
        <v>10</v>
      </c>
      <c r="D303" s="237" t="n"/>
      <c r="E303" s="234" t="n"/>
      <c r="F303" s="237" t="n"/>
      <c r="G303" s="236" t="n"/>
      <c r="H303" s="241" t="n"/>
      <c r="I303" s="241" t="n"/>
      <c r="J303" s="35">
        <f>SUM(C303:I303)</f>
        <v/>
      </c>
      <c r="K303" s="815">
        <f>C303*200</f>
        <v/>
      </c>
      <c r="L303" s="790">
        <f>D303*200</f>
        <v/>
      </c>
      <c r="M303" s="770">
        <f>E303*200</f>
        <v/>
      </c>
      <c r="N303" s="771" t="n"/>
      <c r="O303" s="771" t="n"/>
      <c r="P303" s="771" t="n"/>
      <c r="R303" s="756">
        <f>SUM(K303:Q303)</f>
        <v/>
      </c>
      <c r="S303" s="756">
        <f>J303*110</f>
        <v/>
      </c>
    </row>
    <row r="304">
      <c r="A304" s="162" t="inlineStr">
        <is>
          <t>오일공용라벨</t>
        </is>
      </c>
      <c r="B304" s="386" t="n"/>
      <c r="C304" s="237" t="n"/>
      <c r="D304" s="237" t="n"/>
      <c r="E304" s="234" t="n"/>
      <c r="F304" s="237" t="n"/>
      <c r="G304" s="236" t="n"/>
      <c r="H304" s="241" t="n"/>
      <c r="I304" s="241" t="n"/>
      <c r="J304" s="35">
        <f>SUM(C304:I304)</f>
        <v/>
      </c>
      <c r="K304" s="815" t="n"/>
      <c r="L304" s="790" t="n"/>
      <c r="M304" s="770">
        <f>E304*150</f>
        <v/>
      </c>
      <c r="N304" s="771" t="n"/>
      <c r="O304" s="771" t="n"/>
      <c r="P304" s="771" t="n"/>
      <c r="R304" s="756">
        <f>SUM(K304:Q304)</f>
        <v/>
      </c>
      <c r="S304" s="756">
        <f>J304*127</f>
        <v/>
      </c>
    </row>
    <row r="305">
      <c r="A305" s="162" t="inlineStr">
        <is>
          <t>아로마교육책자</t>
        </is>
      </c>
      <c r="B305" s="386" t="n"/>
      <c r="C305" s="237" t="n"/>
      <c r="D305" s="237" t="n"/>
      <c r="E305" s="234" t="n"/>
      <c r="F305" s="237" t="n"/>
      <c r="G305" s="236" t="n"/>
      <c r="H305" s="241" t="n"/>
      <c r="I305" s="241" t="n"/>
      <c r="J305" s="35">
        <f>SUM(C305:I305)</f>
        <v/>
      </c>
      <c r="K305" s="815" t="n"/>
      <c r="L305" s="790" t="n"/>
      <c r="M305" s="770">
        <f>E305*15000</f>
        <v/>
      </c>
      <c r="N305" s="771" t="n"/>
      <c r="O305" s="771" t="n"/>
      <c r="P305" s="771" t="n"/>
      <c r="R305" s="756">
        <f>SUM(K305:Q305)</f>
        <v/>
      </c>
      <c r="S305" s="756">
        <f>J305*9680</f>
        <v/>
      </c>
    </row>
    <row r="306">
      <c r="A306" s="128" t="inlineStr">
        <is>
          <t>실리콘팩브러쉬</t>
        </is>
      </c>
      <c r="B306" s="385" t="inlineStr">
        <is>
          <t>P0000BDI</t>
        </is>
      </c>
      <c r="C306" s="237" t="n"/>
      <c r="D306" s="235" t="n"/>
      <c r="E306" s="234" t="n"/>
      <c r="F306" s="237" t="n"/>
      <c r="G306" s="236" t="n"/>
      <c r="H306" s="241" t="n"/>
      <c r="I306" s="241" t="n"/>
      <c r="J306" s="35">
        <f>SUM(C306:I306)</f>
        <v/>
      </c>
      <c r="K306" s="755">
        <f>C306*3000</f>
        <v/>
      </c>
      <c r="L306" s="790">
        <f>D306*3000</f>
        <v/>
      </c>
      <c r="M306" s="770">
        <f>E306*3000</f>
        <v/>
      </c>
      <c r="N306" s="771" t="n"/>
      <c r="O306" s="771" t="n"/>
      <c r="P306" s="771" t="n"/>
      <c r="R306" s="756">
        <f>SUM(K306:Q306)</f>
        <v/>
      </c>
      <c r="S306" s="756">
        <f>J306*1320</f>
        <v/>
      </c>
    </row>
    <row r="307" customFormat="1" s="755">
      <c r="A307" s="155" t="inlineStr">
        <is>
          <t>쇼핑백(소)</t>
        </is>
      </c>
      <c r="B307" s="876" t="inlineStr">
        <is>
          <t>P00000GH</t>
        </is>
      </c>
      <c r="C307" s="237" t="n">
        <v>70</v>
      </c>
      <c r="D307" s="237" t="n"/>
      <c r="E307" s="234" t="n"/>
      <c r="F307" s="237" t="n"/>
      <c r="G307" s="236" t="n"/>
      <c r="H307" s="241" t="n"/>
      <c r="I307" s="240" t="n"/>
      <c r="J307" s="35">
        <f>SUM(C307:I307)</f>
        <v/>
      </c>
      <c r="K307" s="815">
        <f>C307*1100</f>
        <v/>
      </c>
      <c r="L307" s="790">
        <f>D307*850</f>
        <v/>
      </c>
      <c r="M307" s="770">
        <f>E307*850</f>
        <v/>
      </c>
      <c r="N307" s="771" t="n"/>
      <c r="O307" s="771" t="n"/>
      <c r="P307" s="771" t="n"/>
      <c r="Q307" s="758" t="n"/>
      <c r="R307" s="756">
        <f>SUM(K307:Q307)</f>
        <v/>
      </c>
      <c r="S307" s="756">
        <f>J307*780</f>
        <v/>
      </c>
    </row>
    <row r="308" customFormat="1" s="755">
      <c r="A308" s="155" t="inlineStr">
        <is>
          <t>쇼핑백(중)</t>
        </is>
      </c>
      <c r="B308" s="775" t="n"/>
      <c r="C308" s="237" t="n"/>
      <c r="D308" s="237" t="n"/>
      <c r="E308" s="234" t="n"/>
      <c r="F308" s="237" t="n"/>
      <c r="G308" s="236" t="n"/>
      <c r="H308" s="241" t="n"/>
      <c r="I308" s="237" t="n"/>
      <c r="J308" s="35">
        <f>SUM(C308:I308)</f>
        <v/>
      </c>
      <c r="K308" s="815">
        <f>C308*1200</f>
        <v/>
      </c>
      <c r="L308" s="790">
        <f>D308*980</f>
        <v/>
      </c>
      <c r="M308" s="770">
        <f>E308*980</f>
        <v/>
      </c>
      <c r="N308" s="771" t="n"/>
      <c r="O308" s="771" t="n"/>
      <c r="P308" s="771" t="n"/>
      <c r="Q308" s="758" t="n"/>
      <c r="R308" s="756">
        <f>SUM(K308:Q308)</f>
        <v/>
      </c>
      <c r="S308" s="756">
        <f>J308*836</f>
        <v/>
      </c>
    </row>
    <row r="309" customFormat="1" s="755">
      <c r="A309" s="155" t="inlineStr">
        <is>
          <t>자디니쇼핑백</t>
        </is>
      </c>
      <c r="B309" s="385" t="inlineStr">
        <is>
          <t>P0000BMM</t>
        </is>
      </c>
      <c r="C309" s="237" t="n">
        <v>40</v>
      </c>
      <c r="D309" s="237" t="n"/>
      <c r="E309" s="234" t="n"/>
      <c r="F309" s="237" t="n"/>
      <c r="G309" s="236" t="n"/>
      <c r="H309" s="241" t="n"/>
      <c r="I309" s="242" t="n"/>
      <c r="J309" s="35">
        <f>SUM(C309:I309)</f>
        <v/>
      </c>
      <c r="K309" s="815">
        <f>C309*2500</f>
        <v/>
      </c>
      <c r="L309" s="790">
        <f>D309*1100</f>
        <v/>
      </c>
      <c r="M309" s="770">
        <f>E309*1100</f>
        <v/>
      </c>
      <c r="N309" s="771" t="n"/>
      <c r="O309" s="771" t="n"/>
      <c r="P309" s="771" t="n"/>
      <c r="Q309" s="758" t="n"/>
      <c r="R309" s="756">
        <f>SUM(K309:Q309)</f>
        <v/>
      </c>
      <c r="S309" s="756">
        <f>J309*1628</f>
        <v/>
      </c>
    </row>
    <row r="310" customFormat="1" s="755">
      <c r="A310" s="155" t="inlineStr">
        <is>
          <t>제모미인단상자(대)</t>
        </is>
      </c>
      <c r="B310" s="879" t="inlineStr">
        <is>
          <t>P0000BGT</t>
        </is>
      </c>
      <c r="C310" s="237" t="n"/>
      <c r="D310" s="237" t="n"/>
      <c r="E310" s="234" t="n"/>
      <c r="F310" s="237" t="n"/>
      <c r="G310" s="236" t="n"/>
      <c r="H310" s="241" t="n"/>
      <c r="I310" s="237" t="n"/>
      <c r="J310" s="35">
        <f>SUM(C310:I310)</f>
        <v/>
      </c>
      <c r="K310" s="755">
        <f>C310*550</f>
        <v/>
      </c>
      <c r="L310" s="790">
        <f>D310*550</f>
        <v/>
      </c>
      <c r="M310" s="770">
        <f>E310*550</f>
        <v/>
      </c>
      <c r="N310" s="771" t="n"/>
      <c r="O310" s="771" t="n"/>
      <c r="P310" s="771" t="n"/>
      <c r="Q310" s="758" t="n"/>
      <c r="R310" s="756">
        <f>SUM(K310:Q310)</f>
        <v/>
      </c>
      <c r="S310" s="756">
        <f>J310*389</f>
        <v/>
      </c>
    </row>
    <row r="311" customFormat="1" s="755">
      <c r="A311" s="155" t="inlineStr">
        <is>
          <t>제모미인단상자(중)</t>
        </is>
      </c>
      <c r="B311" s="774" t="n"/>
      <c r="C311" s="237" t="n">
        <v>10</v>
      </c>
      <c r="D311" s="237" t="n"/>
      <c r="E311" s="234" t="n"/>
      <c r="F311" s="237" t="n"/>
      <c r="G311" s="236" t="n"/>
      <c r="H311" s="241" t="n"/>
      <c r="I311" s="237" t="n"/>
      <c r="J311" s="35">
        <f>SUM(C311:I311)</f>
        <v/>
      </c>
      <c r="K311" s="755">
        <f>C311*550</f>
        <v/>
      </c>
      <c r="L311" s="790">
        <f>D311*550</f>
        <v/>
      </c>
      <c r="M311" s="770">
        <f>E311*550</f>
        <v/>
      </c>
      <c r="N311" s="771" t="n"/>
      <c r="O311" s="771" t="n"/>
      <c r="P311" s="771" t="n"/>
      <c r="Q311" s="758" t="n"/>
      <c r="R311" s="756">
        <f>SUM(K311:Q311)</f>
        <v/>
      </c>
      <c r="S311" s="756">
        <f>J311*389</f>
        <v/>
      </c>
    </row>
    <row r="312" customFormat="1" s="755">
      <c r="A312" s="155" t="inlineStr">
        <is>
          <t>제모미인단상자(소)</t>
        </is>
      </c>
      <c r="B312" s="775" t="n"/>
      <c r="C312" s="237" t="n"/>
      <c r="D312" s="237" t="n"/>
      <c r="E312" s="234" t="n"/>
      <c r="F312" s="237" t="n"/>
      <c r="G312" s="236" t="n"/>
      <c r="H312" s="241" t="n"/>
      <c r="I312" s="237" t="n"/>
      <c r="J312" s="35">
        <f>SUM(C312:I312)</f>
        <v/>
      </c>
      <c r="K312" s="755">
        <f>C312*550</f>
        <v/>
      </c>
      <c r="L312" s="790">
        <f>D312*550</f>
        <v/>
      </c>
      <c r="M312" s="770">
        <f>E312*550</f>
        <v/>
      </c>
      <c r="N312" s="771" t="n"/>
      <c r="O312" s="771" t="n"/>
      <c r="P312" s="771" t="n"/>
      <c r="Q312" s="758" t="n"/>
      <c r="R312" s="756">
        <f>SUM(K312:Q312)</f>
        <v/>
      </c>
      <c r="S312" s="756">
        <f>J312*389</f>
        <v/>
      </c>
    </row>
    <row r="313" customFormat="1" s="755">
      <c r="A313" s="155" t="inlineStr">
        <is>
          <t>Y존패드리필용기</t>
        </is>
      </c>
      <c r="B313" s="387" t="inlineStr">
        <is>
          <t>P0000BIJ</t>
        </is>
      </c>
      <c r="C313" s="237" t="n">
        <v>11</v>
      </c>
      <c r="D313" s="235" t="n"/>
      <c r="E313" s="234" t="n"/>
      <c r="F313" s="237" t="n"/>
      <c r="G313" s="236" t="n"/>
      <c r="H313" s="241" t="n"/>
      <c r="I313" s="242" t="n"/>
      <c r="J313" s="35">
        <f>SUM(C313:I313)</f>
        <v/>
      </c>
      <c r="K313" s="815">
        <f>C313*2500</f>
        <v/>
      </c>
      <c r="L313" s="790">
        <f>D313*2500</f>
        <v/>
      </c>
      <c r="M313" s="770">
        <f>E313*2500</f>
        <v/>
      </c>
      <c r="N313" s="771" t="n"/>
      <c r="O313" s="771" t="n"/>
      <c r="P313" s="771" t="n"/>
      <c r="Q313" s="758" t="n"/>
      <c r="R313" s="756">
        <f>SUM(K313:Q313)</f>
        <v/>
      </c>
      <c r="S313" s="756">
        <f>J313*1412</f>
        <v/>
      </c>
    </row>
    <row r="314" customFormat="1" s="755">
      <c r="A314" s="155" t="inlineStr">
        <is>
          <t>y존패드파우치</t>
        </is>
      </c>
      <c r="B314" s="386" t="inlineStr">
        <is>
          <t>P0000BIP</t>
        </is>
      </c>
      <c r="C314" s="237" t="n">
        <v>200</v>
      </c>
      <c r="D314" s="237" t="n"/>
      <c r="E314" s="234" t="n"/>
      <c r="F314" s="237" t="n"/>
      <c r="G314" s="236" t="n"/>
      <c r="H314" s="241" t="n"/>
      <c r="I314" s="242" t="n">
        <v>81</v>
      </c>
      <c r="J314" s="35">
        <f>SUM(C314:I314)</f>
        <v/>
      </c>
      <c r="K314" s="815">
        <f>C314*110</f>
        <v/>
      </c>
      <c r="L314" s="790" t="n"/>
      <c r="M314" s="770" t="n"/>
      <c r="N314" s="771" t="n"/>
      <c r="O314" s="771" t="n"/>
      <c r="P314" s="771" t="n"/>
      <c r="Q314" s="758" t="n"/>
      <c r="R314" s="756">
        <f>SUM(K314:Q314)</f>
        <v/>
      </c>
      <c r="S314" s="756">
        <f>J314*60</f>
        <v/>
      </c>
    </row>
    <row r="315" customFormat="1" s="755">
      <c r="A315" s="155" t="inlineStr">
        <is>
          <t>A2가로판넬</t>
        </is>
      </c>
      <c r="B315" s="386" t="inlineStr">
        <is>
          <t>P00000DM</t>
        </is>
      </c>
      <c r="C315" s="237" t="n"/>
      <c r="D315" s="237" t="n"/>
      <c r="E315" s="234" t="n"/>
      <c r="F315" s="237" t="n"/>
      <c r="G315" s="236" t="n"/>
      <c r="H315" s="241" t="n"/>
      <c r="I315" s="242" t="n"/>
      <c r="J315" s="35">
        <f>SUM(C315:I315)</f>
        <v/>
      </c>
      <c r="K315" s="815">
        <f>C315*75000</f>
        <v/>
      </c>
      <c r="L315" s="790" t="n"/>
      <c r="M315" s="770" t="n"/>
      <c r="N315" s="771" t="n"/>
      <c r="O315" s="771" t="n"/>
      <c r="P315" s="771" t="n"/>
      <c r="Q315" s="758" t="n"/>
      <c r="R315" s="756">
        <f>SUM(K315:Q315)</f>
        <v/>
      </c>
      <c r="S315" s="756">
        <f>J315*27500</f>
        <v/>
      </c>
    </row>
    <row r="316" customFormat="1" s="755">
      <c r="A316" s="155" t="inlineStr">
        <is>
          <t>A1 세로,가로판넬</t>
        </is>
      </c>
      <c r="B316" s="879" t="inlineStr">
        <is>
          <t>P00000DU</t>
        </is>
      </c>
      <c r="C316" s="237" t="n">
        <v>1</v>
      </c>
      <c r="D316" s="237" t="n"/>
      <c r="E316" s="234" t="n"/>
      <c r="F316" s="237" t="n"/>
      <c r="G316" s="236" t="n"/>
      <c r="H316" s="241" t="n"/>
      <c r="I316" s="242" t="n"/>
      <c r="J316" s="35">
        <f>SUM(C316:I316)</f>
        <v/>
      </c>
      <c r="K316" s="815">
        <f>C316*120000</f>
        <v/>
      </c>
      <c r="L316" s="790" t="n"/>
      <c r="M316" s="770" t="n"/>
      <c r="N316" s="771" t="n"/>
      <c r="O316" s="771" t="n"/>
      <c r="P316" s="771" t="n"/>
      <c r="Q316" s="758" t="n"/>
      <c r="R316" s="756">
        <f>SUM(K316:Q316)</f>
        <v/>
      </c>
      <c r="S316" s="756">
        <f>J316*59400</f>
        <v/>
      </c>
    </row>
    <row r="317" customFormat="1" s="755">
      <c r="A317" s="155" t="inlineStr">
        <is>
          <t>A2 세로,가로판넬</t>
        </is>
      </c>
      <c r="B317" s="775" t="n"/>
      <c r="C317" s="237" t="n"/>
      <c r="D317" s="237" t="n"/>
      <c r="E317" s="234" t="n"/>
      <c r="F317" s="237" t="n"/>
      <c r="G317" s="236" t="n"/>
      <c r="H317" s="241" t="n"/>
      <c r="I317" s="242" t="n"/>
      <c r="J317" s="35">
        <f>SUM(C317:I317)</f>
        <v/>
      </c>
      <c r="K317" s="815">
        <f>C317*75000</f>
        <v/>
      </c>
      <c r="L317" s="790" t="n"/>
      <c r="M317" s="770" t="n"/>
      <c r="N317" s="771" t="n"/>
      <c r="O317" s="771" t="n"/>
      <c r="P317" s="771" t="n"/>
      <c r="Q317" s="758" t="n"/>
      <c r="R317" s="756">
        <f>SUM(K317:Q317)</f>
        <v/>
      </c>
      <c r="S317" s="756">
        <f>J317*33000</f>
        <v/>
      </c>
    </row>
    <row r="318" customFormat="1" s="755">
      <c r="A318" s="155" t="inlineStr">
        <is>
          <t>A3사후관리액자</t>
        </is>
      </c>
      <c r="B318" s="386" t="inlineStr">
        <is>
          <t>P00000DS</t>
        </is>
      </c>
      <c r="C318" s="237" t="n">
        <v>1</v>
      </c>
      <c r="D318" s="237" t="n"/>
      <c r="E318" s="234" t="n"/>
      <c r="F318" s="237" t="n"/>
      <c r="G318" s="236" t="n"/>
      <c r="H318" s="241" t="n"/>
      <c r="I318" s="242" t="n"/>
      <c r="J318" s="35">
        <f>SUM(C318:I318)</f>
        <v/>
      </c>
      <c r="K318" s="815">
        <f>C318*35000</f>
        <v/>
      </c>
      <c r="L318" s="790" t="n"/>
      <c r="M318" s="770" t="n"/>
      <c r="N318" s="771" t="n"/>
      <c r="O318" s="771" t="n"/>
      <c r="P318" s="771" t="n"/>
      <c r="Q318" s="758" t="n"/>
      <c r="R318" s="756">
        <f>SUM(K318:Q318)</f>
        <v/>
      </c>
      <c r="S318" s="756">
        <f>J318*15400</f>
        <v/>
      </c>
    </row>
    <row r="319" customFormat="1" s="755">
      <c r="A319" s="155" t="inlineStr">
        <is>
          <t>라이콘핑키니배너</t>
        </is>
      </c>
      <c r="B319" s="879" t="inlineStr">
        <is>
          <t>P00000PM</t>
        </is>
      </c>
      <c r="C319" s="237" t="n"/>
      <c r="D319" s="237" t="n"/>
      <c r="E319" s="234" t="n"/>
      <c r="F319" s="237" t="n"/>
      <c r="G319" s="236" t="n"/>
      <c r="H319" s="241" t="n"/>
      <c r="I319" s="242" t="n"/>
      <c r="J319" s="35">
        <f>SUM(C319:I319)</f>
        <v/>
      </c>
      <c r="K319" s="815">
        <f>C319*36000</f>
        <v/>
      </c>
      <c r="L319" s="790" t="n"/>
      <c r="M319" s="770" t="n"/>
      <c r="N319" s="771" t="n"/>
      <c r="O319" s="771" t="n"/>
      <c r="P319" s="771" t="n"/>
      <c r="Q319" s="758" t="n"/>
      <c r="R319" s="756">
        <f>SUM(K319:Q319)</f>
        <v/>
      </c>
      <c r="S319" s="756">
        <f>J319*12000</f>
        <v/>
      </c>
    </row>
    <row r="320" customFormat="1" s="755">
      <c r="A320" s="155" t="inlineStr">
        <is>
          <t>라이콘핑키니배너세트</t>
        </is>
      </c>
      <c r="B320" s="775" t="n"/>
      <c r="C320" s="237" t="n"/>
      <c r="D320" s="237" t="n"/>
      <c r="E320" s="234" t="n"/>
      <c r="F320" s="237" t="n"/>
      <c r="G320" s="236" t="n"/>
      <c r="H320" s="241" t="n"/>
      <c r="I320" s="242" t="n"/>
      <c r="J320" s="35">
        <f>SUM(C320:I320)</f>
        <v/>
      </c>
      <c r="K320" s="815">
        <f>C320*81000</f>
        <v/>
      </c>
      <c r="L320" s="790" t="n"/>
      <c r="M320" s="770" t="n"/>
      <c r="N320" s="771" t="n"/>
      <c r="O320" s="771" t="n"/>
      <c r="P320" s="771" t="n"/>
      <c r="Q320" s="758" t="n"/>
      <c r="R320" s="756">
        <f>SUM(K320:Q320)</f>
        <v/>
      </c>
      <c r="S320" s="756">
        <f>J320*34000</f>
        <v/>
      </c>
    </row>
    <row r="321" customFormat="1" s="755">
      <c r="A321" s="155" t="inlineStr">
        <is>
          <t>배너단품,세트</t>
        </is>
      </c>
      <c r="B321" s="386" t="inlineStr">
        <is>
          <t>P00000EF</t>
        </is>
      </c>
      <c r="C321" s="237" t="n">
        <v>2</v>
      </c>
      <c r="D321" s="237" t="n"/>
      <c r="E321" s="234" t="n"/>
      <c r="F321" s="237" t="n"/>
      <c r="G321" s="236" t="n"/>
      <c r="H321" s="241" t="n"/>
      <c r="I321" s="242" t="n"/>
      <c r="J321" s="35">
        <f>SUM(C321:I321)</f>
        <v/>
      </c>
      <c r="K321" s="815">
        <f>C321*36000</f>
        <v/>
      </c>
      <c r="L321" s="790" t="n"/>
      <c r="M321" s="770" t="n"/>
      <c r="N321" s="771" t="n"/>
      <c r="O321" s="771" t="n"/>
      <c r="P321" s="771" t="n"/>
      <c r="Q321" s="758" t="n"/>
      <c r="R321" s="756">
        <f>SUM(K321:Q321)</f>
        <v/>
      </c>
      <c r="S321" s="756">
        <f>J321*12000</f>
        <v/>
      </c>
    </row>
    <row r="322" customFormat="1" s="755">
      <c r="A322" s="155" t="inlineStr">
        <is>
          <t>벨리테라피배너</t>
        </is>
      </c>
      <c r="B322" s="386" t="inlineStr">
        <is>
          <t>P0000BJU</t>
        </is>
      </c>
      <c r="C322" s="237" t="n"/>
      <c r="D322" s="237" t="n"/>
      <c r="E322" s="234" t="n"/>
      <c r="F322" s="237" t="n"/>
      <c r="G322" s="236" t="n"/>
      <c r="H322" s="241" t="n"/>
      <c r="I322" s="242" t="n"/>
      <c r="J322" s="35">
        <f>SUM(C322:I322)</f>
        <v/>
      </c>
      <c r="K322" s="815">
        <f>C322*81000</f>
        <v/>
      </c>
      <c r="L322" s="790" t="n"/>
      <c r="M322" s="770" t="n"/>
      <c r="N322" s="771" t="n"/>
      <c r="O322" s="771" t="n"/>
      <c r="P322" s="771" t="n"/>
      <c r="Q322" s="758" t="n"/>
      <c r="R322" s="756">
        <f>SUM(K322:Q322)</f>
        <v/>
      </c>
      <c r="S322" s="756">
        <f>J322*12000</f>
        <v/>
      </c>
    </row>
    <row r="323" customFormat="1" s="755">
      <c r="A323" s="155" t="inlineStr">
        <is>
          <t>라이콘카다록</t>
        </is>
      </c>
      <c r="B323" s="386" t="inlineStr">
        <is>
          <t>P0000BLB</t>
        </is>
      </c>
      <c r="C323" s="237" t="n"/>
      <c r="D323" s="237" t="n"/>
      <c r="E323" s="234" t="n"/>
      <c r="F323" s="237" t="n"/>
      <c r="G323" s="236" t="n"/>
      <c r="H323" s="241" t="n"/>
      <c r="I323" s="242" t="n"/>
      <c r="J323" s="35">
        <f>SUM(C323:I323)</f>
        <v/>
      </c>
      <c r="K323" s="815">
        <f>C323*1100</f>
        <v/>
      </c>
      <c r="L323" s="790" t="n"/>
      <c r="M323" s="770" t="n"/>
      <c r="N323" s="771" t="n"/>
      <c r="O323" s="771" t="n"/>
      <c r="P323" s="771" t="n"/>
      <c r="Q323" s="758" t="n"/>
      <c r="R323" s="756">
        <f>SUM(K323:Q323)</f>
        <v/>
      </c>
      <c r="S323" s="756">
        <f>J323*915</f>
        <v/>
      </c>
    </row>
    <row r="324">
      <c r="A324" s="155" t="inlineStr">
        <is>
          <t>실리콘컵2종</t>
        </is>
      </c>
      <c r="B324" s="386" t="inlineStr">
        <is>
          <t>P0000BLX</t>
        </is>
      </c>
      <c r="C324" s="237" t="n">
        <v>29</v>
      </c>
      <c r="D324" s="237" t="n"/>
      <c r="E324" s="234" t="n"/>
      <c r="F324" s="237" t="n"/>
      <c r="G324" s="236" t="n"/>
      <c r="H324" s="241" t="n"/>
      <c r="I324" s="242" t="n"/>
      <c r="J324" s="35">
        <f>SUM(C324:I324)</f>
        <v/>
      </c>
      <c r="K324" s="880">
        <f>C324*3000</f>
        <v/>
      </c>
      <c r="L324" s="790" t="n"/>
      <c r="M324" s="770" t="n"/>
      <c r="N324" s="771" t="n"/>
      <c r="O324" s="771" t="n"/>
      <c r="P324" s="771" t="n"/>
      <c r="R324" s="756">
        <f>SUM(K324:Q324)</f>
        <v/>
      </c>
      <c r="S324" s="756">
        <f>J324*2000</f>
        <v/>
      </c>
    </row>
    <row r="325">
      <c r="A325" s="128" t="inlineStr">
        <is>
          <t>복주머니</t>
        </is>
      </c>
      <c r="B325" s="385" t="inlineStr">
        <is>
          <t>P00000FN</t>
        </is>
      </c>
      <c r="C325" s="257" t="n">
        <v>40</v>
      </c>
      <c r="D325" s="237" t="n"/>
      <c r="E325" s="234" t="n"/>
      <c r="F325" s="237" t="n"/>
      <c r="G325" s="236" t="n"/>
      <c r="H325" s="241" t="n"/>
      <c r="I325" s="241" t="n"/>
      <c r="J325" s="35">
        <f>SUM(C325:I325)</f>
        <v/>
      </c>
      <c r="K325" s="880">
        <f>C325*1000</f>
        <v/>
      </c>
      <c r="L325" s="790">
        <f>D325*10000</f>
        <v/>
      </c>
      <c r="M325" s="770">
        <f>E325*10000</f>
        <v/>
      </c>
      <c r="N325" s="771" t="n"/>
      <c r="O325" s="771" t="n"/>
      <c r="P325" s="771" t="n"/>
      <c r="R325" s="756">
        <f>SUM(K325:Q325)</f>
        <v/>
      </c>
      <c r="S325" s="756">
        <f>J325*528</f>
        <v/>
      </c>
    </row>
    <row r="326">
      <c r="A326" s="79" t="inlineStr">
        <is>
          <t>지퍼백(대)</t>
        </is>
      </c>
      <c r="B326" s="876" t="inlineStr">
        <is>
          <t>P00000FO</t>
        </is>
      </c>
      <c r="C326" s="237" t="n"/>
      <c r="D326" s="237" t="n"/>
      <c r="E326" s="234" t="n"/>
      <c r="F326" s="237" t="n"/>
      <c r="G326" s="236" t="n"/>
      <c r="H326" s="241" t="n"/>
      <c r="I326" s="241" t="n"/>
      <c r="J326" s="35">
        <f>SUM(C326:I326)</f>
        <v/>
      </c>
      <c r="K326" s="755">
        <f>C326*600</f>
        <v/>
      </c>
      <c r="L326" s="790">
        <f>D326*600</f>
        <v/>
      </c>
      <c r="M326" s="770">
        <f>E326*600</f>
        <v/>
      </c>
      <c r="N326" s="771" t="n"/>
      <c r="O326" s="771" t="n"/>
      <c r="P326" s="771" t="n"/>
      <c r="R326" s="756">
        <f>SUM(K326:Q326)</f>
        <v/>
      </c>
      <c r="S326" s="756">
        <f>J326*484</f>
        <v/>
      </c>
    </row>
    <row r="327" customFormat="1" s="638">
      <c r="A327" s="128" t="inlineStr">
        <is>
          <t>지퍼백(밑면삼각)</t>
        </is>
      </c>
      <c r="B327" s="775" t="n"/>
      <c r="C327" s="237" t="n"/>
      <c r="D327" s="237" t="n"/>
      <c r="E327" s="234" t="n"/>
      <c r="F327" s="237" t="n"/>
      <c r="G327" s="236" t="n"/>
      <c r="H327" s="241" t="n"/>
      <c r="I327" s="242" t="n"/>
      <c r="J327" s="35">
        <f>SUM(C327:I327)</f>
        <v/>
      </c>
      <c r="K327" s="815">
        <f>C327*1500</f>
        <v/>
      </c>
      <c r="L327" s="790">
        <f>D327*1500</f>
        <v/>
      </c>
      <c r="M327" s="770">
        <f>E327*1500</f>
        <v/>
      </c>
      <c r="N327" s="771" t="n"/>
      <c r="O327" s="771" t="n"/>
      <c r="P327" s="771" t="n"/>
      <c r="Q327" s="758" t="n"/>
      <c r="R327" s="756">
        <f>SUM(K327:Q327)</f>
        <v/>
      </c>
      <c r="S327" s="756">
        <f>J327*1155</f>
        <v/>
      </c>
    </row>
    <row r="328" customFormat="1" s="638">
      <c r="A328" s="79" t="inlineStr">
        <is>
          <t>pp박스</t>
        </is>
      </c>
      <c r="B328" s="385" t="inlineStr">
        <is>
          <t>P00000JI</t>
        </is>
      </c>
      <c r="C328" s="237" t="n"/>
      <c r="D328" s="237" t="n"/>
      <c r="E328" s="234" t="n"/>
      <c r="F328" s="237" t="n"/>
      <c r="G328" s="236" t="n"/>
      <c r="H328" s="241" t="n"/>
      <c r="I328" s="241" t="n"/>
      <c r="J328" s="35">
        <f>SUM(C328:I328)</f>
        <v/>
      </c>
      <c r="K328" s="755">
        <f>C328*1100</f>
        <v/>
      </c>
      <c r="L328" s="790">
        <f>D328*110</f>
        <v/>
      </c>
      <c r="M328" s="770">
        <f>E328*110</f>
        <v/>
      </c>
      <c r="N328" s="771" t="n"/>
      <c r="O328" s="771" t="n"/>
      <c r="P328" s="771" t="n"/>
      <c r="Q328" s="758" t="n"/>
      <c r="R328" s="756">
        <f>SUM(K328:Q328)</f>
        <v/>
      </c>
      <c r="S328" s="756">
        <f>J328*968</f>
        <v/>
      </c>
    </row>
    <row r="329" customFormat="1" s="638">
      <c r="A329" s="79" t="inlineStr">
        <is>
          <t>아로마흡입기</t>
        </is>
      </c>
      <c r="B329" s="385" t="n"/>
      <c r="C329" s="237" t="n"/>
      <c r="D329" s="237" t="n"/>
      <c r="E329" s="234" t="n"/>
      <c r="F329" s="237" t="n"/>
      <c r="G329" s="236" t="n"/>
      <c r="H329" s="241" t="n"/>
      <c r="I329" s="241" t="n"/>
      <c r="J329" s="35" t="n"/>
      <c r="K329" s="755">
        <f>C329*30000</f>
        <v/>
      </c>
      <c r="L329" s="790" t="n"/>
      <c r="M329" s="770" t="n"/>
      <c r="N329" s="771" t="n"/>
      <c r="O329" s="771" t="n"/>
      <c r="P329" s="771" t="n"/>
      <c r="Q329" s="758" t="n"/>
      <c r="R329" s="756">
        <f>SUM(K329:Q329)</f>
        <v/>
      </c>
      <c r="S329" s="756">
        <f>J329*9600</f>
        <v/>
      </c>
    </row>
    <row r="330" customFormat="1" s="638">
      <c r="A330" s="79" t="inlineStr">
        <is>
          <t>약용오일진열대(아크릴)</t>
        </is>
      </c>
      <c r="B330" s="385" t="n"/>
      <c r="C330" s="237" t="n"/>
      <c r="D330" s="237" t="n"/>
      <c r="E330" s="234" t="n"/>
      <c r="F330" s="237" t="n"/>
      <c r="G330" s="236" t="n"/>
      <c r="H330" s="241" t="n"/>
      <c r="I330" s="241" t="n"/>
      <c r="J330" s="35" t="n"/>
      <c r="K330" s="755">
        <f>C330*55000</f>
        <v/>
      </c>
      <c r="L330" s="790" t="n"/>
      <c r="M330" s="770" t="n"/>
      <c r="N330" s="771" t="n"/>
      <c r="O330" s="771" t="n"/>
      <c r="P330" s="771" t="n"/>
      <c r="Q330" s="758" t="n"/>
      <c r="R330" s="756">
        <f>SUM(K330:Q330)</f>
        <v/>
      </c>
      <c r="S330" s="756">
        <f>J330*26550</f>
        <v/>
      </c>
    </row>
    <row r="331" customFormat="1" s="638">
      <c r="A331" s="79" t="inlineStr">
        <is>
          <t>약용오일진열대(종이)</t>
        </is>
      </c>
      <c r="B331" s="385" t="n"/>
      <c r="C331" s="237" t="n"/>
      <c r="D331" s="237" t="n"/>
      <c r="E331" s="234" t="n"/>
      <c r="F331" s="237" t="n"/>
      <c r="G331" s="236" t="n"/>
      <c r="H331" s="241" t="n"/>
      <c r="I331" s="241" t="n"/>
      <c r="J331" s="35" t="n"/>
      <c r="K331" s="755">
        <f>C331*6000</f>
        <v/>
      </c>
      <c r="L331" s="790" t="n"/>
      <c r="M331" s="770" t="n"/>
      <c r="N331" s="771" t="n"/>
      <c r="O331" s="771" t="n"/>
      <c r="P331" s="771" t="n"/>
      <c r="Q331" s="758" t="n"/>
      <c r="R331" s="756">
        <f>SUM(K331:Q331)</f>
        <v/>
      </c>
      <c r="S331" s="756">
        <f>J331*2910</f>
        <v/>
      </c>
    </row>
    <row r="332" customFormat="1" s="638">
      <c r="A332" s="608" t="inlineStr">
        <is>
          <t>아크릴진열대</t>
        </is>
      </c>
      <c r="B332" s="385" t="inlineStr">
        <is>
          <t>P00000LO</t>
        </is>
      </c>
      <c r="C332" s="237" t="n"/>
      <c r="D332" s="237" t="n"/>
      <c r="E332" s="234" t="n"/>
      <c r="F332" s="237" t="n"/>
      <c r="G332" s="236" t="n"/>
      <c r="H332" s="241" t="n"/>
      <c r="I332" s="241" t="n"/>
      <c r="J332" s="35">
        <f>SUM(C332:I332)</f>
        <v/>
      </c>
      <c r="K332" s="755">
        <f>C332*88000</f>
        <v/>
      </c>
      <c r="L332" s="790">
        <f>D332*88000</f>
        <v/>
      </c>
      <c r="M332" s="839">
        <f>E332*88000</f>
        <v/>
      </c>
      <c r="N332" s="820" t="n"/>
      <c r="O332" s="771" t="n"/>
      <c r="P332" s="771" t="n"/>
      <c r="Q332" s="758" t="n"/>
      <c r="R332" s="756">
        <f>SUM(K332:Q332)</f>
        <v/>
      </c>
      <c r="S332" s="756">
        <f>J332*66000</f>
        <v/>
      </c>
    </row>
    <row r="333" customFormat="1" s="638">
      <c r="A333" s="128" t="inlineStr">
        <is>
          <t>제모미인쇼핑백</t>
        </is>
      </c>
      <c r="B333" s="385" t="inlineStr">
        <is>
          <t>P0000BGU</t>
        </is>
      </c>
      <c r="C333" s="237" t="n"/>
      <c r="D333" s="235" t="n"/>
      <c r="E333" s="234" t="n"/>
      <c r="F333" s="237" t="n"/>
      <c r="G333" s="236" t="n"/>
      <c r="H333" s="241" t="n"/>
      <c r="I333" s="241" t="n"/>
      <c r="J333" s="35">
        <f>SUM(C333:I333)</f>
        <v/>
      </c>
      <c r="K333" s="815">
        <f>C333*650</f>
        <v/>
      </c>
      <c r="L333" s="790">
        <f>D333*650</f>
        <v/>
      </c>
      <c r="M333" s="770">
        <f>E333*650</f>
        <v/>
      </c>
      <c r="N333" s="771" t="n"/>
      <c r="O333" s="771" t="n"/>
      <c r="P333" s="771" t="n"/>
      <c r="Q333" s="758" t="n"/>
      <c r="R333" s="756">
        <f>SUM(K333:Q333)</f>
        <v/>
      </c>
      <c r="S333" s="756">
        <f>J333*517</f>
        <v/>
      </c>
    </row>
    <row r="334" customFormat="1" s="638">
      <c r="A334" s="0" t="n"/>
      <c r="C334" s="628" t="n"/>
      <c r="K334" s="875">
        <f>SUM(K266:K333)</f>
        <v/>
      </c>
      <c r="L334" s="881">
        <f>SUM(L266:L333)</f>
        <v/>
      </c>
      <c r="M334" s="881">
        <f>SUM(M266:M333)</f>
        <v/>
      </c>
      <c r="N334" s="881">
        <f>SUM(N266:N333)</f>
        <v/>
      </c>
      <c r="O334" s="881">
        <f>SUM(O266:O333)</f>
        <v/>
      </c>
      <c r="P334" s="881">
        <f>SUM(P266:P333)</f>
        <v/>
      </c>
      <c r="Q334" s="881">
        <f>SUM(Q266:Q333)</f>
        <v/>
      </c>
      <c r="R334" s="881">
        <f>SUM(R266:R333)</f>
        <v/>
      </c>
      <c r="S334" s="881">
        <f>SUM(S266:S333)</f>
        <v/>
      </c>
    </row>
    <row r="335" customFormat="1" s="244">
      <c r="B335" s="245" t="n"/>
      <c r="C335" s="113" t="n"/>
      <c r="D335" s="274" t="n"/>
      <c r="E335" s="407" t="n"/>
      <c r="F335" s="272" t="n"/>
      <c r="G335" s="272" t="n"/>
      <c r="H335" s="272" t="n"/>
      <c r="I335" s="246" t="n"/>
      <c r="J335" s="247" t="n"/>
      <c r="K335" s="845" t="n"/>
      <c r="L335" s="845" t="n"/>
      <c r="M335" s="849" t="n"/>
      <c r="N335" s="849" t="n"/>
      <c r="O335" s="882" t="n"/>
      <c r="P335" s="883" t="n"/>
      <c r="Q335" s="884" t="n"/>
      <c r="R335" s="849" t="n"/>
      <c r="S335" s="849" t="n"/>
    </row>
    <row r="336" customFormat="1" s="244">
      <c r="B336" s="245" t="n"/>
      <c r="C336" s="271" t="n"/>
      <c r="D336" s="274" t="n"/>
      <c r="E336" s="407" t="n"/>
      <c r="F336" s="272" t="n"/>
      <c r="G336" s="272" t="n"/>
      <c r="H336" s="272" t="n"/>
      <c r="I336" s="246" t="n"/>
      <c r="J336" s="247" t="n"/>
      <c r="K336" s="845" t="n"/>
      <c r="L336" s="845" t="n"/>
      <c r="M336" s="849" t="n"/>
      <c r="N336" s="849" t="n"/>
      <c r="O336" s="882" t="n"/>
      <c r="P336" s="883" t="n"/>
      <c r="Q336" s="884" t="n"/>
      <c r="R336" s="849" t="n"/>
      <c r="S336" s="849" t="n"/>
    </row>
    <row r="337" customFormat="1" s="244">
      <c r="B337" s="245" t="n"/>
      <c r="C337" s="409" t="inlineStr">
        <is>
          <t>도매</t>
        </is>
      </c>
      <c r="D337" s="409" t="n"/>
      <c r="E337" s="489" t="inlineStr">
        <is>
          <t>마스터</t>
        </is>
      </c>
      <c r="F337" s="272" t="n"/>
      <c r="G337" s="272" t="n"/>
      <c r="H337" s="272" t="n"/>
      <c r="I337" s="246" t="n"/>
      <c r="J337" s="247" t="n"/>
      <c r="K337" s="845" t="n"/>
      <c r="L337" s="845" t="n"/>
      <c r="M337" s="849" t="n"/>
      <c r="N337" s="849" t="n"/>
      <c r="O337" s="882" t="n"/>
      <c r="P337" s="883" t="n"/>
      <c r="Q337" s="884" t="n"/>
      <c r="R337" s="849" t="n"/>
      <c r="S337" s="849" t="n"/>
    </row>
    <row r="338">
      <c r="D338" s="696" t="n"/>
      <c r="E338" s="408" t="n"/>
      <c r="F338" s="272" t="n"/>
      <c r="G338" s="272" t="n"/>
      <c r="H338" s="138" t="n"/>
      <c r="I338" s="138" t="n"/>
      <c r="J338" s="139" t="n"/>
      <c r="P338" s="785" t="n"/>
    </row>
    <row r="339">
      <c r="A339" s="74" t="inlineStr">
        <is>
          <t>자디니아로마오일</t>
        </is>
      </c>
      <c r="D339" s="696" t="n"/>
      <c r="E339" s="408" t="n"/>
      <c r="F339" s="272" t="n"/>
      <c r="G339" s="272" t="n"/>
      <c r="I339" s="20" t="n"/>
      <c r="J339" s="140" t="n"/>
      <c r="P339" s="785" t="n"/>
    </row>
    <row r="340" ht="48" customHeight="1" s="754">
      <c r="A340" s="111" t="inlineStr">
        <is>
          <t>에센셜오일1kg</t>
        </is>
      </c>
      <c r="B340" s="688" t="inlineStr">
        <is>
          <t>P0000BIB  / P0000BKE / P0000BMA</t>
        </is>
      </c>
      <c r="C340" s="696" t="n"/>
      <c r="D340" s="275" t="n"/>
      <c r="E340" s="408" t="n"/>
      <c r="F340" s="272" t="n"/>
      <c r="G340" s="272" t="n"/>
      <c r="H340" s="141" t="n"/>
      <c r="I340" s="141" t="inlineStr">
        <is>
          <t>증정</t>
        </is>
      </c>
      <c r="J340" s="140" t="n"/>
      <c r="K340" s="828" t="inlineStr">
        <is>
          <t>도매</t>
        </is>
      </c>
      <c r="L340" s="830" t="n"/>
      <c r="M340" s="830" t="inlineStr">
        <is>
          <t>마스터</t>
        </is>
      </c>
      <c r="N340" s="830" t="n"/>
      <c r="O340" s="772" t="n"/>
      <c r="P340" s="885" t="n"/>
      <c r="R340" s="828" t="inlineStr">
        <is>
          <t>품목별합계</t>
        </is>
      </c>
      <c r="S340" s="756" t="inlineStr">
        <is>
          <t>도매,마스터원가</t>
        </is>
      </c>
    </row>
    <row r="341" customFormat="1" s="638">
      <c r="A341" s="356" t="inlineStr">
        <is>
          <t>라벤다에센셜3ml</t>
        </is>
      </c>
      <c r="B341" s="374" t="n"/>
      <c r="C341" s="237" t="n"/>
      <c r="D341" s="234" t="n"/>
      <c r="E341" s="242" t="n"/>
      <c r="F341" s="230" t="n"/>
      <c r="G341" s="345" t="n"/>
      <c r="H341" s="80" t="n"/>
      <c r="I341" s="64" t="n"/>
      <c r="J341" s="35">
        <f>SUM(B341:I341)</f>
        <v/>
      </c>
      <c r="K341" s="755">
        <f>C341*4400</f>
        <v/>
      </c>
      <c r="L341" s="839" t="n"/>
      <c r="M341" s="770" t="n"/>
      <c r="N341" s="863" t="n"/>
      <c r="O341" s="757" t="n"/>
      <c r="P341" s="854" t="n"/>
      <c r="Q341" s="758" t="n"/>
      <c r="R341" s="755">
        <f>SUM(K341:Q341)</f>
        <v/>
      </c>
      <c r="S341" s="755">
        <f>J341*1340</f>
        <v/>
      </c>
    </row>
    <row r="342" customFormat="1" s="638">
      <c r="A342" s="356" t="inlineStr">
        <is>
          <t>페퍼민트에센셜3ml</t>
        </is>
      </c>
      <c r="B342" s="568" t="n"/>
      <c r="C342" s="237" t="n"/>
      <c r="D342" s="234" t="n"/>
      <c r="E342" s="242" t="n"/>
      <c r="F342" s="230" t="n"/>
      <c r="G342" s="345" t="n"/>
      <c r="H342" s="80" t="n"/>
      <c r="I342" s="64" t="n"/>
      <c r="J342" s="35">
        <f>SUM(B342:I342)</f>
        <v/>
      </c>
      <c r="K342" s="755" t="n"/>
      <c r="L342" s="839" t="n"/>
      <c r="M342" s="770" t="n"/>
      <c r="N342" s="863" t="n"/>
      <c r="O342" s="757" t="n"/>
      <c r="P342" s="854" t="n"/>
      <c r="Q342" s="758" t="n"/>
      <c r="R342" s="755">
        <f>SUM(K342:Q342)</f>
        <v/>
      </c>
      <c r="S342" s="755">
        <f>J342*1349</f>
        <v/>
      </c>
    </row>
    <row r="343" customFormat="1" s="638">
      <c r="A343" s="356" t="inlineStr">
        <is>
          <t>갈바넘</t>
        </is>
      </c>
      <c r="B343" s="568" t="n"/>
      <c r="C343" s="237" t="n"/>
      <c r="D343" s="234" t="n"/>
      <c r="E343" s="242" t="n"/>
      <c r="F343" s="230" t="n"/>
      <c r="G343" s="345" t="n"/>
      <c r="H343" s="80" t="n"/>
      <c r="I343" s="64" t="n"/>
      <c r="J343" s="35">
        <f>SUM(B343:I343)</f>
        <v/>
      </c>
      <c r="K343" s="755">
        <f>C343*60000</f>
        <v/>
      </c>
      <c r="L343" s="839" t="n"/>
      <c r="M343" s="770" t="n"/>
      <c r="N343" s="863">
        <f>F343*54000</f>
        <v/>
      </c>
      <c r="O343" s="757" t="n"/>
      <c r="P343" s="854" t="n"/>
      <c r="Q343" s="758" t="n"/>
      <c r="R343" s="755">
        <f>SUM(K343:Q343)</f>
        <v/>
      </c>
      <c r="S343" s="755">
        <f>J343*5060</f>
        <v/>
      </c>
    </row>
    <row r="344" ht="16.5" customFormat="1" customHeight="1" s="638">
      <c r="A344" s="356" t="inlineStr">
        <is>
          <t>그레이프루잇</t>
        </is>
      </c>
      <c r="B344" s="547" t="inlineStr">
        <is>
          <t xml:space="preserve">P0000BJT  /  P0000BKH   /  P0000BMF  / P0000BMG  </t>
        </is>
      </c>
      <c r="C344" s="218" t="n">
        <v>1</v>
      </c>
      <c r="D344" s="234" t="n"/>
      <c r="E344" s="234" t="n"/>
      <c r="F344" s="191" t="n"/>
      <c r="G344" s="345" t="n"/>
      <c r="H344" s="80" t="n"/>
      <c r="I344" s="114" t="n"/>
      <c r="J344" s="35">
        <f>SUM(B344:I344)</f>
        <v/>
      </c>
      <c r="K344" s="755" t="n">
        <v>10000</v>
      </c>
      <c r="L344" s="839" t="n"/>
      <c r="M344" s="770" t="n"/>
      <c r="N344" s="863" t="n">
        <v>0</v>
      </c>
      <c r="O344" s="757" t="n"/>
      <c r="P344" s="854" t="n"/>
      <c r="Q344" s="758" t="n"/>
      <c r="R344" s="755">
        <f>SUM(K344:Q344)</f>
        <v/>
      </c>
      <c r="S344" s="755">
        <f>J344*2850</f>
        <v/>
      </c>
    </row>
    <row r="345" ht="16.5" customFormat="1" customHeight="1" s="638">
      <c r="A345" s="356" t="inlineStr">
        <is>
          <t>넛맥</t>
        </is>
      </c>
      <c r="B345" s="774" t="n"/>
      <c r="C345" s="218" t="n">
        <v>1</v>
      </c>
      <c r="D345" s="234" t="n"/>
      <c r="E345" s="234" t="n"/>
      <c r="F345" s="191" t="n"/>
      <c r="G345" s="345" t="n"/>
      <c r="H345" s="80" t="n"/>
      <c r="I345" s="114" t="n"/>
      <c r="J345" s="35">
        <f>SUM(B345:I345)</f>
        <v/>
      </c>
      <c r="K345" s="755">
        <f>C345*17000</f>
        <v/>
      </c>
      <c r="L345" s="839" t="n"/>
      <c r="M345" s="770" t="n"/>
      <c r="N345" s="863">
        <f>F345*15000</f>
        <v/>
      </c>
      <c r="O345" s="757" t="n"/>
      <c r="P345" s="854" t="n"/>
      <c r="Q345" s="758" t="n"/>
      <c r="R345" s="755">
        <f>SUM(K345:Q345)</f>
        <v/>
      </c>
      <c r="S345" s="755">
        <f>J345*2670</f>
        <v/>
      </c>
    </row>
    <row r="346" customFormat="1" s="638">
      <c r="A346" s="356" t="inlineStr">
        <is>
          <t xml:space="preserve">네롤리 </t>
        </is>
      </c>
      <c r="B346" s="774" t="n"/>
      <c r="C346" s="237" t="n"/>
      <c r="D346" s="234" t="n"/>
      <c r="E346" s="234" t="n"/>
      <c r="F346" s="230" t="n"/>
      <c r="G346" s="345" t="n"/>
      <c r="H346" s="80" t="n"/>
      <c r="I346" s="114" t="n"/>
      <c r="J346" s="35">
        <f>SUM(B346:I346)</f>
        <v/>
      </c>
      <c r="K346" s="755" t="n">
        <v>0</v>
      </c>
      <c r="L346" s="839" t="n"/>
      <c r="M346" s="770" t="n"/>
      <c r="N346" s="863" t="n">
        <v>0</v>
      </c>
      <c r="O346" s="757" t="n"/>
      <c r="P346" s="854" t="n"/>
      <c r="Q346" s="758" t="n"/>
      <c r="R346" s="755">
        <f>SUM(K346:Q346)</f>
        <v/>
      </c>
      <c r="S346" s="755">
        <f>J346*2870</f>
        <v/>
      </c>
    </row>
    <row r="347" customFormat="1" s="638">
      <c r="A347" s="356" t="inlineStr">
        <is>
          <t>딜시드</t>
        </is>
      </c>
      <c r="B347" s="774" t="n"/>
      <c r="C347" s="237" t="n">
        <v>1</v>
      </c>
      <c r="D347" s="234" t="n"/>
      <c r="E347" s="234" t="n"/>
      <c r="F347" s="230" t="n"/>
      <c r="G347" s="345" t="n"/>
      <c r="H347" s="80" t="n"/>
      <c r="I347" s="114" t="n"/>
      <c r="J347" s="35">
        <f>SUM(B347:I347)</f>
        <v/>
      </c>
      <c r="K347" s="755">
        <f>C347*16000</f>
        <v/>
      </c>
      <c r="L347" s="839" t="n"/>
      <c r="M347" s="770" t="n"/>
      <c r="N347" s="863">
        <f>F347*14000</f>
        <v/>
      </c>
      <c r="O347" s="757" t="n"/>
      <c r="P347" s="854" t="n"/>
      <c r="Q347" s="758" t="n"/>
      <c r="R347" s="755">
        <f>SUM(K347:Q347)</f>
        <v/>
      </c>
      <c r="S347" s="755">
        <f>J347*2380</f>
        <v/>
      </c>
    </row>
    <row r="348" customFormat="1" s="638">
      <c r="A348" s="354" t="inlineStr">
        <is>
          <t>라벤다(불가리아)</t>
        </is>
      </c>
      <c r="B348" s="774" t="n"/>
      <c r="C348" s="233" t="n">
        <v>2</v>
      </c>
      <c r="D348" s="242" t="n"/>
      <c r="E348" s="234" t="n"/>
      <c r="F348" s="230" t="n"/>
      <c r="G348" s="345" t="n"/>
      <c r="H348" s="80" t="n"/>
      <c r="I348" s="114" t="n"/>
      <c r="J348" s="35">
        <f>SUM(B348:I348)</f>
        <v/>
      </c>
      <c r="K348" s="755" t="n">
        <v>28000</v>
      </c>
      <c r="L348" s="839" t="n"/>
      <c r="M348" s="770" t="n"/>
      <c r="N348" s="863" t="n">
        <v>0</v>
      </c>
      <c r="O348" s="757" t="n"/>
      <c r="P348" s="854" t="n"/>
      <c r="Q348" s="758" t="n"/>
      <c r="R348" s="755">
        <f>SUM(K348:Q348)</f>
        <v/>
      </c>
      <c r="S348" s="755">
        <f>J348*2440</f>
        <v/>
      </c>
    </row>
    <row r="349" customFormat="1" s="638">
      <c r="A349" s="354" t="inlineStr">
        <is>
          <t>라임</t>
        </is>
      </c>
      <c r="B349" s="774" t="n"/>
      <c r="C349" s="233" t="n"/>
      <c r="D349" s="234" t="n"/>
      <c r="E349" s="234" t="n"/>
      <c r="F349" s="230" t="n"/>
      <c r="G349" s="345" t="n"/>
      <c r="H349" s="80" t="n"/>
      <c r="I349" s="114" t="n"/>
      <c r="J349" s="35">
        <f>SUM(B349:I349)</f>
        <v/>
      </c>
      <c r="K349" s="755" t="n">
        <v>0</v>
      </c>
      <c r="L349" s="839" t="n"/>
      <c r="M349" s="770" t="n"/>
      <c r="N349" s="863" t="n">
        <v>0</v>
      </c>
      <c r="O349" s="757" t="n"/>
      <c r="P349" s="854" t="n"/>
      <c r="Q349" s="758" t="n"/>
      <c r="R349" s="755">
        <f>SUM(K349:Q349)</f>
        <v/>
      </c>
      <c r="S349" s="755">
        <f>J349*2740</f>
        <v/>
      </c>
    </row>
    <row r="350" customFormat="1" s="638">
      <c r="A350" s="355" t="inlineStr">
        <is>
          <t>로즈마리오일</t>
        </is>
      </c>
      <c r="B350" s="774" t="n"/>
      <c r="C350" s="233" t="n"/>
      <c r="D350" s="242" t="n"/>
      <c r="E350" s="234" t="n"/>
      <c r="F350" s="230" t="n"/>
      <c r="G350" s="345" t="n"/>
      <c r="H350" s="80" t="n"/>
      <c r="I350" s="114" t="n"/>
      <c r="J350" s="35">
        <f>SUM(B350:I350)</f>
        <v/>
      </c>
      <c r="K350" s="755">
        <f>C350*20000</f>
        <v/>
      </c>
      <c r="L350" s="839" t="n"/>
      <c r="M350" s="770" t="n"/>
      <c r="N350" s="863">
        <f>F350*18000</f>
        <v/>
      </c>
      <c r="O350" s="757" t="n"/>
      <c r="P350" s="854" t="n"/>
      <c r="Q350" s="758" t="n"/>
      <c r="R350" s="755">
        <f>SUM(K350:Q350)</f>
        <v/>
      </c>
      <c r="S350" s="755">
        <f>J350*4940</f>
        <v/>
      </c>
    </row>
    <row r="351" customFormat="1" s="638">
      <c r="A351" s="354" t="inlineStr">
        <is>
          <t>로즈제라늄</t>
        </is>
      </c>
      <c r="B351" s="774" t="n"/>
      <c r="C351" s="233" t="n">
        <v>11</v>
      </c>
      <c r="D351" s="242" t="n"/>
      <c r="E351" s="234" t="n"/>
      <c r="F351" s="230" t="n"/>
      <c r="G351" s="345" t="n"/>
      <c r="H351" s="80" t="n"/>
      <c r="I351" s="114" t="n"/>
      <c r="J351" s="35">
        <f>SUM(B351:I351)</f>
        <v/>
      </c>
      <c r="K351" s="755" t="n">
        <v>132000</v>
      </c>
      <c r="L351" s="839" t="n"/>
      <c r="M351" s="770" t="n"/>
      <c r="N351" s="863" t="n">
        <v>0</v>
      </c>
      <c r="O351" s="757" t="n"/>
      <c r="P351" s="854" t="n"/>
      <c r="Q351" s="758" t="n"/>
      <c r="R351" s="755">
        <f>SUM(K351:Q351)</f>
        <v/>
      </c>
      <c r="S351" s="755">
        <f>J351*2470</f>
        <v/>
      </c>
    </row>
    <row r="352" customFormat="1" s="638">
      <c r="A352" s="354" t="inlineStr">
        <is>
          <t>로만캐모마일(오가닉)</t>
        </is>
      </c>
      <c r="B352" s="774" t="n"/>
      <c r="C352" s="233" t="n"/>
      <c r="D352" s="234" t="n"/>
      <c r="E352" s="234" t="n"/>
      <c r="F352" s="230" t="n"/>
      <c r="G352" s="345" t="n"/>
      <c r="H352" s="80" t="n"/>
      <c r="I352" s="114" t="n"/>
      <c r="J352" s="35">
        <f>SUM(B352:I352)</f>
        <v/>
      </c>
      <c r="K352" s="755" t="n">
        <v>0</v>
      </c>
      <c r="L352" s="839" t="n"/>
      <c r="M352" s="770" t="n"/>
      <c r="N352" s="863" t="n">
        <v>0</v>
      </c>
      <c r="O352" s="757" t="n"/>
      <c r="P352" s="854" t="n"/>
      <c r="Q352" s="758" t="n"/>
      <c r="R352" s="755">
        <f>SUM(K352:Q352)</f>
        <v/>
      </c>
      <c r="S352" s="755">
        <f>J352*28700</f>
        <v/>
      </c>
    </row>
    <row r="353" customFormat="1" s="638">
      <c r="A353" s="354" t="inlineStr">
        <is>
          <t>루</t>
        </is>
      </c>
      <c r="B353" s="774" t="n"/>
      <c r="C353" s="233" t="n"/>
      <c r="D353" s="234" t="n"/>
      <c r="E353" s="234" t="n"/>
      <c r="F353" s="230" t="n"/>
      <c r="G353" s="345" t="n"/>
      <c r="H353" s="80" t="n"/>
      <c r="I353" s="114" t="n"/>
      <c r="J353" s="35">
        <f>SUM(B353:I353)</f>
        <v/>
      </c>
      <c r="K353" s="755">
        <f>C353*23000</f>
        <v/>
      </c>
      <c r="L353" s="839" t="n"/>
      <c r="M353" s="770" t="n"/>
      <c r="N353" s="863">
        <f>F353*21000</f>
        <v/>
      </c>
      <c r="O353" s="757" t="n"/>
      <c r="P353" s="854" t="n"/>
      <c r="Q353" s="758" t="n"/>
      <c r="R353" s="755">
        <f>SUM(K353:Q353)</f>
        <v/>
      </c>
      <c r="S353" s="755">
        <f>J353*3170</f>
        <v/>
      </c>
    </row>
    <row r="354" customFormat="1" s="638">
      <c r="A354" s="354" t="inlineStr">
        <is>
          <t>레몬오일</t>
        </is>
      </c>
      <c r="B354" s="774" t="n"/>
      <c r="C354" s="233" t="n">
        <v>1</v>
      </c>
      <c r="D354" s="234" t="n"/>
      <c r="E354" s="234" t="n"/>
      <c r="F354" s="230" t="n"/>
      <c r="G354" s="345" t="n"/>
      <c r="H354" s="80" t="n"/>
      <c r="I354" s="114" t="n"/>
      <c r="J354" s="35">
        <f>SUM(B354:I354)</f>
        <v/>
      </c>
      <c r="K354" s="755" t="n">
        <v>7000</v>
      </c>
      <c r="L354" s="839" t="n"/>
      <c r="M354" s="770" t="n"/>
      <c r="N354" s="863" t="n">
        <v>0</v>
      </c>
      <c r="O354" s="757" t="n"/>
      <c r="P354" s="854" t="n"/>
      <c r="Q354" s="758" t="n"/>
      <c r="R354" s="755">
        <f>SUM(K354:Q354)</f>
        <v/>
      </c>
      <c r="S354" s="755">
        <f>J354*2300</f>
        <v/>
      </c>
    </row>
    <row r="355" customFormat="1" s="638">
      <c r="A355" s="354" t="inlineStr">
        <is>
          <t>레몬그라스오일</t>
        </is>
      </c>
      <c r="B355" s="774" t="n"/>
      <c r="C355" s="233" t="n"/>
      <c r="D355" s="234" t="n"/>
      <c r="E355" s="234" t="n"/>
      <c r="F355" s="230" t="n"/>
      <c r="G355" s="345" t="n"/>
      <c r="H355" s="80" t="n"/>
      <c r="I355" s="114" t="n"/>
      <c r="J355" s="35">
        <f>SUM(B355:I355)</f>
        <v/>
      </c>
      <c r="K355" s="755" t="n">
        <v>0</v>
      </c>
      <c r="L355" s="839" t="n"/>
      <c r="M355" s="770" t="n"/>
      <c r="N355" s="863" t="n">
        <v>0</v>
      </c>
      <c r="O355" s="757" t="n"/>
      <c r="P355" s="854" t="n"/>
      <c r="Q355" s="758" t="n"/>
      <c r="R355" s="755">
        <f>SUM(K355:Q355)</f>
        <v/>
      </c>
      <c r="S355" s="755">
        <f>J355*1920</f>
        <v/>
      </c>
    </row>
    <row r="356" customFormat="1" s="638">
      <c r="A356" s="356" t="inlineStr">
        <is>
          <t>마조람</t>
        </is>
      </c>
      <c r="B356" s="774" t="n"/>
      <c r="C356" s="218" t="n"/>
      <c r="D356" s="234" t="n"/>
      <c r="E356" s="234" t="n"/>
      <c r="F356" s="191" t="n"/>
      <c r="G356" s="195" t="n"/>
      <c r="H356" s="80" t="n"/>
      <c r="I356" s="114" t="n"/>
      <c r="J356" s="35">
        <f>SUM(B356:I356)</f>
        <v/>
      </c>
      <c r="K356" s="755" t="n">
        <v>0</v>
      </c>
      <c r="L356" s="839" t="n"/>
      <c r="M356" s="770" t="n"/>
      <c r="N356" s="863" t="n">
        <v>0</v>
      </c>
      <c r="O356" s="757" t="n"/>
      <c r="P356" s="854" t="n"/>
      <c r="Q356" s="758" t="n"/>
      <c r="R356" s="755">
        <f>SUM(K356:Q356)</f>
        <v/>
      </c>
      <c r="S356" s="755">
        <f>J356*5710</f>
        <v/>
      </c>
    </row>
    <row r="357" customFormat="1" s="638">
      <c r="A357" s="356" t="inlineStr">
        <is>
          <t>만다린</t>
        </is>
      </c>
      <c r="B357" s="774" t="n"/>
      <c r="C357" s="218" t="n"/>
      <c r="D357" s="234" t="n"/>
      <c r="E357" s="234" t="n"/>
      <c r="F357" s="191" t="n"/>
      <c r="G357" s="195" t="n"/>
      <c r="H357" s="80" t="n"/>
      <c r="I357" s="114" t="n"/>
      <c r="J357" s="35">
        <f>SUM(B357:I357)</f>
        <v/>
      </c>
      <c r="K357" s="755" t="n">
        <v>0</v>
      </c>
      <c r="L357" s="839" t="n"/>
      <c r="M357" s="770" t="n"/>
      <c r="N357" s="863" t="n">
        <v>0</v>
      </c>
      <c r="O357" s="757" t="n"/>
      <c r="P357" s="854" t="n"/>
      <c r="Q357" s="758" t="n"/>
      <c r="R357" s="755">
        <f>SUM(K357:Q357)</f>
        <v/>
      </c>
      <c r="S357" s="755">
        <f>J357*4170</f>
        <v/>
      </c>
    </row>
    <row r="358" customFormat="1" s="638">
      <c r="A358" s="356" t="inlineStr">
        <is>
          <t>머그워트(쑥)</t>
        </is>
      </c>
      <c r="B358" s="774" t="n"/>
      <c r="C358" s="218" t="n"/>
      <c r="D358" s="234" t="n"/>
      <c r="E358" s="234" t="n"/>
      <c r="F358" s="191" t="n"/>
      <c r="G358" s="195" t="n"/>
      <c r="H358" s="80" t="n"/>
      <c r="I358" s="114" t="n"/>
      <c r="J358" s="35">
        <f>SUM(B358:I358)</f>
        <v/>
      </c>
      <c r="K358" s="755" t="n">
        <v>0</v>
      </c>
      <c r="L358" s="839" t="n"/>
      <c r="M358" s="770" t="n"/>
      <c r="N358" s="863" t="n">
        <v>0</v>
      </c>
      <c r="O358" s="757" t="n"/>
      <c r="P358" s="854" t="n"/>
      <c r="Q358" s="758" t="n"/>
      <c r="R358" s="755">
        <f>SUM(K358:Q358)</f>
        <v/>
      </c>
      <c r="S358" s="755">
        <f>J358*8570</f>
        <v/>
      </c>
    </row>
    <row r="359" customFormat="1" s="638">
      <c r="A359" s="356" t="inlineStr">
        <is>
          <t>머틀</t>
        </is>
      </c>
      <c r="B359" s="774" t="n"/>
      <c r="C359" s="218" t="n">
        <v>1</v>
      </c>
      <c r="D359" s="234" t="n"/>
      <c r="E359" s="234" t="n"/>
      <c r="F359" s="191" t="n"/>
      <c r="G359" s="195" t="n"/>
      <c r="H359" s="80" t="n"/>
      <c r="I359" s="114" t="n"/>
      <c r="J359" s="35">
        <f>SUM(B359:I359)</f>
        <v/>
      </c>
      <c r="K359" s="755" t="n">
        <v>26000</v>
      </c>
      <c r="L359" s="839" t="n"/>
      <c r="M359" s="770" t="n"/>
      <c r="N359" s="863" t="n">
        <v>0</v>
      </c>
      <c r="O359" s="757" t="n"/>
      <c r="P359" s="854" t="n"/>
      <c r="Q359" s="758" t="n"/>
      <c r="R359" s="755">
        <f>SUM(K359:Q359)</f>
        <v/>
      </c>
      <c r="S359" s="755">
        <f>J359*2260</f>
        <v/>
      </c>
    </row>
    <row r="360" customFormat="1" s="638">
      <c r="A360" s="354" t="inlineStr">
        <is>
          <t>멜리사오일</t>
        </is>
      </c>
      <c r="B360" s="774" t="n"/>
      <c r="C360" s="233" t="n"/>
      <c r="D360" s="242" t="n"/>
      <c r="E360" s="234" t="n"/>
      <c r="F360" s="230" t="n"/>
      <c r="G360" s="345" t="n"/>
      <c r="H360" s="80" t="n"/>
      <c r="I360" s="114" t="n"/>
      <c r="J360" s="35">
        <f>SUM(B360:I360)</f>
        <v/>
      </c>
      <c r="K360" s="755" t="n">
        <v>0</v>
      </c>
      <c r="L360" s="839" t="n"/>
      <c r="M360" s="770" t="n"/>
      <c r="N360" s="863" t="n">
        <v>0</v>
      </c>
      <c r="O360" s="757" t="n"/>
      <c r="P360" s="854" t="n"/>
      <c r="Q360" s="758" t="n"/>
      <c r="R360" s="755">
        <f>SUM(K360:Q360)</f>
        <v/>
      </c>
      <c r="S360" s="755">
        <f>J360*16916</f>
        <v/>
      </c>
    </row>
    <row r="361" customFormat="1" s="638">
      <c r="A361" s="356" t="inlineStr">
        <is>
          <t>미르오일</t>
        </is>
      </c>
      <c r="B361" s="774" t="n"/>
      <c r="C361" s="218" t="n"/>
      <c r="D361" s="234" t="n"/>
      <c r="E361" s="234" t="n"/>
      <c r="F361" s="191" t="n"/>
      <c r="G361" s="195" t="n"/>
      <c r="H361" s="80" t="n"/>
      <c r="I361" s="114" t="n"/>
      <c r="J361" s="35">
        <f>SUM(B361:I361)</f>
        <v/>
      </c>
      <c r="K361" s="755" t="n">
        <v>0</v>
      </c>
      <c r="L361" s="839" t="n"/>
      <c r="M361" s="770" t="n"/>
      <c r="N361" s="863" t="n">
        <v>0</v>
      </c>
      <c r="O361" s="757" t="n"/>
      <c r="P361" s="854" t="n"/>
      <c r="Q361" s="758" t="n"/>
      <c r="R361" s="755">
        <f>SUM(K361:Q361)</f>
        <v/>
      </c>
      <c r="S361" s="755">
        <f>J361*2470</f>
        <v/>
      </c>
    </row>
    <row r="362" customFormat="1" s="638">
      <c r="A362" s="356" t="inlineStr">
        <is>
          <t>바질</t>
        </is>
      </c>
      <c r="B362" s="774" t="n"/>
      <c r="C362" s="218" t="n"/>
      <c r="D362" s="234" t="n"/>
      <c r="E362" s="234" t="n"/>
      <c r="F362" s="191" t="n"/>
      <c r="G362" s="195" t="n"/>
      <c r="H362" s="80" t="n"/>
      <c r="I362" s="114" t="n"/>
      <c r="J362" s="35">
        <f>SUM(B362:I362)</f>
        <v/>
      </c>
      <c r="K362" s="755" t="n">
        <v>0</v>
      </c>
      <c r="L362" s="839" t="n"/>
      <c r="M362" s="770" t="n"/>
      <c r="N362" s="863" t="n">
        <v>0</v>
      </c>
      <c r="O362" s="757" t="n"/>
      <c r="P362" s="854" t="n"/>
      <c r="Q362" s="758" t="n"/>
      <c r="R362" s="755">
        <f>SUM(K362:Q362)</f>
        <v/>
      </c>
      <c r="S362" s="755">
        <f>J362*2160</f>
        <v/>
      </c>
    </row>
    <row r="363" customFormat="1" s="638">
      <c r="A363" s="356" t="inlineStr">
        <is>
          <t>버치스윗</t>
        </is>
      </c>
      <c r="B363" s="774" t="n"/>
      <c r="C363" s="218" t="n">
        <v>1</v>
      </c>
      <c r="D363" s="234" t="n"/>
      <c r="E363" s="234" t="n"/>
      <c r="F363" s="191" t="n"/>
      <c r="G363" s="195" t="n"/>
      <c r="H363" s="80" t="n"/>
      <c r="I363" s="114" t="n"/>
      <c r="J363" s="35">
        <f>SUM(B363:I363)</f>
        <v/>
      </c>
      <c r="K363" s="755">
        <f>C363*23000</f>
        <v/>
      </c>
      <c r="L363" s="839" t="n"/>
      <c r="M363" s="770" t="n"/>
      <c r="N363" s="863">
        <f>F363*21000</f>
        <v/>
      </c>
      <c r="O363" s="757" t="n"/>
      <c r="P363" s="854" t="n"/>
      <c r="Q363" s="758" t="n"/>
      <c r="R363" s="755">
        <f>SUM(K363:Q363)</f>
        <v/>
      </c>
      <c r="S363" s="755">
        <f>J363*2540</f>
        <v/>
      </c>
    </row>
    <row r="364" customFormat="1" s="638">
      <c r="A364" s="354" t="inlineStr">
        <is>
          <t>베르가모트</t>
        </is>
      </c>
      <c r="B364" s="774" t="n"/>
      <c r="C364" s="233" t="n"/>
      <c r="D364" s="234" t="n"/>
      <c r="E364" s="234" t="n"/>
      <c r="F364" s="230" t="n"/>
      <c r="G364" s="345" t="n"/>
      <c r="H364" s="80" t="n"/>
      <c r="I364" s="114" t="n"/>
      <c r="J364" s="35">
        <f>SUM(B364:I364)</f>
        <v/>
      </c>
      <c r="K364" s="755" t="n">
        <v>0</v>
      </c>
      <c r="L364" s="839" t="n"/>
      <c r="M364" s="770" t="n"/>
      <c r="N364" s="863" t="n">
        <v>0</v>
      </c>
      <c r="O364" s="757" t="n"/>
      <c r="P364" s="854" t="n"/>
      <c r="Q364" s="758" t="n"/>
      <c r="R364" s="755">
        <f>SUM(K364:Q364)</f>
        <v/>
      </c>
      <c r="S364" s="755">
        <f>J364*1690</f>
        <v/>
      </c>
    </row>
    <row r="365" customFormat="1" s="638">
      <c r="A365" s="356" t="inlineStr">
        <is>
          <t>베티버오일</t>
        </is>
      </c>
      <c r="B365" s="774" t="n"/>
      <c r="C365" s="218" t="n"/>
      <c r="D365" s="234" t="n"/>
      <c r="E365" s="234" t="n"/>
      <c r="F365" s="191" t="n"/>
      <c r="G365" s="195" t="n"/>
      <c r="H365" s="80" t="n"/>
      <c r="I365" s="114" t="n"/>
      <c r="J365" s="35">
        <f>SUM(B365:I365)</f>
        <v/>
      </c>
      <c r="K365" s="755" t="n">
        <v>0</v>
      </c>
      <c r="L365" s="839" t="n"/>
      <c r="M365" s="770" t="n"/>
      <c r="N365" s="863" t="n">
        <v>0</v>
      </c>
      <c r="O365" s="757" t="n"/>
      <c r="P365" s="854" t="n"/>
      <c r="Q365" s="758" t="n"/>
      <c r="R365" s="755">
        <f>SUM(K365:Q365)</f>
        <v/>
      </c>
      <c r="S365" s="755">
        <f>J365*10990</f>
        <v/>
      </c>
    </row>
    <row r="366" customFormat="1" s="638">
      <c r="A366" s="356" t="inlineStr">
        <is>
          <t>벤조인</t>
        </is>
      </c>
      <c r="B366" s="774" t="n"/>
      <c r="C366" s="218" t="n">
        <v>1</v>
      </c>
      <c r="D366" s="234" t="n"/>
      <c r="E366" s="234" t="n"/>
      <c r="F366" s="191" t="n"/>
      <c r="G366" s="195" t="n"/>
      <c r="H366" s="80" t="n"/>
      <c r="I366" s="114" t="n"/>
      <c r="J366" s="35">
        <f>SUM(B366:I366)</f>
        <v/>
      </c>
      <c r="K366" s="755" t="n">
        <v>12000</v>
      </c>
      <c r="L366" s="839" t="n"/>
      <c r="M366" s="770" t="n"/>
      <c r="N366" s="863" t="n">
        <v>0</v>
      </c>
      <c r="O366" s="757" t="n"/>
      <c r="P366" s="854" t="n"/>
      <c r="Q366" s="758" t="n"/>
      <c r="R366" s="755">
        <f>SUM(K366:Q366)</f>
        <v/>
      </c>
      <c r="S366" s="755">
        <f>J366*2180</f>
        <v/>
      </c>
    </row>
    <row r="367" customFormat="1" s="638">
      <c r="A367" s="356" t="inlineStr">
        <is>
          <t>블렉페퍼오일</t>
        </is>
      </c>
      <c r="B367" s="774" t="n"/>
      <c r="C367" s="218" t="n"/>
      <c r="D367" s="234" t="n"/>
      <c r="E367" s="234" t="n"/>
      <c r="F367" s="191" t="n"/>
      <c r="G367" s="195" t="n"/>
      <c r="H367" s="80" t="n"/>
      <c r="I367" s="114" t="n"/>
      <c r="J367" s="35">
        <f>SUM(B367:I367)</f>
        <v/>
      </c>
      <c r="K367" s="755" t="n">
        <v>0</v>
      </c>
      <c r="L367" s="839" t="n"/>
      <c r="M367" s="770" t="n"/>
      <c r="N367" s="863" t="n">
        <v>0</v>
      </c>
      <c r="O367" s="757" t="n"/>
      <c r="P367" s="854" t="n"/>
      <c r="Q367" s="758" t="n"/>
      <c r="R367" s="755">
        <f>SUM(K367:Q367)</f>
        <v/>
      </c>
      <c r="S367" s="755">
        <f>J367*7800</f>
        <v/>
      </c>
    </row>
    <row r="368" customFormat="1" s="638">
      <c r="A368" s="354" t="inlineStr">
        <is>
          <t>샌달우드오일</t>
        </is>
      </c>
      <c r="B368" s="774" t="n"/>
      <c r="C368" s="233" t="n"/>
      <c r="D368" s="234" t="n"/>
      <c r="E368" s="234" t="n"/>
      <c r="F368" s="230" t="n"/>
      <c r="G368" s="345" t="n"/>
      <c r="H368" s="80" t="n"/>
      <c r="I368" s="114" t="n"/>
      <c r="J368" s="35">
        <f>SUM(B368:I368)</f>
        <v/>
      </c>
      <c r="K368" s="755" t="n">
        <v>0</v>
      </c>
      <c r="L368" s="839" t="n"/>
      <c r="M368" s="770" t="n"/>
      <c r="N368" s="863" t="n">
        <v>0</v>
      </c>
      <c r="O368" s="757" t="n"/>
      <c r="P368" s="854" t="n"/>
      <c r="Q368" s="758" t="n"/>
      <c r="R368" s="755">
        <f>SUM(K368:Q368)</f>
        <v/>
      </c>
      <c r="S368" s="755">
        <f>J368*4225</f>
        <v/>
      </c>
    </row>
    <row r="369" customFormat="1" s="638">
      <c r="A369" s="356" t="inlineStr">
        <is>
          <t>스피아민트</t>
        </is>
      </c>
      <c r="B369" s="774" t="n"/>
      <c r="C369" s="218" t="n">
        <v>1</v>
      </c>
      <c r="D369" s="234" t="n"/>
      <c r="E369" s="234" t="n"/>
      <c r="F369" s="191" t="n"/>
      <c r="G369" s="195" t="n"/>
      <c r="H369" s="80" t="n"/>
      <c r="I369" s="114" t="n"/>
      <c r="J369" s="35">
        <f>SUM(B369:I369)</f>
        <v/>
      </c>
      <c r="K369" s="755" t="n">
        <v>10000</v>
      </c>
      <c r="L369" s="839" t="n"/>
      <c r="M369" s="770" t="n"/>
      <c r="N369" s="863" t="n">
        <v>0</v>
      </c>
      <c r="O369" s="757" t="n"/>
      <c r="P369" s="854" t="n"/>
      <c r="Q369" s="758" t="n"/>
      <c r="R369" s="755">
        <f>SUM(K369:Q369)</f>
        <v/>
      </c>
      <c r="S369" s="755">
        <f>J369*2652</f>
        <v/>
      </c>
    </row>
    <row r="370" customFormat="1" s="638">
      <c r="A370" s="356" t="inlineStr">
        <is>
          <t>시더우드</t>
        </is>
      </c>
      <c r="B370" s="774" t="n"/>
      <c r="C370" s="218" t="n">
        <v>1</v>
      </c>
      <c r="D370" s="234" t="n"/>
      <c r="E370" s="234" t="n"/>
      <c r="F370" s="191" t="n"/>
      <c r="G370" s="195" t="n"/>
      <c r="H370" s="80" t="n"/>
      <c r="I370" s="114" t="n"/>
      <c r="J370" s="35">
        <f>SUM(B370:I370)</f>
        <v/>
      </c>
      <c r="K370" s="755" t="n">
        <v>10000</v>
      </c>
      <c r="L370" s="839" t="n"/>
      <c r="M370" s="770" t="n"/>
      <c r="N370" s="863" t="n">
        <v>0</v>
      </c>
      <c r="O370" s="757" t="n"/>
      <c r="P370" s="854" t="n"/>
      <c r="Q370" s="758" t="n"/>
      <c r="R370" s="755">
        <f>SUM(K370:Q370)</f>
        <v/>
      </c>
      <c r="S370" s="755">
        <f>J370*2410</f>
        <v/>
      </c>
    </row>
    <row r="371" customFormat="1" s="638">
      <c r="A371" s="356" t="inlineStr">
        <is>
          <t>시트로넬라</t>
        </is>
      </c>
      <c r="B371" s="774" t="n"/>
      <c r="C371" s="218" t="n"/>
      <c r="D371" s="234" t="n"/>
      <c r="E371" s="234" t="n"/>
      <c r="F371" s="191" t="n"/>
      <c r="G371" s="195" t="n"/>
      <c r="H371" s="80" t="n"/>
      <c r="I371" s="114" t="n"/>
      <c r="J371" s="35">
        <f>SUM(B371:I371)</f>
        <v/>
      </c>
      <c r="K371" s="755" t="n">
        <v>0</v>
      </c>
      <c r="L371" s="839" t="n"/>
      <c r="M371" s="770" t="n"/>
      <c r="N371" s="863" t="n">
        <v>0</v>
      </c>
      <c r="O371" s="757" t="n"/>
      <c r="P371" s="854" t="n"/>
      <c r="Q371" s="758" t="n"/>
      <c r="R371" s="755">
        <f>SUM(K371:Q371)</f>
        <v/>
      </c>
      <c r="S371" s="755">
        <f>J371*1820</f>
        <v/>
      </c>
    </row>
    <row r="372" customFormat="1" s="638">
      <c r="A372" s="354" t="inlineStr">
        <is>
          <t>싸이프러스</t>
        </is>
      </c>
      <c r="B372" s="774" t="n"/>
      <c r="C372" s="233" t="n">
        <v>1</v>
      </c>
      <c r="D372" s="234" t="n"/>
      <c r="E372" s="234" t="n"/>
      <c r="F372" s="230" t="n"/>
      <c r="G372" s="345" t="n"/>
      <c r="H372" s="80" t="n"/>
      <c r="I372" s="114" t="n"/>
      <c r="J372" s="35">
        <f>SUM(B372:I372)</f>
        <v/>
      </c>
      <c r="K372" s="755" t="n">
        <v>19000</v>
      </c>
      <c r="L372" s="839" t="n"/>
      <c r="M372" s="770" t="n"/>
      <c r="N372" s="863" t="n">
        <v>0</v>
      </c>
      <c r="O372" s="757" t="n"/>
      <c r="P372" s="854" t="n"/>
      <c r="Q372" s="758" t="n"/>
      <c r="R372" s="755">
        <f>SUM(K372:Q372)</f>
        <v/>
      </c>
      <c r="S372" s="755">
        <f>J372*4170</f>
        <v/>
      </c>
    </row>
    <row r="373" customFormat="1" s="638">
      <c r="A373" s="354" t="inlineStr">
        <is>
          <t>아가우드</t>
        </is>
      </c>
      <c r="B373" s="774" t="n"/>
      <c r="C373" s="233" t="n"/>
      <c r="D373" s="234" t="n"/>
      <c r="E373" s="234" t="n"/>
      <c r="F373" s="230" t="n"/>
      <c r="G373" s="345" t="n"/>
      <c r="H373" s="80" t="n"/>
      <c r="I373" s="114" t="n"/>
      <c r="J373" s="35">
        <f>SUM(B373:I373)</f>
        <v/>
      </c>
      <c r="K373" s="755">
        <f>C373*125000</f>
        <v/>
      </c>
      <c r="L373" s="839" t="n"/>
      <c r="M373" s="770" t="n"/>
      <c r="N373" s="863">
        <f>F373*113000</f>
        <v/>
      </c>
      <c r="O373" s="757" t="n"/>
      <c r="P373" s="854" t="n"/>
      <c r="Q373" s="758" t="n"/>
      <c r="R373" s="755">
        <f>SUM(K373:Q373)</f>
        <v/>
      </c>
      <c r="S373" s="755">
        <f>J373*9020</f>
        <v/>
      </c>
    </row>
    <row r="374" customFormat="1" s="638">
      <c r="A374" s="354" t="inlineStr">
        <is>
          <t>안젤리카</t>
        </is>
      </c>
      <c r="B374" s="774" t="n"/>
      <c r="C374" s="233" t="n"/>
      <c r="D374" s="234" t="n"/>
      <c r="E374" s="234" t="n"/>
      <c r="F374" s="230" t="n"/>
      <c r="G374" s="345" t="n"/>
      <c r="H374" s="80" t="n"/>
      <c r="I374" s="114" t="n"/>
      <c r="J374" s="35">
        <f>SUM(B374:I374)</f>
        <v/>
      </c>
      <c r="K374" s="755">
        <f>C374*110000</f>
        <v/>
      </c>
      <c r="L374" s="839" t="n"/>
      <c r="M374" s="770" t="n"/>
      <c r="N374" s="863">
        <f>F374*99000</f>
        <v/>
      </c>
      <c r="O374" s="757" t="n"/>
      <c r="P374" s="854" t="n"/>
      <c r="Q374" s="758" t="n"/>
      <c r="R374" s="755">
        <f>SUM(K374:Q374)</f>
        <v/>
      </c>
      <c r="S374" s="755">
        <f>J374*5930</f>
        <v/>
      </c>
    </row>
    <row r="375" customFormat="1" s="638">
      <c r="A375" s="356" t="inlineStr">
        <is>
          <t>야로우</t>
        </is>
      </c>
      <c r="B375" s="774" t="n"/>
      <c r="C375" s="218" t="n"/>
      <c r="D375" s="234" t="n"/>
      <c r="E375" s="234" t="n"/>
      <c r="F375" s="191" t="n"/>
      <c r="G375" s="195" t="n"/>
      <c r="H375" s="80" t="n"/>
      <c r="I375" s="114" t="n"/>
      <c r="J375" s="35">
        <f>SUM(B375:I375)</f>
        <v/>
      </c>
      <c r="K375" s="755" t="n">
        <v>0</v>
      </c>
      <c r="L375" s="839" t="n"/>
      <c r="M375" s="770" t="n"/>
      <c r="N375" s="863" t="n">
        <v>0</v>
      </c>
      <c r="O375" s="757" t="n"/>
      <c r="P375" s="854" t="n"/>
      <c r="Q375" s="758" t="n"/>
      <c r="R375" s="755">
        <f>SUM(K375:Q375)</f>
        <v/>
      </c>
      <c r="S375" s="755">
        <f>J375*17940</f>
        <v/>
      </c>
    </row>
    <row r="376" customFormat="1" s="638">
      <c r="A376" s="356" t="inlineStr">
        <is>
          <t>오레가노(60%)</t>
        </is>
      </c>
      <c r="B376" s="774" t="n"/>
      <c r="C376" s="218" t="n"/>
      <c r="D376" s="234" t="n"/>
      <c r="E376" s="234" t="n"/>
      <c r="F376" s="191" t="n"/>
      <c r="G376" s="195" t="n"/>
      <c r="H376" s="80" t="n"/>
      <c r="I376" s="114" t="n"/>
      <c r="J376" s="35">
        <f>SUM(B376:I376)</f>
        <v/>
      </c>
      <c r="K376" s="755" t="n">
        <v>0</v>
      </c>
      <c r="L376" s="839" t="n"/>
      <c r="M376" s="770" t="n"/>
      <c r="N376" s="863" t="n">
        <v>0</v>
      </c>
      <c r="O376" s="757" t="n"/>
      <c r="P376" s="854" t="n"/>
      <c r="Q376" s="758" t="n"/>
      <c r="R376" s="755">
        <f>SUM(K376:Q376)</f>
        <v/>
      </c>
      <c r="S376" s="755">
        <f>J376*2110</f>
        <v/>
      </c>
    </row>
    <row r="377" customFormat="1" s="638">
      <c r="A377" s="354" t="inlineStr">
        <is>
          <t>오렌지스윗</t>
        </is>
      </c>
      <c r="B377" s="774" t="n"/>
      <c r="C377" s="233" t="n"/>
      <c r="D377" s="234" t="n"/>
      <c r="E377" s="234" t="n"/>
      <c r="F377" s="230" t="n"/>
      <c r="G377" s="345" t="n"/>
      <c r="H377" s="80" t="n"/>
      <c r="I377" s="114" t="n"/>
      <c r="J377" s="35">
        <f>SUM(B377:I377)</f>
        <v/>
      </c>
      <c r="K377" s="755" t="n">
        <v>0</v>
      </c>
      <c r="L377" s="839" t="n"/>
      <c r="M377" s="770" t="n"/>
      <c r="N377" s="863" t="n">
        <v>0</v>
      </c>
      <c r="O377" s="757" t="n"/>
      <c r="P377" s="854" t="n"/>
      <c r="Q377" s="758" t="n"/>
      <c r="R377" s="755">
        <f>SUM(K377:Q377)</f>
        <v/>
      </c>
      <c r="S377" s="755">
        <f>J377*1728</f>
        <v/>
      </c>
    </row>
    <row r="378" customFormat="1" s="638">
      <c r="A378" s="354" t="inlineStr">
        <is>
          <t>유즈</t>
        </is>
      </c>
      <c r="B378" s="774" t="n"/>
      <c r="C378" s="233" t="n"/>
      <c r="D378" s="234" t="n"/>
      <c r="E378" s="234" t="n"/>
      <c r="F378" s="230" t="n"/>
      <c r="G378" s="345" t="n"/>
      <c r="H378" s="80" t="n"/>
      <c r="I378" s="114" t="n"/>
      <c r="J378" s="35">
        <f>SUM(B378:I378)</f>
        <v/>
      </c>
      <c r="K378" s="755">
        <f>C378*17000</f>
        <v/>
      </c>
      <c r="L378" s="839" t="n"/>
      <c r="M378" s="770" t="n"/>
      <c r="N378" s="863">
        <f>F378*15000</f>
        <v/>
      </c>
      <c r="O378" s="757" t="n"/>
      <c r="P378" s="854" t="n"/>
      <c r="Q378" s="758" t="n"/>
      <c r="R378" s="755">
        <f>SUM(K378:Q378)</f>
        <v/>
      </c>
      <c r="S378" s="755">
        <f>J378*2620</f>
        <v/>
      </c>
    </row>
    <row r="379" customFormat="1" s="638">
      <c r="A379" s="354" t="inlineStr">
        <is>
          <t>유칼리투스(블루마레)</t>
        </is>
      </c>
      <c r="B379" s="774" t="n"/>
      <c r="C379" s="233" t="n"/>
      <c r="D379" s="234" t="n"/>
      <c r="E379" s="234" t="n"/>
      <c r="F379" s="230" t="n"/>
      <c r="G379" s="345" t="n"/>
      <c r="H379" s="80" t="n"/>
      <c r="I379" s="114" t="n"/>
      <c r="J379" s="35">
        <f>SUM(B379:I379)</f>
        <v/>
      </c>
      <c r="K379" s="755" t="n">
        <v>0</v>
      </c>
      <c r="L379" s="839" t="n"/>
      <c r="M379" s="770" t="n"/>
      <c r="N379" s="863" t="n">
        <v>0</v>
      </c>
      <c r="O379" s="757" t="n"/>
      <c r="P379" s="854" t="n"/>
      <c r="Q379" s="758" t="n"/>
      <c r="R379" s="755">
        <f>SUM(K379:Q379)</f>
        <v/>
      </c>
      <c r="S379" s="755">
        <f>J379*1996</f>
        <v/>
      </c>
    </row>
    <row r="380" customFormat="1" s="638">
      <c r="A380" s="354" t="inlineStr">
        <is>
          <t>윈터그린</t>
        </is>
      </c>
      <c r="B380" s="774" t="n"/>
      <c r="C380" s="233" t="n"/>
      <c r="D380" s="234" t="n"/>
      <c r="E380" s="234" t="n"/>
      <c r="F380" s="230" t="n"/>
      <c r="G380" s="345" t="n"/>
      <c r="H380" s="80" t="n"/>
      <c r="I380" s="114" t="n"/>
      <c r="J380" s="35">
        <f>SUM(B380:I380)</f>
        <v/>
      </c>
      <c r="K380" s="755" t="n">
        <v>0</v>
      </c>
      <c r="L380" s="839" t="n"/>
      <c r="M380" s="770" t="n"/>
      <c r="N380" s="863" t="n">
        <v>0</v>
      </c>
      <c r="O380" s="757" t="n"/>
      <c r="P380" s="854" t="n"/>
      <c r="Q380" s="758" t="n"/>
      <c r="R380" s="755">
        <f>SUM(K380:Q380)</f>
        <v/>
      </c>
      <c r="S380" s="755">
        <f>J380*2080</f>
        <v/>
      </c>
    </row>
    <row r="381" customFormat="1" s="638">
      <c r="A381" s="356" t="inlineStr">
        <is>
          <t>일랑일랑</t>
        </is>
      </c>
      <c r="B381" s="774" t="n"/>
      <c r="C381" s="218" t="n"/>
      <c r="D381" s="33" t="n"/>
      <c r="E381" s="33" t="n"/>
      <c r="F381" s="191" t="n"/>
      <c r="G381" s="195" t="n"/>
      <c r="H381" s="80" t="n"/>
      <c r="I381" s="114" t="n"/>
      <c r="J381" s="35">
        <f>SUM(B381:I381)</f>
        <v/>
      </c>
      <c r="K381" s="755" t="n">
        <v>0</v>
      </c>
      <c r="L381" s="839" t="n"/>
      <c r="M381" s="770" t="n"/>
      <c r="N381" s="863" t="n">
        <v>0</v>
      </c>
      <c r="O381" s="757" t="n"/>
      <c r="P381" s="854" t="n"/>
      <c r="Q381" s="758" t="n"/>
      <c r="R381" s="755">
        <f>SUM(K381:Q381)</f>
        <v/>
      </c>
      <c r="S381" s="755">
        <f>J381*5556</f>
        <v/>
      </c>
    </row>
    <row r="382" customFormat="1" s="638">
      <c r="A382" s="356" t="inlineStr">
        <is>
          <t>자스민(sambac)</t>
        </is>
      </c>
      <c r="B382" s="774" t="n"/>
      <c r="C382" s="218" t="n">
        <v>1</v>
      </c>
      <c r="D382" s="234" t="n"/>
      <c r="E382" s="234" t="n"/>
      <c r="F382" s="191" t="n"/>
      <c r="G382" s="195" t="n"/>
      <c r="H382" s="80" t="n"/>
      <c r="I382" s="114" t="n"/>
      <c r="J382" s="35">
        <f>SUM(B382:I382)</f>
        <v/>
      </c>
      <c r="K382" s="755" t="n">
        <v>27000</v>
      </c>
      <c r="L382" s="839" t="n"/>
      <c r="M382" s="770" t="n"/>
      <c r="N382" s="863" t="n">
        <v>0</v>
      </c>
      <c r="O382" s="757" t="n"/>
      <c r="P382" s="854" t="n"/>
      <c r="Q382" s="758" t="n"/>
      <c r="R382" s="755">
        <f>SUM(K382:Q382)</f>
        <v/>
      </c>
      <c r="S382" s="755">
        <f>J382*5480</f>
        <v/>
      </c>
    </row>
    <row r="383" customFormat="1" s="638">
      <c r="A383" s="354" t="inlineStr">
        <is>
          <t>제라늄오일</t>
        </is>
      </c>
      <c r="B383" s="774" t="n"/>
      <c r="C383" s="233" t="n"/>
      <c r="D383" s="234" t="n"/>
      <c r="E383" s="234" t="n"/>
      <c r="F383" s="230" t="n"/>
      <c r="G383" s="345" t="n"/>
      <c r="H383" s="80" t="n"/>
      <c r="I383" s="114" t="n"/>
      <c r="J383" s="35">
        <f>SUM(B383:I383)</f>
        <v/>
      </c>
      <c r="K383" s="755" t="n">
        <v>0</v>
      </c>
      <c r="L383" s="839" t="n"/>
      <c r="M383" s="770" t="n"/>
      <c r="N383" s="863" t="n">
        <v>0</v>
      </c>
      <c r="O383" s="757" t="n"/>
      <c r="P383" s="854" t="n"/>
      <c r="Q383" s="758" t="n"/>
      <c r="R383" s="755">
        <f>SUM(K383:Q383)</f>
        <v/>
      </c>
      <c r="S383" s="755">
        <f>J383*6700</f>
        <v/>
      </c>
    </row>
    <row r="384" customFormat="1" s="638">
      <c r="A384" s="356" t="inlineStr">
        <is>
          <t>주니퍼베리(두송열매)</t>
        </is>
      </c>
      <c r="B384" s="774" t="n"/>
      <c r="C384" s="218" t="n"/>
      <c r="D384" s="234" t="n"/>
      <c r="E384" s="234" t="n"/>
      <c r="F384" s="191" t="n"/>
      <c r="G384" s="195" t="n"/>
      <c r="H384" s="80" t="n"/>
      <c r="I384" s="114" t="n"/>
      <c r="J384" s="35">
        <f>SUM(B384:I384)</f>
        <v/>
      </c>
      <c r="K384" s="755" t="n">
        <v>0</v>
      </c>
      <c r="L384" s="839" t="n"/>
      <c r="M384" s="770" t="n"/>
      <c r="N384" s="863" t="n">
        <v>0</v>
      </c>
      <c r="O384" s="757" t="n"/>
      <c r="P384" s="854" t="n"/>
      <c r="Q384" s="758" t="n"/>
      <c r="R384" s="755">
        <f>SUM(K384:Q384)</f>
        <v/>
      </c>
      <c r="S384" s="755">
        <f>J384*4225</f>
        <v/>
      </c>
    </row>
    <row r="385" customFormat="1" s="638">
      <c r="A385" s="356" t="inlineStr">
        <is>
          <t>진저</t>
        </is>
      </c>
      <c r="B385" s="774" t="n"/>
      <c r="C385" s="218" t="n"/>
      <c r="D385" s="234" t="n"/>
      <c r="E385" s="234" t="n"/>
      <c r="F385" s="191" t="n"/>
      <c r="G385" s="195" t="n"/>
      <c r="H385" s="80" t="n"/>
      <c r="I385" s="114" t="n"/>
      <c r="J385" s="35">
        <f>SUM(B385:I385)</f>
        <v/>
      </c>
      <c r="K385" s="755" t="n">
        <v>0</v>
      </c>
      <c r="L385" s="839" t="n"/>
      <c r="M385" s="770" t="n"/>
      <c r="N385" s="863" t="n">
        <v>0</v>
      </c>
      <c r="O385" s="757" t="n"/>
      <c r="P385" s="854" t="n"/>
      <c r="Q385" s="758" t="n"/>
      <c r="R385" s="755">
        <f>SUM(K385:Q385)</f>
        <v/>
      </c>
      <c r="S385" s="755">
        <f>J385*5380</f>
        <v/>
      </c>
    </row>
    <row r="386" customFormat="1" s="638">
      <c r="A386" s="356" t="inlineStr">
        <is>
          <t>카누카</t>
        </is>
      </c>
      <c r="B386" s="774" t="n"/>
      <c r="C386" s="218" t="n"/>
      <c r="D386" s="234" t="n"/>
      <c r="E386" s="234" t="n"/>
      <c r="F386" s="191" t="n"/>
      <c r="G386" s="195" t="n"/>
      <c r="H386" s="80" t="n"/>
      <c r="I386" s="114" t="n"/>
      <c r="J386" s="35">
        <f>SUM(B386:I386)</f>
        <v/>
      </c>
      <c r="K386" s="755">
        <f>C386*23000</f>
        <v/>
      </c>
      <c r="L386" s="839" t="n"/>
      <c r="M386" s="770" t="n"/>
      <c r="N386" s="863">
        <f>F386*21000</f>
        <v/>
      </c>
      <c r="O386" s="757" t="n"/>
      <c r="P386" s="854" t="n"/>
      <c r="Q386" s="758" t="n"/>
      <c r="R386" s="755">
        <f>SUM(K386:Q386)</f>
        <v/>
      </c>
      <c r="S386" s="755">
        <f>J386*3220</f>
        <v/>
      </c>
    </row>
    <row r="387" customFormat="1" s="638">
      <c r="A387" s="356" t="inlineStr">
        <is>
          <t>카다멈</t>
        </is>
      </c>
      <c r="B387" s="774" t="n"/>
      <c r="C387" s="218" t="n"/>
      <c r="D387" s="234" t="n"/>
      <c r="E387" s="234" t="n"/>
      <c r="F387" s="191" t="n"/>
      <c r="G387" s="195" t="n"/>
      <c r="H387" s="80" t="n"/>
      <c r="I387" s="114" t="n"/>
      <c r="J387" s="35">
        <f>SUM(B387:I387)</f>
        <v/>
      </c>
      <c r="K387" s="755">
        <f>C387*29000</f>
        <v/>
      </c>
      <c r="L387" s="839" t="n"/>
      <c r="M387" s="770" t="n"/>
      <c r="N387" s="863">
        <f>F387*26000</f>
        <v/>
      </c>
      <c r="O387" s="757" t="n"/>
      <c r="P387" s="854" t="n"/>
      <c r="Q387" s="758" t="n"/>
      <c r="R387" s="755">
        <f>SUM(K387:Q387)</f>
        <v/>
      </c>
      <c r="S387" s="755">
        <f>J387*5340</f>
        <v/>
      </c>
    </row>
    <row r="388" customFormat="1" s="638">
      <c r="A388" s="356" t="inlineStr">
        <is>
          <t>코파이바발삼</t>
        </is>
      </c>
      <c r="B388" s="774" t="n"/>
      <c r="C388" s="218" t="n"/>
      <c r="D388" s="234" t="n"/>
      <c r="E388" s="234" t="n"/>
      <c r="F388" s="191" t="n"/>
      <c r="G388" s="195" t="n"/>
      <c r="H388" s="80" t="n"/>
      <c r="I388" s="114" t="n"/>
      <c r="J388" s="35">
        <f>SUM(B388:I388)</f>
        <v/>
      </c>
      <c r="K388" s="755" t="n">
        <v>0</v>
      </c>
      <c r="L388" s="839" t="n"/>
      <c r="M388" s="770" t="n"/>
      <c r="N388" s="863" t="n">
        <v>0</v>
      </c>
      <c r="O388" s="757" t="n"/>
      <c r="P388" s="854" t="n"/>
      <c r="Q388" s="758" t="n"/>
      <c r="R388" s="755">
        <f>SUM(K388:Q388)</f>
        <v/>
      </c>
      <c r="S388" s="755">
        <f>J388*5600</f>
        <v/>
      </c>
    </row>
    <row r="389" customFormat="1" s="638">
      <c r="A389" s="356" t="inlineStr">
        <is>
          <t>캐롯시드</t>
        </is>
      </c>
      <c r="B389" s="774" t="n"/>
      <c r="C389" s="218" t="n"/>
      <c r="D389" s="234" t="n"/>
      <c r="E389" s="234" t="n"/>
      <c r="F389" s="191" t="n"/>
      <c r="G389" s="195" t="n"/>
      <c r="H389" s="80" t="n"/>
      <c r="I389" s="114" t="n"/>
      <c r="J389" s="35">
        <f>SUM(B389:I389)</f>
        <v/>
      </c>
      <c r="K389" s="755" t="n">
        <v>0</v>
      </c>
      <c r="L389" s="839" t="n"/>
      <c r="M389" s="770" t="n"/>
      <c r="N389" s="863" t="n">
        <v>0</v>
      </c>
      <c r="O389" s="757" t="n"/>
      <c r="P389" s="854" t="n"/>
      <c r="Q389" s="758" t="n"/>
      <c r="R389" s="755">
        <f>SUM(K389:Q389)</f>
        <v/>
      </c>
      <c r="S389" s="755">
        <f>J389*2570</f>
        <v/>
      </c>
    </row>
    <row r="390" customFormat="1" s="638">
      <c r="A390" s="356" t="inlineStr">
        <is>
          <t>캐시플라워</t>
        </is>
      </c>
      <c r="B390" s="774" t="n"/>
      <c r="C390" s="218" t="n"/>
      <c r="D390" s="234" t="n"/>
      <c r="E390" s="234" t="n"/>
      <c r="F390" s="191" t="n"/>
      <c r="G390" s="195" t="n"/>
      <c r="H390" s="80" t="n"/>
      <c r="I390" s="114" t="n"/>
      <c r="J390" s="35">
        <f>SUM(B390:I390)</f>
        <v/>
      </c>
      <c r="K390" s="755">
        <f>C390*23000</f>
        <v/>
      </c>
      <c r="L390" s="839" t="n"/>
      <c r="M390" s="770" t="n"/>
      <c r="N390" s="863">
        <f>F390*21000</f>
        <v/>
      </c>
      <c r="O390" s="757" t="n"/>
      <c r="P390" s="854" t="n"/>
      <c r="Q390" s="758" t="n"/>
      <c r="R390" s="755">
        <f>SUM(K390:Q390)</f>
        <v/>
      </c>
      <c r="S390" s="755">
        <f>J390*3330</f>
        <v/>
      </c>
    </row>
    <row r="391" customFormat="1" s="638">
      <c r="A391" s="356" t="inlineStr">
        <is>
          <t>캠퍼</t>
        </is>
      </c>
      <c r="B391" s="774" t="n"/>
      <c r="C391" s="218" t="n"/>
      <c r="D391" s="234" t="n"/>
      <c r="E391" s="234" t="n"/>
      <c r="F391" s="191" t="n"/>
      <c r="G391" s="195" t="n"/>
      <c r="H391" s="80" t="n"/>
      <c r="I391" s="114" t="n"/>
      <c r="J391" s="35">
        <f>SUM(B391:I391)</f>
        <v/>
      </c>
      <c r="K391" s="755">
        <f>C391*16000</f>
        <v/>
      </c>
      <c r="L391" s="839" t="n"/>
      <c r="M391" s="770" t="n"/>
      <c r="N391" s="863">
        <f>F391*14000</f>
        <v/>
      </c>
      <c r="O391" s="757" t="n"/>
      <c r="P391" s="854" t="n"/>
      <c r="Q391" s="758" t="n"/>
      <c r="R391" s="755">
        <f>SUM(K391:Q391)</f>
        <v/>
      </c>
      <c r="S391" s="755">
        <f>J391*2090</f>
        <v/>
      </c>
    </row>
    <row r="392" customFormat="1" s="638">
      <c r="A392" s="356" t="inlineStr">
        <is>
          <t>코리안더</t>
        </is>
      </c>
      <c r="B392" s="774" t="n"/>
      <c r="C392" s="218" t="n"/>
      <c r="D392" s="234" t="n"/>
      <c r="E392" s="234" t="n"/>
      <c r="F392" s="191" t="n"/>
      <c r="G392" s="195" t="n"/>
      <c r="H392" s="80" t="n"/>
      <c r="I392" s="114" t="n"/>
      <c r="J392" s="35">
        <f>SUM(B392:I392)</f>
        <v/>
      </c>
      <c r="K392" s="755">
        <f>C392*23000</f>
        <v/>
      </c>
      <c r="L392" s="839" t="n"/>
      <c r="M392" s="770" t="n"/>
      <c r="N392" s="863">
        <f>F392*21000</f>
        <v/>
      </c>
      <c r="O392" s="757" t="n"/>
      <c r="P392" s="854" t="n"/>
      <c r="Q392" s="758" t="n"/>
      <c r="R392" s="755">
        <f>SUM(K392:Q392)</f>
        <v/>
      </c>
      <c r="S392" s="755">
        <f>J392*3170</f>
        <v/>
      </c>
    </row>
    <row r="393" customFormat="1" s="638">
      <c r="A393" s="356" t="inlineStr">
        <is>
          <t>클라리세이지</t>
        </is>
      </c>
      <c r="B393" s="774" t="n"/>
      <c r="C393" s="218" t="n"/>
      <c r="D393" s="234" t="n"/>
      <c r="E393" s="234" t="n"/>
      <c r="F393" s="191" t="n"/>
      <c r="G393" s="195" t="n"/>
      <c r="H393" s="80" t="n"/>
      <c r="I393" s="114" t="n"/>
      <c r="J393" s="35">
        <f>SUM(B393:I393)</f>
        <v/>
      </c>
      <c r="K393" s="755" t="n">
        <v>0</v>
      </c>
      <c r="L393" s="839" t="n"/>
      <c r="M393" s="770" t="n"/>
      <c r="N393" s="863" t="n">
        <v>0</v>
      </c>
      <c r="O393" s="757" t="n"/>
      <c r="P393" s="854" t="n"/>
      <c r="Q393" s="758" t="n"/>
      <c r="R393" s="755">
        <f>SUM(K393:Q393)</f>
        <v/>
      </c>
      <c r="S393" s="755">
        <f>J393*4720</f>
        <v/>
      </c>
    </row>
    <row r="394" customFormat="1" s="638">
      <c r="A394" s="356" t="inlineStr">
        <is>
          <t>클로브리프</t>
        </is>
      </c>
      <c r="B394" s="774" t="n"/>
      <c r="C394" s="218" t="n"/>
      <c r="D394" s="234" t="n"/>
      <c r="E394" s="234" t="n"/>
      <c r="F394" s="191" t="n"/>
      <c r="G394" s="195" t="n"/>
      <c r="H394" s="80" t="n"/>
      <c r="I394" s="114" t="n"/>
      <c r="J394" s="35">
        <f>SUM(B394:I394)</f>
        <v/>
      </c>
      <c r="K394" s="755" t="n">
        <v>0</v>
      </c>
      <c r="L394" s="839" t="n"/>
      <c r="M394" s="770" t="n"/>
      <c r="N394" s="863" t="n">
        <v>0</v>
      </c>
      <c r="O394" s="757" t="n"/>
      <c r="P394" s="854" t="n"/>
      <c r="Q394" s="758" t="n"/>
      <c r="R394" s="755">
        <f>SUM(K394:Q394)</f>
        <v/>
      </c>
      <c r="S394" s="755">
        <f>J394*3048</f>
        <v/>
      </c>
    </row>
    <row r="395" customFormat="1" s="638">
      <c r="A395" s="356" t="inlineStr">
        <is>
          <t>타임</t>
        </is>
      </c>
      <c r="B395" s="774" t="n"/>
      <c r="C395" s="218" t="n"/>
      <c r="D395" s="234" t="n"/>
      <c r="E395" s="234" t="n"/>
      <c r="F395" s="191" t="n"/>
      <c r="G395" s="195" t="n"/>
      <c r="H395" s="80" t="n"/>
      <c r="I395" s="114" t="n"/>
      <c r="J395" s="35">
        <f>SUM(B395:I395)</f>
        <v/>
      </c>
      <c r="K395" s="755" t="n">
        <v>0</v>
      </c>
      <c r="L395" s="839" t="n"/>
      <c r="M395" s="770" t="n"/>
      <c r="N395" s="863" t="n">
        <v>0</v>
      </c>
      <c r="O395" s="757" t="n"/>
      <c r="P395" s="854" t="n"/>
      <c r="Q395" s="758" t="n"/>
      <c r="R395" s="755">
        <f>SUM(K395:Q395)</f>
        <v/>
      </c>
      <c r="S395" s="755">
        <f>J395*2740</f>
        <v/>
      </c>
    </row>
    <row r="396" customFormat="1" s="638">
      <c r="A396" s="356" t="inlineStr">
        <is>
          <t>투메릭</t>
        </is>
      </c>
      <c r="B396" s="774" t="n"/>
      <c r="C396" s="218" t="n"/>
      <c r="D396" s="234" t="n"/>
      <c r="E396" s="234" t="n"/>
      <c r="F396" s="191" t="n"/>
      <c r="G396" s="195" t="n"/>
      <c r="H396" s="80" t="n"/>
      <c r="I396" s="114" t="n"/>
      <c r="J396" s="35">
        <f>SUM(B396:I396)</f>
        <v/>
      </c>
      <c r="K396" s="755">
        <f>C396*16000</f>
        <v/>
      </c>
      <c r="L396" s="839" t="n"/>
      <c r="M396" s="770" t="n"/>
      <c r="N396" s="863">
        <f>F396*14000</f>
        <v/>
      </c>
      <c r="O396" s="757" t="n"/>
      <c r="P396" s="854" t="n"/>
      <c r="Q396" s="758" t="n"/>
      <c r="R396" s="755">
        <f>SUM(K396:Q396)</f>
        <v/>
      </c>
      <c r="S396" s="755">
        <f>J396*2160</f>
        <v/>
      </c>
    </row>
    <row r="397" customFormat="1" s="638">
      <c r="A397" s="354" t="inlineStr">
        <is>
          <t>티트리프리미엄</t>
        </is>
      </c>
      <c r="B397" s="774" t="n"/>
      <c r="C397" s="233" t="n"/>
      <c r="D397" s="234" t="n"/>
      <c r="E397" s="234" t="n"/>
      <c r="F397" s="230" t="n"/>
      <c r="G397" s="345" t="n"/>
      <c r="H397" s="80" t="n"/>
      <c r="I397" s="114" t="n"/>
      <c r="J397" s="35">
        <f>SUM(B397:I397)</f>
        <v/>
      </c>
      <c r="K397" s="755" t="n">
        <v>0</v>
      </c>
      <c r="L397" s="839" t="n"/>
      <c r="M397" s="770" t="n"/>
      <c r="N397" s="863" t="n">
        <v>0</v>
      </c>
      <c r="O397" s="757" t="n"/>
      <c r="P397" s="854" t="n"/>
      <c r="Q397" s="758" t="n"/>
      <c r="R397" s="755">
        <f>SUM(K397:Q397)</f>
        <v/>
      </c>
      <c r="S397" s="755">
        <f>J397*2060</f>
        <v/>
      </c>
    </row>
    <row r="398" customFormat="1" s="638">
      <c r="A398" s="356" t="inlineStr">
        <is>
          <t>파인</t>
        </is>
      </c>
      <c r="B398" s="774" t="n"/>
      <c r="C398" s="218" t="n"/>
      <c r="D398" s="234" t="n"/>
      <c r="E398" s="234" t="n"/>
      <c r="F398" s="191" t="n"/>
      <c r="G398" s="195" t="n"/>
      <c r="H398" s="80" t="n"/>
      <c r="I398" s="114" t="n"/>
      <c r="J398" s="35">
        <f>SUM(B398:I398)</f>
        <v/>
      </c>
      <c r="K398" s="755" t="n">
        <v>0</v>
      </c>
      <c r="L398" s="839" t="n"/>
      <c r="M398" s="770" t="n"/>
      <c r="N398" s="863" t="n">
        <v>0</v>
      </c>
      <c r="O398" s="757" t="n"/>
      <c r="P398" s="854" t="n"/>
      <c r="Q398" s="758" t="n"/>
      <c r="R398" s="755">
        <f>SUM(K398:Q398)</f>
        <v/>
      </c>
      <c r="S398" s="755">
        <f>J398*3730</f>
        <v/>
      </c>
    </row>
    <row r="399" customFormat="1" s="638">
      <c r="A399" s="356" t="inlineStr">
        <is>
          <t>팔마로사</t>
        </is>
      </c>
      <c r="B399" s="774" t="n"/>
      <c r="C399" s="218" t="n"/>
      <c r="D399" s="234" t="n"/>
      <c r="E399" s="234" t="n"/>
      <c r="F399" s="191" t="n"/>
      <c r="G399" s="195" t="n"/>
      <c r="H399" s="80" t="n"/>
      <c r="I399" s="114" t="n"/>
      <c r="J399" s="35">
        <f>SUM(B399:I399)</f>
        <v/>
      </c>
      <c r="K399" s="755" t="n">
        <v>0</v>
      </c>
      <c r="L399" s="839" t="n"/>
      <c r="M399" s="770" t="n"/>
      <c r="N399" s="863" t="n">
        <v>0</v>
      </c>
      <c r="O399" s="757" t="n"/>
      <c r="P399" s="854" t="n"/>
      <c r="Q399" s="758" t="n"/>
      <c r="R399" s="755">
        <f>SUM(K399:Q399)</f>
        <v/>
      </c>
      <c r="S399" s="755">
        <f>J399*2360</f>
        <v/>
      </c>
    </row>
    <row r="400" customFormat="1" s="638">
      <c r="A400" s="354" t="inlineStr">
        <is>
          <t>페퍼민트</t>
        </is>
      </c>
      <c r="B400" s="774" t="n"/>
      <c r="C400" s="233" t="n"/>
      <c r="D400" s="234" t="n"/>
      <c r="E400" s="234" t="n"/>
      <c r="F400" s="230" t="n"/>
      <c r="G400" s="345" t="n"/>
      <c r="H400" s="80" t="n"/>
      <c r="I400" s="114" t="n"/>
      <c r="J400" s="35">
        <f>SUM(B400:I400)</f>
        <v/>
      </c>
      <c r="K400" s="755" t="n">
        <v>0</v>
      </c>
      <c r="L400" s="839" t="n"/>
      <c r="M400" s="770" t="n"/>
      <c r="N400" s="863" t="n">
        <v>0</v>
      </c>
      <c r="O400" s="757" t="n"/>
      <c r="P400" s="854" t="n"/>
      <c r="Q400" s="758" t="n"/>
      <c r="R400" s="755">
        <f>SUM(K400:Q400)</f>
        <v/>
      </c>
      <c r="S400" s="755">
        <f>J400*1790</f>
        <v/>
      </c>
    </row>
    <row r="401" customFormat="1" s="638">
      <c r="A401" s="356" t="inlineStr">
        <is>
          <t>페티그레인</t>
        </is>
      </c>
      <c r="B401" s="774" t="n"/>
      <c r="C401" s="218" t="n"/>
      <c r="D401" s="234" t="n"/>
      <c r="E401" s="234" t="n"/>
      <c r="F401" s="191" t="n"/>
      <c r="G401" s="195" t="n"/>
      <c r="H401" s="80" t="n"/>
      <c r="I401" s="114" t="n"/>
      <c r="J401" s="35">
        <f>SUM(B401:I401)</f>
        <v/>
      </c>
      <c r="K401" s="755" t="n">
        <v>0</v>
      </c>
      <c r="L401" s="839" t="n"/>
      <c r="M401" s="770" t="n"/>
      <c r="N401" s="863" t="n">
        <v>0</v>
      </c>
      <c r="O401" s="757" t="n"/>
      <c r="P401" s="854" t="n"/>
      <c r="Q401" s="758" t="n"/>
      <c r="R401" s="755">
        <f>SUM(K401:Q401)</f>
        <v/>
      </c>
      <c r="S401" s="755">
        <f>J401*4060</f>
        <v/>
      </c>
    </row>
    <row r="402" customFormat="1" s="638">
      <c r="A402" s="356" t="inlineStr">
        <is>
          <t>패츌리</t>
        </is>
      </c>
      <c r="B402" s="774" t="n"/>
      <c r="C402" s="218" t="n"/>
      <c r="D402" s="234" t="n"/>
      <c r="E402" s="234" t="n"/>
      <c r="F402" s="191" t="n"/>
      <c r="G402" s="195" t="n"/>
      <c r="H402" s="80" t="n"/>
      <c r="I402" s="114" t="n"/>
      <c r="J402" s="35">
        <f>SUM(B402:I402)</f>
        <v/>
      </c>
      <c r="K402" s="755" t="n">
        <v>0</v>
      </c>
      <c r="L402" s="839" t="n"/>
      <c r="M402" s="770" t="n"/>
      <c r="N402" s="863" t="n">
        <v>0</v>
      </c>
      <c r="O402" s="757" t="n"/>
      <c r="P402" s="854" t="n"/>
      <c r="Q402" s="758" t="n"/>
      <c r="R402" s="755">
        <f>SUM(K402:Q402)</f>
        <v/>
      </c>
      <c r="S402" s="755">
        <f>J402*7690</f>
        <v/>
      </c>
    </row>
    <row r="403" customFormat="1" s="638">
      <c r="A403" s="356" t="inlineStr">
        <is>
          <t>펜넬</t>
        </is>
      </c>
      <c r="B403" s="774" t="n"/>
      <c r="C403" s="218" t="n"/>
      <c r="D403" s="234" t="n"/>
      <c r="E403" s="234" t="n"/>
      <c r="F403" s="191" t="n"/>
      <c r="G403" s="195" t="n"/>
      <c r="H403" s="80" t="n"/>
      <c r="I403" s="114" t="n"/>
      <c r="J403" s="35">
        <f>SUM(B403:I403)</f>
        <v/>
      </c>
      <c r="K403" s="755" t="n">
        <v>0</v>
      </c>
      <c r="L403" s="839" t="n"/>
      <c r="M403" s="770" t="n"/>
      <c r="N403" s="863" t="n">
        <v>0</v>
      </c>
      <c r="O403" s="757" t="n"/>
      <c r="P403" s="854" t="n"/>
      <c r="Q403" s="758" t="n"/>
      <c r="R403" s="755">
        <f>SUM(K403:Q403)</f>
        <v/>
      </c>
      <c r="S403" s="755">
        <f>J403*3730</f>
        <v/>
      </c>
    </row>
    <row r="404" customFormat="1" s="638">
      <c r="A404" s="356" t="inlineStr">
        <is>
          <t>프랑킨센스(유향나무)</t>
        </is>
      </c>
      <c r="B404" s="774" t="n"/>
      <c r="C404" s="233" t="n">
        <v>1</v>
      </c>
      <c r="D404" s="234" t="n"/>
      <c r="E404" s="234" t="n"/>
      <c r="F404" s="230" t="n"/>
      <c r="G404" s="345" t="n"/>
      <c r="H404" s="80" t="n"/>
      <c r="I404" s="114" t="n"/>
      <c r="J404" s="35">
        <f>SUM(B404:I404)</f>
        <v/>
      </c>
      <c r="K404" s="755" t="n">
        <v>24000</v>
      </c>
      <c r="L404" s="839" t="n"/>
      <c r="M404" s="770" t="n"/>
      <c r="N404" s="863" t="n">
        <v>0</v>
      </c>
      <c r="O404" s="757" t="n"/>
      <c r="P404" s="854" t="n"/>
      <c r="Q404" s="758" t="n"/>
      <c r="R404" s="755">
        <f>SUM(K404:Q404)</f>
        <v/>
      </c>
      <c r="S404" s="755">
        <f>J404*5160</f>
        <v/>
      </c>
    </row>
    <row r="405" customFormat="1" s="638">
      <c r="A405" s="356" t="inlineStr">
        <is>
          <t>헬리크리섬</t>
        </is>
      </c>
      <c r="B405" s="774" t="n"/>
      <c r="C405" s="233" t="n"/>
      <c r="D405" s="234" t="n"/>
      <c r="E405" s="234" t="n"/>
      <c r="F405" s="230" t="n"/>
      <c r="G405" s="345" t="n"/>
      <c r="H405" s="80" t="n"/>
      <c r="I405" s="114" t="n"/>
      <c r="J405" s="35">
        <f>SUM(B405:I405)</f>
        <v/>
      </c>
      <c r="K405" s="755">
        <f>C405*125000</f>
        <v/>
      </c>
      <c r="L405" s="839" t="n"/>
      <c r="M405" s="770" t="n"/>
      <c r="N405" s="863">
        <f>F405*113000</f>
        <v/>
      </c>
      <c r="O405" s="757" t="n"/>
      <c r="P405" s="854" t="n"/>
      <c r="Q405" s="758" t="n"/>
      <c r="R405" s="755">
        <f>SUM(K405:Q405)</f>
        <v/>
      </c>
      <c r="S405" s="755">
        <f>J405*3640</f>
        <v/>
      </c>
    </row>
    <row r="406" customFormat="1" s="638">
      <c r="A406" s="356" t="inlineStr">
        <is>
          <t>히솝</t>
        </is>
      </c>
      <c r="B406" s="774" t="n"/>
      <c r="C406" s="233" t="n"/>
      <c r="D406" s="234" t="n"/>
      <c r="E406" s="234" t="n"/>
      <c r="F406" s="230" t="n"/>
      <c r="G406" s="345" t="n"/>
      <c r="H406" s="80" t="n"/>
      <c r="I406" s="114" t="n"/>
      <c r="J406" s="35">
        <f>SUM(B406:I406)</f>
        <v/>
      </c>
      <c r="K406" s="755">
        <f>C406*23000</f>
        <v/>
      </c>
      <c r="L406" s="839" t="n"/>
      <c r="M406" s="770" t="n"/>
      <c r="N406" s="863">
        <f>F406*21000</f>
        <v/>
      </c>
      <c r="O406" s="757" t="n"/>
      <c r="P406" s="854" t="n"/>
      <c r="Q406" s="758" t="n"/>
      <c r="R406" s="755">
        <f>SUM(K406:Q406)</f>
        <v/>
      </c>
      <c r="S406" s="755">
        <f>J406*3220</f>
        <v/>
      </c>
    </row>
    <row r="407" customFormat="1" s="638">
      <c r="A407" s="356" t="inlineStr">
        <is>
          <t>히노키</t>
        </is>
      </c>
      <c r="B407" s="774" t="n"/>
      <c r="C407" s="35" t="n">
        <v>1</v>
      </c>
      <c r="D407" s="234" t="n"/>
      <c r="E407" s="234" t="n"/>
      <c r="F407" s="191" t="n"/>
      <c r="G407" s="195" t="n"/>
      <c r="H407" s="80" t="n"/>
      <c r="I407" s="114" t="n"/>
      <c r="J407" s="35">
        <f>SUM(B407:I407)</f>
        <v/>
      </c>
      <c r="K407" s="755" t="n">
        <v>32000</v>
      </c>
      <c r="L407" s="839" t="n"/>
      <c r="M407" s="770" t="n"/>
      <c r="N407" s="863" t="n">
        <v>0</v>
      </c>
      <c r="O407" s="757" t="n"/>
      <c r="P407" s="854" t="n"/>
      <c r="Q407" s="758" t="n"/>
      <c r="R407" s="755">
        <f>SUM(K407:Q407)</f>
        <v/>
      </c>
      <c r="S407" s="755">
        <f>J407*8130</f>
        <v/>
      </c>
    </row>
    <row r="408" customFormat="1" s="638">
      <c r="A408" s="356" t="inlineStr">
        <is>
          <t xml:space="preserve"> 발삼전나무오가닉</t>
        </is>
      </c>
      <c r="B408" s="774" t="n"/>
      <c r="C408" s="35" t="n"/>
      <c r="D408" s="234" t="n"/>
      <c r="E408" s="234" t="n"/>
      <c r="F408" s="191" t="n"/>
      <c r="G408" s="195" t="n"/>
      <c r="H408" s="80" t="n"/>
      <c r="I408" s="114" t="n"/>
      <c r="J408" s="35">
        <f>SUM(B408:I408)</f>
        <v/>
      </c>
      <c r="K408" s="755" t="n">
        <v>0</v>
      </c>
      <c r="L408" s="839" t="n"/>
      <c r="M408" s="770" t="n"/>
      <c r="N408" s="863" t="n">
        <v>0</v>
      </c>
      <c r="O408" s="757" t="n"/>
      <c r="P408" s="854" t="n"/>
      <c r="Q408" s="758" t="n"/>
      <c r="R408" s="755">
        <f>SUM(K408:Q408)</f>
        <v/>
      </c>
      <c r="S408" s="755">
        <f>J408*2960</f>
        <v/>
      </c>
    </row>
    <row r="409" customFormat="1" s="638">
      <c r="A409" s="356" t="inlineStr">
        <is>
          <t>잭파인에스엠오가닉</t>
        </is>
      </c>
      <c r="B409" s="774" t="n"/>
      <c r="C409" s="35" t="n"/>
      <c r="D409" s="234" t="n"/>
      <c r="E409" s="234" t="n"/>
      <c r="F409" s="191" t="n"/>
      <c r="G409" s="195" t="n"/>
      <c r="H409" s="80" t="n"/>
      <c r="I409" s="114" t="n"/>
      <c r="J409" s="35">
        <f>SUM(B409:I409)</f>
        <v/>
      </c>
      <c r="K409" s="755" t="n">
        <v>0</v>
      </c>
      <c r="L409" s="839" t="n"/>
      <c r="M409" s="770" t="n"/>
      <c r="N409" s="863" t="n">
        <v>0</v>
      </c>
      <c r="O409" s="757" t="n"/>
      <c r="P409" s="854" t="n"/>
      <c r="Q409" s="758" t="n"/>
      <c r="R409" s="755">
        <f>SUM(K409:Q409)</f>
        <v/>
      </c>
      <c r="S409" s="755">
        <f>J409*4270</f>
        <v/>
      </c>
    </row>
    <row r="410" customFormat="1" s="638">
      <c r="A410" s="356" t="inlineStr">
        <is>
          <t>(W)가문비나무오가닉</t>
        </is>
      </c>
      <c r="B410" s="774" t="n"/>
      <c r="C410" s="35" t="n"/>
      <c r="D410" s="234" t="n"/>
      <c r="E410" s="234" t="n"/>
      <c r="F410" s="191" t="n"/>
      <c r="G410" s="195" t="n"/>
      <c r="H410" s="80" t="n"/>
      <c r="I410" s="114" t="n"/>
      <c r="J410" s="35">
        <f>SUM(B410:I410)</f>
        <v/>
      </c>
      <c r="K410" s="755" t="n">
        <v>0</v>
      </c>
      <c r="L410" s="839" t="n"/>
      <c r="M410" s="770" t="n"/>
      <c r="N410" s="863" t="n">
        <v>0</v>
      </c>
      <c r="O410" s="757" t="n"/>
      <c r="P410" s="854" t="n"/>
      <c r="Q410" s="758" t="n"/>
      <c r="R410" s="755">
        <f>SUM(K410:Q410)</f>
        <v/>
      </c>
      <c r="S410" s="755">
        <f>J410*5610</f>
        <v/>
      </c>
    </row>
    <row r="411" customFormat="1" s="638">
      <c r="A411" s="356" t="inlineStr">
        <is>
          <t>타마락낙엽송오가닉</t>
        </is>
      </c>
      <c r="B411" s="774" t="n"/>
      <c r="C411" s="35" t="n"/>
      <c r="D411" s="234" t="n"/>
      <c r="E411" s="234" t="n"/>
      <c r="F411" s="191" t="n"/>
      <c r="G411" s="195" t="n"/>
      <c r="H411" s="80" t="n"/>
      <c r="I411" s="114" t="n"/>
      <c r="J411" s="35">
        <f>SUM(B411:I411)</f>
        <v/>
      </c>
      <c r="K411" s="755" t="n">
        <v>0</v>
      </c>
      <c r="L411" s="839" t="n"/>
      <c r="M411" s="770" t="n"/>
      <c r="N411" s="863" t="n">
        <v>0</v>
      </c>
      <c r="O411" s="757" t="n"/>
      <c r="P411" s="854" t="n"/>
      <c r="Q411" s="758" t="n"/>
      <c r="R411" s="755">
        <f>SUM(K411:Q411)</f>
        <v/>
      </c>
      <c r="S411" s="755">
        <f>J411*7310</f>
        <v/>
      </c>
    </row>
    <row r="412" customFormat="1" s="638">
      <c r="A412" s="356" t="inlineStr">
        <is>
          <t>동백삼나무잎</t>
        </is>
      </c>
      <c r="B412" s="774" t="n"/>
      <c r="C412" s="35" t="n"/>
      <c r="D412" s="234" t="n"/>
      <c r="E412" s="234" t="n"/>
      <c r="F412" s="191" t="n"/>
      <c r="G412" s="195" t="n"/>
      <c r="H412" s="80" t="n"/>
      <c r="I412" s="114" t="n"/>
      <c r="J412" s="35">
        <f>SUM(B412:I412)</f>
        <v/>
      </c>
      <c r="K412" s="755" t="n">
        <v>0</v>
      </c>
      <c r="L412" s="839" t="n"/>
      <c r="M412" s="770" t="n"/>
      <c r="N412" s="863" t="n">
        <v>0</v>
      </c>
      <c r="O412" s="757" t="n"/>
      <c r="P412" s="854" t="n"/>
      <c r="Q412" s="758" t="n"/>
      <c r="R412" s="755">
        <f>SUM(K412:Q412)</f>
        <v/>
      </c>
      <c r="S412" s="755">
        <f>J412*3980</f>
        <v/>
      </c>
    </row>
    <row r="413" customFormat="1" s="638">
      <c r="A413" s="356" t="inlineStr">
        <is>
          <t>노르웨이소나무</t>
        </is>
      </c>
      <c r="B413" s="775" t="n"/>
      <c r="C413" s="35" t="n"/>
      <c r="D413" s="234" t="n"/>
      <c r="E413" s="234" t="n"/>
      <c r="F413" s="191" t="n"/>
      <c r="G413" s="195" t="n"/>
      <c r="H413" s="80" t="n"/>
      <c r="I413" s="114" t="n"/>
      <c r="J413" s="35">
        <f>SUM(B413:I413)</f>
        <v/>
      </c>
      <c r="K413" s="755" t="n">
        <v>0</v>
      </c>
      <c r="L413" s="839" t="n"/>
      <c r="M413" s="770" t="n"/>
      <c r="N413" s="863" t="n">
        <v>0</v>
      </c>
      <c r="O413" s="757" t="n"/>
      <c r="P413" s="854" t="n"/>
      <c r="Q413" s="758" t="n"/>
      <c r="R413" s="755">
        <f>SUM(K413:Q413)</f>
        <v/>
      </c>
      <c r="S413" s="755">
        <f>J413*3920</f>
        <v/>
      </c>
    </row>
    <row r="414" customFormat="1" s="638">
      <c r="A414" s="356" t="n"/>
      <c r="B414" s="417" t="n"/>
      <c r="C414" s="35" t="n"/>
      <c r="D414" s="234" t="n"/>
      <c r="E414" s="234" t="n"/>
      <c r="F414" s="191" t="n"/>
      <c r="G414" s="195" t="n"/>
      <c r="H414" s="80" t="n"/>
      <c r="I414" s="114" t="n"/>
      <c r="J414" s="35" t="n"/>
      <c r="K414" s="755" t="n"/>
      <c r="L414" s="839" t="n"/>
      <c r="M414" s="770" t="n"/>
      <c r="N414" s="863" t="n"/>
      <c r="O414" s="757" t="n"/>
      <c r="P414" s="854" t="n"/>
      <c r="Q414" s="758" t="n"/>
      <c r="R414" s="755" t="n"/>
      <c r="S414" s="755" t="n"/>
    </row>
    <row r="415" customFormat="1" s="74">
      <c r="A415" s="504" t="inlineStr">
        <is>
          <t>10ml 합계</t>
        </is>
      </c>
      <c r="B415" s="503" t="n"/>
      <c r="C415" s="450">
        <f>SUM(C344:C414)</f>
        <v/>
      </c>
      <c r="D415" s="450">
        <f>SUM(D344:D414)</f>
        <v/>
      </c>
      <c r="E415" s="450">
        <f>SUM(E344:E414)</f>
        <v/>
      </c>
      <c r="F415" s="450">
        <f>SUM(F344:F414)</f>
        <v/>
      </c>
      <c r="G415" s="450">
        <f>SUM(G344:G414)</f>
        <v/>
      </c>
      <c r="H415" s="450">
        <f>SUM(H344:H414)</f>
        <v/>
      </c>
      <c r="I415" s="450">
        <f>SUM(I344:I414)</f>
        <v/>
      </c>
      <c r="J415" s="450">
        <f>SUM(J344:J414)</f>
        <v/>
      </c>
      <c r="K415" s="886">
        <f>SUM(K341:K414)</f>
        <v/>
      </c>
      <c r="L415" s="886">
        <f>SUM(L341:L414)</f>
        <v/>
      </c>
      <c r="M415" s="886">
        <f>SUM(M341:M414)</f>
        <v/>
      </c>
      <c r="N415" s="887">
        <f>SUM(N341:N414)</f>
        <v/>
      </c>
      <c r="O415" s="886">
        <f>SUM(O341:O414)</f>
        <v/>
      </c>
      <c r="P415" s="886">
        <f>SUM(P341:P414)</f>
        <v/>
      </c>
      <c r="Q415" s="886">
        <f>SUM(Q341:Q414)</f>
        <v/>
      </c>
      <c r="R415" s="886">
        <f>SUM(K415:Q415)</f>
        <v/>
      </c>
      <c r="S415" s="886">
        <f>SUM(S341:S414)</f>
        <v/>
      </c>
    </row>
    <row r="416" customFormat="1" s="245">
      <c r="A416" s="570" t="inlineStr">
        <is>
          <t>갈바넘</t>
        </is>
      </c>
      <c r="B416" s="571" t="n"/>
      <c r="C416" s="237" t="n"/>
      <c r="D416" s="237" t="n"/>
      <c r="E416" s="237" t="n"/>
      <c r="F416" s="237" t="n"/>
      <c r="G416" s="237" t="n"/>
      <c r="H416" s="237" t="n"/>
      <c r="I416" s="237" t="n"/>
      <c r="J416" s="35">
        <f>SUM(B416:I416)</f>
        <v/>
      </c>
      <c r="K416" s="810">
        <f>C416*480000</f>
        <v/>
      </c>
      <c r="L416" s="810" t="n"/>
      <c r="M416" s="810" t="n"/>
      <c r="N416" s="813">
        <f>F416*432000</f>
        <v/>
      </c>
      <c r="O416" s="810" t="n"/>
      <c r="P416" s="810" t="n"/>
      <c r="Q416" s="810" t="n"/>
      <c r="R416" s="755">
        <f>SUM(K416:Q416)</f>
        <v/>
      </c>
      <c r="S416" s="810">
        <f>J416*40100</f>
        <v/>
      </c>
    </row>
    <row r="417" ht="16.5" customFormat="1" customHeight="1" s="638">
      <c r="A417" s="356" t="inlineStr">
        <is>
          <t>그레이프루잇</t>
        </is>
      </c>
      <c r="B417" s="547" t="inlineStr">
        <is>
          <t xml:space="preserve">P0000BID  /  P0000BKF    /  P0000BME   /  P0000BMD   </t>
        </is>
      </c>
      <c r="C417" s="237" t="n"/>
      <c r="D417" s="234" t="n"/>
      <c r="E417" s="234" t="n"/>
      <c r="F417" s="230" t="n"/>
      <c r="G417" s="345" t="n"/>
      <c r="H417" s="80" t="n"/>
      <c r="I417" s="114" t="n"/>
      <c r="J417" s="35">
        <f>SUM(B417:I417)</f>
        <v/>
      </c>
      <c r="K417" s="755" t="n">
        <v>0</v>
      </c>
      <c r="L417" s="839" t="n"/>
      <c r="M417" s="770" t="n"/>
      <c r="N417" s="863" t="n">
        <v>0</v>
      </c>
      <c r="O417" s="757" t="n"/>
      <c r="P417" s="854" t="n"/>
      <c r="Q417" s="758" t="n"/>
      <c r="R417" s="755">
        <f>SUM(K417:Q417)</f>
        <v/>
      </c>
      <c r="S417" s="755">
        <f>J417*18000</f>
        <v/>
      </c>
    </row>
    <row r="418" ht="16.5" customFormat="1" customHeight="1" s="638">
      <c r="A418" s="356" t="inlineStr">
        <is>
          <t>넛맥</t>
        </is>
      </c>
      <c r="B418" s="774" t="n"/>
      <c r="C418" s="237" t="n"/>
      <c r="D418" s="234" t="n"/>
      <c r="E418" s="234" t="n"/>
      <c r="F418" s="230" t="n"/>
      <c r="G418" s="345" t="n"/>
      <c r="H418" s="80" t="n"/>
      <c r="I418" s="114" t="n"/>
      <c r="J418" s="35">
        <f>SUM(B418:I418)</f>
        <v/>
      </c>
      <c r="K418" s="755">
        <f>C418*136000</f>
        <v/>
      </c>
      <c r="L418" s="839" t="n"/>
      <c r="M418" s="770" t="n"/>
      <c r="N418" s="863">
        <f>F418*122000</f>
        <v/>
      </c>
      <c r="O418" s="757" t="n"/>
      <c r="P418" s="854" t="n"/>
      <c r="Q418" s="758" t="n"/>
      <c r="R418" s="755">
        <f>SUM(K418:Q418)</f>
        <v/>
      </c>
      <c r="S418" s="755">
        <f>J418*16200</f>
        <v/>
      </c>
    </row>
    <row r="419" customFormat="1" s="638">
      <c r="A419" s="356" t="inlineStr">
        <is>
          <t xml:space="preserve">네롤리 </t>
        </is>
      </c>
      <c r="B419" s="774" t="n"/>
      <c r="C419" s="237" t="n"/>
      <c r="D419" s="234" t="n"/>
      <c r="E419" s="234" t="n"/>
      <c r="F419" s="230" t="n"/>
      <c r="G419" s="345" t="n"/>
      <c r="H419" s="80" t="n"/>
      <c r="I419" s="114" t="n"/>
      <c r="J419" s="35">
        <f>SUM(B419:I419)</f>
        <v/>
      </c>
      <c r="K419" s="755" t="n">
        <v>0</v>
      </c>
      <c r="L419" s="839" t="n"/>
      <c r="M419" s="770" t="n"/>
      <c r="N419" s="863" t="n">
        <v>0</v>
      </c>
      <c r="O419" s="757" t="n"/>
      <c r="P419" s="854" t="n"/>
      <c r="Q419" s="758" t="n"/>
      <c r="R419" s="755">
        <f>SUM(K419:Q419)</f>
        <v/>
      </c>
      <c r="S419" s="755">
        <f>J419*18200</f>
        <v/>
      </c>
    </row>
    <row r="420" customFormat="1" s="638">
      <c r="A420" s="356" t="inlineStr">
        <is>
          <t>딜시드</t>
        </is>
      </c>
      <c r="B420" s="774" t="n"/>
      <c r="C420" s="237" t="n"/>
      <c r="D420" s="234" t="n"/>
      <c r="E420" s="234" t="n"/>
      <c r="F420" s="230" t="n"/>
      <c r="G420" s="345" t="n"/>
      <c r="H420" s="80" t="n"/>
      <c r="I420" s="114" t="n"/>
      <c r="J420" s="35">
        <f>SUM(B420:I420)</f>
        <v/>
      </c>
      <c r="K420" s="755">
        <f>C420*128000</f>
        <v/>
      </c>
      <c r="L420" s="839" t="n"/>
      <c r="M420" s="770" t="n"/>
      <c r="N420" s="863">
        <f>F420*115000</f>
        <v/>
      </c>
      <c r="O420" s="757" t="n"/>
      <c r="P420" s="854" t="n"/>
      <c r="Q420" s="758" t="n"/>
      <c r="R420" s="755">
        <f>SUM(K420:Q420)</f>
        <v/>
      </c>
      <c r="S420" s="755">
        <f>J420*13300</f>
        <v/>
      </c>
    </row>
    <row r="421" customFormat="1" s="638">
      <c r="A421" s="354" t="inlineStr">
        <is>
          <t>라벤다(불가리아)</t>
        </is>
      </c>
      <c r="B421" s="774" t="n"/>
      <c r="C421" s="237" t="n"/>
      <c r="D421" s="242" t="n"/>
      <c r="E421" s="234" t="n"/>
      <c r="F421" s="230" t="n">
        <v>1</v>
      </c>
      <c r="G421" s="345" t="n"/>
      <c r="H421" s="80" t="n"/>
      <c r="I421" s="114" t="n"/>
      <c r="J421" s="35">
        <f>SUM(B421:I421)</f>
        <v/>
      </c>
      <c r="K421" s="755" t="n">
        <v>0</v>
      </c>
      <c r="L421" s="839" t="n"/>
      <c r="M421" s="770" t="n"/>
      <c r="N421" s="863" t="n">
        <v>79000</v>
      </c>
      <c r="O421" s="757" t="n"/>
      <c r="P421" s="854" t="n"/>
      <c r="Q421" s="758" t="n"/>
      <c r="R421" s="755">
        <f>SUM(K421:Q421)</f>
        <v/>
      </c>
      <c r="S421" s="755">
        <f>J421*13900</f>
        <v/>
      </c>
    </row>
    <row r="422" customFormat="1" s="638">
      <c r="A422" s="354" t="inlineStr">
        <is>
          <t>라임</t>
        </is>
      </c>
      <c r="B422" s="774" t="n"/>
      <c r="C422" s="237" t="n"/>
      <c r="D422" s="234" t="n"/>
      <c r="E422" s="234" t="n"/>
      <c r="F422" s="230" t="n"/>
      <c r="G422" s="345" t="n"/>
      <c r="H422" s="80" t="n"/>
      <c r="I422" s="114" t="n"/>
      <c r="J422" s="35">
        <f>SUM(B422:I422)</f>
        <v/>
      </c>
      <c r="K422" s="755" t="n">
        <v>0</v>
      </c>
      <c r="L422" s="839" t="n"/>
      <c r="M422" s="770" t="n"/>
      <c r="N422" s="863" t="n">
        <v>0</v>
      </c>
      <c r="O422" s="757" t="n"/>
      <c r="P422" s="854" t="n"/>
      <c r="Q422" s="758" t="n"/>
      <c r="R422" s="755">
        <f>SUM(K422:Q422)</f>
        <v/>
      </c>
      <c r="S422" s="755">
        <f>J422*16900</f>
        <v/>
      </c>
    </row>
    <row r="423" customFormat="1" s="638">
      <c r="A423" s="355" t="inlineStr">
        <is>
          <t>로즈마리오일</t>
        </is>
      </c>
      <c r="B423" s="774" t="n"/>
      <c r="C423" s="237" t="n"/>
      <c r="D423" s="242" t="n"/>
      <c r="E423" s="234" t="n"/>
      <c r="F423" s="230" t="n"/>
      <c r="G423" s="345" t="n"/>
      <c r="H423" s="80" t="n"/>
      <c r="I423" s="114" t="n"/>
      <c r="J423" s="35">
        <f>SUM(B423:I423)</f>
        <v/>
      </c>
      <c r="K423" s="755">
        <f>C423*146000</f>
        <v/>
      </c>
      <c r="L423" s="839" t="n"/>
      <c r="M423" s="770" t="n"/>
      <c r="N423" s="863">
        <f>F423*131000</f>
        <v/>
      </c>
      <c r="O423" s="757" t="n"/>
      <c r="P423" s="854" t="n"/>
      <c r="Q423" s="758" t="n"/>
      <c r="R423" s="755">
        <f>SUM(K423:Q423)</f>
        <v/>
      </c>
      <c r="S423" s="755">
        <f>J423*38900</f>
        <v/>
      </c>
    </row>
    <row r="424" customFormat="1" s="638">
      <c r="A424" s="354" t="inlineStr">
        <is>
          <t>로즈제라늄</t>
        </is>
      </c>
      <c r="B424" s="774" t="n"/>
      <c r="C424" s="237" t="n"/>
      <c r="D424" s="242" t="n"/>
      <c r="E424" s="234" t="n"/>
      <c r="F424" s="230" t="n"/>
      <c r="G424" s="345" t="n"/>
      <c r="H424" s="80" t="n"/>
      <c r="I424" s="114" t="n"/>
      <c r="J424" s="35">
        <f>SUM(B424:I424)</f>
        <v/>
      </c>
      <c r="K424" s="755" t="n">
        <v>0</v>
      </c>
      <c r="L424" s="839" t="n"/>
      <c r="M424" s="770" t="n"/>
      <c r="N424" s="863" t="n">
        <v>0</v>
      </c>
      <c r="O424" s="757" t="n"/>
      <c r="P424" s="854" t="n"/>
      <c r="Q424" s="758" t="n"/>
      <c r="R424" s="755">
        <f>SUM(K424:Q424)</f>
        <v/>
      </c>
      <c r="S424" s="755">
        <f>J424*14200</f>
        <v/>
      </c>
    </row>
    <row r="425" customFormat="1" s="638">
      <c r="A425" s="354" t="inlineStr">
        <is>
          <t>로만캐모마일(오가닉)</t>
        </is>
      </c>
      <c r="B425" s="774" t="n"/>
      <c r="C425" s="237" t="n"/>
      <c r="D425" s="234" t="n"/>
      <c r="E425" s="234" t="n"/>
      <c r="F425" s="230" t="n"/>
      <c r="G425" s="345" t="n"/>
      <c r="H425" s="80" t="n"/>
      <c r="I425" s="114" t="n"/>
      <c r="J425" s="35">
        <f>SUM(B425:I425)</f>
        <v/>
      </c>
      <c r="K425" s="755" t="n">
        <v>0</v>
      </c>
      <c r="L425" s="839" t="n"/>
      <c r="M425" s="770" t="n"/>
      <c r="N425" s="863" t="n">
        <v>0</v>
      </c>
      <c r="O425" s="757" t="n"/>
      <c r="P425" s="854" t="n"/>
      <c r="Q425" s="758" t="n"/>
      <c r="R425" s="755">
        <f>SUM(K425:Q425)</f>
        <v/>
      </c>
      <c r="S425" s="755">
        <f>J425*276500</f>
        <v/>
      </c>
    </row>
    <row r="426" customFormat="1" s="638">
      <c r="A426" s="354" t="inlineStr">
        <is>
          <t>루</t>
        </is>
      </c>
      <c r="B426" s="774" t="n"/>
      <c r="C426" s="237" t="n"/>
      <c r="D426" s="234" t="n"/>
      <c r="E426" s="234" t="n"/>
      <c r="F426" s="230" t="n"/>
      <c r="G426" s="345" t="n"/>
      <c r="H426" s="80" t="n"/>
      <c r="I426" s="114" t="n"/>
      <c r="J426" s="35">
        <f>SUM(B426:I426)</f>
        <v/>
      </c>
      <c r="K426" s="755">
        <f>C426*184000</f>
        <v/>
      </c>
      <c r="L426" s="839" t="n"/>
      <c r="M426" s="770" t="n"/>
      <c r="N426" s="863">
        <f>F426*166000</f>
        <v/>
      </c>
      <c r="O426" s="757" t="n"/>
      <c r="P426" s="854" t="n"/>
      <c r="Q426" s="758" t="n"/>
      <c r="R426" s="755">
        <f>SUM(K426:Q426)</f>
        <v/>
      </c>
      <c r="S426" s="755">
        <f>J426*21200</f>
        <v/>
      </c>
    </row>
    <row r="427" customFormat="1" s="638">
      <c r="A427" s="354" t="inlineStr">
        <is>
          <t>레몬오일</t>
        </is>
      </c>
      <c r="B427" s="774" t="n"/>
      <c r="C427" s="237" t="n"/>
      <c r="D427" s="234" t="n"/>
      <c r="E427" s="234" t="n"/>
      <c r="F427" s="230" t="n"/>
      <c r="G427" s="345" t="n"/>
      <c r="H427" s="80" t="n"/>
      <c r="I427" s="114" t="n"/>
      <c r="J427" s="35">
        <f>SUM(B427:I427)</f>
        <v/>
      </c>
      <c r="K427" s="755" t="n">
        <v>0</v>
      </c>
      <c r="L427" s="839" t="n"/>
      <c r="M427" s="770" t="n"/>
      <c r="N427" s="863" t="n">
        <v>0</v>
      </c>
      <c r="O427" s="757" t="n"/>
      <c r="P427" s="854" t="n"/>
      <c r="Q427" s="758" t="n"/>
      <c r="R427" s="755">
        <f>SUM(K427:Q427)</f>
        <v/>
      </c>
      <c r="S427" s="755">
        <f>J427*12500</f>
        <v/>
      </c>
    </row>
    <row r="428" customFormat="1" s="638">
      <c r="A428" s="354" t="inlineStr">
        <is>
          <t>레몬그라스오일</t>
        </is>
      </c>
      <c r="B428" s="774" t="n"/>
      <c r="C428" s="237" t="n"/>
      <c r="D428" s="234" t="n"/>
      <c r="E428" s="234" t="n"/>
      <c r="F428" s="230" t="n"/>
      <c r="G428" s="345" t="n"/>
      <c r="H428" s="80" t="n"/>
      <c r="I428" s="114" t="n"/>
      <c r="J428" s="35">
        <f>SUM(B428:I428)</f>
        <v/>
      </c>
      <c r="K428" s="755" t="n">
        <v>0</v>
      </c>
      <c r="L428" s="839" t="n"/>
      <c r="M428" s="770" t="n"/>
      <c r="N428" s="863" t="n">
        <v>0</v>
      </c>
      <c r="O428" s="757" t="n"/>
      <c r="P428" s="854" t="n"/>
      <c r="Q428" s="758" t="n"/>
      <c r="R428" s="755">
        <f>SUM(K428:Q428)</f>
        <v/>
      </c>
      <c r="S428" s="755">
        <f>J428*8700</f>
        <v/>
      </c>
    </row>
    <row r="429" customFormat="1" s="638">
      <c r="A429" s="356" t="inlineStr">
        <is>
          <t>마조람</t>
        </is>
      </c>
      <c r="B429" s="774" t="n"/>
      <c r="C429" s="35" t="n"/>
      <c r="D429" s="234" t="n"/>
      <c r="E429" s="234" t="n"/>
      <c r="F429" s="191" t="n"/>
      <c r="G429" s="195" t="n"/>
      <c r="H429" s="80" t="n"/>
      <c r="I429" s="114" t="n"/>
      <c r="J429" s="35">
        <f>SUM(B429:I429)</f>
        <v/>
      </c>
      <c r="K429" s="755" t="n">
        <v>0</v>
      </c>
      <c r="L429" s="839" t="n"/>
      <c r="M429" s="770" t="n"/>
      <c r="N429" s="863" t="n">
        <v>0</v>
      </c>
      <c r="O429" s="757" t="n"/>
      <c r="P429" s="854" t="n"/>
      <c r="Q429" s="758" t="n"/>
      <c r="R429" s="755">
        <f>SUM(K429:Q429)</f>
        <v/>
      </c>
      <c r="S429" s="755">
        <f>J429*46600</f>
        <v/>
      </c>
    </row>
    <row r="430" customFormat="1" s="638">
      <c r="A430" s="356" t="inlineStr">
        <is>
          <t>만다린</t>
        </is>
      </c>
      <c r="B430" s="774" t="n"/>
      <c r="C430" s="35" t="n"/>
      <c r="D430" s="234" t="n"/>
      <c r="E430" s="234" t="n"/>
      <c r="F430" s="191" t="n"/>
      <c r="G430" s="195" t="n"/>
      <c r="H430" s="80" t="n"/>
      <c r="I430" s="114" t="n"/>
      <c r="J430" s="35">
        <f>SUM(B430:I430)</f>
        <v/>
      </c>
      <c r="K430" s="755" t="n">
        <v>0</v>
      </c>
      <c r="L430" s="839" t="n"/>
      <c r="M430" s="770" t="n"/>
      <c r="N430" s="863" t="n">
        <v>0</v>
      </c>
      <c r="O430" s="757" t="n"/>
      <c r="P430" s="854" t="n"/>
      <c r="Q430" s="758" t="n"/>
      <c r="R430" s="755">
        <f>SUM(K430:Q430)</f>
        <v/>
      </c>
      <c r="S430" s="755">
        <f>J430*31200</f>
        <v/>
      </c>
    </row>
    <row r="431" customFormat="1" s="638">
      <c r="A431" s="356" t="inlineStr">
        <is>
          <t>머그워트(쑥)</t>
        </is>
      </c>
      <c r="B431" s="774" t="n"/>
      <c r="C431" s="35" t="n"/>
      <c r="D431" s="234" t="n"/>
      <c r="E431" s="234" t="n"/>
      <c r="F431" s="191" t="n"/>
      <c r="G431" s="195" t="n"/>
      <c r="H431" s="80" t="n"/>
      <c r="I431" s="114" t="n"/>
      <c r="J431" s="35">
        <f>SUM(B431:I431)</f>
        <v/>
      </c>
      <c r="K431" s="755" t="n">
        <v>0</v>
      </c>
      <c r="L431" s="839" t="n"/>
      <c r="M431" s="770" t="n"/>
      <c r="N431" s="863" t="n">
        <v>0</v>
      </c>
      <c r="O431" s="757" t="n"/>
      <c r="P431" s="854" t="n"/>
      <c r="Q431" s="758" t="n"/>
      <c r="R431" s="755">
        <f>SUM(K431:Q431)</f>
        <v/>
      </c>
      <c r="S431" s="755">
        <f>J431*75200</f>
        <v/>
      </c>
    </row>
    <row r="432" customFormat="1" s="638">
      <c r="A432" s="356" t="inlineStr">
        <is>
          <t>머틀</t>
        </is>
      </c>
      <c r="B432" s="774" t="n"/>
      <c r="C432" s="35" t="n"/>
      <c r="D432" s="234" t="n"/>
      <c r="E432" s="234" t="n"/>
      <c r="F432" s="191" t="n"/>
      <c r="G432" s="195" t="n"/>
      <c r="H432" s="80" t="n"/>
      <c r="I432" s="114" t="n"/>
      <c r="J432" s="35">
        <f>SUM(B432:I432)</f>
        <v/>
      </c>
      <c r="K432" s="755" t="n">
        <v>0</v>
      </c>
      <c r="L432" s="839" t="n"/>
      <c r="M432" s="770" t="n"/>
      <c r="N432" s="863" t="n">
        <v>0</v>
      </c>
      <c r="O432" s="757" t="n"/>
      <c r="P432" s="854" t="n"/>
      <c r="Q432" s="758" t="n"/>
      <c r="R432" s="755">
        <f>SUM(K432:Q432)</f>
        <v/>
      </c>
      <c r="S432" s="755">
        <f>J432*12100</f>
        <v/>
      </c>
    </row>
    <row r="433" customFormat="1" s="638">
      <c r="A433" s="354" t="inlineStr">
        <is>
          <t>멜리사오일</t>
        </is>
      </c>
      <c r="B433" s="774" t="n"/>
      <c r="C433" s="237" t="n"/>
      <c r="D433" s="242" t="n"/>
      <c r="E433" s="234" t="n"/>
      <c r="F433" s="230" t="n"/>
      <c r="G433" s="345" t="n"/>
      <c r="H433" s="80" t="n"/>
      <c r="I433" s="114" t="n"/>
      <c r="J433" s="35">
        <f>SUM(B433:I433)</f>
        <v/>
      </c>
      <c r="K433" s="755" t="n">
        <v>0</v>
      </c>
      <c r="L433" s="839" t="n"/>
      <c r="M433" s="770" t="n"/>
      <c r="N433" s="863" t="n">
        <v>0</v>
      </c>
      <c r="O433" s="757" t="n"/>
      <c r="P433" s="854" t="n"/>
      <c r="Q433" s="758" t="n"/>
      <c r="R433" s="755">
        <f>SUM(K433:Q433)</f>
        <v/>
      </c>
      <c r="S433" s="755">
        <f>J433*158660</f>
        <v/>
      </c>
    </row>
    <row r="434" customFormat="1" s="638">
      <c r="A434" s="356" t="inlineStr">
        <is>
          <t>미르오일</t>
        </is>
      </c>
      <c r="B434" s="774" t="n"/>
      <c r="C434" s="35" t="n"/>
      <c r="D434" s="234" t="n"/>
      <c r="E434" s="234" t="n"/>
      <c r="F434" s="191" t="n"/>
      <c r="G434" s="195" t="n"/>
      <c r="H434" s="80" t="n"/>
      <c r="I434" s="114" t="n"/>
      <c r="J434" s="35">
        <f>SUM(B434:I434)</f>
        <v/>
      </c>
      <c r="K434" s="755" t="n">
        <v>0</v>
      </c>
      <c r="L434" s="839" t="n"/>
      <c r="M434" s="770" t="n"/>
      <c r="N434" s="863" t="n">
        <v>0</v>
      </c>
      <c r="O434" s="757" t="n"/>
      <c r="P434" s="854" t="n"/>
      <c r="Q434" s="758" t="n"/>
      <c r="R434" s="755">
        <f>SUM(K434:Q434)</f>
        <v/>
      </c>
      <c r="S434" s="755">
        <f>J434*14200</f>
        <v/>
      </c>
    </row>
    <row r="435" customFormat="1" s="638">
      <c r="A435" s="356" t="inlineStr">
        <is>
          <t>바질</t>
        </is>
      </c>
      <c r="B435" s="774" t="n"/>
      <c r="C435" s="35" t="n"/>
      <c r="D435" s="234" t="n"/>
      <c r="E435" s="234" t="n"/>
      <c r="F435" s="191" t="n"/>
      <c r="G435" s="195" t="n"/>
      <c r="H435" s="80" t="n"/>
      <c r="I435" s="114" t="n"/>
      <c r="J435" s="35">
        <f>SUM(B435:I435)</f>
        <v/>
      </c>
      <c r="K435" s="755" t="n">
        <v>0</v>
      </c>
      <c r="L435" s="839" t="n"/>
      <c r="M435" s="770" t="n"/>
      <c r="N435" s="863" t="n">
        <v>0</v>
      </c>
      <c r="O435" s="757" t="n"/>
      <c r="P435" s="854" t="n"/>
      <c r="Q435" s="758" t="n"/>
      <c r="R435" s="755">
        <f>SUM(K435:Q435)</f>
        <v/>
      </c>
      <c r="S435" s="755">
        <f>J435*11100</f>
        <v/>
      </c>
    </row>
    <row r="436" customFormat="1" s="638">
      <c r="A436" s="356" t="inlineStr">
        <is>
          <t>버치스윗</t>
        </is>
      </c>
      <c r="B436" s="774" t="n"/>
      <c r="C436" s="35" t="n"/>
      <c r="D436" s="234" t="n"/>
      <c r="E436" s="234" t="n"/>
      <c r="F436" s="191" t="n"/>
      <c r="G436" s="195" t="n"/>
      <c r="H436" s="80" t="n"/>
      <c r="I436" s="114" t="n"/>
      <c r="J436" s="35">
        <f>SUM(B436:I436)</f>
        <v/>
      </c>
      <c r="K436" s="755">
        <f>C436*184000</f>
        <v/>
      </c>
      <c r="L436" s="839" t="n"/>
      <c r="M436" s="770" t="n"/>
      <c r="N436" s="863">
        <f>F436*166000</f>
        <v/>
      </c>
      <c r="O436" s="757" t="n"/>
      <c r="P436" s="854" t="n"/>
      <c r="Q436" s="758" t="n"/>
      <c r="R436" s="755">
        <f>SUM(K436:Q436)</f>
        <v/>
      </c>
      <c r="S436" s="755">
        <f>J436*14900</f>
        <v/>
      </c>
    </row>
    <row r="437" customFormat="1" s="638">
      <c r="A437" s="354" t="inlineStr">
        <is>
          <t>베르가모트</t>
        </is>
      </c>
      <c r="B437" s="774" t="n"/>
      <c r="C437" s="237" t="n"/>
      <c r="D437" s="234" t="n"/>
      <c r="E437" s="234" t="n"/>
      <c r="F437" s="230" t="n"/>
      <c r="G437" s="345" t="n"/>
      <c r="H437" s="80" t="n"/>
      <c r="I437" s="114" t="n"/>
      <c r="J437" s="35">
        <f>SUM(B437:I437)</f>
        <v/>
      </c>
      <c r="K437" s="755" t="n">
        <v>0</v>
      </c>
      <c r="L437" s="839" t="n"/>
      <c r="M437" s="770" t="n"/>
      <c r="N437" s="863" t="n">
        <v>0</v>
      </c>
      <c r="O437" s="757" t="n"/>
      <c r="P437" s="854" t="n"/>
      <c r="Q437" s="758" t="n"/>
      <c r="R437" s="755">
        <f>SUM(K437:Q437)</f>
        <v/>
      </c>
      <c r="S437" s="755">
        <f>J437*6400</f>
        <v/>
      </c>
    </row>
    <row r="438" customFormat="1" s="638">
      <c r="A438" s="356" t="inlineStr">
        <is>
          <t>베티버오일</t>
        </is>
      </c>
      <c r="B438" s="774" t="n"/>
      <c r="C438" s="35" t="n"/>
      <c r="D438" s="234" t="n"/>
      <c r="E438" s="234" t="n"/>
      <c r="F438" s="191" t="n"/>
      <c r="G438" s="195" t="n"/>
      <c r="H438" s="80" t="n"/>
      <c r="I438" s="114" t="n"/>
      <c r="J438" s="35">
        <f>SUM(B438:I438)</f>
        <v/>
      </c>
      <c r="K438" s="755" t="n">
        <v>0</v>
      </c>
      <c r="L438" s="839" t="n"/>
      <c r="M438" s="770" t="n"/>
      <c r="N438" s="863" t="n">
        <v>0</v>
      </c>
      <c r="O438" s="757" t="n"/>
      <c r="P438" s="854" t="n"/>
      <c r="Q438" s="758" t="n"/>
      <c r="R438" s="755">
        <f>SUM(K438:Q438)</f>
        <v/>
      </c>
      <c r="S438" s="755">
        <f>J438*99400</f>
        <v/>
      </c>
    </row>
    <row r="439" customFormat="1" s="638">
      <c r="A439" s="356" t="inlineStr">
        <is>
          <t>벤조인</t>
        </is>
      </c>
      <c r="B439" s="774" t="n"/>
      <c r="C439" s="35" t="n"/>
      <c r="D439" s="234" t="n"/>
      <c r="E439" s="234" t="n"/>
      <c r="F439" s="191" t="n"/>
      <c r="G439" s="195" t="n"/>
      <c r="H439" s="80" t="n"/>
      <c r="I439" s="114" t="n"/>
      <c r="J439" s="35">
        <f>SUM(B439:I439)</f>
        <v/>
      </c>
      <c r="K439" s="755" t="n">
        <v>0</v>
      </c>
      <c r="L439" s="839" t="n"/>
      <c r="M439" s="770" t="n"/>
      <c r="N439" s="863" t="n">
        <v>0</v>
      </c>
      <c r="O439" s="757" t="n"/>
      <c r="P439" s="854" t="n"/>
      <c r="Q439" s="758" t="n"/>
      <c r="R439" s="755">
        <f>SUM(K439:Q439)</f>
        <v/>
      </c>
      <c r="S439" s="755">
        <f>J439*11300</f>
        <v/>
      </c>
    </row>
    <row r="440" customFormat="1" s="638">
      <c r="A440" s="356" t="inlineStr">
        <is>
          <t>블렉페퍼오일</t>
        </is>
      </c>
      <c r="B440" s="774" t="n"/>
      <c r="C440" s="35" t="n"/>
      <c r="D440" s="234" t="n"/>
      <c r="E440" s="234" t="n"/>
      <c r="F440" s="191" t="n"/>
      <c r="G440" s="195" t="n"/>
      <c r="H440" s="80" t="n"/>
      <c r="I440" s="114" t="n"/>
      <c r="J440" s="35">
        <f>SUM(B440:I440)</f>
        <v/>
      </c>
      <c r="K440" s="755" t="n">
        <v>0</v>
      </c>
      <c r="L440" s="839" t="n"/>
      <c r="M440" s="770" t="n"/>
      <c r="N440" s="863" t="n">
        <v>0</v>
      </c>
      <c r="O440" s="757" t="n"/>
      <c r="P440" s="854" t="n"/>
      <c r="Q440" s="758" t="n"/>
      <c r="R440" s="755">
        <f>SUM(K440:Q440)</f>
        <v/>
      </c>
      <c r="S440" s="755">
        <f>J440*67500</f>
        <v/>
      </c>
    </row>
    <row r="441" customFormat="1" s="638">
      <c r="A441" s="354" t="inlineStr">
        <is>
          <t>샌달우드오일</t>
        </is>
      </c>
      <c r="B441" s="774" t="n"/>
      <c r="C441" s="237" t="n"/>
      <c r="D441" s="234" t="n"/>
      <c r="E441" s="234" t="n"/>
      <c r="F441" s="230" t="n"/>
      <c r="G441" s="345" t="n"/>
      <c r="H441" s="80" t="n"/>
      <c r="I441" s="114" t="n"/>
      <c r="J441" s="35">
        <f>SUM(B441:I441)</f>
        <v/>
      </c>
      <c r="K441" s="755" t="n">
        <v>0</v>
      </c>
      <c r="L441" s="839" t="n"/>
      <c r="M441" s="770" t="n"/>
      <c r="N441" s="863" t="n">
        <v>0</v>
      </c>
      <c r="O441" s="757" t="n"/>
      <c r="P441" s="854" t="n"/>
      <c r="Q441" s="758" t="n"/>
      <c r="R441" s="755">
        <f>SUM(K441:Q441)</f>
        <v/>
      </c>
      <c r="S441" s="755">
        <f>J441*31750</f>
        <v/>
      </c>
    </row>
    <row r="442" customFormat="1" s="638">
      <c r="A442" s="356" t="inlineStr">
        <is>
          <t>스피아민트</t>
        </is>
      </c>
      <c r="B442" s="774" t="n"/>
      <c r="C442" s="35" t="n"/>
      <c r="D442" s="234" t="n"/>
      <c r="E442" s="234" t="n"/>
      <c r="F442" s="191" t="n"/>
      <c r="G442" s="195" t="n"/>
      <c r="H442" s="80" t="n"/>
      <c r="I442" s="114" t="n"/>
      <c r="J442" s="35">
        <f>SUM(B442:I442)</f>
        <v/>
      </c>
      <c r="K442" s="755" t="n">
        <v>0</v>
      </c>
      <c r="L442" s="839" t="n"/>
      <c r="M442" s="770" t="n"/>
      <c r="N442" s="863" t="n">
        <v>0</v>
      </c>
      <c r="O442" s="757" t="n"/>
      <c r="P442" s="854" t="n"/>
      <c r="Q442" s="758" t="n"/>
      <c r="R442" s="755">
        <f>SUM(K442:Q442)</f>
        <v/>
      </c>
      <c r="S442" s="755">
        <f>J442*16020</f>
        <v/>
      </c>
    </row>
    <row r="443" customFormat="1" s="638">
      <c r="A443" s="356" t="inlineStr">
        <is>
          <t>시더우드</t>
        </is>
      </c>
      <c r="B443" s="774" t="n"/>
      <c r="C443" s="35" t="n"/>
      <c r="D443" s="234" t="n"/>
      <c r="E443" s="234" t="n"/>
      <c r="F443" s="191" t="n"/>
      <c r="G443" s="195" t="n"/>
      <c r="H443" s="80" t="n"/>
      <c r="I443" s="114" t="n"/>
      <c r="J443" s="35">
        <f>SUM(B443:I443)</f>
        <v/>
      </c>
      <c r="K443" s="755" t="n">
        <v>0</v>
      </c>
      <c r="L443" s="839" t="n"/>
      <c r="M443" s="770" t="n"/>
      <c r="N443" s="863" t="n">
        <v>0</v>
      </c>
      <c r="O443" s="757" t="n"/>
      <c r="P443" s="854" t="n"/>
      <c r="Q443" s="758" t="n"/>
      <c r="R443" s="755">
        <f>SUM(K443:Q443)</f>
        <v/>
      </c>
      <c r="S443" s="755">
        <f>J443*13600</f>
        <v/>
      </c>
    </row>
    <row r="444" customFormat="1" s="638">
      <c r="A444" s="356" t="inlineStr">
        <is>
          <t>시트로넬라</t>
        </is>
      </c>
      <c r="B444" s="774" t="n"/>
      <c r="C444" s="35" t="n"/>
      <c r="D444" s="234" t="n"/>
      <c r="E444" s="234" t="n"/>
      <c r="F444" s="191" t="n"/>
      <c r="G444" s="195" t="n"/>
      <c r="H444" s="80" t="n"/>
      <c r="I444" s="114" t="n"/>
      <c r="J444" s="35">
        <f>SUM(B444:I444)</f>
        <v/>
      </c>
      <c r="K444" s="755" t="n">
        <v>0</v>
      </c>
      <c r="L444" s="839" t="n"/>
      <c r="M444" s="770" t="n"/>
      <c r="N444" s="863" t="n">
        <v>0</v>
      </c>
      <c r="O444" s="757" t="n"/>
      <c r="P444" s="854" t="n"/>
      <c r="Q444" s="758" t="n"/>
      <c r="R444" s="755">
        <f>SUM(K444:Q444)</f>
        <v/>
      </c>
      <c r="S444" s="755">
        <f>J444*13600</f>
        <v/>
      </c>
    </row>
    <row r="445" customFormat="1" s="638">
      <c r="A445" s="354" t="inlineStr">
        <is>
          <t>싸이프러스</t>
        </is>
      </c>
      <c r="B445" s="774" t="n"/>
      <c r="C445" s="237" t="n"/>
      <c r="D445" s="234" t="n"/>
      <c r="E445" s="234" t="n"/>
      <c r="F445" s="230" t="n"/>
      <c r="G445" s="345" t="n"/>
      <c r="H445" s="80" t="n"/>
      <c r="I445" s="114" t="n"/>
      <c r="J445" s="35">
        <f>SUM(B445:I445)</f>
        <v/>
      </c>
      <c r="K445" s="755" t="n">
        <v>0</v>
      </c>
      <c r="L445" s="839" t="n"/>
      <c r="M445" s="770" t="n"/>
      <c r="N445" s="863" t="n">
        <v>0</v>
      </c>
      <c r="O445" s="757" t="n"/>
      <c r="P445" s="854" t="n"/>
      <c r="Q445" s="758" t="n"/>
      <c r="R445" s="755">
        <f>SUM(K445:Q445)</f>
        <v/>
      </c>
      <c r="S445" s="755">
        <f>J445*31200</f>
        <v/>
      </c>
    </row>
    <row r="446" customFormat="1" s="638">
      <c r="A446" s="354" t="inlineStr">
        <is>
          <t>안젤리카</t>
        </is>
      </c>
      <c r="B446" s="774" t="n"/>
      <c r="C446" s="237" t="n"/>
      <c r="D446" s="234" t="n"/>
      <c r="E446" s="234" t="n"/>
      <c r="F446" s="230" t="n"/>
      <c r="G446" s="345" t="n"/>
      <c r="H446" s="80" t="n"/>
      <c r="I446" s="114" t="n"/>
      <c r="J446" s="35">
        <f>SUM(B446:I446)</f>
        <v/>
      </c>
      <c r="K446" s="755">
        <f>C446*880000</f>
        <v/>
      </c>
      <c r="L446" s="839" t="n"/>
      <c r="M446" s="770" t="n"/>
      <c r="N446" s="863">
        <f>F446*792000</f>
        <v/>
      </c>
      <c r="O446" s="757" t="n"/>
      <c r="P446" s="854" t="n"/>
      <c r="Q446" s="758" t="n"/>
      <c r="R446" s="755">
        <f>SUM(K446:Q446)</f>
        <v/>
      </c>
      <c r="S446" s="755">
        <f>J446*48800</f>
        <v/>
      </c>
    </row>
    <row r="447" customFormat="1" s="638">
      <c r="A447" s="354" t="inlineStr">
        <is>
          <t>아가우드</t>
        </is>
      </c>
      <c r="B447" s="774" t="n"/>
      <c r="C447" s="237" t="n"/>
      <c r="D447" s="234" t="n"/>
      <c r="E447" s="234" t="n"/>
      <c r="F447" s="230" t="n"/>
      <c r="G447" s="345" t="n"/>
      <c r="H447" s="80" t="n"/>
      <c r="I447" s="114" t="n"/>
      <c r="J447" s="35">
        <f>SUM(B447:I447)</f>
        <v/>
      </c>
      <c r="K447" s="755">
        <f>C447*1000000</f>
        <v/>
      </c>
      <c r="L447" s="839" t="n"/>
      <c r="M447" s="770" t="n"/>
      <c r="N447" s="863">
        <f>F447*900000</f>
        <v/>
      </c>
      <c r="O447" s="757" t="n"/>
      <c r="P447" s="854" t="n"/>
      <c r="Q447" s="758" t="n"/>
      <c r="R447" s="755">
        <f>SUM(K447:Q447)</f>
        <v/>
      </c>
      <c r="S447" s="755">
        <f>J447*79700</f>
        <v/>
      </c>
    </row>
    <row r="448" customFormat="1" s="638">
      <c r="A448" s="356" t="inlineStr">
        <is>
          <t>야로우</t>
        </is>
      </c>
      <c r="B448" s="774" t="n"/>
      <c r="C448" s="35" t="n"/>
      <c r="D448" s="234" t="n"/>
      <c r="E448" s="234" t="n"/>
      <c r="F448" s="191" t="n"/>
      <c r="G448" s="195" t="n"/>
      <c r="H448" s="80" t="n"/>
      <c r="I448" s="114" t="n"/>
      <c r="J448" s="35">
        <f>SUM(B448:I448)</f>
        <v/>
      </c>
      <c r="K448" s="755" t="n">
        <v>0</v>
      </c>
      <c r="L448" s="839" t="n"/>
      <c r="M448" s="770" t="n"/>
      <c r="N448" s="863" t="n">
        <v>0</v>
      </c>
      <c r="O448" s="757" t="n"/>
      <c r="P448" s="854" t="n"/>
      <c r="Q448" s="758" t="n"/>
      <c r="R448" s="755">
        <f>SUM(K448:Q448)</f>
        <v/>
      </c>
      <c r="S448" s="755">
        <f>J448*168900</f>
        <v/>
      </c>
    </row>
    <row r="449" customFormat="1" s="638">
      <c r="A449" s="356" t="inlineStr">
        <is>
          <t>오레가노(60%)</t>
        </is>
      </c>
      <c r="B449" s="774" t="n"/>
      <c r="C449" s="35" t="n"/>
      <c r="D449" s="234" t="n"/>
      <c r="E449" s="234" t="n"/>
      <c r="F449" s="191" t="n"/>
      <c r="G449" s="195" t="n"/>
      <c r="H449" s="80" t="n"/>
      <c r="I449" s="114" t="n"/>
      <c r="J449" s="35">
        <f>SUM(B449:I449)</f>
        <v/>
      </c>
      <c r="K449" s="755" t="n">
        <v>0</v>
      </c>
      <c r="L449" s="839" t="n"/>
      <c r="M449" s="770" t="n"/>
      <c r="N449" s="863" t="n">
        <v>0</v>
      </c>
      <c r="O449" s="757" t="n"/>
      <c r="P449" s="854" t="n"/>
      <c r="Q449" s="758" t="n"/>
      <c r="R449" s="755">
        <f>SUM(K449:Q449)</f>
        <v/>
      </c>
      <c r="S449" s="755">
        <f>J449*10600</f>
        <v/>
      </c>
    </row>
    <row r="450" customFormat="1" s="638">
      <c r="A450" s="354" t="inlineStr">
        <is>
          <t>오렌지스윗</t>
        </is>
      </c>
      <c r="B450" s="774" t="n"/>
      <c r="C450" s="237" t="n"/>
      <c r="D450" s="234" t="n"/>
      <c r="E450" s="234" t="n"/>
      <c r="F450" s="230" t="n"/>
      <c r="G450" s="345" t="n"/>
      <c r="H450" s="80" t="n"/>
      <c r="I450" s="114" t="n"/>
      <c r="J450" s="35">
        <f>SUM(B450:I450)</f>
        <v/>
      </c>
      <c r="K450" s="755" t="n">
        <v>0</v>
      </c>
      <c r="L450" s="839" t="n"/>
      <c r="M450" s="770" t="n"/>
      <c r="N450" s="863" t="n">
        <v>0</v>
      </c>
      <c r="O450" s="757" t="n"/>
      <c r="P450" s="854" t="n"/>
      <c r="Q450" s="758" t="n"/>
      <c r="R450" s="755">
        <f>SUM(K450:Q450)</f>
        <v/>
      </c>
      <c r="S450" s="755">
        <f>J450*6780</f>
        <v/>
      </c>
    </row>
    <row r="451" customFormat="1" s="638">
      <c r="A451" s="354" t="inlineStr">
        <is>
          <t>유즈</t>
        </is>
      </c>
      <c r="B451" s="774" t="n"/>
      <c r="C451" s="237" t="n"/>
      <c r="D451" s="234" t="n"/>
      <c r="E451" s="234" t="n"/>
      <c r="F451" s="230" t="n"/>
      <c r="G451" s="345" t="n"/>
      <c r="H451" s="80" t="n"/>
      <c r="I451" s="114" t="n"/>
      <c r="J451" s="35">
        <f>SUM(B451:I451)</f>
        <v/>
      </c>
      <c r="K451" s="755">
        <f>C451*136000</f>
        <v/>
      </c>
      <c r="L451" s="839" t="n"/>
      <c r="M451" s="770" t="n"/>
      <c r="N451" s="863">
        <f>F451*122000</f>
        <v/>
      </c>
      <c r="O451" s="757" t="n"/>
      <c r="P451" s="854" t="n"/>
      <c r="Q451" s="758" t="n"/>
      <c r="R451" s="755">
        <f>SUM(K451:Q451)</f>
        <v/>
      </c>
      <c r="S451" s="755">
        <f>J451*15700</f>
        <v/>
      </c>
    </row>
    <row r="452" customFormat="1" s="638">
      <c r="A452" s="354" t="inlineStr">
        <is>
          <t>유칼리투스(블루마레)</t>
        </is>
      </c>
      <c r="B452" s="774" t="n"/>
      <c r="C452" s="237" t="n"/>
      <c r="D452" s="234" t="n"/>
      <c r="E452" s="234" t="n"/>
      <c r="F452" s="230" t="n"/>
      <c r="G452" s="345" t="n"/>
      <c r="H452" s="80" t="n"/>
      <c r="I452" s="114" t="n"/>
      <c r="J452" s="35">
        <f>SUM(B452:I452)</f>
        <v/>
      </c>
      <c r="K452" s="755" t="n">
        <v>0</v>
      </c>
      <c r="L452" s="839" t="n"/>
      <c r="M452" s="770" t="n"/>
      <c r="N452" s="863" t="n">
        <v>0</v>
      </c>
      <c r="O452" s="757" t="n"/>
      <c r="P452" s="854" t="n"/>
      <c r="Q452" s="758" t="n"/>
      <c r="R452" s="755">
        <f>SUM(K452:Q452)</f>
        <v/>
      </c>
      <c r="S452" s="755">
        <f>J452*9459</f>
        <v/>
      </c>
    </row>
    <row r="453" customFormat="1" s="638">
      <c r="A453" s="354" t="inlineStr">
        <is>
          <t>윈터그린</t>
        </is>
      </c>
      <c r="B453" s="774" t="n"/>
      <c r="C453" s="237" t="n"/>
      <c r="D453" s="234" t="n"/>
      <c r="E453" s="234" t="n"/>
      <c r="F453" s="191" t="n"/>
      <c r="G453" s="195" t="n"/>
      <c r="H453" s="80" t="n"/>
      <c r="I453" s="114" t="n"/>
      <c r="J453" s="35">
        <f>SUM(B453:I453)</f>
        <v/>
      </c>
      <c r="K453" s="755" t="n">
        <v>0</v>
      </c>
      <c r="L453" s="839" t="n"/>
      <c r="M453" s="770" t="n"/>
      <c r="N453" s="863" t="n">
        <v>0</v>
      </c>
      <c r="O453" s="757" t="n"/>
      <c r="P453" s="854" t="n"/>
      <c r="Q453" s="758" t="n"/>
      <c r="R453" s="755">
        <f>SUM(K453:Q453)</f>
        <v/>
      </c>
      <c r="S453" s="755">
        <f>J453*13600</f>
        <v/>
      </c>
    </row>
    <row r="454" customFormat="1" s="638">
      <c r="A454" s="356" t="inlineStr">
        <is>
          <t>일랑일랑</t>
        </is>
      </c>
      <c r="B454" s="774" t="n"/>
      <c r="C454" s="35" t="n"/>
      <c r="D454" s="33" t="n"/>
      <c r="E454" s="33" t="n"/>
      <c r="F454" s="191" t="n"/>
      <c r="G454" s="195" t="n"/>
      <c r="H454" s="80" t="n"/>
      <c r="I454" s="114" t="n"/>
      <c r="J454" s="35">
        <f>SUM(B454:I454)</f>
        <v/>
      </c>
      <c r="K454" s="755" t="n">
        <v>0</v>
      </c>
      <c r="L454" s="839" t="n"/>
      <c r="M454" s="770" t="n"/>
      <c r="N454" s="863" t="n">
        <v>0</v>
      </c>
      <c r="O454" s="757" t="n"/>
      <c r="P454" s="854" t="n"/>
      <c r="Q454" s="758" t="n"/>
      <c r="R454" s="755">
        <f>SUM(K454:Q454)</f>
        <v/>
      </c>
      <c r="S454" s="755">
        <f>J454*45060</f>
        <v/>
      </c>
    </row>
    <row r="455" customFormat="1" s="638">
      <c r="A455" s="356" t="inlineStr">
        <is>
          <t>자스민(sambac)</t>
        </is>
      </c>
      <c r="B455" s="774" t="n"/>
      <c r="C455" s="35" t="n"/>
      <c r="D455" s="234" t="n"/>
      <c r="E455" s="234" t="n"/>
      <c r="F455" s="191" t="n"/>
      <c r="G455" s="195" t="n"/>
      <c r="H455" s="80" t="n"/>
      <c r="I455" s="114" t="n"/>
      <c r="J455" s="35">
        <f>SUM(B455:I455)</f>
        <v/>
      </c>
      <c r="K455" s="755" t="n">
        <v>0</v>
      </c>
      <c r="L455" s="839" t="n"/>
      <c r="M455" s="770" t="n"/>
      <c r="N455" s="863" t="n">
        <v>0</v>
      </c>
      <c r="O455" s="757" t="n"/>
      <c r="P455" s="854" t="n"/>
      <c r="Q455" s="758" t="n"/>
      <c r="R455" s="755">
        <f>SUM(K455:Q455)</f>
        <v/>
      </c>
      <c r="S455" s="755">
        <f>J455*44300</f>
        <v/>
      </c>
    </row>
    <row r="456" customFormat="1" s="638">
      <c r="A456" s="354" t="inlineStr">
        <is>
          <t>제라늄오일</t>
        </is>
      </c>
      <c r="B456" s="774" t="n"/>
      <c r="C456" s="237" t="n"/>
      <c r="D456" s="234" t="n"/>
      <c r="E456" s="234" t="n"/>
      <c r="F456" s="230" t="n"/>
      <c r="G456" s="345" t="n"/>
      <c r="H456" s="80" t="n"/>
      <c r="I456" s="114" t="n"/>
      <c r="J456" s="35">
        <f>SUM(B456:I456)</f>
        <v/>
      </c>
      <c r="K456" s="755" t="n">
        <v>0</v>
      </c>
      <c r="L456" s="839" t="n"/>
      <c r="M456" s="770" t="n"/>
      <c r="N456" s="863" t="n">
        <v>0</v>
      </c>
      <c r="O456" s="757" t="n"/>
      <c r="P456" s="854" t="n"/>
      <c r="Q456" s="758" t="n"/>
      <c r="R456" s="755">
        <f>SUM(K456:Q456)</f>
        <v/>
      </c>
      <c r="S456" s="755">
        <f>J456*56500</f>
        <v/>
      </c>
    </row>
    <row r="457" customFormat="1" s="638">
      <c r="A457" s="356" t="inlineStr">
        <is>
          <t>주니퍼베리(두송열매)</t>
        </is>
      </c>
      <c r="B457" s="774" t="n"/>
      <c r="C457" s="35" t="n"/>
      <c r="D457" s="234" t="n"/>
      <c r="E457" s="234" t="n"/>
      <c r="F457" s="191" t="n"/>
      <c r="G457" s="195" t="n"/>
      <c r="H457" s="80" t="n"/>
      <c r="I457" s="114" t="n"/>
      <c r="J457" s="35">
        <f>SUM(B457:I457)</f>
        <v/>
      </c>
      <c r="K457" s="755" t="n">
        <v>0</v>
      </c>
      <c r="L457" s="839" t="n"/>
      <c r="M457" s="770" t="n"/>
      <c r="N457" s="863" t="n">
        <v>0</v>
      </c>
      <c r="O457" s="757" t="n"/>
      <c r="P457" s="854" t="n"/>
      <c r="Q457" s="758" t="n"/>
      <c r="R457" s="755">
        <f>SUM(K457:Q457)</f>
        <v/>
      </c>
      <c r="S457" s="755">
        <f>J457*31750</f>
        <v/>
      </c>
    </row>
    <row r="458" customFormat="1" s="638">
      <c r="A458" s="356" t="inlineStr">
        <is>
          <t>진저</t>
        </is>
      </c>
      <c r="B458" s="774" t="n"/>
      <c r="C458" s="35" t="n"/>
      <c r="D458" s="234" t="n"/>
      <c r="E458" s="234" t="n"/>
      <c r="F458" s="191" t="n"/>
      <c r="G458" s="195" t="n"/>
      <c r="H458" s="80" t="n"/>
      <c r="I458" s="114" t="n"/>
      <c r="J458" s="35">
        <f>SUM(B458:I458)</f>
        <v/>
      </c>
      <c r="K458" s="755" t="n">
        <v>0</v>
      </c>
      <c r="L458" s="839" t="n"/>
      <c r="M458" s="770" t="n"/>
      <c r="N458" s="863" t="n">
        <v>0</v>
      </c>
      <c r="O458" s="757" t="n"/>
      <c r="P458" s="854" t="n"/>
      <c r="Q458" s="758" t="n"/>
      <c r="R458" s="755">
        <f>SUM(K458:Q458)</f>
        <v/>
      </c>
      <c r="S458" s="755">
        <f>J458*43300</f>
        <v/>
      </c>
    </row>
    <row r="459" customFormat="1" s="638">
      <c r="A459" s="356" t="inlineStr">
        <is>
          <t>카누카</t>
        </is>
      </c>
      <c r="B459" s="774" t="n"/>
      <c r="C459" s="35" t="n"/>
      <c r="D459" s="234" t="n"/>
      <c r="E459" s="234" t="n"/>
      <c r="F459" s="191" t="n"/>
      <c r="G459" s="195" t="n"/>
      <c r="H459" s="80" t="n"/>
      <c r="I459" s="114" t="n"/>
      <c r="J459" s="35">
        <f>SUM(B459:I459)</f>
        <v/>
      </c>
      <c r="K459" s="755">
        <f>C459*184000</f>
        <v/>
      </c>
      <c r="L459" s="839" t="n"/>
      <c r="M459" s="770" t="n"/>
      <c r="N459" s="863">
        <f>F459*166000</f>
        <v/>
      </c>
      <c r="O459" s="757" t="n"/>
      <c r="P459" s="854" t="n"/>
      <c r="Q459" s="758" t="n"/>
      <c r="R459" s="755">
        <f>SUM(K459:Q459)</f>
        <v/>
      </c>
      <c r="S459" s="755">
        <f>J459*21700</f>
        <v/>
      </c>
    </row>
    <row r="460" customFormat="1" s="638">
      <c r="A460" s="356" t="inlineStr">
        <is>
          <t>카다멈</t>
        </is>
      </c>
      <c r="B460" s="774" t="n"/>
      <c r="C460" s="35" t="n"/>
      <c r="D460" s="234" t="n"/>
      <c r="E460" s="234" t="n"/>
      <c r="F460" s="191" t="n"/>
      <c r="G460" s="195" t="n"/>
      <c r="H460" s="80" t="n"/>
      <c r="I460" s="114" t="n"/>
      <c r="J460" s="35">
        <f>SUM(B460:I460)</f>
        <v/>
      </c>
      <c r="K460" s="755">
        <f>C460*228000</f>
        <v/>
      </c>
      <c r="L460" s="839" t="n"/>
      <c r="M460" s="770" t="n"/>
      <c r="N460" s="863">
        <f>F460*205000</f>
        <v/>
      </c>
      <c r="O460" s="757" t="n"/>
      <c r="P460" s="854" t="n"/>
      <c r="Q460" s="758" t="n"/>
      <c r="R460" s="755">
        <f>SUM(K460:Q460)</f>
        <v/>
      </c>
      <c r="S460" s="755">
        <f>J460*42900</f>
        <v/>
      </c>
    </row>
    <row r="461" customFormat="1" s="638">
      <c r="A461" s="356" t="inlineStr">
        <is>
          <t>코리안더리프</t>
        </is>
      </c>
      <c r="B461" s="774" t="n"/>
      <c r="C461" s="35" t="n"/>
      <c r="D461" s="234" t="n"/>
      <c r="E461" s="234" t="n"/>
      <c r="F461" s="191" t="n"/>
      <c r="G461" s="195" t="n"/>
      <c r="H461" s="80" t="n"/>
      <c r="I461" s="114" t="n"/>
      <c r="J461" s="35">
        <f>SUM(B461:I461)</f>
        <v/>
      </c>
      <c r="K461" s="755">
        <f>C461*184000</f>
        <v/>
      </c>
      <c r="L461" s="839" t="n"/>
      <c r="M461" s="770" t="n"/>
      <c r="N461" s="863">
        <f>F461*166000</f>
        <v/>
      </c>
      <c r="O461" s="757" t="n"/>
      <c r="P461" s="854" t="n"/>
      <c r="Q461" s="758" t="n"/>
      <c r="R461" s="755">
        <f>SUM(K461:Q461)</f>
        <v/>
      </c>
      <c r="S461" s="755">
        <f>J461*21200</f>
        <v/>
      </c>
    </row>
    <row r="462" customFormat="1" s="638">
      <c r="A462" s="356" t="inlineStr">
        <is>
          <t>코파이바발삼</t>
        </is>
      </c>
      <c r="B462" s="774" t="n"/>
      <c r="C462" s="35" t="n"/>
      <c r="D462" s="234" t="n"/>
      <c r="E462" s="234" t="n"/>
      <c r="F462" s="191" t="n"/>
      <c r="G462" s="195" t="n"/>
      <c r="H462" s="80" t="n"/>
      <c r="I462" s="114" t="n"/>
      <c r="J462" s="35">
        <f>SUM(B462:I462)</f>
        <v/>
      </c>
      <c r="K462" s="755" t="n">
        <v>0</v>
      </c>
      <c r="L462" s="839" t="n"/>
      <c r="M462" s="770" t="n"/>
      <c r="N462" s="863" t="n">
        <v>0</v>
      </c>
      <c r="O462" s="757" t="n"/>
      <c r="P462" s="854" t="n"/>
      <c r="Q462" s="758" t="n"/>
      <c r="R462" s="755">
        <f>SUM(K462:Q462)</f>
        <v/>
      </c>
      <c r="S462" s="755">
        <f>J462*45500</f>
        <v/>
      </c>
    </row>
    <row r="463" customFormat="1" s="638">
      <c r="A463" s="356" t="inlineStr">
        <is>
          <t>캐롯시드</t>
        </is>
      </c>
      <c r="B463" s="774" t="n"/>
      <c r="C463" s="35" t="n"/>
      <c r="D463" s="234" t="n"/>
      <c r="E463" s="234" t="n"/>
      <c r="F463" s="191" t="n"/>
      <c r="G463" s="195" t="n"/>
      <c r="H463" s="80" t="n"/>
      <c r="I463" s="114" t="n"/>
      <c r="J463" s="35">
        <f>SUM(B463:I463)</f>
        <v/>
      </c>
      <c r="K463" s="755" t="n">
        <v>0</v>
      </c>
      <c r="L463" s="839" t="n"/>
      <c r="M463" s="770" t="n"/>
      <c r="N463" s="863" t="n">
        <v>0</v>
      </c>
      <c r="O463" s="757" t="n"/>
      <c r="P463" s="854" t="n"/>
      <c r="Q463" s="758" t="n"/>
      <c r="R463" s="755">
        <f>SUM(K463:Q463)</f>
        <v/>
      </c>
      <c r="S463" s="755">
        <f>J463*15200</f>
        <v/>
      </c>
    </row>
    <row r="464" customFormat="1" s="638">
      <c r="A464" s="356" t="inlineStr">
        <is>
          <t>캐시플라워</t>
        </is>
      </c>
      <c r="B464" s="774" t="n"/>
      <c r="C464" s="35" t="n"/>
      <c r="D464" s="234" t="n"/>
      <c r="E464" s="234" t="n"/>
      <c r="F464" s="191" t="n"/>
      <c r="G464" s="195" t="n"/>
      <c r="H464" s="80" t="n"/>
      <c r="I464" s="114" t="n"/>
      <c r="J464" s="35">
        <f>SUM(B464:I464)</f>
        <v/>
      </c>
      <c r="K464" s="755">
        <f>C464*184000</f>
        <v/>
      </c>
      <c r="L464" s="839" t="n"/>
      <c r="M464" s="770" t="n"/>
      <c r="N464" s="863">
        <f>F464*166000</f>
        <v/>
      </c>
      <c r="O464" s="757" t="n"/>
      <c r="P464" s="854" t="n"/>
      <c r="Q464" s="758" t="n"/>
      <c r="R464" s="755">
        <f>SUM(K464:Q464)</f>
        <v/>
      </c>
      <c r="S464" s="755">
        <f>J464*22800</f>
        <v/>
      </c>
    </row>
    <row r="465" customFormat="1" s="638">
      <c r="A465" s="356" t="inlineStr">
        <is>
          <t>캠퍼</t>
        </is>
      </c>
      <c r="B465" s="774" t="n"/>
      <c r="C465" s="35" t="n"/>
      <c r="D465" s="234" t="n"/>
      <c r="E465" s="234" t="n"/>
      <c r="F465" s="191" t="n"/>
      <c r="G465" s="195" t="n"/>
      <c r="H465" s="80" t="n"/>
      <c r="I465" s="114" t="n"/>
      <c r="J465" s="35">
        <f>SUM(B465:I465)</f>
        <v/>
      </c>
      <c r="K465" s="755">
        <f>C465*128000</f>
        <v/>
      </c>
      <c r="L465" s="839" t="n"/>
      <c r="M465" s="770" t="n"/>
      <c r="N465" s="863">
        <f>F465*115000</f>
        <v/>
      </c>
      <c r="O465" s="757" t="n"/>
      <c r="P465" s="854" t="n"/>
      <c r="Q465" s="758" t="n"/>
      <c r="R465" s="755">
        <f>SUM(K465:Q465)</f>
        <v/>
      </c>
      <c r="S465" s="755">
        <f>J465*10400</f>
        <v/>
      </c>
    </row>
    <row r="466" customFormat="1" s="638">
      <c r="A466" s="356" t="inlineStr">
        <is>
          <t>클라리세이지</t>
        </is>
      </c>
      <c r="B466" s="774" t="n"/>
      <c r="C466" s="35" t="n"/>
      <c r="D466" s="234" t="n"/>
      <c r="E466" s="234" t="n"/>
      <c r="F466" s="191" t="n"/>
      <c r="G466" s="195" t="n"/>
      <c r="H466" s="80" t="n"/>
      <c r="I466" s="114" t="n"/>
      <c r="J466" s="35">
        <f>SUM(B466:I466)</f>
        <v/>
      </c>
      <c r="K466" s="755" t="n">
        <v>0</v>
      </c>
      <c r="L466" s="839" t="n"/>
      <c r="M466" s="770" t="n"/>
      <c r="N466" s="863" t="n">
        <v>0</v>
      </c>
      <c r="O466" s="757" t="n"/>
      <c r="P466" s="854" t="n"/>
      <c r="Q466" s="758" t="n"/>
      <c r="R466" s="755">
        <f>SUM(K466:Q466)</f>
        <v/>
      </c>
      <c r="S466" s="755">
        <f>J466*36700</f>
        <v/>
      </c>
    </row>
    <row r="467" customFormat="1" s="638">
      <c r="A467" s="356" t="inlineStr">
        <is>
          <t>클로브리프</t>
        </is>
      </c>
      <c r="B467" s="774" t="n"/>
      <c r="C467" s="35" t="n"/>
      <c r="D467" s="234" t="n"/>
      <c r="E467" s="234" t="n"/>
      <c r="F467" s="191" t="n"/>
      <c r="G467" s="195" t="n"/>
      <c r="H467" s="80" t="n"/>
      <c r="I467" s="114" t="n"/>
      <c r="J467" s="35">
        <f>SUM(B467:I467)</f>
        <v/>
      </c>
      <c r="K467" s="755" t="n">
        <v>0</v>
      </c>
      <c r="L467" s="839" t="n"/>
      <c r="M467" s="770" t="n"/>
      <c r="N467" s="863" t="n">
        <v>0</v>
      </c>
      <c r="O467" s="757" t="n"/>
      <c r="P467" s="854" t="n"/>
      <c r="Q467" s="758" t="n"/>
      <c r="R467" s="755">
        <f>SUM(K467:Q467)</f>
        <v/>
      </c>
      <c r="S467" s="755">
        <f>J467*19980</f>
        <v/>
      </c>
    </row>
    <row r="468" customFormat="1" s="638">
      <c r="A468" s="356" t="inlineStr">
        <is>
          <t>타임</t>
        </is>
      </c>
      <c r="B468" s="774" t="n"/>
      <c r="C468" s="35" t="n"/>
      <c r="D468" s="234" t="n"/>
      <c r="E468" s="234" t="n"/>
      <c r="F468" s="191" t="n"/>
      <c r="G468" s="195" t="n"/>
      <c r="H468" s="80" t="n"/>
      <c r="I468" s="114" t="n"/>
      <c r="J468" s="35">
        <f>SUM(B468:I468)</f>
        <v/>
      </c>
      <c r="K468" s="755" t="n">
        <v>0</v>
      </c>
      <c r="L468" s="839" t="n"/>
      <c r="M468" s="770" t="n"/>
      <c r="N468" s="863" t="n">
        <v>0</v>
      </c>
      <c r="O468" s="757" t="n"/>
      <c r="P468" s="854" t="n"/>
      <c r="Q468" s="758" t="n"/>
      <c r="R468" s="755">
        <f>SUM(K468:Q468)</f>
        <v/>
      </c>
      <c r="S468" s="755">
        <f>J468*16900</f>
        <v/>
      </c>
    </row>
    <row r="469" customFormat="1" s="638">
      <c r="A469" s="356" t="inlineStr">
        <is>
          <t>투메릭</t>
        </is>
      </c>
      <c r="B469" s="774" t="n"/>
      <c r="C469" s="35" t="n"/>
      <c r="D469" s="234" t="n"/>
      <c r="E469" s="234" t="n"/>
      <c r="F469" s="191" t="n"/>
      <c r="G469" s="195" t="n"/>
      <c r="H469" s="80" t="n"/>
      <c r="I469" s="114" t="n"/>
      <c r="J469" s="35">
        <f>SUM(B469:I469)</f>
        <v/>
      </c>
      <c r="K469" s="755">
        <f>C469*128000</f>
        <v/>
      </c>
      <c r="L469" s="839" t="n"/>
      <c r="M469" s="770" t="n"/>
      <c r="N469" s="863">
        <f>F469*115000</f>
        <v/>
      </c>
      <c r="O469" s="757" t="n"/>
      <c r="P469" s="854" t="n"/>
      <c r="Q469" s="758" t="n"/>
      <c r="R469" s="755">
        <f>SUM(K469:Q469)</f>
        <v/>
      </c>
      <c r="S469" s="755">
        <f>J469*11100</f>
        <v/>
      </c>
    </row>
    <row r="470" customFormat="1" s="638">
      <c r="A470" s="354" t="inlineStr">
        <is>
          <t>티트리프리미엄</t>
        </is>
      </c>
      <c r="B470" s="774" t="n"/>
      <c r="C470" s="237" t="n"/>
      <c r="D470" s="234" t="n"/>
      <c r="E470" s="234" t="n"/>
      <c r="F470" s="230" t="n"/>
      <c r="G470" s="345" t="n"/>
      <c r="H470" s="80" t="n"/>
      <c r="I470" s="114" t="n"/>
      <c r="J470" s="35">
        <f>SUM(B470:I470)</f>
        <v/>
      </c>
      <c r="K470" s="755" t="n">
        <v>0</v>
      </c>
      <c r="L470" s="839" t="n"/>
      <c r="M470" s="770" t="n"/>
      <c r="N470" s="863" t="n">
        <v>0</v>
      </c>
      <c r="O470" s="757" t="n"/>
      <c r="P470" s="854" t="n"/>
      <c r="Q470" s="758" t="n"/>
      <c r="R470" s="755">
        <f>SUM(K470:Q470)</f>
        <v/>
      </c>
      <c r="S470" s="755">
        <f>J470*10100</f>
        <v/>
      </c>
    </row>
    <row r="471" customFormat="1" s="638">
      <c r="A471" s="356" t="inlineStr">
        <is>
          <t>파인</t>
        </is>
      </c>
      <c r="B471" s="774" t="n"/>
      <c r="C471" s="35" t="n"/>
      <c r="D471" s="234" t="n"/>
      <c r="E471" s="234" t="n"/>
      <c r="F471" s="191" t="n"/>
      <c r="G471" s="195" t="n"/>
      <c r="H471" s="80" t="n"/>
      <c r="I471" s="114" t="n"/>
      <c r="J471" s="35">
        <f>SUM(B471:I471)</f>
        <v/>
      </c>
      <c r="K471" s="755" t="n">
        <v>0</v>
      </c>
      <c r="L471" s="839" t="n"/>
      <c r="M471" s="770" t="n"/>
      <c r="N471" s="863" t="n">
        <v>0</v>
      </c>
      <c r="O471" s="757" t="n"/>
      <c r="P471" s="854" t="n"/>
      <c r="Q471" s="758" t="n"/>
      <c r="R471" s="755">
        <f>SUM(K471:Q471)</f>
        <v/>
      </c>
      <c r="S471" s="755">
        <f>J471*26800</f>
        <v/>
      </c>
    </row>
    <row r="472" customFormat="1" s="638">
      <c r="A472" s="356" t="inlineStr">
        <is>
          <t>팔마로사</t>
        </is>
      </c>
      <c r="B472" s="774" t="n"/>
      <c r="C472" s="35" t="n"/>
      <c r="D472" s="234" t="n"/>
      <c r="E472" s="234" t="n"/>
      <c r="F472" s="191" t="n"/>
      <c r="G472" s="195" t="n"/>
      <c r="H472" s="80" t="n"/>
      <c r="I472" s="114" t="n"/>
      <c r="J472" s="35">
        <f>SUM(B472:I472)</f>
        <v/>
      </c>
      <c r="K472" s="755" t="n">
        <v>0</v>
      </c>
      <c r="L472" s="839" t="n"/>
      <c r="M472" s="770" t="n"/>
      <c r="N472" s="863" t="n">
        <v>0</v>
      </c>
      <c r="O472" s="757" t="n"/>
      <c r="P472" s="854" t="n"/>
      <c r="Q472" s="758" t="n"/>
      <c r="R472" s="755">
        <f>SUM(K472:Q472)</f>
        <v/>
      </c>
      <c r="S472" s="755">
        <f>J472*13100</f>
        <v/>
      </c>
    </row>
    <row r="473" customFormat="1" s="638">
      <c r="A473" s="354" t="inlineStr">
        <is>
          <t>페퍼민트</t>
        </is>
      </c>
      <c r="B473" s="774" t="n"/>
      <c r="C473" s="237" t="n"/>
      <c r="D473" s="234" t="n"/>
      <c r="E473" s="234" t="n"/>
      <c r="F473" s="230" t="n">
        <v>1</v>
      </c>
      <c r="G473" s="345" t="n"/>
      <c r="H473" s="80" t="n"/>
      <c r="I473" s="114" t="n"/>
      <c r="J473" s="35">
        <f>SUM(B473:I473)</f>
        <v/>
      </c>
      <c r="K473" s="755" t="n">
        <v>0</v>
      </c>
      <c r="L473" s="839" t="n"/>
      <c r="M473" s="770" t="n"/>
      <c r="N473" s="863">
        <f>F473*40000</f>
        <v/>
      </c>
      <c r="O473" s="757" t="n"/>
      <c r="P473" s="854" t="n"/>
      <c r="Q473" s="758" t="n"/>
      <c r="R473" s="755">
        <f>SUM(K473:Q473)</f>
        <v/>
      </c>
      <c r="S473" s="755">
        <f>J473*7400</f>
        <v/>
      </c>
    </row>
    <row r="474" customFormat="1" s="638">
      <c r="A474" s="356" t="inlineStr">
        <is>
          <t>페티그레인</t>
        </is>
      </c>
      <c r="B474" s="774" t="n"/>
      <c r="C474" s="35" t="n"/>
      <c r="D474" s="234" t="n"/>
      <c r="E474" s="234" t="n"/>
      <c r="F474" s="191" t="n"/>
      <c r="G474" s="195" t="n"/>
      <c r="H474" s="80" t="n"/>
      <c r="I474" s="114" t="n"/>
      <c r="J474" s="35">
        <f>SUM(B474:I474)</f>
        <v/>
      </c>
      <c r="K474" s="755" t="n">
        <v>0</v>
      </c>
      <c r="L474" s="839" t="n"/>
      <c r="M474" s="770" t="n"/>
      <c r="N474" s="863" t="n">
        <v>0</v>
      </c>
      <c r="O474" s="757" t="n"/>
      <c r="P474" s="854" t="n"/>
      <c r="Q474" s="758" t="n"/>
      <c r="R474" s="755">
        <f>SUM(K474:Q474)</f>
        <v/>
      </c>
      <c r="S474" s="755">
        <f>J474*30100</f>
        <v/>
      </c>
    </row>
    <row r="475" customFormat="1" s="638">
      <c r="A475" s="356" t="inlineStr">
        <is>
          <t>패츌리</t>
        </is>
      </c>
      <c r="B475" s="774" t="n"/>
      <c r="C475" s="35" t="n"/>
      <c r="D475" s="234" t="n"/>
      <c r="E475" s="234" t="n"/>
      <c r="F475" s="191" t="n"/>
      <c r="G475" s="195" t="n"/>
      <c r="H475" s="80" t="n"/>
      <c r="I475" s="114" t="n"/>
      <c r="J475" s="35">
        <f>SUM(B475:I475)</f>
        <v/>
      </c>
      <c r="K475" s="755" t="n">
        <v>0</v>
      </c>
      <c r="L475" s="839" t="n"/>
      <c r="M475" s="770" t="n"/>
      <c r="N475" s="863" t="n">
        <v>0</v>
      </c>
      <c r="O475" s="757" t="n"/>
      <c r="P475" s="854" t="n"/>
      <c r="Q475" s="758" t="n"/>
      <c r="R475" s="755">
        <f>SUM(K475:Q475)</f>
        <v/>
      </c>
      <c r="S475" s="755">
        <f>J475*66400</f>
        <v/>
      </c>
    </row>
    <row r="476" customFormat="1" s="638">
      <c r="A476" s="356" t="inlineStr">
        <is>
          <t>펜넬</t>
        </is>
      </c>
      <c r="B476" s="774" t="n"/>
      <c r="C476" s="35" t="n"/>
      <c r="D476" s="234" t="n"/>
      <c r="E476" s="234" t="n"/>
      <c r="F476" s="191" t="n"/>
      <c r="G476" s="195" t="n"/>
      <c r="H476" s="80" t="n"/>
      <c r="I476" s="114" t="n"/>
      <c r="J476" s="35">
        <f>SUM(B476:I476)</f>
        <v/>
      </c>
      <c r="K476" s="755" t="n">
        <v>0</v>
      </c>
      <c r="L476" s="839" t="n"/>
      <c r="M476" s="770" t="n"/>
      <c r="N476" s="863" t="n">
        <v>0</v>
      </c>
      <c r="O476" s="757" t="n"/>
      <c r="P476" s="854" t="n"/>
      <c r="Q476" s="758" t="n"/>
      <c r="R476" s="755">
        <f>SUM(K476:Q476)</f>
        <v/>
      </c>
      <c r="S476" s="755">
        <f>J476*26800</f>
        <v/>
      </c>
    </row>
    <row r="477" customFormat="1" s="638">
      <c r="A477" s="356" t="inlineStr">
        <is>
          <t>프랑킨센스(유향나무)</t>
        </is>
      </c>
      <c r="B477" s="774" t="n"/>
      <c r="C477" s="237" t="n"/>
      <c r="D477" s="234" t="n"/>
      <c r="E477" s="234" t="n"/>
      <c r="F477" s="230" t="n"/>
      <c r="G477" s="345" t="n"/>
      <c r="H477" s="80" t="n"/>
      <c r="I477" s="114" t="n"/>
      <c r="J477" s="35">
        <f>SUM(B477:I477)</f>
        <v/>
      </c>
      <c r="K477" s="755" t="n">
        <v>0</v>
      </c>
      <c r="L477" s="839" t="n"/>
      <c r="M477" s="770" t="n"/>
      <c r="N477" s="863" t="n">
        <v>0</v>
      </c>
      <c r="O477" s="757" t="n"/>
      <c r="P477" s="854" t="n"/>
      <c r="Q477" s="758" t="n"/>
      <c r="R477" s="755">
        <f>SUM(K477:Q477)</f>
        <v/>
      </c>
      <c r="S477" s="755">
        <f>J477*41100</f>
        <v/>
      </c>
    </row>
    <row r="478" customFormat="1" s="638">
      <c r="A478" s="356" t="inlineStr">
        <is>
          <t>헬리크리섬</t>
        </is>
      </c>
      <c r="B478" s="774" t="n"/>
      <c r="C478" s="237" t="n"/>
      <c r="D478" s="234" t="n"/>
      <c r="E478" s="234" t="n"/>
      <c r="F478" s="230" t="n"/>
      <c r="G478" s="345" t="n"/>
      <c r="H478" s="80" t="n"/>
      <c r="I478" s="114" t="n"/>
      <c r="J478" s="35">
        <f>SUM(B478:I478)</f>
        <v/>
      </c>
      <c r="K478" s="755">
        <f>C478*1000000</f>
        <v/>
      </c>
      <c r="L478" s="839" t="n"/>
      <c r="M478" s="770" t="n"/>
      <c r="N478" s="863">
        <f>F478*900000</f>
        <v/>
      </c>
      <c r="O478" s="757" t="n"/>
      <c r="P478" s="854" t="n"/>
      <c r="Q478" s="758" t="n"/>
      <c r="R478" s="755">
        <f>SUM(K478:Q478)</f>
        <v/>
      </c>
      <c r="S478" s="755">
        <f>J478*25900</f>
        <v/>
      </c>
    </row>
    <row r="479" customFormat="1" s="638">
      <c r="A479" s="356" t="inlineStr">
        <is>
          <t>히노키</t>
        </is>
      </c>
      <c r="B479" s="774" t="n"/>
      <c r="C479" s="35" t="n"/>
      <c r="D479" s="234" t="n"/>
      <c r="E479" s="234" t="n"/>
      <c r="F479" s="191" t="n"/>
      <c r="G479" s="195" t="n"/>
      <c r="H479" s="80" t="n"/>
      <c r="I479" s="114" t="n"/>
      <c r="J479" s="35">
        <f>SUM(B479:I479)</f>
        <v/>
      </c>
      <c r="K479" s="755" t="n">
        <v>0</v>
      </c>
      <c r="L479" s="839" t="n"/>
      <c r="M479" s="770" t="n"/>
      <c r="N479" s="863" t="n">
        <v>0</v>
      </c>
      <c r="O479" s="757" t="n"/>
      <c r="P479" s="854" t="n"/>
      <c r="Q479" s="758" t="n"/>
      <c r="R479" s="755">
        <f>SUM(K479:Q479)</f>
        <v/>
      </c>
      <c r="S479" s="755">
        <f>J479*70800</f>
        <v/>
      </c>
    </row>
    <row r="480" customFormat="1" s="638">
      <c r="A480" s="356" t="inlineStr">
        <is>
          <t>히솝</t>
        </is>
      </c>
      <c r="B480" s="774" t="n"/>
      <c r="C480" s="35" t="n"/>
      <c r="D480" s="234" t="n"/>
      <c r="E480" s="234" t="n"/>
      <c r="F480" s="191" t="n"/>
      <c r="G480" s="195" t="n"/>
      <c r="H480" s="80" t="n"/>
      <c r="I480" s="114" t="n"/>
      <c r="J480" s="35">
        <f>SUM(B480:I480)</f>
        <v/>
      </c>
      <c r="K480" s="755">
        <f>C480*184000</f>
        <v/>
      </c>
      <c r="L480" s="839" t="n"/>
      <c r="M480" s="770" t="n"/>
      <c r="N480" s="863">
        <f>F480*166000</f>
        <v/>
      </c>
      <c r="O480" s="757" t="n"/>
      <c r="P480" s="854" t="n"/>
      <c r="Q480" s="758" t="n"/>
      <c r="R480" s="755">
        <f>SUM(K480:Q480)</f>
        <v/>
      </c>
      <c r="S480" s="755">
        <f>J480*21700</f>
        <v/>
      </c>
    </row>
    <row r="481" customFormat="1" s="638">
      <c r="A481" s="356" t="inlineStr">
        <is>
          <t xml:space="preserve"> 발삼전나무오가닉</t>
        </is>
      </c>
      <c r="B481" s="774" t="n"/>
      <c r="C481" s="35" t="n"/>
      <c r="D481" s="234" t="n"/>
      <c r="E481" s="234" t="n"/>
      <c r="F481" s="191" t="n"/>
      <c r="G481" s="195" t="n"/>
      <c r="H481" s="80" t="n"/>
      <c r="I481" s="114" t="n"/>
      <c r="J481" s="35">
        <f>SUM(B481:I481)</f>
        <v/>
      </c>
      <c r="K481" s="755" t="n">
        <v>0</v>
      </c>
      <c r="L481" s="839" t="n"/>
      <c r="M481" s="770" t="n"/>
      <c r="N481" s="863" t="n">
        <v>0</v>
      </c>
      <c r="O481" s="757" t="n"/>
      <c r="P481" s="854" t="n"/>
      <c r="Q481" s="758" t="n"/>
      <c r="R481" s="755">
        <f>SUM(K481:Q481)</f>
        <v/>
      </c>
      <c r="S481" s="755">
        <f>J481*19100</f>
        <v/>
      </c>
    </row>
    <row r="482" customFormat="1" s="638">
      <c r="A482" s="356" t="inlineStr">
        <is>
          <t>잭파인에스엠오가닉</t>
        </is>
      </c>
      <c r="B482" s="774" t="n"/>
      <c r="C482" s="35" t="n"/>
      <c r="D482" s="234" t="n"/>
      <c r="E482" s="234" t="n"/>
      <c r="F482" s="191" t="n"/>
      <c r="G482" s="195" t="n"/>
      <c r="H482" s="80" t="n"/>
      <c r="I482" s="114" t="n"/>
      <c r="J482" s="35">
        <f>SUM(B482:I482)</f>
        <v/>
      </c>
      <c r="K482" s="755" t="n">
        <v>0</v>
      </c>
      <c r="L482" s="839" t="n"/>
      <c r="M482" s="770" t="n"/>
      <c r="N482" s="863" t="n">
        <v>0</v>
      </c>
      <c r="O482" s="757" t="n"/>
      <c r="P482" s="854" t="n"/>
      <c r="Q482" s="758" t="n"/>
      <c r="R482" s="755">
        <f>SUM(K482:Q482)</f>
        <v/>
      </c>
      <c r="S482" s="755">
        <f>J482*32200</f>
        <v/>
      </c>
    </row>
    <row r="483" customFormat="1" s="638">
      <c r="A483" s="356" t="inlineStr">
        <is>
          <t>(W)가문비나무오가닉</t>
        </is>
      </c>
      <c r="B483" s="774" t="n"/>
      <c r="C483" s="35" t="n"/>
      <c r="D483" s="234" t="n"/>
      <c r="E483" s="234" t="n"/>
      <c r="F483" s="191" t="n"/>
      <c r="G483" s="195" t="n"/>
      <c r="H483" s="80" t="n"/>
      <c r="I483" s="114" t="n"/>
      <c r="J483" s="35">
        <f>SUM(B483:I483)</f>
        <v/>
      </c>
      <c r="K483" s="755" t="n">
        <v>0</v>
      </c>
      <c r="L483" s="839" t="n"/>
      <c r="M483" s="770" t="n"/>
      <c r="N483" s="863" t="n">
        <v>0</v>
      </c>
      <c r="O483" s="757" t="n"/>
      <c r="P483" s="854" t="n"/>
      <c r="Q483" s="758" t="n"/>
      <c r="R483" s="755">
        <f>SUM(K483:Q483)</f>
        <v/>
      </c>
      <c r="S483" s="755">
        <f>J483*45600</f>
        <v/>
      </c>
    </row>
    <row r="484" customFormat="1" s="638">
      <c r="A484" s="356" t="inlineStr">
        <is>
          <t>타마락낙엽송오가닉</t>
        </is>
      </c>
      <c r="B484" s="774" t="n"/>
      <c r="C484" s="35" t="n"/>
      <c r="D484" s="234" t="n"/>
      <c r="E484" s="234" t="n"/>
      <c r="F484" s="191" t="n"/>
      <c r="G484" s="195" t="n"/>
      <c r="H484" s="80" t="n"/>
      <c r="I484" s="114" t="n"/>
      <c r="J484" s="35">
        <f>SUM(B484:I484)</f>
        <v/>
      </c>
      <c r="K484" s="755" t="n">
        <v>0</v>
      </c>
      <c r="L484" s="839" t="n"/>
      <c r="M484" s="770" t="n"/>
      <c r="N484" s="863" t="n">
        <v>0</v>
      </c>
      <c r="O484" s="757" t="n"/>
      <c r="P484" s="854" t="n"/>
      <c r="Q484" s="758" t="n"/>
      <c r="R484" s="755">
        <f>SUM(K484:Q484)</f>
        <v/>
      </c>
      <c r="S484" s="755">
        <f>J484*62600</f>
        <v/>
      </c>
    </row>
    <row r="485" customFormat="1" s="638">
      <c r="A485" s="356" t="inlineStr">
        <is>
          <t>동백삼나무잎</t>
        </is>
      </c>
      <c r="B485" s="774" t="n"/>
      <c r="C485" s="35" t="n"/>
      <c r="D485" s="234" t="n"/>
      <c r="E485" s="234" t="n"/>
      <c r="F485" s="191" t="n"/>
      <c r="G485" s="195" t="n"/>
      <c r="H485" s="80" t="n"/>
      <c r="I485" s="114" t="n"/>
      <c r="J485" s="35">
        <f>SUM(B485:I485)</f>
        <v/>
      </c>
      <c r="K485" s="755" t="n">
        <v>0</v>
      </c>
      <c r="L485" s="839" t="n"/>
      <c r="M485" s="770" t="n"/>
      <c r="N485" s="863" t="n">
        <v>0</v>
      </c>
      <c r="O485" s="757" t="n"/>
      <c r="P485" s="854" t="n"/>
      <c r="Q485" s="758" t="n"/>
      <c r="R485" s="755">
        <f>SUM(K485:Q485)</f>
        <v/>
      </c>
      <c r="S485" s="755">
        <f>J485*29300</f>
        <v/>
      </c>
    </row>
    <row r="486" customFormat="1" s="638">
      <c r="A486" s="356" t="inlineStr">
        <is>
          <t>노르웨이소나무</t>
        </is>
      </c>
      <c r="B486" s="775" t="n"/>
      <c r="C486" s="35" t="n"/>
      <c r="D486" s="234" t="n"/>
      <c r="E486" s="234" t="n"/>
      <c r="F486" s="191" t="n"/>
      <c r="G486" s="195" t="n"/>
      <c r="H486" s="80" t="n"/>
      <c r="I486" s="114" t="n"/>
      <c r="J486" s="35">
        <f>SUM(B486:I486)</f>
        <v/>
      </c>
      <c r="K486" s="755" t="n">
        <v>0</v>
      </c>
      <c r="L486" s="839" t="n"/>
      <c r="M486" s="770" t="n"/>
      <c r="N486" s="863" t="n">
        <v>0</v>
      </c>
      <c r="O486" s="757" t="n"/>
      <c r="P486" s="854" t="n"/>
      <c r="Q486" s="758" t="n"/>
      <c r="R486" s="755">
        <f>SUM(K486:Q486)</f>
        <v/>
      </c>
      <c r="S486" s="755">
        <f>J486*28700</f>
        <v/>
      </c>
    </row>
    <row r="487" customFormat="1" s="638">
      <c r="A487" s="356" t="n"/>
      <c r="B487" s="697" t="n"/>
      <c r="C487" s="35" t="n"/>
      <c r="D487" s="234" t="n"/>
      <c r="E487" s="234" t="n"/>
      <c r="F487" s="191" t="n"/>
      <c r="G487" s="195" t="n"/>
      <c r="H487" s="80" t="n"/>
      <c r="I487" s="114" t="n"/>
      <c r="J487" s="35" t="n"/>
      <c r="K487" s="755" t="n"/>
      <c r="L487" s="839" t="n"/>
      <c r="M487" s="770" t="n"/>
      <c r="N487" s="863" t="n"/>
      <c r="O487" s="757" t="n"/>
      <c r="P487" s="854" t="n"/>
      <c r="Q487" s="758" t="n"/>
      <c r="R487" s="755" t="n"/>
      <c r="S487" s="755" t="n"/>
    </row>
    <row r="488" customFormat="1" s="74">
      <c r="A488" s="504" t="inlineStr">
        <is>
          <t>100ml합계</t>
        </is>
      </c>
      <c r="B488" s="506" t="n"/>
      <c r="C488" s="450">
        <f>SUM(C417:C487)</f>
        <v/>
      </c>
      <c r="D488" s="450">
        <f>SUM(D417:D487)</f>
        <v/>
      </c>
      <c r="E488" s="450">
        <f>SUM(E417:E487)</f>
        <v/>
      </c>
      <c r="F488" s="450">
        <f>SUM(F417:F487)</f>
        <v/>
      </c>
      <c r="G488" s="450">
        <f>SUM(G417:G487)</f>
        <v/>
      </c>
      <c r="H488" s="450">
        <f>SUM(H417:H487)</f>
        <v/>
      </c>
      <c r="I488" s="450">
        <f>SUM(I417:I487)</f>
        <v/>
      </c>
      <c r="J488" s="450">
        <f>SUM(J417:J487)</f>
        <v/>
      </c>
      <c r="K488" s="886">
        <f>SUM(K417:K487)</f>
        <v/>
      </c>
      <c r="L488" s="886">
        <f>SUM(L417:L487)</f>
        <v/>
      </c>
      <c r="M488" s="886">
        <f>SUM(M417:M487)</f>
        <v/>
      </c>
      <c r="N488" s="886">
        <f>SUM(N417:N487)</f>
        <v/>
      </c>
      <c r="O488" s="886">
        <f>SUM(O417:O487)</f>
        <v/>
      </c>
      <c r="P488" s="886">
        <f>SUM(P417:P487)</f>
        <v/>
      </c>
      <c r="Q488" s="886">
        <f>SUM(Q417:Q487)</f>
        <v/>
      </c>
      <c r="R488" s="886">
        <f>SUM(K488:Q488)</f>
        <v/>
      </c>
      <c r="S488" s="886">
        <f>SUM(S417:S487)</f>
        <v/>
      </c>
    </row>
    <row r="489" customFormat="1" s="638">
      <c r="A489" s="356" t="n"/>
      <c r="B489" s="505" t="n"/>
      <c r="C489" s="35" t="n"/>
      <c r="D489" s="234" t="n"/>
      <c r="E489" s="234" t="n"/>
      <c r="F489" s="191" t="n"/>
      <c r="G489" s="195" t="n"/>
      <c r="H489" s="80" t="n"/>
      <c r="I489" s="114" t="n"/>
      <c r="J489" s="35" t="n"/>
      <c r="K489" s="836" t="n"/>
      <c r="L489" s="839" t="n"/>
      <c r="M489" s="770" t="n"/>
      <c r="N489" s="771" t="n"/>
      <c r="O489" s="757" t="n"/>
      <c r="P489" s="854" t="n"/>
      <c r="Q489" s="758" t="n"/>
      <c r="R489" s="755" t="n"/>
      <c r="S489" s="755" t="n"/>
    </row>
    <row r="490" ht="16.5" customFormat="1" customHeight="1" s="638">
      <c r="A490" s="356" t="inlineStr">
        <is>
          <t>호호바골든1KG</t>
        </is>
      </c>
      <c r="B490" s="547" t="inlineStr">
        <is>
          <t>P0000BJR  /  P0000BKG</t>
        </is>
      </c>
      <c r="C490" s="35" t="n"/>
      <c r="D490" s="234" t="n"/>
      <c r="E490" s="234" t="n"/>
      <c r="F490" s="191" t="n"/>
      <c r="G490" s="195" t="n"/>
      <c r="H490" s="80" t="n"/>
      <c r="I490" s="114" t="n"/>
      <c r="J490" s="35">
        <f>SUM(B490:I490)</f>
        <v/>
      </c>
      <c r="K490" s="836">
        <f>C490*156000</f>
        <v/>
      </c>
      <c r="L490" s="839" t="n"/>
      <c r="M490" s="770">
        <f>E490*156000</f>
        <v/>
      </c>
      <c r="N490" s="771">
        <f>F490*124800</f>
        <v/>
      </c>
      <c r="O490" s="757" t="n"/>
      <c r="P490" s="854" t="n"/>
      <c r="Q490" s="758" t="n"/>
      <c r="R490" s="755">
        <f>SUM(K490:Q490)</f>
        <v/>
      </c>
      <c r="S490" s="755">
        <f>J490*22320</f>
        <v/>
      </c>
    </row>
    <row r="491" customFormat="1" s="275">
      <c r="A491" s="356" t="inlineStr">
        <is>
          <t>썬플라워오일1KG</t>
        </is>
      </c>
      <c r="B491" s="774" t="n"/>
      <c r="C491" s="539" t="n"/>
      <c r="D491" s="233" t="n"/>
      <c r="E491" s="233" t="n"/>
      <c r="F491" s="218" t="n"/>
      <c r="G491" s="413" t="n"/>
      <c r="H491" s="413" t="n"/>
      <c r="I491" s="413" t="n"/>
      <c r="J491" s="218">
        <f>SUM(B491:I491)</f>
        <v/>
      </c>
      <c r="K491" s="836">
        <f>C491*44000</f>
        <v/>
      </c>
      <c r="L491" s="888" t="n"/>
      <c r="M491" s="770">
        <f>E491*44000</f>
        <v/>
      </c>
      <c r="N491" s="771">
        <f>F491*35200</f>
        <v/>
      </c>
      <c r="O491" s="888" t="n"/>
      <c r="P491" s="889" t="n"/>
      <c r="Q491" s="890" t="n"/>
      <c r="R491" s="755">
        <f>SUM(K491:Q491)</f>
        <v/>
      </c>
      <c r="S491" s="755">
        <f>J491*10230</f>
        <v/>
      </c>
    </row>
    <row r="492" customFormat="1" s="275">
      <c r="A492" s="356" t="inlineStr">
        <is>
          <t>포도씨오일1KG</t>
        </is>
      </c>
      <c r="B492" s="774" t="n"/>
      <c r="C492" s="539" t="n"/>
      <c r="D492" s="233" t="n"/>
      <c r="E492" s="233" t="n"/>
      <c r="F492" s="218" t="n"/>
      <c r="G492" s="413" t="n"/>
      <c r="H492" s="413" t="n"/>
      <c r="I492" s="413" t="n"/>
      <c r="J492" s="218">
        <f>SUM(B492:I492)</f>
        <v/>
      </c>
      <c r="K492" s="836">
        <f>C492*44000</f>
        <v/>
      </c>
      <c r="L492" s="888" t="n"/>
      <c r="M492" s="770">
        <f>E492*44000</f>
        <v/>
      </c>
      <c r="N492" s="771">
        <f>F492*35200</f>
        <v/>
      </c>
      <c r="O492" s="888" t="n"/>
      <c r="P492" s="889" t="n"/>
      <c r="Q492" s="890" t="n"/>
      <c r="R492" s="755">
        <f>SUM(K492:Q492)</f>
        <v/>
      </c>
      <c r="S492" s="755">
        <f>J492*10780</f>
        <v/>
      </c>
    </row>
    <row r="493" customFormat="1" s="275">
      <c r="A493" s="356" t="inlineStr">
        <is>
          <t>스윗아몬드오일1KG</t>
        </is>
      </c>
      <c r="B493" s="774" t="n"/>
      <c r="C493" s="218" t="n"/>
      <c r="D493" s="233" t="n"/>
      <c r="E493" s="234" t="n"/>
      <c r="F493" s="218" t="n"/>
      <c r="G493" s="413" t="n"/>
      <c r="H493" s="413" t="n"/>
      <c r="I493" s="413" t="n"/>
      <c r="J493" s="218">
        <f>SUM(B493:I493)</f>
        <v/>
      </c>
      <c r="K493" s="836">
        <f>C493*66000</f>
        <v/>
      </c>
      <c r="L493" s="888" t="n"/>
      <c r="M493" s="770">
        <f>E493*66000</f>
        <v/>
      </c>
      <c r="N493" s="771">
        <f>F493*52800</f>
        <v/>
      </c>
      <c r="O493" s="888" t="n"/>
      <c r="P493" s="889" t="n"/>
      <c r="Q493" s="890" t="n"/>
      <c r="R493" s="755">
        <f>SUM(K493:Q493)</f>
        <v/>
      </c>
      <c r="S493" s="755">
        <f>J493*14300</f>
        <v/>
      </c>
    </row>
    <row r="494" customFormat="1" s="412">
      <c r="A494" s="356" t="inlineStr">
        <is>
          <t>코코넛오일1KG</t>
        </is>
      </c>
      <c r="B494" s="775" t="n"/>
      <c r="C494" s="218" t="n"/>
      <c r="D494" s="233" t="n"/>
      <c r="E494" s="234" t="n"/>
      <c r="F494" s="191" t="n"/>
      <c r="G494" s="413" t="n"/>
      <c r="H494" s="413" t="n"/>
      <c r="I494" s="413" t="n"/>
      <c r="J494" s="218">
        <f>SUM(B494:I494)</f>
        <v/>
      </c>
      <c r="K494" s="836">
        <f>C494*36000</f>
        <v/>
      </c>
      <c r="L494" s="888" t="n"/>
      <c r="M494" s="770">
        <f>E494*36000</f>
        <v/>
      </c>
      <c r="N494" s="771">
        <f>F494*28800</f>
        <v/>
      </c>
      <c r="O494" s="888" t="n"/>
      <c r="P494" s="889" t="n"/>
      <c r="Q494" s="890" t="n"/>
      <c r="R494" s="755">
        <f>SUM(K494:Q494)</f>
        <v/>
      </c>
      <c r="S494" s="755">
        <f>J494*6600</f>
        <v/>
      </c>
    </row>
    <row r="495">
      <c r="A495" s="515" t="inlineStr">
        <is>
          <t>캐리어오일합계</t>
        </is>
      </c>
      <c r="B495" s="516" t="n"/>
      <c r="C495" s="541">
        <f>SUM(C490:C494)</f>
        <v/>
      </c>
      <c r="D495" s="541">
        <f>SUM(D490:D494)</f>
        <v/>
      </c>
      <c r="E495" s="541">
        <f>SUM(E490:E494)</f>
        <v/>
      </c>
      <c r="F495" s="541">
        <f>SUM(F490:F494)</f>
        <v/>
      </c>
      <c r="G495" s="541">
        <f>SUM(G490:G494)</f>
        <v/>
      </c>
      <c r="H495" s="541">
        <f>SUM(H490:H494)</f>
        <v/>
      </c>
      <c r="I495" s="541">
        <f>SUM(I490:I494)</f>
        <v/>
      </c>
      <c r="J495" s="541">
        <f>SUM(J490:J494)</f>
        <v/>
      </c>
      <c r="K495" s="891">
        <f>SUM(K489:K494)</f>
        <v/>
      </c>
      <c r="L495" s="891">
        <f>SUM(L489:L494)</f>
        <v/>
      </c>
      <c r="M495" s="891">
        <f>SUM(M489:M494)</f>
        <v/>
      </c>
      <c r="N495" s="891">
        <f>SUM(N489:N494)</f>
        <v/>
      </c>
      <c r="O495" s="891">
        <f>SUM(O489:O494)</f>
        <v/>
      </c>
      <c r="P495" s="891">
        <f>SUM(P489:P494)</f>
        <v/>
      </c>
      <c r="Q495" s="891">
        <f>SUM(Q489:Q494)</f>
        <v/>
      </c>
      <c r="R495" s="892">
        <f>SUM(K495:Q495)</f>
        <v/>
      </c>
      <c r="S495" s="893">
        <f>SUM(S489:S494)</f>
        <v/>
      </c>
    </row>
    <row r="496">
      <c r="A496" s="517" t="n"/>
      <c r="D496" s="142" t="n"/>
      <c r="E496" s="143" t="n"/>
      <c r="F496" s="691" t="n"/>
      <c r="G496" s="12" t="n"/>
      <c r="H496" s="691" t="n"/>
      <c r="I496" s="691" t="inlineStr">
        <is>
          <t>자디니아로마합계</t>
        </is>
      </c>
      <c r="K496" s="894">
        <f>K495+K488+K415</f>
        <v/>
      </c>
      <c r="L496" s="895" t="n"/>
      <c r="M496" s="896" t="n"/>
      <c r="N496" s="896" t="n"/>
      <c r="O496" s="896" t="n"/>
      <c r="P496" s="897" t="n"/>
      <c r="Q496" s="898" t="n"/>
      <c r="R496" s="894">
        <f>R495+R488+R415</f>
        <v/>
      </c>
      <c r="S496" s="899">
        <f>S495+S488+S415</f>
        <v/>
      </c>
    </row>
    <row r="497" customFormat="1" s="244">
      <c r="B497" s="245" t="n"/>
      <c r="C497" s="245" t="n"/>
      <c r="D497" s="514" t="n"/>
      <c r="E497" s="500" t="n"/>
      <c r="F497" s="501" t="n"/>
      <c r="G497" s="502" t="n"/>
      <c r="H497" s="491" t="n"/>
      <c r="I497" s="501" t="n"/>
      <c r="J497" s="501" t="n"/>
      <c r="K497" s="866" t="n"/>
      <c r="L497" s="866" t="n"/>
      <c r="M497" s="867" t="n"/>
      <c r="N497" s="867" t="n"/>
      <c r="O497" s="868" t="n"/>
      <c r="P497" s="869" t="n"/>
      <c r="Q497" s="870" t="n"/>
      <c r="R497" s="866" t="n"/>
      <c r="S497" s="871" t="n"/>
    </row>
    <row r="498" ht="17.25" customFormat="1" customHeight="1" s="638" thickBot="1">
      <c r="A498" s="0" t="inlineStr">
        <is>
          <t>고마쥐튜브</t>
        </is>
      </c>
      <c r="C498" s="628" t="n"/>
      <c r="F498" s="163" t="n"/>
      <c r="J498" s="164" t="n"/>
      <c r="K498" s="900" t="n"/>
      <c r="L498" s="900" t="n"/>
      <c r="M498" s="900" t="n"/>
      <c r="N498" s="900" t="n"/>
      <c r="O498" s="820" t="n"/>
      <c r="P498" s="900" t="n"/>
      <c r="Q498" s="900" t="n"/>
      <c r="R498" s="0" t="n"/>
    </row>
    <row r="499" customFormat="1" s="638">
      <c r="A499" s="0" t="inlineStr">
        <is>
          <t>히알공병</t>
        </is>
      </c>
      <c r="C499" s="628" t="n"/>
      <c r="F499" s="163" t="n"/>
      <c r="J499" s="141" t="n"/>
      <c r="K499" s="901" t="inlineStr">
        <is>
          <t>라이콘합계</t>
        </is>
      </c>
      <c r="L499" s="902" t="inlineStr">
        <is>
          <t>제모미인합계</t>
        </is>
      </c>
      <c r="M499" s="903" t="inlineStr">
        <is>
          <t>자디니아로마</t>
        </is>
      </c>
      <c r="N499" s="904" t="inlineStr">
        <is>
          <t>비품합계</t>
        </is>
      </c>
      <c r="O499" s="905" t="n"/>
      <c r="P499" s="906" t="inlineStr">
        <is>
          <t>총합계</t>
        </is>
      </c>
      <c r="Q499" s="907" t="n"/>
      <c r="R499" s="797" t="n"/>
      <c r="S499" s="0" t="n"/>
    </row>
    <row r="500" customFormat="1" s="638">
      <c r="A500" s="0" t="n"/>
      <c r="C500" s="628" t="n"/>
      <c r="F500" s="163" t="n"/>
      <c r="J500" s="141" t="inlineStr">
        <is>
          <t>매출</t>
        </is>
      </c>
      <c r="K500" s="908">
        <f>R24+R44+R61+R85+R102+R120+R127+R133+R141+R159</f>
        <v/>
      </c>
      <c r="L500" s="829">
        <f>R223+R233+R239+R247</f>
        <v/>
      </c>
      <c r="M500" s="796">
        <f>R496</f>
        <v/>
      </c>
      <c r="N500" s="909">
        <f>R260+R334</f>
        <v/>
      </c>
      <c r="O500" s="797" t="n"/>
      <c r="P500" s="910">
        <f>SUM(K500:O500)</f>
        <v/>
      </c>
      <c r="Q500" s="907" t="n"/>
      <c r="R500" s="797" t="n"/>
      <c r="S500" s="0" t="n"/>
    </row>
    <row r="501" ht="17.25" customFormat="1" customHeight="1" s="638" thickBot="1">
      <c r="A501" s="0" t="inlineStr">
        <is>
          <t>인그로운스프레이</t>
        </is>
      </c>
      <c r="C501" s="628" t="n"/>
      <c r="F501" s="163" t="n"/>
      <c r="J501" s="520" t="inlineStr">
        <is>
          <t>원가</t>
        </is>
      </c>
      <c r="K501" s="911">
        <f>S24+S44+S61+S85+S102+S120+S127+S133+S141+S159</f>
        <v/>
      </c>
      <c r="L501" s="912">
        <f>S223+S233+S239+S247</f>
        <v/>
      </c>
      <c r="M501" s="913">
        <f>S496</f>
        <v/>
      </c>
      <c r="N501" s="914">
        <f>S260+S334</f>
        <v/>
      </c>
      <c r="O501" s="915" t="n"/>
      <c r="P501" s="916">
        <f>SUM(K501:O501)</f>
        <v/>
      </c>
      <c r="Q501" s="907" t="n"/>
      <c r="R501" s="907" t="n"/>
      <c r="S501" s="0" t="n"/>
    </row>
    <row r="502" customFormat="1" s="638">
      <c r="A502" s="0" t="inlineStr">
        <is>
          <t>공병500ml</t>
        </is>
      </c>
      <c r="C502" s="628" t="n"/>
      <c r="F502" s="163" t="n"/>
      <c r="K502" s="755" t="n"/>
      <c r="L502" s="755" t="n"/>
      <c r="M502" s="756" t="n"/>
      <c r="N502" s="917" t="n"/>
      <c r="O502" s="837" t="inlineStr">
        <is>
          <t>도매매출</t>
        </is>
      </c>
      <c r="P502" s="918" t="inlineStr">
        <is>
          <t>원가</t>
        </is>
      </c>
      <c r="Q502" s="758" t="n"/>
      <c r="R502" s="756" t="n"/>
      <c r="S502" s="0" t="n"/>
    </row>
    <row r="503" customFormat="1" s="638">
      <c r="A503" s="0" t="n"/>
      <c r="C503" s="628" t="n"/>
      <c r="F503" s="163" t="n"/>
      <c r="K503" s="755" t="n"/>
      <c r="L503" s="755" t="n"/>
      <c r="M503" s="756" t="n"/>
      <c r="N503" s="917" t="inlineStr">
        <is>
          <t>라이콘</t>
        </is>
      </c>
      <c r="O503" s="838">
        <f>K500</f>
        <v/>
      </c>
      <c r="P503" s="919">
        <f>K501</f>
        <v/>
      </c>
      <c r="Q503" s="821" t="n"/>
      <c r="R503" s="786" t="n"/>
      <c r="S503" s="0" t="n"/>
    </row>
    <row r="504" customFormat="1" s="638">
      <c r="A504" s="0" t="inlineStr">
        <is>
          <t>샘플공병20ml</t>
        </is>
      </c>
      <c r="B504" s="144" t="n"/>
      <c r="C504" s="628" t="n"/>
      <c r="F504" s="163" t="n"/>
      <c r="H504" s="216" t="n"/>
      <c r="I504" s="216" t="n"/>
      <c r="J504" s="217" t="n"/>
      <c r="K504" s="755" t="n"/>
      <c r="L504" s="755" t="n"/>
      <c r="M504" s="756" t="n"/>
      <c r="N504" s="920" t="inlineStr">
        <is>
          <t>제모미인</t>
        </is>
      </c>
      <c r="O504" s="921">
        <f>L500</f>
        <v/>
      </c>
      <c r="P504" s="922">
        <f>L501</f>
        <v/>
      </c>
      <c r="Q504" s="923" t="n"/>
      <c r="R504" s="923" t="n"/>
      <c r="S504" s="0" t="n"/>
    </row>
    <row r="505" customFormat="1" s="638">
      <c r="A505" s="0" t="inlineStr">
        <is>
          <t>샘플튜브</t>
        </is>
      </c>
      <c r="C505" s="628" t="n"/>
      <c r="F505" s="163" t="n"/>
      <c r="K505" s="755" t="n"/>
      <c r="L505" s="755" t="n"/>
      <c r="M505" s="756" t="n"/>
      <c r="N505" s="924" t="inlineStr">
        <is>
          <t>비품</t>
        </is>
      </c>
      <c r="O505" s="888">
        <f>N500</f>
        <v/>
      </c>
      <c r="P505" s="925">
        <f>N501</f>
        <v/>
      </c>
      <c r="Q505" s="926" t="n"/>
      <c r="R505" s="926" t="n"/>
      <c r="S505" s="0" t="n"/>
    </row>
    <row r="506" customFormat="1" s="638">
      <c r="A506" s="0" t="inlineStr">
        <is>
          <t>MTS롤러</t>
        </is>
      </c>
      <c r="C506" s="628" t="n"/>
      <c r="F506" s="163" t="n"/>
      <c r="K506" s="755" t="n"/>
      <c r="L506" s="927" t="n"/>
      <c r="M506" s="756" t="n"/>
      <c r="N506" s="928" t="inlineStr">
        <is>
          <t>자디니아로마</t>
        </is>
      </c>
      <c r="O506" s="863">
        <f>M500</f>
        <v/>
      </c>
      <c r="P506" s="929">
        <f>M501</f>
        <v/>
      </c>
      <c r="Q506" s="863" t="n"/>
      <c r="R506" s="930" t="n"/>
      <c r="S506" s="0" t="n"/>
    </row>
    <row r="507" customFormat="1" s="638">
      <c r="A507" s="0" t="inlineStr">
        <is>
          <t>위생장갑(S)</t>
        </is>
      </c>
      <c r="C507" s="628" t="n"/>
      <c r="F507" s="213" t="n"/>
      <c r="G507" s="212" t="n"/>
      <c r="K507" s="755" t="n"/>
      <c r="L507" s="927" t="n"/>
      <c r="M507" s="756" t="n"/>
      <c r="N507" s="931" t="n"/>
      <c r="O507" s="932" t="n"/>
      <c r="P507" s="933" t="n"/>
      <c r="Q507" s="930" t="n"/>
      <c r="R507" s="934" t="n"/>
      <c r="S507" s="0" t="n"/>
    </row>
    <row r="508" customFormat="1" s="638">
      <c r="A508" s="0" t="inlineStr">
        <is>
          <t>위생장갑(M)</t>
        </is>
      </c>
      <c r="C508" s="628" t="n"/>
      <c r="F508" s="213" t="n"/>
      <c r="K508" s="755" t="n"/>
      <c r="L508" s="755" t="n"/>
      <c r="M508" s="756" t="n"/>
      <c r="N508" s="935" t="inlineStr">
        <is>
          <t>총합계</t>
        </is>
      </c>
      <c r="O508" s="936">
        <f>SUM(O503:O507)</f>
        <v/>
      </c>
      <c r="P508" s="937">
        <f>SUM(P503:P507)</f>
        <v/>
      </c>
      <c r="Q508" s="821" t="n"/>
      <c r="R508" s="756" t="n"/>
      <c r="S508" s="0" t="n"/>
    </row>
    <row r="509" customFormat="1" s="638">
      <c r="A509" s="0" t="inlineStr">
        <is>
          <t>라텍스장갑(S)</t>
        </is>
      </c>
      <c r="B509" s="572" t="n">
        <v>1</v>
      </c>
      <c r="C509" s="628" t="n"/>
      <c r="K509" s="756" t="n"/>
      <c r="L509" s="888" t="inlineStr">
        <is>
          <t>비품</t>
        </is>
      </c>
      <c r="M509" s="756" t="inlineStr">
        <is>
          <t>라이콘</t>
        </is>
      </c>
      <c r="N509" s="938" t="inlineStr">
        <is>
          <t>제모미인</t>
        </is>
      </c>
      <c r="O509" s="863" t="inlineStr">
        <is>
          <t>자디니아로마</t>
        </is>
      </c>
      <c r="P509" s="939" t="inlineStr">
        <is>
          <t>합계</t>
        </is>
      </c>
      <c r="Q509" s="828" t="inlineStr">
        <is>
          <t>아하</t>
        </is>
      </c>
      <c r="R509" s="638" t="inlineStr">
        <is>
          <t>카페24</t>
        </is>
      </c>
      <c r="S509" s="939" t="n"/>
    </row>
    <row r="510">
      <c r="A510" s="0" t="inlineStr">
        <is>
          <t>라텍스장갑(M)</t>
        </is>
      </c>
      <c r="B510" s="638" t="n">
        <v>3</v>
      </c>
      <c r="E510" s="270" t="n"/>
      <c r="K510" s="756" t="inlineStr">
        <is>
          <t>도매</t>
        </is>
      </c>
      <c r="L510" s="888" t="n">
        <v>15501800</v>
      </c>
      <c r="M510" s="756" t="n">
        <v>238075510</v>
      </c>
      <c r="N510" s="940" t="n">
        <v>37884750</v>
      </c>
      <c r="O510" s="863" t="n">
        <v>512000</v>
      </c>
      <c r="P510" s="941">
        <f>SUM(L510:O510)</f>
        <v/>
      </c>
      <c r="Q510" s="755" t="n">
        <v>291972208</v>
      </c>
      <c r="R510" s="266" t="n"/>
      <c r="S510" s="941" t="n"/>
    </row>
    <row r="511">
      <c r="A511" s="0" t="inlineStr">
        <is>
          <t>제모미인스파츌라</t>
        </is>
      </c>
      <c r="K511" s="756" t="n"/>
      <c r="L511" s="888" t="n">
        <v>5587217</v>
      </c>
      <c r="M511" s="756" t="n">
        <v>115808417</v>
      </c>
      <c r="N511" s="940" t="n">
        <v>9693441</v>
      </c>
      <c r="O511" s="863" t="n">
        <v>98532</v>
      </c>
      <c r="P511" s="941">
        <f>SUM(L511:O511)</f>
        <v/>
      </c>
      <c r="Q511" s="755" t="n">
        <v>130829742</v>
      </c>
      <c r="R511" s="266" t="n"/>
      <c r="S511" s="941" t="n"/>
    </row>
    <row r="512">
      <c r="K512" s="756" t="inlineStr">
        <is>
          <t>인증</t>
        </is>
      </c>
      <c r="L512" s="888" t="n"/>
      <c r="N512" s="940" t="n"/>
      <c r="O512" s="863" t="n"/>
      <c r="P512" s="941">
        <f>SUM(L512:O512)</f>
        <v/>
      </c>
      <c r="Q512" s="755" t="n"/>
      <c r="R512" s="266" t="n"/>
      <c r="S512" s="941" t="n"/>
    </row>
    <row r="513">
      <c r="K513" s="756" t="n"/>
      <c r="L513" s="888" t="n"/>
      <c r="N513" s="940" t="n"/>
      <c r="O513" s="863" t="n"/>
      <c r="P513" s="941">
        <f>SUM(L513:O513)</f>
        <v/>
      </c>
      <c r="Q513" s="755" t="n"/>
      <c r="R513" s="266" t="n"/>
      <c r="S513" s="941" t="n"/>
    </row>
    <row r="514">
      <c r="K514" s="756" t="inlineStr">
        <is>
          <t>마스터</t>
        </is>
      </c>
      <c r="L514" s="888">
        <f>N500-L510-L512</f>
        <v/>
      </c>
      <c r="M514" s="756">
        <f>K500-M510-M512</f>
        <v/>
      </c>
      <c r="N514" s="940">
        <f>L500-N510-N512</f>
        <v/>
      </c>
      <c r="O514" s="863">
        <f>M500-O510-O512</f>
        <v/>
      </c>
      <c r="P514" s="941">
        <f>SUM(L514:O514)</f>
        <v/>
      </c>
      <c r="Q514" s="755" t="n">
        <v>41276988</v>
      </c>
      <c r="R514" s="266" t="n"/>
      <c r="S514" s="941" t="n"/>
    </row>
    <row r="515">
      <c r="K515" s="756" t="n"/>
      <c r="L515" s="888">
        <f>N501-L511-L513</f>
        <v/>
      </c>
      <c r="M515" s="756">
        <f>K501-M511-M513</f>
        <v/>
      </c>
      <c r="N515" s="940">
        <f>L501-N511-N513</f>
        <v/>
      </c>
      <c r="O515" s="863">
        <f>M501-O511-O513</f>
        <v/>
      </c>
      <c r="P515" s="941">
        <f>SUM(L515:O515)</f>
        <v/>
      </c>
      <c r="Q515" s="755" t="n">
        <v>20456221</v>
      </c>
      <c r="R515" s="266" t="n"/>
      <c r="S515" s="941" t="n"/>
    </row>
    <row r="516">
      <c r="K516" s="756" t="n"/>
      <c r="L516" s="888" t="n"/>
      <c r="N516" s="940" t="n"/>
      <c r="O516" s="863" t="n"/>
      <c r="P516" s="941" t="n"/>
      <c r="Q516" s="755" t="n"/>
      <c r="R516" s="0" t="n"/>
      <c r="S516" s="941" t="n"/>
    </row>
    <row r="517">
      <c r="K517" s="756" t="inlineStr">
        <is>
          <t>매출합계</t>
        </is>
      </c>
      <c r="L517" s="888">
        <f>L510+L512+L514</f>
        <v/>
      </c>
      <c r="M517" s="756">
        <f>M510+M512+M514</f>
        <v/>
      </c>
      <c r="N517" s="921">
        <f>N510+N512+N514</f>
        <v/>
      </c>
      <c r="O517" s="863">
        <f>O510+O512+O514</f>
        <v/>
      </c>
      <c r="P517" s="941">
        <f>SUM(L517:O517)</f>
        <v/>
      </c>
      <c r="Q517" s="817">
        <f>Q510+Q512+Q514</f>
        <v/>
      </c>
      <c r="R517" s="817" t="n">
        <v>354009370</v>
      </c>
      <c r="S517" s="941" t="n"/>
    </row>
    <row r="518" customFormat="1" s="638">
      <c r="A518" s="0" t="n"/>
      <c r="C518" s="628" t="n"/>
      <c r="K518" s="756" t="inlineStr">
        <is>
          <t>원가합계</t>
        </is>
      </c>
      <c r="L518" s="888">
        <f>L511+L513+L515</f>
        <v/>
      </c>
      <c r="M518" s="756">
        <f>M511+M513+M515</f>
        <v/>
      </c>
      <c r="N518" s="921">
        <f>N511+N513+N515</f>
        <v/>
      </c>
      <c r="O518" s="863">
        <f>O511+O513+O515</f>
        <v/>
      </c>
      <c r="P518" s="941">
        <f>SUM(L518:O518)</f>
        <v/>
      </c>
      <c r="Q518" s="817">
        <f>Q511+Q513+Q515</f>
        <v/>
      </c>
      <c r="R518" s="267" t="n"/>
      <c r="S518" s="941" t="n"/>
    </row>
    <row r="520">
      <c r="R520" s="24" t="inlineStr">
        <is>
          <t>지사가매출</t>
        </is>
      </c>
      <c r="S520" s="756" t="n">
        <v>29519200</v>
      </c>
    </row>
    <row r="521">
      <c r="R521" s="349" t="inlineStr">
        <is>
          <t>온오프매장및중국</t>
        </is>
      </c>
      <c r="S521" s="756" t="n">
        <v>49774560</v>
      </c>
    </row>
    <row r="522" ht="25.5" customHeight="1" s="754">
      <c r="R522" s="349" t="inlineStr">
        <is>
          <t>오프라인주문(마스터)</t>
        </is>
      </c>
    </row>
    <row r="523">
      <c r="L523" s="926" t="inlineStr">
        <is>
          <t>비품</t>
        </is>
      </c>
      <c r="M523" s="756" t="inlineStr">
        <is>
          <t>라이콘</t>
        </is>
      </c>
      <c r="N523" s="923" t="inlineStr">
        <is>
          <t>제모미인</t>
        </is>
      </c>
      <c r="O523" s="863" t="inlineStr">
        <is>
          <t>아로마연구소</t>
        </is>
      </c>
      <c r="P523" s="758" t="inlineStr">
        <is>
          <t>합계</t>
        </is>
      </c>
      <c r="R523" s="349" t="inlineStr">
        <is>
          <t>오프라인주문(도매)</t>
        </is>
      </c>
    </row>
    <row r="524">
      <c r="K524" s="755" t="inlineStr">
        <is>
          <t>도매일반</t>
        </is>
      </c>
      <c r="L524" s="888" t="n">
        <v>13557800</v>
      </c>
      <c r="M524" s="756" t="n">
        <v>62689500</v>
      </c>
      <c r="N524" s="940" t="n">
        <v>22710970</v>
      </c>
      <c r="O524" s="863" t="n">
        <v>393000</v>
      </c>
      <c r="P524" s="755">
        <f>SUM(K524:O524)</f>
        <v/>
      </c>
      <c r="Q524" s="755" t="n">
        <v>99351180</v>
      </c>
      <c r="R524" s="68" t="inlineStr">
        <is>
          <t>온라인주문합계</t>
        </is>
      </c>
    </row>
    <row r="525">
      <c r="L525" s="888" t="n">
        <v>4605205</v>
      </c>
      <c r="M525" s="756" t="n">
        <v>24432561</v>
      </c>
      <c r="N525" s="940" t="n">
        <v>4799639</v>
      </c>
      <c r="O525" s="863" t="n">
        <v>77232</v>
      </c>
      <c r="P525" s="755">
        <f>SUM(K525:O525)</f>
        <v/>
      </c>
      <c r="Q525" s="755" t="n">
        <v>33629329</v>
      </c>
      <c r="R525" s="68" t="inlineStr">
        <is>
          <t>온라인&amp;오프라인합</t>
        </is>
      </c>
      <c r="S525" s="756">
        <f>P517+S521+S520</f>
        <v/>
      </c>
    </row>
    <row r="526">
      <c r="K526" s="755" t="inlineStr">
        <is>
          <t>도매할인</t>
        </is>
      </c>
      <c r="L526" s="888" t="n">
        <v>1944000</v>
      </c>
      <c r="M526" s="756" t="n">
        <v>175386010</v>
      </c>
      <c r="N526" s="921" t="n">
        <v>15173780</v>
      </c>
      <c r="O526" s="863" t="n">
        <v>119000</v>
      </c>
      <c r="P526" s="756">
        <f>SUM(K526:O526)</f>
        <v/>
      </c>
      <c r="Q526" s="756" t="n">
        <v>192621028</v>
      </c>
      <c r="R526" s="0" t="inlineStr">
        <is>
          <t>카페24&amp;엑셀차이</t>
        </is>
      </c>
      <c r="S526" s="756">
        <f>R517-S525</f>
        <v/>
      </c>
    </row>
    <row r="527">
      <c r="L527" s="888" t="n">
        <v>982012</v>
      </c>
      <c r="M527" s="756" t="n">
        <v>91375856</v>
      </c>
      <c r="N527" s="921" t="n">
        <v>4893802</v>
      </c>
      <c r="O527" s="863" t="n">
        <v>21300</v>
      </c>
      <c r="P527" s="756">
        <f>SUM(K527:O527)</f>
        <v/>
      </c>
      <c r="Q527" s="756" t="n">
        <v>97200413</v>
      </c>
      <c r="R527" s="942" t="n"/>
      <c r="S527" s="942" t="n"/>
    </row>
    <row r="528">
      <c r="L528" s="756" t="n"/>
      <c r="N528" s="757" t="n"/>
      <c r="O528" s="756" t="n"/>
      <c r="Q528" s="756" t="n"/>
    </row>
    <row r="529">
      <c r="L529" s="926">
        <f>L524+L526</f>
        <v/>
      </c>
      <c r="M529" s="756">
        <f>M524+M526</f>
        <v/>
      </c>
      <c r="N529" s="923">
        <f>N524+N526</f>
        <v/>
      </c>
      <c r="O529" s="757">
        <f>O524+O526</f>
        <v/>
      </c>
      <c r="P529" s="756">
        <f>SUM(K529:O529)</f>
        <v/>
      </c>
      <c r="Q529" s="756" t="n"/>
    </row>
    <row r="530" customFormat="1" s="756">
      <c r="A530" s="0" t="n"/>
      <c r="B530" s="638" t="n"/>
      <c r="C530" s="628" t="n"/>
      <c r="D530" s="638" t="n"/>
      <c r="E530" s="638" t="n"/>
      <c r="F530" s="638" t="n"/>
      <c r="G530" s="638" t="n"/>
      <c r="H530" s="638" t="n"/>
      <c r="I530" s="638" t="n"/>
      <c r="J530" s="638" t="n"/>
      <c r="K530" s="755" t="n"/>
      <c r="L530" s="926">
        <f>L525+L527</f>
        <v/>
      </c>
      <c r="M530" s="756">
        <f>M525+M527</f>
        <v/>
      </c>
      <c r="N530" s="923">
        <f>N525+N527</f>
        <v/>
      </c>
      <c r="O530" s="757">
        <f>O525+O527</f>
        <v/>
      </c>
      <c r="P530" s="756">
        <f>SUM(K530:O530)</f>
        <v/>
      </c>
    </row>
  </sheetData>
  <mergeCells count="37">
    <mergeCell ref="B326:B327"/>
    <mergeCell ref="B215:B216"/>
    <mergeCell ref="B307:B308"/>
    <mergeCell ref="L67:M67"/>
    <mergeCell ref="B13:B21"/>
    <mergeCell ref="B490:B494"/>
    <mergeCell ref="B297:B300"/>
    <mergeCell ref="L47:M47"/>
    <mergeCell ref="B310:B312"/>
    <mergeCell ref="L87:M87"/>
    <mergeCell ref="L106:M106"/>
    <mergeCell ref="L235:M235"/>
    <mergeCell ref="L136:M136"/>
    <mergeCell ref="H85:I85"/>
    <mergeCell ref="B177:B178"/>
    <mergeCell ref="B417:B486"/>
    <mergeCell ref="L265:M265"/>
    <mergeCell ref="B319:B320"/>
    <mergeCell ref="B217:B218"/>
    <mergeCell ref="L122:M122"/>
    <mergeCell ref="L128:M128"/>
    <mergeCell ref="L228:N228"/>
    <mergeCell ref="B266:B267"/>
    <mergeCell ref="B204:B205"/>
    <mergeCell ref="I496:J496"/>
    <mergeCell ref="B344:B413"/>
    <mergeCell ref="B220:B222"/>
    <mergeCell ref="B316:B317"/>
    <mergeCell ref="L149:M149"/>
    <mergeCell ref="B25:B28"/>
    <mergeCell ref="L6:M6"/>
    <mergeCell ref="B280:B281"/>
    <mergeCell ref="L251:M251"/>
    <mergeCell ref="B200:B201"/>
    <mergeCell ref="B283:B285"/>
    <mergeCell ref="D225:D227"/>
    <mergeCell ref="L170:M170"/>
  </mergeCells>
  <pageMargins left="0.7" right="0.7" top="0.75" bottom="0.75" header="0.511805555555555" footer="0.511805555555555"/>
  <pageSetup orientation="portrait" paperSize="9" firstPageNumber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34"/>
  <sheetViews>
    <sheetView topLeftCell="A11" zoomScale="86" zoomScaleNormal="86" workbookViewId="0">
      <selection activeCell="A28" sqref="A28:XFD28"/>
    </sheetView>
  </sheetViews>
  <sheetFormatPr baseColWidth="8" defaultRowHeight="16.5"/>
  <cols>
    <col width="24.625" customWidth="1" style="754" min="1" max="1"/>
    <col width="9" customWidth="1" style="638" min="2" max="2"/>
    <col width="9" customWidth="1" style="628" min="3" max="3"/>
    <col width="9.75" customWidth="1" style="638" min="4" max="4"/>
    <col width="12.375" customWidth="1" style="638" min="5" max="5"/>
    <col width="10.375" customWidth="1" style="638" min="6" max="6"/>
    <col width="10" customWidth="1" style="638" min="7" max="7"/>
    <col width="9.25" customWidth="1" style="638" min="8" max="8"/>
    <col width="9" customWidth="1" style="638" min="9" max="9"/>
    <col width="7.5" customWidth="1" style="638" min="10" max="10"/>
    <col width="14" customWidth="1" style="755" min="11" max="12"/>
    <col width="14" customWidth="1" style="756" min="13" max="14"/>
    <col width="14" customWidth="1" style="757" min="15" max="15"/>
    <col width="14" customWidth="1" style="756" min="16" max="16"/>
    <col width="15.25" customWidth="1" style="758" min="17" max="17"/>
    <col width="16.25" customWidth="1" style="756" min="18" max="18"/>
    <col width="16.125" customWidth="1" style="756" min="19" max="19"/>
    <col width="8.375" customWidth="1" style="754" min="20" max="1000"/>
  </cols>
  <sheetData>
    <row r="1">
      <c r="F1" s="381" t="inlineStr">
        <is>
          <t>P0000BLA</t>
        </is>
      </c>
      <c r="G1" s="546" t="inlineStr">
        <is>
          <t>지사비즈4종</t>
        </is>
      </c>
    </row>
    <row r="2" ht="24" customHeight="1" s="754">
      <c r="A2" s="6" t="n"/>
      <c r="F2" s="20" t="inlineStr">
        <is>
          <t>P007000ZC</t>
        </is>
      </c>
      <c r="G2" s="7" t="inlineStr">
        <is>
          <t>컵비즈왁스묶음(4종)</t>
        </is>
      </c>
    </row>
    <row r="3">
      <c r="A3" s="8" t="n"/>
      <c r="C3" s="638" t="inlineStr">
        <is>
          <t>도매</t>
        </is>
      </c>
      <c r="D3" s="9" t="n"/>
      <c r="E3" s="10" t="inlineStr">
        <is>
          <t>인증/마스터</t>
        </is>
      </c>
      <c r="F3" s="7" t="inlineStr">
        <is>
          <t>P00000YZ</t>
        </is>
      </c>
      <c r="G3" s="7" t="inlineStr">
        <is>
          <t>컵비즈세트</t>
        </is>
      </c>
      <c r="H3" s="12" t="inlineStr">
        <is>
          <t>할인+증정</t>
        </is>
      </c>
      <c r="I3" s="7" t="n"/>
      <c r="J3" s="639" t="inlineStr">
        <is>
          <t>합계</t>
        </is>
      </c>
    </row>
    <row r="4" customFormat="1" s="185">
      <c r="B4" s="186" t="n"/>
      <c r="C4" s="187" t="n"/>
      <c r="D4" s="388" t="n"/>
      <c r="E4" s="15" t="inlineStr">
        <is>
          <t>P00000QE</t>
        </is>
      </c>
      <c r="F4" s="20" t="inlineStr">
        <is>
          <t>P00000VM</t>
        </is>
      </c>
      <c r="G4" s="378" t="inlineStr">
        <is>
          <t>묶음할인15%</t>
        </is>
      </c>
      <c r="H4" s="20" t="n"/>
      <c r="I4" s="7" t="n"/>
      <c r="J4" s="17" t="n"/>
      <c r="K4" s="759" t="n"/>
      <c r="L4" s="759" t="n"/>
      <c r="M4" s="760" t="n"/>
      <c r="N4" s="760" t="n"/>
      <c r="O4" s="761" t="n"/>
      <c r="P4" s="760" t="n"/>
      <c r="Q4" s="762" t="n"/>
      <c r="R4" s="760" t="n"/>
      <c r="S4" s="760" t="n"/>
    </row>
    <row r="5">
      <c r="C5" s="18" t="n"/>
      <c r="D5" s="389" t="n"/>
      <c r="E5" s="19" t="inlineStr">
        <is>
          <t>P00000QD</t>
        </is>
      </c>
      <c r="F5" s="20" t="inlineStr">
        <is>
          <t>P00000YS</t>
        </is>
      </c>
      <c r="G5" s="21" t="inlineStr">
        <is>
          <t>스타터키트</t>
        </is>
      </c>
      <c r="H5" s="20" t="n"/>
      <c r="I5" s="630" t="n"/>
      <c r="J5" s="640" t="n"/>
    </row>
    <row r="6" ht="24" customHeight="1" s="754">
      <c r="A6" s="24" t="inlineStr">
        <is>
          <t>하드왁스</t>
        </is>
      </c>
      <c r="C6" s="25" t="n"/>
      <c r="D6" s="19" t="n"/>
      <c r="E6" s="19" t="inlineStr">
        <is>
          <t>P0000BLR</t>
        </is>
      </c>
      <c r="F6" s="184" t="inlineStr">
        <is>
          <t>P00000YU</t>
        </is>
      </c>
      <c r="G6" s="26" t="inlineStr">
        <is>
          <t>바디스타터키트</t>
        </is>
      </c>
      <c r="H6" s="194" t="n"/>
      <c r="I6" s="26" t="n"/>
      <c r="J6" s="27" t="n"/>
      <c r="K6" s="763" t="inlineStr">
        <is>
          <t>도매</t>
        </is>
      </c>
      <c r="L6" s="764" t="inlineStr">
        <is>
          <t>인증살롱/마스터</t>
        </is>
      </c>
      <c r="M6" s="765" t="n"/>
      <c r="N6" s="766" t="inlineStr">
        <is>
          <t xml:space="preserve">할인 </t>
        </is>
      </c>
      <c r="O6" s="766" t="inlineStr">
        <is>
          <t>스타터세트할인</t>
        </is>
      </c>
      <c r="P6" s="766" t="inlineStr">
        <is>
          <t>할인+증정</t>
        </is>
      </c>
      <c r="Q6" s="766" t="inlineStr">
        <is>
          <t>컵비즈세트할인</t>
        </is>
      </c>
      <c r="R6" s="767" t="inlineStr">
        <is>
          <t>품목별합계</t>
        </is>
      </c>
      <c r="S6" s="767" t="inlineStr">
        <is>
          <t>원가</t>
        </is>
      </c>
    </row>
    <row r="7">
      <c r="A7" s="29" t="inlineStr">
        <is>
          <t>라이코젯아이브로우500</t>
        </is>
      </c>
      <c r="B7" s="381" t="inlineStr">
        <is>
          <t>P00000HT</t>
        </is>
      </c>
      <c r="C7" s="263" t="n">
        <v>75</v>
      </c>
      <c r="D7" s="235" t="n"/>
      <c r="E7" s="234" t="n"/>
      <c r="F7" s="230" t="n">
        <v>2</v>
      </c>
      <c r="G7" s="322" t="n"/>
      <c r="H7" s="236" t="n"/>
      <c r="I7" s="322" t="n"/>
      <c r="J7" s="35">
        <f>C7+D7+E7+F7+G7+I7+H7</f>
        <v/>
      </c>
      <c r="K7" s="768">
        <f>C7*26300</f>
        <v/>
      </c>
      <c r="L7" s="769">
        <f>D7*19200</f>
        <v/>
      </c>
      <c r="M7" s="770">
        <f>E7*19200</f>
        <v/>
      </c>
      <c r="N7" s="771" t="n"/>
      <c r="O7" s="771">
        <f>F7*21040</f>
        <v/>
      </c>
      <c r="P7" s="771" t="n"/>
      <c r="Q7" s="772" t="n"/>
      <c r="R7" s="756">
        <f>SUM(K7:Q7)</f>
        <v/>
      </c>
      <c r="S7" s="756">
        <f>(C7+D7+E7+F7+I7+H7+G7)*8655</f>
        <v/>
      </c>
    </row>
    <row r="8">
      <c r="A8" s="29" t="inlineStr">
        <is>
          <t>라이코드림하이브리드500</t>
        </is>
      </c>
      <c r="B8" s="715" t="inlineStr">
        <is>
          <t>P00000BV</t>
        </is>
      </c>
      <c r="C8" s="310" t="n">
        <v>5</v>
      </c>
      <c r="D8" s="235" t="n"/>
      <c r="E8" s="234" t="n"/>
      <c r="F8" s="322" t="n"/>
      <c r="G8" s="322" t="n"/>
      <c r="H8" s="236" t="n"/>
      <c r="I8" s="322" t="n"/>
      <c r="J8" s="35">
        <f>C8+D8+E8+F8+G8+I8+H8</f>
        <v/>
      </c>
      <c r="K8" s="768">
        <f>C8*26300</f>
        <v/>
      </c>
      <c r="L8" s="769">
        <f>D8*19200</f>
        <v/>
      </c>
      <c r="M8" s="770">
        <f>E8*19200</f>
        <v/>
      </c>
      <c r="N8" s="771" t="n"/>
      <c r="O8" s="771">
        <f>F8*20000</f>
        <v/>
      </c>
      <c r="P8" s="771" t="n"/>
      <c r="Q8" s="772" t="n"/>
      <c r="R8" s="756">
        <f>SUM(K8:Q8)</f>
        <v/>
      </c>
      <c r="S8" s="756">
        <f>(C8+D8+E8+F8+I8+H8+G8)*8926</f>
        <v/>
      </c>
    </row>
    <row r="9">
      <c r="A9" s="29" t="inlineStr">
        <is>
          <t>라이코넥화이트500</t>
        </is>
      </c>
      <c r="B9" s="715" t="inlineStr">
        <is>
          <t>P00000CB</t>
        </is>
      </c>
      <c r="C9" s="310" t="n">
        <v>5</v>
      </c>
      <c r="D9" s="235" t="n"/>
      <c r="E9" s="234" t="n"/>
      <c r="F9" s="322" t="n"/>
      <c r="G9" s="322" t="n"/>
      <c r="H9" s="236" t="n"/>
      <c r="I9" s="322" t="n"/>
      <c r="J9" s="35">
        <f>C9+D9+E9+F9+G9+I9+H9</f>
        <v/>
      </c>
      <c r="K9" s="768">
        <f>C9*26300</f>
        <v/>
      </c>
      <c r="L9" s="769">
        <f>D9*19200</f>
        <v/>
      </c>
      <c r="M9" s="770">
        <f>E9*19200</f>
        <v/>
      </c>
      <c r="N9" s="771" t="n"/>
      <c r="O9" s="771">
        <f>F9*20000</f>
        <v/>
      </c>
      <c r="P9" s="771" t="n"/>
      <c r="Q9" s="772" t="n"/>
      <c r="R9" s="756">
        <f>SUM(K9:Q9)</f>
        <v/>
      </c>
      <c r="S9" s="756">
        <f>(C9+D9+E9+F9+I9+H9+G9)*8926</f>
        <v/>
      </c>
    </row>
    <row r="10">
      <c r="A10" s="29" t="inlineStr">
        <is>
          <t>라이코텍슈퍼베리500</t>
        </is>
      </c>
      <c r="B10" s="715" t="inlineStr">
        <is>
          <t>P00000BX</t>
        </is>
      </c>
      <c r="C10" s="310" t="n"/>
      <c r="D10" s="235" t="n"/>
      <c r="E10" s="234" t="n">
        <v>24</v>
      </c>
      <c r="F10" s="322" t="n"/>
      <c r="G10" s="322" t="n"/>
      <c r="H10" s="236" t="n"/>
      <c r="I10" s="322" t="n"/>
      <c r="J10" s="35">
        <f>C10+D10+E10+F10+G10+I10+H10</f>
        <v/>
      </c>
      <c r="K10" s="768">
        <f>C10*26300</f>
        <v/>
      </c>
      <c r="L10" s="769">
        <f>D10*19200</f>
        <v/>
      </c>
      <c r="M10" s="770">
        <f>E10*19200</f>
        <v/>
      </c>
      <c r="N10" s="771" t="n"/>
      <c r="O10" s="771">
        <f>F10*20000</f>
        <v/>
      </c>
      <c r="P10" s="771" t="n"/>
      <c r="Q10" s="772" t="n"/>
      <c r="R10" s="756">
        <f>SUM(K10:Q10)</f>
        <v/>
      </c>
      <c r="S10" s="756">
        <f>(C10+D10+E10+F10+I10+H10+G10)*8926</f>
        <v/>
      </c>
    </row>
    <row r="11">
      <c r="A11" s="29" t="inlineStr">
        <is>
          <t>루비500g</t>
        </is>
      </c>
      <c r="B11" s="715" t="n"/>
      <c r="C11" s="310" t="n"/>
      <c r="D11" s="235" t="n"/>
      <c r="E11" s="234" t="n"/>
      <c r="F11" s="215" t="n"/>
      <c r="G11" s="230" t="n"/>
      <c r="H11" s="236" t="n"/>
      <c r="I11" s="322" t="n"/>
      <c r="J11" s="35">
        <f>C11+D11+E11+F11+G11+I11+H11</f>
        <v/>
      </c>
      <c r="K11" s="768">
        <f>C11*26300</f>
        <v/>
      </c>
      <c r="L11" s="769">
        <f>D11*19200</f>
        <v/>
      </c>
      <c r="M11" s="770">
        <f>E11*19200</f>
        <v/>
      </c>
      <c r="N11" s="771" t="n"/>
      <c r="O11" s="771">
        <f>F11*20000</f>
        <v/>
      </c>
      <c r="P11" s="771" t="n"/>
      <c r="Q11" s="772" t="n"/>
      <c r="R11" s="756">
        <f>SUM(K11:Q11)</f>
        <v/>
      </c>
      <c r="S11" s="756">
        <f>(C11+D11+E11+G11+F11+I11+H11)*7042</f>
        <v/>
      </c>
    </row>
    <row r="12">
      <c r="A12" s="29" t="inlineStr">
        <is>
          <t>맨니피코하이브리드500</t>
        </is>
      </c>
      <c r="B12" s="381" t="inlineStr">
        <is>
          <t>P00000XE</t>
        </is>
      </c>
      <c r="C12" s="263" t="n">
        <v>6</v>
      </c>
      <c r="D12" s="323" t="n"/>
      <c r="E12" s="324" t="n"/>
      <c r="F12" s="289" t="n"/>
      <c r="G12" s="289" t="n"/>
      <c r="H12" s="325" t="n"/>
      <c r="I12" s="289" t="n"/>
      <c r="J12" s="35">
        <f>C12+D12+E12+F12+G12+I12+H12</f>
        <v/>
      </c>
      <c r="K12" s="768">
        <f>C12*26300</f>
        <v/>
      </c>
      <c r="L12" s="769" t="n"/>
      <c r="M12" s="770" t="n"/>
      <c r="N12" s="771" t="n"/>
      <c r="O12" s="771">
        <f>F12*20000</f>
        <v/>
      </c>
      <c r="P12" s="771" t="n"/>
      <c r="Q12" s="772" t="n"/>
      <c r="R12" s="756">
        <f>SUM(K12:Q12)</f>
        <v/>
      </c>
      <c r="S12" s="756">
        <f>(C12+D12+E12+F12+I12+H12+G12)*8926</f>
        <v/>
      </c>
    </row>
    <row r="13" ht="16.5" customHeight="1" s="754">
      <c r="A13" s="29" t="inlineStr">
        <is>
          <t>라이코드림하이브리드비즈800</t>
        </is>
      </c>
      <c r="B13" s="547" t="inlineStr">
        <is>
          <t xml:space="preserve">P0000BIF /     P0000BLD    /   P0000BMJ   P0000BMI / </t>
        </is>
      </c>
      <c r="C13" s="263" t="n"/>
      <c r="D13" s="323" t="n"/>
      <c r="E13" s="324" t="n"/>
      <c r="F13" s="289" t="n"/>
      <c r="G13" s="289" t="n"/>
      <c r="H13" s="326" t="n"/>
      <c r="I13" s="289" t="n"/>
      <c r="J13" s="35">
        <f>C13+D13+E13+F13+G13+I13+H13</f>
        <v/>
      </c>
      <c r="K13" s="773">
        <f>C13*35500</f>
        <v/>
      </c>
      <c r="L13" s="769" t="n"/>
      <c r="M13" s="770" t="n"/>
      <c r="N13" s="771" t="n"/>
      <c r="O13" s="771">
        <f>F13*27300</f>
        <v/>
      </c>
      <c r="P13" s="771">
        <f>H13*26700</f>
        <v/>
      </c>
      <c r="Q13" s="772" t="n"/>
      <c r="R13" s="756">
        <f>SUM(K13:Q13)</f>
        <v/>
      </c>
      <c r="S13" s="756">
        <f>(C13+D13+E13+F13+I13+H13+G13)*14876</f>
        <v/>
      </c>
    </row>
    <row r="14">
      <c r="A14" s="29" t="inlineStr">
        <is>
          <t>라이코젯라벤다비즈800</t>
        </is>
      </c>
      <c r="B14" s="774" t="n"/>
      <c r="C14" s="263" t="n">
        <v>1</v>
      </c>
      <c r="D14" s="323" t="n"/>
      <c r="E14" s="324" t="n"/>
      <c r="F14" s="326" t="n"/>
      <c r="G14" s="289" t="n"/>
      <c r="H14" s="326" t="n"/>
      <c r="I14" s="289" t="n"/>
      <c r="J14" s="35">
        <f>C14+D14+E14+F14+G14+I14+H14</f>
        <v/>
      </c>
      <c r="K14" s="773">
        <f>C14*35500</f>
        <v/>
      </c>
      <c r="L14" s="769" t="n"/>
      <c r="M14" s="770">
        <f>E14*33600</f>
        <v/>
      </c>
      <c r="N14" s="771" t="n"/>
      <c r="O14" s="771" t="n"/>
      <c r="P14" s="771">
        <f>H14*26700</f>
        <v/>
      </c>
      <c r="Q14" s="772" t="n"/>
      <c r="R14" s="756">
        <f>SUM(K14:Q14)</f>
        <v/>
      </c>
      <c r="S14" s="756">
        <f>(C14+D14+E14+F14+I14+H14+G14)*14065</f>
        <v/>
      </c>
    </row>
    <row r="15">
      <c r="A15" s="29" t="inlineStr">
        <is>
          <t>로제트비즈800</t>
        </is>
      </c>
      <c r="B15" s="774" t="n"/>
      <c r="C15" s="263" t="n">
        <v>3</v>
      </c>
      <c r="D15" s="323" t="n"/>
      <c r="E15" s="324" t="n"/>
      <c r="F15" s="326" t="n"/>
      <c r="G15" s="289" t="n"/>
      <c r="H15" s="326" t="n"/>
      <c r="I15" s="289" t="n"/>
      <c r="J15" s="35">
        <f>C15+D15+E15+F15+G15+I15+H15</f>
        <v/>
      </c>
      <c r="K15" s="773">
        <f>C15*35500</f>
        <v/>
      </c>
      <c r="L15" s="769" t="n"/>
      <c r="M15" s="770">
        <f>E15*33600</f>
        <v/>
      </c>
      <c r="N15" s="771" t="n"/>
      <c r="O15" s="771" t="n"/>
      <c r="P15" s="771">
        <f>H15*26700</f>
        <v/>
      </c>
      <c r="Q15" s="772" t="n"/>
      <c r="R15" s="756">
        <f>SUM(K15:Q15)</f>
        <v/>
      </c>
      <c r="S15" s="756">
        <f>(C15+D15+E15+F15+I15+H15+G15)*14876</f>
        <v/>
      </c>
    </row>
    <row r="16">
      <c r="A16" s="29" t="inlineStr">
        <is>
          <t>핑키니하이브리드비즈800</t>
        </is>
      </c>
      <c r="B16" s="774" t="n"/>
      <c r="C16" s="263" t="n">
        <v>8</v>
      </c>
      <c r="D16" s="323" t="n"/>
      <c r="E16" s="324" t="n"/>
      <c r="F16" s="326" t="n"/>
      <c r="G16" s="289" t="n"/>
      <c r="H16" s="326" t="n"/>
      <c r="I16" s="289" t="n"/>
      <c r="J16" s="35">
        <f>C16+D16+E16+F16+G16+I16+H16</f>
        <v/>
      </c>
      <c r="K16" s="773">
        <f>C16*40000</f>
        <v/>
      </c>
      <c r="L16" s="769" t="n"/>
      <c r="M16" s="770">
        <f>E16*35500</f>
        <v/>
      </c>
      <c r="N16" s="771" t="n"/>
      <c r="O16" s="771" t="n"/>
      <c r="P16" s="771">
        <f>H16*30000</f>
        <v/>
      </c>
      <c r="Q16" s="772" t="n"/>
      <c r="R16" s="756">
        <f>SUM(K16:Q16)</f>
        <v/>
      </c>
      <c r="S16" s="756">
        <f>(C16+D16+E16+F16+I16+H16+G16)*15958</f>
        <v/>
      </c>
    </row>
    <row r="17">
      <c r="A17" s="29" t="inlineStr">
        <is>
          <t>선샤인비즈왁스800</t>
        </is>
      </c>
      <c r="B17" s="774" t="n"/>
      <c r="C17" s="263" t="n">
        <v>30</v>
      </c>
      <c r="D17" s="323" t="n"/>
      <c r="E17" s="324" t="n">
        <v>18</v>
      </c>
      <c r="F17" s="326" t="n"/>
      <c r="G17" s="289" t="n"/>
      <c r="H17" s="326" t="n"/>
      <c r="I17" s="564" t="n"/>
      <c r="J17" s="35">
        <f>C17+D17+E17+F17+G17+I17+H17</f>
        <v/>
      </c>
      <c r="K17" s="773">
        <f>C17*30000</f>
        <v/>
      </c>
      <c r="L17" s="769" t="n"/>
      <c r="M17" s="770">
        <f>E17*20000</f>
        <v/>
      </c>
      <c r="N17" s="771" t="n"/>
      <c r="O17" s="771" t="n"/>
      <c r="P17" s="771">
        <f>H17*19800</f>
        <v/>
      </c>
      <c r="Q17" s="772" t="n"/>
      <c r="R17" s="756">
        <f>SUM(K17:Q17)</f>
        <v/>
      </c>
      <c r="S17" s="756">
        <f>(C17+D17+E17+F17+I17+H17+G17)*13262</f>
        <v/>
      </c>
    </row>
    <row r="18">
      <c r="A18" s="29" t="inlineStr">
        <is>
          <t>라이코드림하이브리드비즈5kg</t>
        </is>
      </c>
      <c r="B18" s="774" t="n"/>
      <c r="C18" s="263" t="n">
        <v>2</v>
      </c>
      <c r="D18" s="323" t="n"/>
      <c r="E18" s="324" t="n">
        <v>1</v>
      </c>
      <c r="F18" s="289" t="n"/>
      <c r="G18" s="289" t="n"/>
      <c r="H18" s="326" t="n"/>
      <c r="I18" s="289" t="n"/>
      <c r="J18" s="35">
        <f>C18+D18+E18+F18+G18+I18+H18</f>
        <v/>
      </c>
      <c r="K18" s="773">
        <f>C18*190000</f>
        <v/>
      </c>
      <c r="L18" s="769" t="n"/>
      <c r="M18" s="770">
        <f>E18*154000</f>
        <v/>
      </c>
      <c r="N18" s="771" t="n"/>
      <c r="O18" s="771" t="n"/>
      <c r="P18" s="771">
        <f>H18*142500</f>
        <v/>
      </c>
      <c r="Q18" s="772" t="n"/>
      <c r="R18" s="756">
        <f>SUM(K18:Q18)</f>
        <v/>
      </c>
      <c r="S18" s="756">
        <f>(C18+D18+E18+F18+I18+H18+G18)*89709</f>
        <v/>
      </c>
    </row>
    <row r="19">
      <c r="A19" s="29" t="inlineStr">
        <is>
          <t>라이코젯라벤다비즈5kg</t>
        </is>
      </c>
      <c r="B19" s="774" t="n"/>
      <c r="C19" s="263" t="n">
        <v>1</v>
      </c>
      <c r="D19" s="323" t="n"/>
      <c r="E19" s="324" t="n">
        <v>2</v>
      </c>
      <c r="F19" s="289" t="n"/>
      <c r="G19" s="289" t="n"/>
      <c r="H19" s="326" t="n"/>
      <c r="I19" s="289" t="n"/>
      <c r="J19" s="35">
        <f>C19+D19+E19+F19+G19+I19+H19</f>
        <v/>
      </c>
      <c r="K19" s="773">
        <f>C19*190000</f>
        <v/>
      </c>
      <c r="L19" s="769" t="n"/>
      <c r="M19" s="770">
        <f>E19*154000</f>
        <v/>
      </c>
      <c r="N19" s="771" t="n"/>
      <c r="O19" s="771" t="n"/>
      <c r="P19" s="771">
        <f>H19*142500</f>
        <v/>
      </c>
      <c r="Q19" s="772" t="n"/>
      <c r="R19" s="756">
        <f>SUM(K19:Q19)</f>
        <v/>
      </c>
      <c r="S19" s="756">
        <f>(C19+D19+E19+F19+I19+H19+G19)*85201</f>
        <v/>
      </c>
    </row>
    <row r="20">
      <c r="A20" s="29" t="inlineStr">
        <is>
          <t>로제트비즈5kg</t>
        </is>
      </c>
      <c r="B20" s="774" t="n"/>
      <c r="C20" s="263" t="n">
        <v>2</v>
      </c>
      <c r="D20" s="323" t="n"/>
      <c r="E20" s="324" t="n"/>
      <c r="F20" s="289" t="n"/>
      <c r="G20" s="289" t="n"/>
      <c r="H20" s="326" t="n"/>
      <c r="I20" s="289" t="n"/>
      <c r="J20" s="35">
        <f>C20+D20+E20+F20+G20+I20+H20</f>
        <v/>
      </c>
      <c r="K20" s="773">
        <f>C20*190000</f>
        <v/>
      </c>
      <c r="L20" s="769" t="n"/>
      <c r="M20" s="770">
        <f>E20*154000</f>
        <v/>
      </c>
      <c r="N20" s="771" t="n"/>
      <c r="O20" s="771" t="n"/>
      <c r="P20" s="771">
        <f>H20*142500</f>
        <v/>
      </c>
      <c r="Q20" s="772" t="n"/>
      <c r="R20" s="756">
        <f>SUM(K20:Q20)</f>
        <v/>
      </c>
      <c r="S20" s="756">
        <f>(C20+D20+E20+F20+I20+H20+G20)*89709</f>
        <v/>
      </c>
    </row>
    <row r="21">
      <c r="A21" s="29" t="inlineStr">
        <is>
          <t>핑키니하이브리드비즈5kg</t>
        </is>
      </c>
      <c r="B21" s="775" t="n"/>
      <c r="C21" s="263" t="n">
        <v>9</v>
      </c>
      <c r="D21" s="323" t="n"/>
      <c r="E21" s="324" t="n">
        <v>3</v>
      </c>
      <c r="F21" s="289" t="n"/>
      <c r="G21" s="289" t="n"/>
      <c r="H21" s="326" t="n"/>
      <c r="I21" s="289" t="n"/>
      <c r="J21" s="35">
        <f>C21+D21+E21+F21+G21+I21+H21</f>
        <v/>
      </c>
      <c r="K21" s="773">
        <f>C21*206000</f>
        <v/>
      </c>
      <c r="L21" s="769" t="n"/>
      <c r="M21" s="770">
        <f>E21*171000</f>
        <v/>
      </c>
      <c r="N21" s="771" t="n"/>
      <c r="O21" s="771" t="n"/>
      <c r="P21" s="771">
        <f>H21*154500</f>
        <v/>
      </c>
      <c r="Q21" s="772" t="n"/>
      <c r="R21" s="756">
        <f>SUM(K21:Q21)</f>
        <v/>
      </c>
      <c r="S21" s="756">
        <f>(C21+D21+E21+F21+I21+H21+G21)*96471</f>
        <v/>
      </c>
    </row>
    <row r="22">
      <c r="A22" s="29" t="inlineStr">
        <is>
          <t>데저트500</t>
        </is>
      </c>
      <c r="B22" s="222" t="n"/>
      <c r="C22" s="31" t="n"/>
      <c r="D22" s="37" t="n"/>
      <c r="E22" s="38" t="n"/>
      <c r="F22" s="40" t="n"/>
      <c r="G22" s="39" t="n"/>
      <c r="H22" s="196" t="n"/>
      <c r="I22" s="39" t="n"/>
      <c r="J22" s="35">
        <f>C22+D22+E22+F22+G22+I22+H22</f>
        <v/>
      </c>
      <c r="K22" s="773">
        <f>C22*25000</f>
        <v/>
      </c>
      <c r="L22" s="769" t="n"/>
      <c r="M22" s="770" t="n"/>
      <c r="N22" s="771" t="n"/>
      <c r="O22" s="771" t="n"/>
      <c r="P22" s="771" t="n"/>
      <c r="Q22" s="772" t="n"/>
      <c r="R22" s="756">
        <f>SUM(K22:Q22)</f>
        <v/>
      </c>
      <c r="S22" s="756">
        <f>(C22+D22+E22+F22+I22+H22+G22)*6110</f>
        <v/>
      </c>
    </row>
    <row r="23">
      <c r="A23" s="223" t="inlineStr">
        <is>
          <t>핑키니500g</t>
        </is>
      </c>
      <c r="B23" s="222" t="n"/>
      <c r="C23" s="31" t="n"/>
      <c r="D23" s="37" t="n"/>
      <c r="E23" s="38" t="n"/>
      <c r="F23" s="40" t="n"/>
      <c r="G23" s="39" t="n"/>
      <c r="H23" s="196" t="n"/>
      <c r="I23" s="39" t="n"/>
      <c r="J23" s="35">
        <f>C23+D23+E23+F23+G23+I23+H23</f>
        <v/>
      </c>
      <c r="K23" s="776">
        <f>C23*25000</f>
        <v/>
      </c>
      <c r="L23" s="769" t="n"/>
      <c r="M23" s="770" t="n"/>
      <c r="N23" s="771" t="n"/>
      <c r="O23" s="771" t="n"/>
      <c r="P23" s="771" t="n"/>
      <c r="Q23" s="772" t="n"/>
      <c r="R23" s="756">
        <f>SUM(K23:Q23)</f>
        <v/>
      </c>
      <c r="S23" s="756">
        <f>(C23+D23+E23+F23+I23+H23+G23)*7100</f>
        <v/>
      </c>
    </row>
    <row r="24" customFormat="1" s="24">
      <c r="A24" s="439" t="inlineStr">
        <is>
          <t>500g총합계</t>
        </is>
      </c>
      <c r="B24" s="440" t="n"/>
      <c r="C24" s="441">
        <f>SUM(C7:C23)</f>
        <v/>
      </c>
      <c r="D24" s="441">
        <f>SUM(D7:D23)</f>
        <v/>
      </c>
      <c r="E24" s="441">
        <f>SUM(E7:E23)</f>
        <v/>
      </c>
      <c r="F24" s="441">
        <f>SUM(F7:F23)</f>
        <v/>
      </c>
      <c r="G24" s="441">
        <f>SUM(G7:G23)</f>
        <v/>
      </c>
      <c r="H24" s="441">
        <f>SUM(H7:H23)</f>
        <v/>
      </c>
      <c r="I24" s="441">
        <f>SUM(I7:I23)</f>
        <v/>
      </c>
      <c r="J24" s="442">
        <f>SUM(J7:J23)</f>
        <v/>
      </c>
      <c r="K24" s="777">
        <f>SUM(K7:K23)</f>
        <v/>
      </c>
      <c r="L24" s="778">
        <f>SUM(L7:L23)</f>
        <v/>
      </c>
      <c r="M24" s="779">
        <f>SUM(M7:M23)</f>
        <v/>
      </c>
      <c r="N24" s="780">
        <f>SUM(N7:N23)</f>
        <v/>
      </c>
      <c r="O24" s="780">
        <f>SUM(O7:O23)</f>
        <v/>
      </c>
      <c r="P24" s="780">
        <f>SUM(P7:P23)</f>
        <v/>
      </c>
      <c r="Q24" s="780">
        <f>SUM(Q7:Q23)</f>
        <v/>
      </c>
      <c r="R24" s="781">
        <f>SUM(R7:R23)</f>
        <v/>
      </c>
      <c r="S24" s="782">
        <f>SUM(S7:S23)</f>
        <v/>
      </c>
    </row>
    <row r="25" customFormat="1" s="24">
      <c r="A25" s="85" t="inlineStr">
        <is>
          <t>라이콘컵왁스비즈(로제트)</t>
        </is>
      </c>
      <c r="B25" s="703" t="inlineStr">
        <is>
          <t>P00000ZB</t>
        </is>
      </c>
      <c r="C25" s="310" t="n">
        <v>2</v>
      </c>
      <c r="D25" s="326" t="n"/>
      <c r="E25" s="310" t="n"/>
      <c r="F25" s="327" t="n"/>
      <c r="G25" s="326" t="n">
        <v>1</v>
      </c>
      <c r="H25" s="325" t="n"/>
      <c r="I25" s="564" t="n"/>
      <c r="J25" s="35">
        <f>SUM(C25:I25)</f>
        <v/>
      </c>
      <c r="K25" s="768">
        <f>C25*6200</f>
        <v/>
      </c>
      <c r="L25" s="783" t="n"/>
      <c r="M25" s="784" t="n"/>
      <c r="N25" s="771">
        <f>F25*5580</f>
        <v/>
      </c>
      <c r="O25" s="771">
        <f>G25*4340</f>
        <v/>
      </c>
      <c r="P25" s="785" t="n"/>
      <c r="Q25" s="758" t="n"/>
      <c r="R25" s="756">
        <f>SUM(K25:Q25)</f>
        <v/>
      </c>
      <c r="S25" s="786">
        <f>(C25+D25+E25+F25+I25+G25+H25)*3923</f>
        <v/>
      </c>
    </row>
    <row r="26" customFormat="1" s="24">
      <c r="A26" s="85" t="inlineStr">
        <is>
          <t>라이콘컵왁스비즈(라벤다)</t>
        </is>
      </c>
      <c r="B26" s="774" t="n"/>
      <c r="C26" s="310" t="n">
        <v>6</v>
      </c>
      <c r="D26" s="326" t="n"/>
      <c r="E26" s="310" t="n"/>
      <c r="F26" s="327" t="n"/>
      <c r="G26" s="326" t="n">
        <v>1</v>
      </c>
      <c r="H26" s="325" t="n"/>
      <c r="I26" s="564" t="n"/>
      <c r="J26" s="35">
        <f>SUM(C26:I26)</f>
        <v/>
      </c>
      <c r="K26" s="768">
        <f>C26*6200</f>
        <v/>
      </c>
      <c r="L26" s="783" t="n"/>
      <c r="M26" s="784" t="n"/>
      <c r="N26" s="771">
        <f>F26*5580</f>
        <v/>
      </c>
      <c r="O26" s="771">
        <f>G26*4340</f>
        <v/>
      </c>
      <c r="P26" s="785" t="n"/>
      <c r="Q26" s="758" t="n"/>
      <c r="R26" s="756">
        <f>SUM(K26:Q26)</f>
        <v/>
      </c>
      <c r="S26" s="786">
        <f>(C26+D26+E26+F26+I26+G26+H26)*3923</f>
        <v/>
      </c>
    </row>
    <row r="27" customFormat="1" s="24">
      <c r="A27" s="85" t="inlineStr">
        <is>
          <t>라이콘컵왁스비즈(하이브리드)</t>
        </is>
      </c>
      <c r="B27" s="774" t="n"/>
      <c r="C27" s="310" t="n">
        <v>1</v>
      </c>
      <c r="D27" s="326" t="n"/>
      <c r="E27" s="310" t="n"/>
      <c r="F27" s="327" t="n">
        <v>5</v>
      </c>
      <c r="G27" s="326" t="n"/>
      <c r="H27" s="325" t="n"/>
      <c r="I27" s="564" t="n"/>
      <c r="J27" s="35">
        <f>SUM(C27:I27)</f>
        <v/>
      </c>
      <c r="K27" s="768">
        <f>C27*6200</f>
        <v/>
      </c>
      <c r="L27" s="783" t="n"/>
      <c r="M27" s="784" t="n"/>
      <c r="N27" s="771">
        <f>F27*5580</f>
        <v/>
      </c>
      <c r="O27" s="771">
        <f>G27*4340</f>
        <v/>
      </c>
      <c r="P27" s="785" t="n"/>
      <c r="Q27" s="758" t="n"/>
      <c r="R27" s="756">
        <f>SUM(K27:Q27)</f>
        <v/>
      </c>
      <c r="S27" s="786">
        <f>(C27+D27+E27+F27+I27+G27+H27)*3923</f>
        <v/>
      </c>
    </row>
    <row r="28" customFormat="1" s="24">
      <c r="A28" s="85" t="inlineStr">
        <is>
          <t>라이콘컵왁스비즈(핑키니)</t>
        </is>
      </c>
      <c r="B28" s="775" t="n"/>
      <c r="C28" s="310" t="n">
        <v>6</v>
      </c>
      <c r="D28" s="326" t="n"/>
      <c r="E28" s="310" t="n"/>
      <c r="F28" s="327" t="n">
        <v>7</v>
      </c>
      <c r="G28" s="326" t="n"/>
      <c r="H28" s="325" t="n"/>
      <c r="I28" s="564" t="n"/>
      <c r="J28" s="35">
        <f>SUM(C28:I28)</f>
        <v/>
      </c>
      <c r="K28" s="768">
        <f>C28*6200</f>
        <v/>
      </c>
      <c r="L28" s="783" t="n"/>
      <c r="M28" s="784" t="n"/>
      <c r="N28" s="771">
        <f>F28*5580</f>
        <v/>
      </c>
      <c r="O28" s="771">
        <f>G28*4340</f>
        <v/>
      </c>
      <c r="P28" s="785" t="n"/>
      <c r="Q28" s="758" t="n"/>
      <c r="R28" s="756">
        <f>SUM(K28:Q28)</f>
        <v/>
      </c>
      <c r="S28" s="786">
        <f>(C28+D28+E28+F28+I28+G28+H28)*3923</f>
        <v/>
      </c>
    </row>
    <row r="29">
      <c r="A29" s="29" t="inlineStr">
        <is>
          <t>핑키니하이브리드하드</t>
        </is>
      </c>
      <c r="B29" s="381" t="inlineStr">
        <is>
          <t>P00000UH</t>
        </is>
      </c>
      <c r="C29" s="258" t="n">
        <v>44</v>
      </c>
      <c r="D29" s="235" t="n"/>
      <c r="E29" s="234" t="n">
        <v>153</v>
      </c>
      <c r="F29" s="215" t="n">
        <v>917</v>
      </c>
      <c r="G29" s="215" t="n"/>
      <c r="H29" s="215" t="n"/>
      <c r="I29" s="238" t="n"/>
      <c r="J29" s="35">
        <f>SUM(C29:I29)</f>
        <v/>
      </c>
      <c r="K29" s="768">
        <f>C29*40000</f>
        <v/>
      </c>
      <c r="L29" s="769">
        <f>D29*30800</f>
        <v/>
      </c>
      <c r="M29" s="770">
        <f>E29*30800</f>
        <v/>
      </c>
      <c r="N29" s="757">
        <f>F29*34000</f>
        <v/>
      </c>
      <c r="O29" s="771" t="n"/>
      <c r="P29" s="787">
        <f>H29*34000</f>
        <v/>
      </c>
      <c r="Q29" s="787" t="n"/>
      <c r="R29" s="756">
        <f>SUM(K29:Q29)</f>
        <v/>
      </c>
      <c r="S29" s="786">
        <f>(C29+D29+E29+F29+I29+G29+H29)*17852</f>
        <v/>
      </c>
    </row>
    <row r="30">
      <c r="A30" s="29" t="inlineStr">
        <is>
          <t>루비하드</t>
        </is>
      </c>
      <c r="B30" s="382" t="inlineStr">
        <is>
          <t>P00000TI</t>
        </is>
      </c>
      <c r="C30" s="262" t="n">
        <v>58</v>
      </c>
      <c r="D30" s="235" t="n"/>
      <c r="E30" s="234" t="n">
        <v>312</v>
      </c>
      <c r="F30" s="230" t="n">
        <v>773</v>
      </c>
      <c r="G30" s="230" t="n"/>
      <c r="H30" s="230" t="n"/>
      <c r="I30" s="322" t="n"/>
      <c r="J30" s="35">
        <f>SUM(C30:I30)</f>
        <v/>
      </c>
      <c r="K30" s="768">
        <f>C30*37800</f>
        <v/>
      </c>
      <c r="L30" s="769">
        <f>D30*27800</f>
        <v/>
      </c>
      <c r="M30" s="770">
        <f>E30*27800</f>
        <v/>
      </c>
      <c r="N30" s="757">
        <f>F30*32130</f>
        <v/>
      </c>
      <c r="O30" s="771" t="n"/>
      <c r="P30" s="787">
        <f>H30*32130</f>
        <v/>
      </c>
      <c r="Q30" s="787" t="n"/>
      <c r="R30" s="756">
        <f>SUM(K30:Q30)</f>
        <v/>
      </c>
      <c r="S30" s="786">
        <f>(C30+D30+E30+F30+I30+G30+H30)*15958</f>
        <v/>
      </c>
    </row>
    <row r="31">
      <c r="A31" s="29" t="inlineStr">
        <is>
          <t>라이코젯데저트하드</t>
        </is>
      </c>
      <c r="B31" s="381" t="inlineStr">
        <is>
          <t>P00000BY</t>
        </is>
      </c>
      <c r="C31" s="263" t="n">
        <v>31</v>
      </c>
      <c r="D31" s="235" t="n"/>
      <c r="E31" s="234" t="n">
        <v>104</v>
      </c>
      <c r="F31" s="230" t="n">
        <v>670</v>
      </c>
      <c r="G31" s="230" t="n"/>
      <c r="H31" s="230" t="n"/>
      <c r="I31" s="330" t="n"/>
      <c r="J31" s="35">
        <f>SUM(C31:I31)</f>
        <v/>
      </c>
      <c r="K31" s="768">
        <f>C31*37800</f>
        <v/>
      </c>
      <c r="L31" s="769">
        <f>D31*27800</f>
        <v/>
      </c>
      <c r="M31" s="770">
        <f>E31*27800</f>
        <v/>
      </c>
      <c r="N31" s="757">
        <f>F31*32130</f>
        <v/>
      </c>
      <c r="O31" s="771" t="n"/>
      <c r="P31" s="787">
        <f>H31*32130</f>
        <v/>
      </c>
      <c r="Q31" s="787" t="n"/>
      <c r="R31" s="756">
        <f>SUM(K31:Q31)</f>
        <v/>
      </c>
      <c r="S31" s="786">
        <f>(C31+D31+E31+F31+I31+G31+H31)*15958</f>
        <v/>
      </c>
    </row>
    <row r="32">
      <c r="A32" s="29" t="inlineStr">
        <is>
          <t>라이코젯라벤더하드</t>
        </is>
      </c>
      <c r="B32" s="715" t="inlineStr">
        <is>
          <t>P00000BZ</t>
        </is>
      </c>
      <c r="C32" s="263" t="n">
        <v>15</v>
      </c>
      <c r="D32" s="235" t="n"/>
      <c r="E32" s="234" t="n">
        <v>93</v>
      </c>
      <c r="F32" s="215" t="n">
        <v>216</v>
      </c>
      <c r="G32" s="215" t="n"/>
      <c r="H32" s="215" t="n"/>
      <c r="I32" s="329" t="n"/>
      <c r="J32" s="35">
        <f>SUM(C32:I32)</f>
        <v/>
      </c>
      <c r="K32" s="768">
        <f>C32*37800</f>
        <v/>
      </c>
      <c r="L32" s="769">
        <f>D32*27800</f>
        <v/>
      </c>
      <c r="M32" s="770">
        <f>E32*27800</f>
        <v/>
      </c>
      <c r="N32" s="757">
        <f>F32*32130</f>
        <v/>
      </c>
      <c r="O32" s="771" t="n"/>
      <c r="P32" s="787">
        <f>H32*32130</f>
        <v/>
      </c>
      <c r="Q32" s="787" t="n"/>
      <c r="R32" s="756">
        <f>SUM(K32:Q32)</f>
        <v/>
      </c>
      <c r="S32" s="786">
        <f>(C32+D32+E32+F32+I32+G32+H32)*15958</f>
        <v/>
      </c>
    </row>
    <row r="33">
      <c r="A33" s="43" t="inlineStr">
        <is>
          <t>로즈퓨어하드</t>
        </is>
      </c>
      <c r="B33" s="381" t="inlineStr">
        <is>
          <t>P00000CH</t>
        </is>
      </c>
      <c r="C33" s="263" t="n">
        <v>11</v>
      </c>
      <c r="D33" s="235" t="n"/>
      <c r="E33" s="234" t="n">
        <v>100</v>
      </c>
      <c r="F33" s="230" t="n">
        <v>268</v>
      </c>
      <c r="G33" s="230" t="n">
        <v>1</v>
      </c>
      <c r="H33" s="230" t="n"/>
      <c r="I33" s="322" t="n"/>
      <c r="J33" s="35">
        <f>SUM(C33:I33)</f>
        <v/>
      </c>
      <c r="K33" s="768">
        <f>C33*37800</f>
        <v/>
      </c>
      <c r="L33" s="769">
        <f>D33*27800</f>
        <v/>
      </c>
      <c r="M33" s="770">
        <f>E33*27800</f>
        <v/>
      </c>
      <c r="N33" s="757">
        <f>F33*32130</f>
        <v/>
      </c>
      <c r="O33" s="771">
        <f>G33*30240</f>
        <v/>
      </c>
      <c r="P33" s="787">
        <f>H33*32130</f>
        <v/>
      </c>
      <c r="Q33" s="787" t="n"/>
      <c r="R33" s="756">
        <f>SUM(K33:Q33)</f>
        <v/>
      </c>
      <c r="S33" s="786">
        <f>(C33+D33+E33+F33+I33+G33+H33)*16680</f>
        <v/>
      </c>
    </row>
    <row r="34">
      <c r="A34" s="29" t="inlineStr">
        <is>
          <t>맨니피코하드</t>
        </is>
      </c>
      <c r="B34" s="381" t="inlineStr">
        <is>
          <t>P00000CG</t>
        </is>
      </c>
      <c r="C34" s="263" t="n">
        <v>27</v>
      </c>
      <c r="D34" s="235" t="n"/>
      <c r="E34" s="234" t="n">
        <v>104</v>
      </c>
      <c r="F34" s="230" t="n">
        <v>419</v>
      </c>
      <c r="G34" s="230" t="n"/>
      <c r="H34" s="230" t="n"/>
      <c r="I34" s="322" t="n"/>
      <c r="J34" s="35">
        <f>SUM(C34:I34)</f>
        <v/>
      </c>
      <c r="K34" s="768">
        <f>C34*37800</f>
        <v/>
      </c>
      <c r="L34" s="769">
        <f>D34*27800</f>
        <v/>
      </c>
      <c r="M34" s="770">
        <f>E34*27800</f>
        <v/>
      </c>
      <c r="N34" s="757">
        <f>F34*32130</f>
        <v/>
      </c>
      <c r="O34" s="771" t="n"/>
      <c r="P34" s="787">
        <f>H34*32130</f>
        <v/>
      </c>
      <c r="Q34" s="787" t="n"/>
      <c r="R34" s="756">
        <f>SUM(K34:Q34)</f>
        <v/>
      </c>
      <c r="S34" s="786">
        <f>(C34+D34+E34+F34+I34+G34+H34)*16680</f>
        <v/>
      </c>
    </row>
    <row r="35">
      <c r="A35" s="29" t="inlineStr">
        <is>
          <t>올리브하드</t>
        </is>
      </c>
      <c r="B35" s="715" t="inlineStr">
        <is>
          <t>P00000CA</t>
        </is>
      </c>
      <c r="C35" s="263" t="n"/>
      <c r="D35" s="235" t="n"/>
      <c r="E35" s="234" t="n"/>
      <c r="F35" s="230" t="n"/>
      <c r="G35" s="230" t="n"/>
      <c r="H35" s="230" t="n"/>
      <c r="I35" s="322" t="n"/>
      <c r="J35" s="35">
        <f>SUM(C35:I35)</f>
        <v/>
      </c>
      <c r="K35" s="768">
        <f>C35*37800</f>
        <v/>
      </c>
      <c r="L35" s="769">
        <f>D35*27800</f>
        <v/>
      </c>
      <c r="M35" s="770">
        <f>E35*27800</f>
        <v/>
      </c>
      <c r="N35" s="757">
        <f>F35*32130</f>
        <v/>
      </c>
      <c r="O35" s="771" t="n"/>
      <c r="P35" s="787">
        <f>H35*32130</f>
        <v/>
      </c>
      <c r="Q35" s="787" t="n"/>
      <c r="R35" s="756">
        <f>SUM(K35:Q35)</f>
        <v/>
      </c>
      <c r="S35" s="786">
        <f>(C35+D35+E35+F35+I35+G35+H35)*16680</f>
        <v/>
      </c>
    </row>
    <row r="36">
      <c r="A36" s="29" t="inlineStr">
        <is>
          <t>라이코플렉스바닐라하드</t>
        </is>
      </c>
      <c r="B36" s="715" t="inlineStr">
        <is>
          <t>P00000BW</t>
        </is>
      </c>
      <c r="C36" s="263" t="n">
        <v>7</v>
      </c>
      <c r="D36" s="235" t="n"/>
      <c r="E36" s="234" t="n">
        <v>9</v>
      </c>
      <c r="F36" s="230" t="n">
        <v>43</v>
      </c>
      <c r="G36" s="230" t="n"/>
      <c r="H36" s="230" t="n"/>
      <c r="I36" s="322" t="n"/>
      <c r="J36" s="35">
        <f>SUM(C36:I36)</f>
        <v/>
      </c>
      <c r="K36" s="768">
        <f>C36*37800</f>
        <v/>
      </c>
      <c r="L36" s="769">
        <f>D36*27800</f>
        <v/>
      </c>
      <c r="M36" s="770">
        <f>E36*27800</f>
        <v/>
      </c>
      <c r="N36" s="757">
        <f>F36*32130</f>
        <v/>
      </c>
      <c r="O36" s="771" t="n"/>
      <c r="P36" s="787">
        <f>H36*32130</f>
        <v/>
      </c>
      <c r="Q36" s="787" t="n"/>
      <c r="R36" s="756">
        <f>SUM(K36:Q36)</f>
        <v/>
      </c>
      <c r="S36" s="786">
        <f>(C36+D36+E36+F36+I36+G36+H36)*16680</f>
        <v/>
      </c>
    </row>
    <row r="37">
      <c r="A37" s="29" t="inlineStr">
        <is>
          <t>소베리딜리셔스하드</t>
        </is>
      </c>
      <c r="B37" s="715" t="inlineStr">
        <is>
          <t>P00000CI</t>
        </is>
      </c>
      <c r="C37" s="310" t="n">
        <v>6</v>
      </c>
      <c r="D37" s="235" t="n"/>
      <c r="E37" s="234" t="n">
        <v>50</v>
      </c>
      <c r="F37" s="215" t="n">
        <v>135</v>
      </c>
      <c r="G37" s="215" t="n"/>
      <c r="H37" s="215" t="n"/>
      <c r="I37" s="329" t="n"/>
      <c r="J37" s="35">
        <f>SUM(C37:I37)</f>
        <v/>
      </c>
      <c r="K37" s="768">
        <f>C37*37800</f>
        <v/>
      </c>
      <c r="L37" s="769">
        <f>D37*27800</f>
        <v/>
      </c>
      <c r="M37" s="770">
        <f>E37*27800</f>
        <v/>
      </c>
      <c r="N37" s="757">
        <f>F37*32130</f>
        <v/>
      </c>
      <c r="O37" s="771" t="n"/>
      <c r="P37" s="787">
        <f>H37*32130</f>
        <v/>
      </c>
      <c r="Q37" s="787" t="n"/>
      <c r="R37" s="756">
        <f>SUM(K37:Q37)</f>
        <v/>
      </c>
      <c r="S37" s="786">
        <f>(C37+D37+E37+F37+I37+G37+H37)*16680</f>
        <v/>
      </c>
    </row>
    <row r="38">
      <c r="A38" s="29" t="inlineStr">
        <is>
          <t>아쥴렌하드</t>
        </is>
      </c>
      <c r="B38" s="381" t="inlineStr">
        <is>
          <t>P00000CE</t>
        </is>
      </c>
      <c r="C38" s="310" t="n">
        <v>5</v>
      </c>
      <c r="D38" s="235" t="n"/>
      <c r="E38" s="234" t="n">
        <v>11</v>
      </c>
      <c r="F38" s="230" t="n">
        <v>46</v>
      </c>
      <c r="G38" s="230" t="n"/>
      <c r="H38" s="230" t="n"/>
      <c r="I38" s="322" t="n"/>
      <c r="J38" s="35">
        <f>SUM(C38:I38)</f>
        <v/>
      </c>
      <c r="K38" s="768">
        <f>C38*37800</f>
        <v/>
      </c>
      <c r="L38" s="769">
        <f>D38*27800</f>
        <v/>
      </c>
      <c r="M38" s="770">
        <f>E38*27800</f>
        <v/>
      </c>
      <c r="N38" s="757">
        <f>F38*32130</f>
        <v/>
      </c>
      <c r="O38" s="771" t="n"/>
      <c r="P38" s="787">
        <f>H38*32130</f>
        <v/>
      </c>
      <c r="Q38" s="787" t="n"/>
      <c r="R38" s="756">
        <f>SUM(K38:Q38)</f>
        <v/>
      </c>
      <c r="S38" s="786">
        <f>(C38+D38+E38+F38+I38+G38+H38)*16680</f>
        <v/>
      </c>
    </row>
    <row r="39">
      <c r="A39" s="29" t="inlineStr">
        <is>
          <t>액티브골드</t>
        </is>
      </c>
      <c r="B39" s="715" t="inlineStr">
        <is>
          <t>P00000KH</t>
        </is>
      </c>
      <c r="C39" s="310" t="n"/>
      <c r="D39" s="235" t="n"/>
      <c r="E39" s="234" t="n"/>
      <c r="F39" s="215" t="n"/>
      <c r="G39" s="215" t="n"/>
      <c r="H39" s="215" t="n"/>
      <c r="I39" s="329" t="n"/>
      <c r="J39" s="35">
        <f>SUM(C39:I39)</f>
        <v/>
      </c>
      <c r="K39" s="768">
        <f>C39*37800</f>
        <v/>
      </c>
      <c r="L39" s="769">
        <f>D39*27800</f>
        <v/>
      </c>
      <c r="M39" s="770">
        <f>E39*27800</f>
        <v/>
      </c>
      <c r="N39" s="757">
        <f>F39*32130</f>
        <v/>
      </c>
      <c r="O39" s="771" t="n"/>
      <c r="P39" s="787">
        <f>H39*32130</f>
        <v/>
      </c>
      <c r="Q39" s="787" t="n"/>
      <c r="R39" s="756">
        <f>SUM(K39:Q39)</f>
        <v/>
      </c>
      <c r="S39" s="786">
        <f>(C39+D39+E39+F39+I39+G39+H39)*15688</f>
        <v/>
      </c>
    </row>
    <row r="40">
      <c r="A40" s="29" t="inlineStr">
        <is>
          <t>알로에베라하드</t>
        </is>
      </c>
      <c r="B40" s="715" t="inlineStr">
        <is>
          <t>P00000CD</t>
        </is>
      </c>
      <c r="C40" s="263" t="n">
        <v>11</v>
      </c>
      <c r="D40" s="235" t="n"/>
      <c r="E40" s="234" t="n">
        <v>18</v>
      </c>
      <c r="F40" s="230" t="n">
        <v>217</v>
      </c>
      <c r="G40" s="230" t="n"/>
      <c r="H40" s="230" t="n"/>
      <c r="I40" s="322" t="n"/>
      <c r="J40" s="35">
        <f>SUM(C40:I40)</f>
        <v/>
      </c>
      <c r="K40" s="768">
        <f>C40*37800</f>
        <v/>
      </c>
      <c r="L40" s="769">
        <f>D40*27800</f>
        <v/>
      </c>
      <c r="M40" s="770">
        <f>E40*27800</f>
        <v/>
      </c>
      <c r="N40" s="757">
        <f>F40*32130</f>
        <v/>
      </c>
      <c r="O40" s="771" t="n"/>
      <c r="P40" s="787">
        <f>H40*32130</f>
        <v/>
      </c>
      <c r="Q40" s="787" t="n"/>
      <c r="R40" s="756">
        <f>SUM(K40:Q40)</f>
        <v/>
      </c>
      <c r="S40" s="786">
        <f>(C40+D40+E40+F40+I40+G40+H40)*15688</f>
        <v/>
      </c>
    </row>
    <row r="41">
      <c r="A41" s="29" t="inlineStr">
        <is>
          <t>아프리콧하드</t>
        </is>
      </c>
      <c r="B41" s="715" t="inlineStr">
        <is>
          <t>P00000CF</t>
        </is>
      </c>
      <c r="C41" s="263" t="n">
        <v>1</v>
      </c>
      <c r="D41" s="235" t="n"/>
      <c r="E41" s="234" t="n"/>
      <c r="F41" s="215" t="n"/>
      <c r="G41" s="215" t="n"/>
      <c r="H41" s="215" t="n"/>
      <c r="I41" s="329" t="n"/>
      <c r="J41" s="35">
        <f>SUM(C41:I41)</f>
        <v/>
      </c>
      <c r="K41" s="768">
        <f>C41*37800</f>
        <v/>
      </c>
      <c r="L41" s="769">
        <f>D41*27800</f>
        <v/>
      </c>
      <c r="M41" s="770">
        <f>E41*27800</f>
        <v/>
      </c>
      <c r="N41" s="757">
        <f>F41*32130</f>
        <v/>
      </c>
      <c r="O41" s="771" t="n"/>
      <c r="P41" s="787">
        <f>H41*32130</f>
        <v/>
      </c>
      <c r="Q41" s="787" t="n"/>
      <c r="R41" s="756">
        <f>SUM(K41:Q41)</f>
        <v/>
      </c>
      <c r="S41" s="786">
        <f>(C41+D41+E41+F41+I41+G41+H41)*15688</f>
        <v/>
      </c>
    </row>
    <row r="42">
      <c r="A42" s="29" t="n"/>
      <c r="B42" s="715" t="n"/>
      <c r="C42" s="263" t="n"/>
      <c r="D42" s="235" t="n"/>
      <c r="E42" s="234" t="n"/>
      <c r="F42" s="215" t="n"/>
      <c r="G42" s="215" t="n"/>
      <c r="H42" s="328" t="n"/>
      <c r="I42" s="329" t="n"/>
      <c r="J42" s="35">
        <f>SUM(C42:I42)</f>
        <v/>
      </c>
      <c r="K42" s="768" t="n"/>
      <c r="L42" s="769" t="n"/>
      <c r="M42" s="770" t="n"/>
      <c r="O42" s="771" t="n"/>
      <c r="P42" s="771" t="n"/>
      <c r="Q42" s="787" t="n"/>
      <c r="S42" s="786" t="n"/>
    </row>
    <row r="43">
      <c r="A43" s="29" t="n"/>
      <c r="B43" s="30" t="n"/>
      <c r="C43" s="310" t="n"/>
      <c r="D43" s="32" t="n"/>
      <c r="E43" s="33" t="n"/>
      <c r="F43" s="191" t="n"/>
      <c r="G43" s="34" t="n"/>
      <c r="H43" s="197" t="n"/>
      <c r="I43" s="34" t="n"/>
      <c r="J43" s="35">
        <f>SUM(C43:I43)</f>
        <v/>
      </c>
      <c r="K43" s="773">
        <f>C43*36000</f>
        <v/>
      </c>
      <c r="L43" s="769">
        <f>D43*28000</f>
        <v/>
      </c>
      <c r="M43" s="770" t="n"/>
      <c r="P43" s="771" t="n"/>
      <c r="S43" s="786" t="n"/>
    </row>
    <row r="44" customFormat="1" s="24">
      <c r="A44" s="439" t="inlineStr">
        <is>
          <t>1kg총합계</t>
        </is>
      </c>
      <c r="B44" s="449" t="n"/>
      <c r="C44" s="450">
        <f>SUM(C29:C43)</f>
        <v/>
      </c>
      <c r="D44" s="451">
        <f>SUM(D29:D43)</f>
        <v/>
      </c>
      <c r="E44" s="452">
        <f>SUM(E29:E43)</f>
        <v/>
      </c>
      <c r="F44" s="453">
        <f>SUM(F29:F43)</f>
        <v/>
      </c>
      <c r="G44" s="453">
        <f>SUM(G29:G43)</f>
        <v/>
      </c>
      <c r="H44" s="453">
        <f>SUM(H29:H43)</f>
        <v/>
      </c>
      <c r="I44" s="453">
        <f>SUM(I29:I43)</f>
        <v/>
      </c>
      <c r="J44" s="442">
        <f>SUM(J29:J43)</f>
        <v/>
      </c>
      <c r="K44" s="777">
        <f>SUM(K25:K43)</f>
        <v/>
      </c>
      <c r="L44" s="778">
        <f>SUM(L25:L43)</f>
        <v/>
      </c>
      <c r="M44" s="779">
        <f>SUM(M25:M43)</f>
        <v/>
      </c>
      <c r="N44" s="777">
        <f>SUM(N25:N43)</f>
        <v/>
      </c>
      <c r="O44" s="780">
        <f>SUM(O25:O43)</f>
        <v/>
      </c>
      <c r="P44" s="780">
        <f>SUM(P25:P43)</f>
        <v/>
      </c>
      <c r="Q44" s="780">
        <f>SUM(Q25:Q43)</f>
        <v/>
      </c>
      <c r="R44" s="788">
        <f>SUM(R25:R43)</f>
        <v/>
      </c>
      <c r="S44" s="782">
        <f>SUM(S25:S43)</f>
        <v/>
      </c>
    </row>
    <row r="45">
      <c r="C45" s="638" t="inlineStr">
        <is>
          <t>도매</t>
        </is>
      </c>
      <c r="D45" s="9" t="n"/>
      <c r="E45" s="10" t="inlineStr">
        <is>
          <t>인증/마스터</t>
        </is>
      </c>
      <c r="F45" s="12" t="inlineStr">
        <is>
          <t>할인행사</t>
        </is>
      </c>
      <c r="G45" s="12" t="n"/>
      <c r="H45" s="12" t="inlineStr">
        <is>
          <t>할인+증정</t>
        </is>
      </c>
      <c r="I45" s="12" t="n"/>
      <c r="J45" s="639" t="inlineStr">
        <is>
          <t>합계</t>
        </is>
      </c>
      <c r="K45" s="789" t="n"/>
      <c r="P45" s="785" t="n"/>
    </row>
    <row r="46">
      <c r="C46" s="44" t="n"/>
      <c r="D46" s="406" t="n"/>
      <c r="E46" s="19" t="inlineStr">
        <is>
          <t>P00000QF</t>
        </is>
      </c>
      <c r="F46" s="20" t="inlineStr">
        <is>
          <t>P00000VN</t>
        </is>
      </c>
      <c r="G46" s="46" t="n">
        <v>0.15</v>
      </c>
      <c r="H46" s="20" t="n"/>
      <c r="I46" s="20" t="n"/>
      <c r="J46" s="17" t="n"/>
      <c r="P46" s="785" t="n"/>
    </row>
    <row r="47" ht="24" customHeight="1" s="754">
      <c r="A47" s="24" t="inlineStr">
        <is>
          <t>스트립왁스</t>
        </is>
      </c>
      <c r="C47" s="47" t="n"/>
      <c r="D47" s="48" t="n"/>
      <c r="E47" s="49" t="n"/>
      <c r="F47" s="20" t="inlineStr">
        <is>
          <t>P00000YU</t>
        </is>
      </c>
      <c r="G47" s="26" t="inlineStr">
        <is>
          <t>바디스타터키트</t>
        </is>
      </c>
      <c r="H47" s="20" t="n"/>
      <c r="I47" s="415" t="n"/>
      <c r="J47" s="50" t="n"/>
      <c r="K47" s="763" t="inlineStr">
        <is>
          <t>도매</t>
        </is>
      </c>
      <c r="L47" s="764" t="inlineStr">
        <is>
          <t>인증살롱/마스터</t>
        </is>
      </c>
      <c r="M47" s="765" t="n"/>
      <c r="N47" s="766" t="inlineStr">
        <is>
          <t>할인</t>
        </is>
      </c>
      <c r="O47" s="766" t="inlineStr">
        <is>
          <t>세트할인</t>
        </is>
      </c>
      <c r="P47" s="766" t="inlineStr">
        <is>
          <t>할인+증정</t>
        </is>
      </c>
      <c r="Q47" s="766" t="n"/>
      <c r="R47" s="767" t="inlineStr">
        <is>
          <t>품목별합계</t>
        </is>
      </c>
      <c r="S47" s="767" t="inlineStr">
        <is>
          <t>원가</t>
        </is>
      </c>
    </row>
    <row r="48">
      <c r="A48" s="51" t="inlineStr">
        <is>
          <t>S_라이코텍화이트스트립</t>
        </is>
      </c>
      <c r="B48" s="704" t="inlineStr">
        <is>
          <t>P00000CQ</t>
        </is>
      </c>
      <c r="C48" s="233" t="n">
        <v>39</v>
      </c>
      <c r="D48" s="331" t="n"/>
      <c r="E48" s="332" t="n">
        <v>50</v>
      </c>
      <c r="F48" s="333" t="n">
        <v>268</v>
      </c>
      <c r="G48" s="322" t="n"/>
      <c r="H48" s="333" t="n"/>
      <c r="I48" s="334" t="n"/>
      <c r="J48" s="27">
        <f>SUM(C48:I48)</f>
        <v/>
      </c>
      <c r="K48" s="768">
        <f>C48*35700</f>
        <v/>
      </c>
      <c r="L48" s="790">
        <f>D48*25400</f>
        <v/>
      </c>
      <c r="M48" s="770">
        <f>E48*25400</f>
        <v/>
      </c>
      <c r="N48" s="757">
        <f>F48*29500</f>
        <v/>
      </c>
      <c r="P48" s="771">
        <f>H48*29500</f>
        <v/>
      </c>
      <c r="R48" s="756">
        <f>SUM(K48:Q48)</f>
        <v/>
      </c>
      <c r="S48" s="756">
        <f>(C48+D48+E48+F48+I48+H48+G48)*14155</f>
        <v/>
      </c>
    </row>
    <row r="49">
      <c r="A49" s="51" t="inlineStr">
        <is>
          <t>S_라이코텍슈퍼베리스트립</t>
        </is>
      </c>
      <c r="B49" s="703" t="inlineStr">
        <is>
          <t>P00000CL</t>
        </is>
      </c>
      <c r="C49" s="233" t="n">
        <v>6</v>
      </c>
      <c r="D49" s="235" t="n"/>
      <c r="E49" s="234" t="n">
        <v>4</v>
      </c>
      <c r="F49" s="230" t="n">
        <v>52</v>
      </c>
      <c r="G49" s="334" t="n"/>
      <c r="H49" s="333" t="n"/>
      <c r="I49" s="334" t="n"/>
      <c r="J49" s="27">
        <f>SUM(C49:I49)</f>
        <v/>
      </c>
      <c r="K49" s="768">
        <f>C49*35700</f>
        <v/>
      </c>
      <c r="L49" s="790">
        <f>D49*25400</f>
        <v/>
      </c>
      <c r="M49" s="770">
        <f>E49*25400</f>
        <v/>
      </c>
      <c r="N49" s="757">
        <f>F49*29500</f>
        <v/>
      </c>
      <c r="P49" s="771">
        <f>H49*29500</f>
        <v/>
      </c>
      <c r="R49" s="756">
        <f>SUM(K49:Q49)</f>
        <v/>
      </c>
      <c r="S49" s="756">
        <f>(C49+D49+E49+F49+I49+H49+G49)*14155</f>
        <v/>
      </c>
    </row>
    <row r="50">
      <c r="A50" s="51" t="inlineStr">
        <is>
          <t>S_로제트스트립왁스</t>
        </is>
      </c>
      <c r="B50" s="704" t="inlineStr">
        <is>
          <t>P00000CO</t>
        </is>
      </c>
      <c r="C50" s="237" t="n">
        <v>1</v>
      </c>
      <c r="D50" s="235" t="n"/>
      <c r="E50" s="234" t="n"/>
      <c r="F50" s="230" t="n"/>
      <c r="G50" s="334" t="n"/>
      <c r="H50" s="333" t="n"/>
      <c r="I50" s="334" t="n"/>
      <c r="J50" s="27">
        <f>SUM(C50:I50)</f>
        <v/>
      </c>
      <c r="K50" s="768">
        <f>C50*34700</f>
        <v/>
      </c>
      <c r="L50" s="790">
        <f>D50*25400</f>
        <v/>
      </c>
      <c r="M50" s="770">
        <f>E50*25400</f>
        <v/>
      </c>
      <c r="N50" s="757">
        <f>F50*29500</f>
        <v/>
      </c>
      <c r="P50" s="771">
        <f>H50*29500</f>
        <v/>
      </c>
      <c r="R50" s="756">
        <f>SUM(K50:Q50)</f>
        <v/>
      </c>
      <c r="S50" s="756">
        <f>(C50+D50+E50+F50+I50+H50+G50)*13975</f>
        <v/>
      </c>
    </row>
    <row r="51">
      <c r="A51" s="51" t="inlineStr">
        <is>
          <t>S_맨니피코스트립</t>
        </is>
      </c>
      <c r="B51" s="703" t="inlineStr">
        <is>
          <t>P00000CW</t>
        </is>
      </c>
      <c r="C51" s="233" t="n">
        <v>7</v>
      </c>
      <c r="D51" s="235" t="n"/>
      <c r="E51" s="234" t="n"/>
      <c r="F51" s="230" t="n">
        <v>87</v>
      </c>
      <c r="G51" s="334" t="n"/>
      <c r="H51" s="333" t="n"/>
      <c r="I51" s="334" t="n"/>
      <c r="J51" s="27">
        <f>SUM(C51:I51)</f>
        <v/>
      </c>
      <c r="K51" s="768">
        <f>C51*34700</f>
        <v/>
      </c>
      <c r="L51" s="790">
        <f>D51*25400</f>
        <v/>
      </c>
      <c r="M51" s="770">
        <f>E51*25400</f>
        <v/>
      </c>
      <c r="N51" s="757">
        <f>F51*29500</f>
        <v/>
      </c>
      <c r="P51" s="771">
        <f>H51*29500</f>
        <v/>
      </c>
      <c r="R51" s="756">
        <f>SUM(K51:Q51)</f>
        <v/>
      </c>
      <c r="S51" s="756">
        <f>(C51+D51+E51+F51+I51+H51+G51)*13975</f>
        <v/>
      </c>
    </row>
    <row r="52">
      <c r="A52" s="51" t="inlineStr">
        <is>
          <t>S_올리브스트립</t>
        </is>
      </c>
      <c r="B52" s="704" t="inlineStr">
        <is>
          <t>P00000CN</t>
        </is>
      </c>
      <c r="C52" s="237" t="n"/>
      <c r="D52" s="235" t="n"/>
      <c r="E52" s="234" t="n"/>
      <c r="F52" s="230" t="n"/>
      <c r="G52" s="334" t="n"/>
      <c r="H52" s="333" t="n"/>
      <c r="I52" s="334" t="n"/>
      <c r="J52" s="27">
        <f>SUM(C52:I52)</f>
        <v/>
      </c>
      <c r="K52" s="768">
        <f>C52*34700</f>
        <v/>
      </c>
      <c r="L52" s="790">
        <f>D52*25400</f>
        <v/>
      </c>
      <c r="M52" s="770">
        <f>E52*25400</f>
        <v/>
      </c>
      <c r="N52" s="757">
        <f>F52*29500</f>
        <v/>
      </c>
      <c r="P52" s="771">
        <f>H52*29500</f>
        <v/>
      </c>
      <c r="R52" s="756">
        <f>SUM(K52:Q52)</f>
        <v/>
      </c>
      <c r="S52" s="756">
        <f>(C52+D52+E52+F52+I52+H52+G52)*13975</f>
        <v/>
      </c>
    </row>
    <row r="53">
      <c r="A53" s="51" t="inlineStr">
        <is>
          <t>S_라이코플렉스바닐라스트립</t>
        </is>
      </c>
      <c r="B53" s="704" t="inlineStr">
        <is>
          <t>P00000CM</t>
        </is>
      </c>
      <c r="C53" s="237" t="n">
        <v>3</v>
      </c>
      <c r="D53" s="235" t="n"/>
      <c r="E53" s="234" t="n"/>
      <c r="F53" s="230" t="n">
        <v>37</v>
      </c>
      <c r="G53" s="333" t="n">
        <v>1</v>
      </c>
      <c r="H53" s="333" t="n"/>
      <c r="I53" s="334" t="n"/>
      <c r="J53" s="27">
        <f>SUM(C53:I53)</f>
        <v/>
      </c>
      <c r="K53" s="768">
        <f>C53*34700</f>
        <v/>
      </c>
      <c r="L53" s="790">
        <f>D53*25400</f>
        <v/>
      </c>
      <c r="M53" s="770">
        <f>E53*25400</f>
        <v/>
      </c>
      <c r="N53" s="757">
        <f>F53*29500</f>
        <v/>
      </c>
      <c r="O53" s="771">
        <f>G53*27760</f>
        <v/>
      </c>
      <c r="P53" s="771">
        <f>H53*29500</f>
        <v/>
      </c>
      <c r="Q53" s="787" t="n"/>
      <c r="R53" s="756">
        <f>SUM(K53:Q53)</f>
        <v/>
      </c>
      <c r="S53" s="756">
        <f>(C53+D53+E53+F53+I53+H53+G53)*13975</f>
        <v/>
      </c>
    </row>
    <row r="54">
      <c r="A54" s="51" t="inlineStr">
        <is>
          <t>S_소베리딜리셔스</t>
        </is>
      </c>
      <c r="B54" s="703" t="inlineStr">
        <is>
          <t>P00000CT</t>
        </is>
      </c>
      <c r="C54" s="233" t="n">
        <v>10</v>
      </c>
      <c r="D54" s="235" t="n"/>
      <c r="E54" s="234" t="n"/>
      <c r="F54" s="230" t="n">
        <v>94</v>
      </c>
      <c r="G54" s="334" t="n"/>
      <c r="H54" s="333" t="n"/>
      <c r="I54" s="334" t="n"/>
      <c r="J54" s="27">
        <f>SUM(C54:I54)</f>
        <v/>
      </c>
      <c r="K54" s="768">
        <f>C54*34700</f>
        <v/>
      </c>
      <c r="L54" s="790">
        <f>D54*25400</f>
        <v/>
      </c>
      <c r="M54" s="770">
        <f>E54*25400</f>
        <v/>
      </c>
      <c r="N54" s="757">
        <f>F54*29500</f>
        <v/>
      </c>
      <c r="P54" s="771">
        <f>H54*29500</f>
        <v/>
      </c>
      <c r="R54" s="756">
        <f>SUM(K54:Q54)</f>
        <v/>
      </c>
      <c r="S54" s="756">
        <f>(C54+D54+E54+F54+I54+H54+G54)*13975</f>
        <v/>
      </c>
    </row>
    <row r="55">
      <c r="A55" s="51" t="inlineStr">
        <is>
          <t>S_아쥴렌스트립</t>
        </is>
      </c>
      <c r="B55" s="704" t="inlineStr">
        <is>
          <t>P00000CU</t>
        </is>
      </c>
      <c r="C55" s="237" t="n"/>
      <c r="D55" s="235" t="n"/>
      <c r="E55" s="234" t="n"/>
      <c r="F55" s="230" t="n"/>
      <c r="G55" s="334" t="n"/>
      <c r="H55" s="333" t="n"/>
      <c r="I55" s="334" t="n"/>
      <c r="J55" s="27">
        <f>SUM(C55:I55)</f>
        <v/>
      </c>
      <c r="K55" s="768">
        <f>C55*34700</f>
        <v/>
      </c>
      <c r="L55" s="790">
        <f>D55*25400</f>
        <v/>
      </c>
      <c r="M55" s="770">
        <f>E55*25400</f>
        <v/>
      </c>
      <c r="N55" s="757">
        <f>F55*29500</f>
        <v/>
      </c>
      <c r="P55" s="771">
        <f>H55*29500</f>
        <v/>
      </c>
      <c r="R55" s="756">
        <f>SUM(K55:Q55)</f>
        <v/>
      </c>
      <c r="S55" s="756">
        <f>(C55+D55+E55+F55+I55+H55+G55)*13975</f>
        <v/>
      </c>
    </row>
    <row r="56">
      <c r="A56" s="51" t="inlineStr">
        <is>
          <t>S_액티브골드스트립</t>
        </is>
      </c>
      <c r="B56" s="703" t="inlineStr">
        <is>
          <t>P00000CP</t>
        </is>
      </c>
      <c r="C56" s="233" t="n">
        <v>15</v>
      </c>
      <c r="D56" s="235" t="n"/>
      <c r="E56" s="234" t="n">
        <v>18</v>
      </c>
      <c r="F56" s="230" t="n">
        <v>91</v>
      </c>
      <c r="G56" s="334" t="n"/>
      <c r="H56" s="333" t="n"/>
      <c r="I56" s="334" t="n"/>
      <c r="J56" s="27">
        <f>SUM(C56:I56)</f>
        <v/>
      </c>
      <c r="K56" s="768">
        <f>C56*34700</f>
        <v/>
      </c>
      <c r="L56" s="790">
        <f>D56*25400</f>
        <v/>
      </c>
      <c r="M56" s="770">
        <f>E56*25400</f>
        <v/>
      </c>
      <c r="N56" s="757">
        <f>F56*29500</f>
        <v/>
      </c>
      <c r="P56" s="771">
        <f>H56*29500</f>
        <v/>
      </c>
      <c r="R56" s="756">
        <f>SUM(K56:Q56)</f>
        <v/>
      </c>
      <c r="S56" s="756">
        <f>(C56+D56+E56+F56+I56+H56+G56)*13434</f>
        <v/>
      </c>
    </row>
    <row r="57">
      <c r="A57" s="51" t="inlineStr">
        <is>
          <t>S_알로에베라스트립</t>
        </is>
      </c>
      <c r="B57" s="703" t="inlineStr">
        <is>
          <t>P00000CS</t>
        </is>
      </c>
      <c r="C57" s="233" t="n">
        <v>10</v>
      </c>
      <c r="D57" s="235" t="n"/>
      <c r="E57" s="234" t="n"/>
      <c r="F57" s="230" t="n">
        <v>86</v>
      </c>
      <c r="G57" s="334" t="n"/>
      <c r="H57" s="333" t="n"/>
      <c r="I57" s="334" t="n"/>
      <c r="J57" s="27">
        <f>SUM(C57:I57)</f>
        <v/>
      </c>
      <c r="K57" s="768">
        <f>C57*34700</f>
        <v/>
      </c>
      <c r="L57" s="790">
        <f>D57*25400</f>
        <v/>
      </c>
      <c r="M57" s="770">
        <f>E57*25400</f>
        <v/>
      </c>
      <c r="N57" s="757">
        <f>F57*29500</f>
        <v/>
      </c>
      <c r="P57" s="771">
        <f>H57*29500</f>
        <v/>
      </c>
      <c r="R57" s="756">
        <f>SUM(K57:Q57)</f>
        <v/>
      </c>
      <c r="S57" s="756">
        <f>(C57+D57+E57+F57+I57+H57+G57)*13975</f>
        <v/>
      </c>
    </row>
    <row r="58">
      <c r="A58" s="51" t="inlineStr">
        <is>
          <t>S_아프리콧스트립</t>
        </is>
      </c>
      <c r="B58" s="703" t="inlineStr">
        <is>
          <t>P00000CR</t>
        </is>
      </c>
      <c r="C58" s="237" t="n">
        <v>4</v>
      </c>
      <c r="D58" s="235" t="n"/>
      <c r="E58" s="234" t="n">
        <v>18</v>
      </c>
      <c r="F58" s="230" t="n">
        <v>19</v>
      </c>
      <c r="G58" s="334" t="n"/>
      <c r="H58" s="333" t="n"/>
      <c r="I58" s="334" t="n"/>
      <c r="J58" s="27">
        <f>SUM(C58:I58)</f>
        <v/>
      </c>
      <c r="K58" s="768">
        <f>C58*34700</f>
        <v/>
      </c>
      <c r="L58" s="790">
        <f>D58*25400</f>
        <v/>
      </c>
      <c r="M58" s="770">
        <f>E58*25400</f>
        <v/>
      </c>
      <c r="N58" s="757">
        <f>F58*29500</f>
        <v/>
      </c>
      <c r="P58" s="771">
        <f>H58*29500</f>
        <v/>
      </c>
      <c r="R58" s="756">
        <f>SUM(K58:Q58)</f>
        <v/>
      </c>
      <c r="S58" s="756">
        <f>(C58+D58+E58+F58+I58+H58+G58)*13434</f>
        <v/>
      </c>
    </row>
    <row r="59">
      <c r="A59" s="51" t="n"/>
      <c r="B59" s="29" t="n"/>
      <c r="C59" s="35" t="n"/>
      <c r="D59" s="32" t="n"/>
      <c r="E59" s="33" t="n"/>
      <c r="F59" s="191" t="n"/>
      <c r="G59" s="53" t="n"/>
      <c r="H59" s="52" t="n"/>
      <c r="I59" s="53" t="n"/>
      <c r="J59" s="27">
        <f>SUM(C59:I59)</f>
        <v/>
      </c>
      <c r="K59" s="776" t="n"/>
      <c r="L59" s="790" t="n"/>
      <c r="M59" s="770" t="n"/>
      <c r="N59" s="771" t="n"/>
      <c r="P59" s="785" t="n"/>
    </row>
    <row r="60" customFormat="1" s="24">
      <c r="A60" s="455" t="inlineStr">
        <is>
          <t>총합계</t>
        </is>
      </c>
      <c r="B60" s="449" t="n"/>
      <c r="C60" s="450">
        <f>SUM(C48:C59)</f>
        <v/>
      </c>
      <c r="D60" s="450">
        <f>SUM(D48:D59)</f>
        <v/>
      </c>
      <c r="E60" s="450">
        <f>SUM(E48:E59)</f>
        <v/>
      </c>
      <c r="F60" s="453">
        <f>SUM(F48:F59)</f>
        <v/>
      </c>
      <c r="G60" s="453" t="n"/>
      <c r="H60" s="453">
        <f>SUM(H48:H59)</f>
        <v/>
      </c>
      <c r="I60" s="453">
        <f>SUM(I48:I59)</f>
        <v/>
      </c>
      <c r="J60" s="442">
        <f>SUM(J48:J59)</f>
        <v/>
      </c>
      <c r="K60" s="777">
        <f>SUM(K48:K59)</f>
        <v/>
      </c>
      <c r="L60" s="791">
        <f>SUM(L48:L59)</f>
        <v/>
      </c>
      <c r="M60" s="779">
        <f>SUM(M48:M59)</f>
        <v/>
      </c>
      <c r="N60" s="780">
        <f>SUM(N48:N59)</f>
        <v/>
      </c>
      <c r="O60" s="780">
        <f>SUM(O48:O59)</f>
        <v/>
      </c>
      <c r="P60" s="780">
        <f>SUM(P48:P59)</f>
        <v/>
      </c>
      <c r="Q60" s="780">
        <f>SUM(Q48:Q59)</f>
        <v/>
      </c>
      <c r="R60" s="781">
        <f>SUM(R48:R59)</f>
        <v/>
      </c>
      <c r="S60" s="782">
        <f>SUM(S48:S59)</f>
        <v/>
      </c>
    </row>
    <row r="61">
      <c r="A61" s="54" t="n"/>
      <c r="C61" s="14" t="inlineStr">
        <is>
          <t>도매</t>
        </is>
      </c>
      <c r="D61" s="55" t="n"/>
      <c r="E61" s="10" t="inlineStr">
        <is>
          <t>인증/마스터</t>
        </is>
      </c>
      <c r="H61" s="416" t="n"/>
      <c r="J61" s="56" t="n"/>
      <c r="K61" s="789" t="n"/>
      <c r="P61" s="785" t="n"/>
    </row>
    <row r="62">
      <c r="A62" s="54" t="n"/>
      <c r="C62" s="14" t="n"/>
      <c r="D62" s="388" t="n"/>
      <c r="E62" s="15" t="inlineStr">
        <is>
          <t>P00000QG</t>
        </is>
      </c>
      <c r="F62" s="57" t="inlineStr">
        <is>
          <t>할인행사</t>
        </is>
      </c>
      <c r="G62" s="57" t="n"/>
      <c r="H62" s="200" t="n"/>
      <c r="I62" s="57" t="n"/>
      <c r="J62" s="58" t="inlineStr">
        <is>
          <t>합계</t>
        </is>
      </c>
      <c r="P62" s="785" t="n"/>
    </row>
    <row r="63">
      <c r="C63" s="18" t="n"/>
      <c r="D63" s="388" t="n"/>
      <c r="E63" s="15" t="inlineStr">
        <is>
          <t>P00000QH</t>
        </is>
      </c>
      <c r="F63" s="20" t="n"/>
      <c r="G63" s="45" t="n"/>
      <c r="H63" s="20" t="n"/>
      <c r="I63" s="20" t="n"/>
      <c r="J63" s="59" t="n"/>
      <c r="P63" s="785" t="n"/>
    </row>
    <row r="64" ht="24" customHeight="1" s="754">
      <c r="C64" s="18" t="inlineStr">
        <is>
          <t>5종미니</t>
        </is>
      </c>
      <c r="D64" s="55" t="n"/>
      <c r="E64" s="15" t="inlineStr">
        <is>
          <t>P00000UF</t>
        </is>
      </c>
      <c r="F64" s="20" t="inlineStr">
        <is>
          <t>P00000YU</t>
        </is>
      </c>
      <c r="G64" s="26" t="inlineStr">
        <is>
          <t>바디스타터키트</t>
        </is>
      </c>
      <c r="H64" s="193" t="n"/>
      <c r="I64" s="630" t="n"/>
      <c r="J64" s="60" t="n"/>
      <c r="P64" s="785" t="n"/>
    </row>
    <row r="65" ht="30" customHeight="1" s="754">
      <c r="C65" s="18" t="n"/>
      <c r="D65" s="55" t="n"/>
      <c r="E65" s="15" t="inlineStr">
        <is>
          <t>P00000WZ</t>
        </is>
      </c>
      <c r="F65" s="61" t="n"/>
      <c r="G65" s="630" t="n"/>
      <c r="H65" s="193" t="n"/>
      <c r="I65" s="630" t="n"/>
      <c r="J65" s="60" t="n"/>
      <c r="P65" s="785" t="n"/>
    </row>
    <row r="66">
      <c r="A66" s="24" t="inlineStr">
        <is>
          <t>전후처리제</t>
        </is>
      </c>
      <c r="C66" s="25" t="n"/>
      <c r="D66" s="55" t="n"/>
      <c r="E66" s="15" t="n"/>
      <c r="F66" s="62" t="n"/>
      <c r="G66" s="63" t="n"/>
      <c r="H66" s="201" t="n"/>
      <c r="I66" s="63" t="inlineStr">
        <is>
          <t>증정</t>
        </is>
      </c>
      <c r="J66" s="27" t="n"/>
      <c r="K66" s="763" t="inlineStr">
        <is>
          <t>도매</t>
        </is>
      </c>
      <c r="L66" s="764" t="inlineStr">
        <is>
          <t>인증살롱/마스터</t>
        </is>
      </c>
      <c r="M66" s="765" t="n"/>
      <c r="N66" s="766" t="inlineStr">
        <is>
          <t>할인</t>
        </is>
      </c>
      <c r="O66" s="766" t="inlineStr">
        <is>
          <t>세트할인</t>
        </is>
      </c>
      <c r="P66" s="766" t="inlineStr">
        <is>
          <t>할인+증정</t>
        </is>
      </c>
      <c r="Q66" s="767" t="n"/>
      <c r="R66" s="767" t="inlineStr">
        <is>
          <t>품목별합계</t>
        </is>
      </c>
      <c r="S66" s="767" t="inlineStr">
        <is>
          <t>원가</t>
        </is>
      </c>
    </row>
    <row r="67" customFormat="1" s="755">
      <c r="A67" s="115" t="inlineStr">
        <is>
          <t>라이코텐스킨클렌저500</t>
        </is>
      </c>
      <c r="B67" s="703" t="inlineStr">
        <is>
          <t>P00000BP</t>
        </is>
      </c>
      <c r="C67" s="233" t="n">
        <v>134</v>
      </c>
      <c r="D67" s="235" t="n"/>
      <c r="E67" s="234" t="n"/>
      <c r="F67" s="322" t="n"/>
      <c r="G67" s="322" t="n"/>
      <c r="H67" s="236" t="n"/>
      <c r="I67" s="322" t="n"/>
      <c r="J67" s="35">
        <f>SUM(C67:I67)</f>
        <v/>
      </c>
      <c r="K67" s="792">
        <f>C67*25200</f>
        <v/>
      </c>
      <c r="L67" s="790">
        <f>D67*21000</f>
        <v/>
      </c>
      <c r="M67" s="770">
        <f>E67*21000</f>
        <v/>
      </c>
      <c r="N67" s="771" t="n"/>
      <c r="O67" s="771" t="n"/>
      <c r="P67" s="771" t="n"/>
      <c r="Q67" s="758" t="n"/>
      <c r="R67" s="756">
        <f>SUM(K67:Q67)</f>
        <v/>
      </c>
      <c r="S67" s="756">
        <f>(C67+D67+E67+F67+I67+G67+H67)*7032</f>
        <v/>
      </c>
    </row>
    <row r="68" customFormat="1" s="755">
      <c r="A68" s="115" t="inlineStr">
        <is>
          <t>스킨클렌저1000</t>
        </is>
      </c>
      <c r="B68" s="703" t="inlineStr">
        <is>
          <t>P0000BAJ</t>
        </is>
      </c>
      <c r="C68" s="237" t="n">
        <v>7</v>
      </c>
      <c r="D68" s="235" t="n"/>
      <c r="E68" s="234" t="n">
        <v>39</v>
      </c>
      <c r="F68" s="322" t="n"/>
      <c r="G68" s="322" t="n"/>
      <c r="H68" s="236" t="n"/>
      <c r="I68" s="322" t="n"/>
      <c r="J68" s="35">
        <f>SUM(C68:I68)</f>
        <v/>
      </c>
      <c r="K68" s="792">
        <f>C68*47000</f>
        <v/>
      </c>
      <c r="L68" s="790">
        <f>D68*39600</f>
        <v/>
      </c>
      <c r="M68" s="770">
        <f>E68*39600</f>
        <v/>
      </c>
      <c r="N68" s="771" t="n"/>
      <c r="O68" s="771" t="n"/>
      <c r="P68" s="771" t="n"/>
      <c r="Q68" s="758" t="n"/>
      <c r="R68" s="756">
        <f>SUM(K68:Q68)</f>
        <v/>
      </c>
      <c r="S68" s="756">
        <f>(C68+D68+E68+F68+I68+G68+H68)*11631</f>
        <v/>
      </c>
    </row>
    <row r="69" customFormat="1" s="755">
      <c r="A69" s="115" t="inlineStr">
        <is>
          <t>프리왁싱오일500</t>
        </is>
      </c>
      <c r="B69" s="703" t="inlineStr">
        <is>
          <t>P00000BQ</t>
        </is>
      </c>
      <c r="C69" s="233" t="n">
        <v>94</v>
      </c>
      <c r="D69" s="235" t="n"/>
      <c r="E69" s="234" t="n"/>
      <c r="F69" s="322" t="n"/>
      <c r="G69" s="322" t="n"/>
      <c r="H69" s="236" t="n"/>
      <c r="I69" s="322" t="n"/>
      <c r="J69" s="35">
        <f>SUM(C69:I69)</f>
        <v/>
      </c>
      <c r="K69" s="792">
        <f>C69*29400</f>
        <v/>
      </c>
      <c r="L69" s="790">
        <f>D69*25000</f>
        <v/>
      </c>
      <c r="M69" s="770">
        <f>E69*25000</f>
        <v/>
      </c>
      <c r="N69" s="771" t="n"/>
      <c r="O69" s="771" t="n"/>
      <c r="P69" s="771" t="n"/>
      <c r="Q69" s="758" t="n"/>
      <c r="R69" s="756">
        <f>SUM(K69:Q69)</f>
        <v/>
      </c>
      <c r="S69" s="756">
        <f>(C69+D69+E69+F69+I69+G69+H69)*8565</f>
        <v/>
      </c>
    </row>
    <row r="70" customFormat="1" s="755">
      <c r="A70" s="115" t="inlineStr">
        <is>
          <t>프리왁싱오일1000</t>
        </is>
      </c>
      <c r="B70" s="703" t="inlineStr">
        <is>
          <t>P0000BAJ</t>
        </is>
      </c>
      <c r="C70" s="233" t="n">
        <v>2</v>
      </c>
      <c r="D70" s="235" t="n"/>
      <c r="E70" s="234" t="n">
        <v>14</v>
      </c>
      <c r="F70" s="322" t="n"/>
      <c r="G70" s="322" t="n"/>
      <c r="H70" s="236" t="n"/>
      <c r="I70" s="322" t="n"/>
      <c r="J70" s="35">
        <f>SUM(C70:I70)</f>
        <v/>
      </c>
      <c r="K70" s="792">
        <f>C70*47000</f>
        <v/>
      </c>
      <c r="L70" s="790">
        <f>D70*39600</f>
        <v/>
      </c>
      <c r="M70" s="770">
        <f>E70*39600</f>
        <v/>
      </c>
      <c r="N70" s="771" t="n"/>
      <c r="O70" s="771" t="n"/>
      <c r="P70" s="771" t="n"/>
      <c r="Q70" s="758" t="n"/>
      <c r="R70" s="756">
        <f>SUM(K70:Q70)</f>
        <v/>
      </c>
      <c r="S70" s="756">
        <f>(C70+D70+E70+F70+I70+G70+H70)*13073</f>
        <v/>
      </c>
    </row>
    <row r="71" customFormat="1" s="755">
      <c r="A71" s="115" t="inlineStr">
        <is>
          <t>티트리퍼팩오일</t>
        </is>
      </c>
      <c r="B71" s="703" t="inlineStr">
        <is>
          <t>P00000BR</t>
        </is>
      </c>
      <c r="C71" s="233" t="n">
        <v>71</v>
      </c>
      <c r="D71" s="235" t="n"/>
      <c r="E71" s="234" t="n"/>
      <c r="F71" s="322" t="n"/>
      <c r="G71" s="322" t="n"/>
      <c r="H71" s="236" t="n"/>
      <c r="I71" s="322" t="n"/>
      <c r="J71" s="35">
        <f>SUM(C71:I71)</f>
        <v/>
      </c>
      <c r="K71" s="792">
        <f>C71*25200</f>
        <v/>
      </c>
      <c r="L71" s="790">
        <f>D71*21000</f>
        <v/>
      </c>
      <c r="M71" s="770">
        <f>E71*21000</f>
        <v/>
      </c>
      <c r="N71" s="771" t="n"/>
      <c r="O71" s="771" t="n"/>
      <c r="P71" s="771" t="n"/>
      <c r="Q71" s="758" t="n"/>
      <c r="R71" s="756">
        <f>SUM(K71:Q71)</f>
        <v/>
      </c>
      <c r="S71" s="756">
        <f>(C71+D71+E71+F71+I71+G71+H71)*7032</f>
        <v/>
      </c>
    </row>
    <row r="72" customFormat="1" s="755">
      <c r="A72" s="115" t="inlineStr">
        <is>
          <t>티트리수드로션500</t>
        </is>
      </c>
      <c r="B72" s="703" t="inlineStr">
        <is>
          <t>P00000BS</t>
        </is>
      </c>
      <c r="C72" s="233" t="n">
        <v>31</v>
      </c>
      <c r="D72" s="235" t="n"/>
      <c r="E72" s="234" t="n">
        <v>3</v>
      </c>
      <c r="F72" s="322" t="n"/>
      <c r="G72" s="322" t="n"/>
      <c r="H72" s="236" t="n"/>
      <c r="I72" s="322" t="n"/>
      <c r="J72" s="35">
        <f>SUM(C72:I72)</f>
        <v/>
      </c>
      <c r="K72" s="792">
        <f>C72*29400</f>
        <v/>
      </c>
      <c r="L72" s="790">
        <f>D72*25000</f>
        <v/>
      </c>
      <c r="M72" s="770">
        <f>E72*25000</f>
        <v/>
      </c>
      <c r="N72" s="771" t="n"/>
      <c r="O72" s="771" t="n"/>
      <c r="P72" s="771" t="n"/>
      <c r="Q72" s="758" t="n"/>
      <c r="R72" s="756">
        <f>SUM(K72:Q72)</f>
        <v/>
      </c>
      <c r="S72" s="756">
        <f>(C72+D72+E72+F72+I72+G72+H72)*8565</f>
        <v/>
      </c>
    </row>
    <row r="73" customFormat="1" s="755">
      <c r="A73" s="115" t="inlineStr">
        <is>
          <t>티트리수드1000</t>
        </is>
      </c>
      <c r="B73" s="703" t="inlineStr">
        <is>
          <t>P0000BAJ</t>
        </is>
      </c>
      <c r="C73" s="237" t="n"/>
      <c r="D73" s="235" t="n"/>
      <c r="E73" s="234" t="n">
        <v>5</v>
      </c>
      <c r="F73" s="322" t="n"/>
      <c r="G73" s="322" t="n"/>
      <c r="H73" s="236" t="n"/>
      <c r="I73" s="322" t="n"/>
      <c r="J73" s="35">
        <f>SUM(C73:I73)</f>
        <v/>
      </c>
      <c r="K73" s="792">
        <f>C73*47000</f>
        <v/>
      </c>
      <c r="L73" s="790">
        <f>D73*39600</f>
        <v/>
      </c>
      <c r="M73" s="770">
        <f>E73*39600</f>
        <v/>
      </c>
      <c r="N73" s="771" t="n"/>
      <c r="O73" s="771" t="n"/>
      <c r="P73" s="771" t="n"/>
      <c r="Q73" s="758" t="n"/>
      <c r="R73" s="756">
        <f>SUM(K73:Q73)</f>
        <v/>
      </c>
      <c r="S73" s="756">
        <f>(C73+D73+E73+F73+I73+G73+H73)*13073</f>
        <v/>
      </c>
    </row>
    <row r="74" customFormat="1" s="755">
      <c r="A74" s="115" t="inlineStr">
        <is>
          <t>수딩크림500</t>
        </is>
      </c>
      <c r="B74" s="703" t="inlineStr">
        <is>
          <t>P00000KP</t>
        </is>
      </c>
      <c r="C74" s="237" t="n">
        <v>4</v>
      </c>
      <c r="D74" s="235" t="n"/>
      <c r="E74" s="234" t="n"/>
      <c r="F74" s="322" t="n"/>
      <c r="G74" s="322" t="n"/>
      <c r="H74" s="236" t="n"/>
      <c r="I74" s="322" t="n"/>
      <c r="J74" s="35">
        <f>SUM(C74:I74)</f>
        <v/>
      </c>
      <c r="K74" s="792">
        <f>C74*29400</f>
        <v/>
      </c>
      <c r="L74" s="790">
        <f>D74*25000</f>
        <v/>
      </c>
      <c r="M74" s="770">
        <f>E74*25000</f>
        <v/>
      </c>
      <c r="N74" s="771" t="n"/>
      <c r="O74" s="771" t="n"/>
      <c r="P74" s="771" t="n"/>
      <c r="Q74" s="758" t="n"/>
      <c r="R74" s="756">
        <f>SUM(K74:Q74)</f>
        <v/>
      </c>
      <c r="S74" s="756">
        <f>(C74+D74+E74+F74+I74+G74+H74)*8926</f>
        <v/>
      </c>
    </row>
    <row r="75" customFormat="1" s="755">
      <c r="A75" s="115" t="inlineStr">
        <is>
          <t>왁스솔벤트500</t>
        </is>
      </c>
      <c r="B75" s="703" t="inlineStr">
        <is>
          <t>P00000BT</t>
        </is>
      </c>
      <c r="C75" s="233" t="n"/>
      <c r="D75" s="235" t="n"/>
      <c r="E75" s="234" t="n"/>
      <c r="F75" s="322" t="n"/>
      <c r="G75" s="322" t="n"/>
      <c r="H75" s="236" t="n"/>
      <c r="I75" s="322" t="n"/>
      <c r="J75" s="35">
        <f>SUM(C75:I75)</f>
        <v/>
      </c>
      <c r="K75" s="792">
        <f>C75*25200</f>
        <v/>
      </c>
      <c r="L75" s="790">
        <f>D75*21000</f>
        <v/>
      </c>
      <c r="M75" s="770">
        <f>E75*21000</f>
        <v/>
      </c>
      <c r="N75" s="771" t="n"/>
      <c r="O75" s="771" t="n"/>
      <c r="P75" s="771" t="n"/>
      <c r="Q75" s="758" t="n"/>
      <c r="R75" s="756">
        <f>SUM(K75:Q75)</f>
        <v/>
      </c>
      <c r="S75" s="756">
        <f>(C75+D75+E75+F75+I75+G75+H75)*7032</f>
        <v/>
      </c>
    </row>
    <row r="76" customFormat="1" s="755">
      <c r="A76" s="115" t="inlineStr">
        <is>
          <t>왁스솔벤트1L</t>
        </is>
      </c>
      <c r="B76" s="703" t="inlineStr">
        <is>
          <t>P0000BMW</t>
        </is>
      </c>
      <c r="C76" s="233" t="n">
        <v>36</v>
      </c>
      <c r="D76" s="235" t="n"/>
      <c r="E76" s="234" t="n">
        <v>3</v>
      </c>
      <c r="F76" s="322" t="n"/>
      <c r="G76" s="322" t="n"/>
      <c r="H76" s="236" t="n"/>
      <c r="I76" s="322" t="n"/>
      <c r="J76" s="35">
        <f>SUM(C76:I76)</f>
        <v/>
      </c>
      <c r="K76" s="793">
        <f>C76*47000</f>
        <v/>
      </c>
      <c r="L76" s="790">
        <f>D76*39600</f>
        <v/>
      </c>
      <c r="M76" s="770">
        <f>E76*39600</f>
        <v/>
      </c>
      <c r="N76" s="771" t="n"/>
      <c r="O76" s="771" t="n"/>
      <c r="P76" s="771" t="n"/>
      <c r="Q76" s="758" t="n"/>
      <c r="R76" s="756">
        <f>SUM(K76:Q76)</f>
        <v/>
      </c>
      <c r="S76" s="756">
        <f>(C76+D76+E76+F76+I76+G76+H76)*11631</f>
        <v/>
      </c>
    </row>
    <row r="77" customFormat="1" s="755">
      <c r="A77" s="115" t="inlineStr">
        <is>
          <t>핑키니스킨500</t>
        </is>
      </c>
      <c r="B77" s="703" t="inlineStr">
        <is>
          <t>P00000PN</t>
        </is>
      </c>
      <c r="C77" s="233" t="n">
        <v>10</v>
      </c>
      <c r="D77" s="235" t="n"/>
      <c r="E77" s="234" t="n">
        <v>27</v>
      </c>
      <c r="F77" s="322" t="n"/>
      <c r="G77" s="322" t="n"/>
      <c r="H77" s="236" t="n"/>
      <c r="I77" s="322" t="n"/>
      <c r="J77" s="35">
        <f>SUM(C77:I77)</f>
        <v/>
      </c>
      <c r="K77" s="792">
        <f>C77*29400</f>
        <v/>
      </c>
      <c r="L77" s="790">
        <f>D77*25000</f>
        <v/>
      </c>
      <c r="M77" s="770">
        <f>E77*25000</f>
        <v/>
      </c>
      <c r="N77" s="771" t="n"/>
      <c r="O77" s="771" t="n"/>
      <c r="P77" s="771" t="n"/>
      <c r="Q77" s="758" t="n"/>
      <c r="R77" s="756">
        <f>SUM(K77:Q77)</f>
        <v/>
      </c>
      <c r="S77" s="756">
        <f>(C77+D77+E77+F77+I77+G77+H77)*8926</f>
        <v/>
      </c>
    </row>
    <row r="78" customFormat="1" s="755">
      <c r="A78" s="115" t="inlineStr">
        <is>
          <t>핑키니프리500</t>
        </is>
      </c>
      <c r="B78" s="703" t="inlineStr">
        <is>
          <t>P00000PN</t>
        </is>
      </c>
      <c r="C78" s="233" t="n">
        <v>12</v>
      </c>
      <c r="D78" s="235" t="n"/>
      <c r="E78" s="234" t="n">
        <v>15</v>
      </c>
      <c r="F78" s="322" t="n"/>
      <c r="G78" s="322" t="n"/>
      <c r="H78" s="236" t="n"/>
      <c r="I78" s="322" t="n"/>
      <c r="J78" s="35">
        <f>SUM(C78:I78)</f>
        <v/>
      </c>
      <c r="K78" s="792">
        <f>C78*29400</f>
        <v/>
      </c>
      <c r="L78" s="790">
        <f>D78*25000</f>
        <v/>
      </c>
      <c r="M78" s="770">
        <f>E78*25000</f>
        <v/>
      </c>
      <c r="N78" s="771" t="n"/>
      <c r="O78" s="771" t="n"/>
      <c r="P78" s="771" t="n"/>
      <c r="Q78" s="758" t="n"/>
      <c r="R78" s="756">
        <f>SUM(K78:Q78)</f>
        <v/>
      </c>
      <c r="S78" s="756">
        <f>(C78+D78+E78+F78+I78+G78+H78)*8926</f>
        <v/>
      </c>
    </row>
    <row r="79" customFormat="1" s="755">
      <c r="A79" s="65" t="inlineStr">
        <is>
          <t>핑키니피니싱500</t>
        </is>
      </c>
      <c r="B79" s="692" t="inlineStr">
        <is>
          <t>P00000PN</t>
        </is>
      </c>
      <c r="C79" s="311" t="n">
        <v>3</v>
      </c>
      <c r="D79" s="335" t="n"/>
      <c r="E79" s="336" t="n"/>
      <c r="F79" s="337" t="n"/>
      <c r="G79" s="337" t="n"/>
      <c r="H79" s="338" t="n"/>
      <c r="I79" s="337" t="n"/>
      <c r="J79" s="35">
        <f>SUM(C79:I79)</f>
        <v/>
      </c>
      <c r="K79" s="792">
        <f>C79*29400</f>
        <v/>
      </c>
      <c r="L79" s="790">
        <f>D79*25000</f>
        <v/>
      </c>
      <c r="M79" s="770">
        <f>E79*25000</f>
        <v/>
      </c>
      <c r="N79" s="771" t="n"/>
      <c r="O79" s="771" t="n"/>
      <c r="P79" s="771" t="n"/>
      <c r="Q79" s="758" t="n"/>
      <c r="R79" s="756">
        <f>SUM(K79:Q79)</f>
        <v/>
      </c>
      <c r="S79" s="756">
        <f>(C79+D79+E79+F79+I79+G79+H79)*8926</f>
        <v/>
      </c>
    </row>
    <row r="80" customFormat="1" s="755">
      <c r="A80" s="115" t="inlineStr">
        <is>
          <t>미니전후처리제5종세트125</t>
        </is>
      </c>
      <c r="B80" s="703" t="inlineStr">
        <is>
          <t>P00000BU</t>
        </is>
      </c>
      <c r="C80" s="233" t="n">
        <v>8</v>
      </c>
      <c r="D80" s="235" t="n"/>
      <c r="E80" s="234" t="n">
        <v>1</v>
      </c>
      <c r="F80" s="215" t="n">
        <v>1</v>
      </c>
      <c r="G80" s="322" t="n"/>
      <c r="H80" s="236" t="n"/>
      <c r="I80" s="322" t="n"/>
      <c r="J80" s="35">
        <f>SUM(C80:I80)</f>
        <v/>
      </c>
      <c r="K80" s="792">
        <f>C80*47000</f>
        <v/>
      </c>
      <c r="L80" s="790">
        <f>D80*35200</f>
        <v/>
      </c>
      <c r="M80" s="770">
        <f>E80*35200</f>
        <v/>
      </c>
      <c r="N80" s="771" t="n"/>
      <c r="O80" s="771">
        <f>F80*37600</f>
        <v/>
      </c>
      <c r="P80" s="771" t="n"/>
      <c r="Q80" s="758" t="n"/>
      <c r="R80" s="756">
        <f>SUM(K80:Q80)</f>
        <v/>
      </c>
      <c r="S80" s="756">
        <f>(C80+D80+E80+F80+I80+G80+H80)*18934</f>
        <v/>
      </c>
    </row>
    <row r="81" customFormat="1" s="755">
      <c r="A81" s="115" t="inlineStr">
        <is>
          <t>맨니피코스킨클렌저250</t>
        </is>
      </c>
      <c r="B81" s="380" t="inlineStr">
        <is>
          <t>P00000XD</t>
        </is>
      </c>
      <c r="C81" s="233" t="n">
        <v>1</v>
      </c>
      <c r="D81" s="235" t="n"/>
      <c r="E81" s="234" t="n"/>
      <c r="F81" s="230" t="n"/>
      <c r="G81" s="322" t="n"/>
      <c r="H81" s="236" t="n"/>
      <c r="I81" s="230" t="n"/>
      <c r="J81" s="35">
        <f>SUM(C81:I81)</f>
        <v/>
      </c>
      <c r="K81" s="793">
        <f>C81*16800</f>
        <v/>
      </c>
      <c r="L81" s="790">
        <f>D81*12100</f>
        <v/>
      </c>
      <c r="M81" s="770">
        <f>E81*12100</f>
        <v/>
      </c>
      <c r="N81" s="771" t="n"/>
      <c r="O81" s="771">
        <f>F81*9000</f>
        <v/>
      </c>
      <c r="P81" s="771" t="n"/>
      <c r="Q81" s="758" t="n"/>
      <c r="R81" s="756">
        <f>SUM(K81:Q81)</f>
        <v/>
      </c>
      <c r="S81" s="756">
        <f>(C81+D81+E81+F81+I81+G81+H81)*5319</f>
        <v/>
      </c>
    </row>
    <row r="82">
      <c r="A82" s="115" t="inlineStr">
        <is>
          <t>맨니피코더블액션오일250</t>
        </is>
      </c>
      <c r="B82" s="380" t="inlineStr">
        <is>
          <t>P00000XD</t>
        </is>
      </c>
      <c r="C82" s="237" t="n">
        <v>1</v>
      </c>
      <c r="D82" s="235" t="n"/>
      <c r="E82" s="234" t="n"/>
      <c r="F82" s="230" t="n"/>
      <c r="G82" s="322" t="n"/>
      <c r="H82" s="236" t="n"/>
      <c r="I82" s="230" t="n"/>
      <c r="J82" s="35">
        <f>SUM(C82:I82)</f>
        <v/>
      </c>
      <c r="K82" s="793">
        <f>C82*16800</f>
        <v/>
      </c>
      <c r="L82" s="790">
        <f>D82*12100</f>
        <v/>
      </c>
      <c r="M82" s="770">
        <f>E82*12100</f>
        <v/>
      </c>
      <c r="N82" s="771" t="n"/>
      <c r="O82" s="771">
        <f>F82*9000</f>
        <v/>
      </c>
      <c r="P82" s="771" t="n"/>
      <c r="R82" s="756">
        <f>SUM(K82:Q82)</f>
        <v/>
      </c>
      <c r="S82" s="756">
        <f>(C82+D82+E82+F82+I82+G82+H82)*5319</f>
        <v/>
      </c>
    </row>
    <row r="83">
      <c r="A83" s="115" t="inlineStr">
        <is>
          <t>맨니피코피니싱로션250</t>
        </is>
      </c>
      <c r="B83" s="380" t="inlineStr">
        <is>
          <t>P00000XD</t>
        </is>
      </c>
      <c r="C83" s="233" t="n">
        <v>2</v>
      </c>
      <c r="D83" s="235" t="n"/>
      <c r="E83" s="234" t="n"/>
      <c r="F83" s="230" t="n"/>
      <c r="G83" s="322" t="n"/>
      <c r="H83" s="236" t="n"/>
      <c r="I83" s="230" t="n"/>
      <c r="J83" s="35">
        <f>SUM(C83:I83)</f>
        <v/>
      </c>
      <c r="K83" s="793">
        <f>C83*16800</f>
        <v/>
      </c>
      <c r="L83" s="790">
        <f>D83*12100</f>
        <v/>
      </c>
      <c r="M83" s="770">
        <f>E83*12100</f>
        <v/>
      </c>
      <c r="N83" s="771" t="n"/>
      <c r="O83" s="771">
        <f>F83*9000</f>
        <v/>
      </c>
      <c r="P83" s="771" t="n"/>
      <c r="R83" s="756">
        <f>SUM(K83:Q83)</f>
        <v/>
      </c>
      <c r="S83" s="756">
        <f>(C83+D83+E83+F83+I83+G83+H83)*5319</f>
        <v/>
      </c>
    </row>
    <row r="84" customFormat="1" s="24">
      <c r="A84" s="68" t="n"/>
      <c r="B84" s="69" t="n"/>
      <c r="C84" s="70" t="inlineStr">
        <is>
          <t>도매</t>
        </is>
      </c>
      <c r="D84" s="9" t="n"/>
      <c r="E84" s="10" t="inlineStr">
        <is>
          <t>인증/마스터</t>
        </is>
      </c>
      <c r="F84" s="12" t="inlineStr">
        <is>
          <t>할인행사</t>
        </is>
      </c>
      <c r="G84" s="12" t="n"/>
      <c r="H84" s="695" t="inlineStr">
        <is>
          <t>증정행사</t>
        </is>
      </c>
      <c r="I84" s="765" t="n"/>
      <c r="J84" s="639" t="inlineStr">
        <is>
          <t>합계</t>
        </is>
      </c>
      <c r="K84" s="777">
        <f>SUM(K67:K83)</f>
        <v/>
      </c>
      <c r="L84" s="791">
        <f>SUM(L67:L83)</f>
        <v/>
      </c>
      <c r="M84" s="779">
        <f>SUM(M67:M83)</f>
        <v/>
      </c>
      <c r="N84" s="780">
        <f>SUM(N67:N83)</f>
        <v/>
      </c>
      <c r="O84" s="780">
        <f>SUM(O67:O83)</f>
        <v/>
      </c>
      <c r="P84" s="780">
        <f>SUM(P67:P83)</f>
        <v/>
      </c>
      <c r="Q84" s="777">
        <f>SUM(Q67:Q83)</f>
        <v/>
      </c>
      <c r="R84" s="781">
        <f>SUM(R67:R83)</f>
        <v/>
      </c>
      <c r="S84" s="782">
        <f>SUM(S67:S83)</f>
        <v/>
      </c>
    </row>
    <row r="85">
      <c r="C85" s="14" t="n"/>
      <c r="D85" s="388" t="n"/>
      <c r="E85" s="15" t="inlineStr">
        <is>
          <t>P00000QP</t>
        </is>
      </c>
      <c r="F85" s="45" t="inlineStr">
        <is>
          <t>P00000VP</t>
        </is>
      </c>
      <c r="G85" s="7" t="inlineStr">
        <is>
          <t>라2,코코3</t>
        </is>
      </c>
      <c r="H85" s="20" t="n"/>
      <c r="I85" s="157" t="n"/>
      <c r="J85" s="17" t="n"/>
      <c r="L85" s="790" t="n"/>
      <c r="M85" s="770" t="n"/>
      <c r="P85" s="785" t="n"/>
    </row>
    <row r="86">
      <c r="A86" s="24" t="inlineStr">
        <is>
          <t>슈거스크럽</t>
        </is>
      </c>
      <c r="C86" s="18" t="n"/>
      <c r="D86" s="389" t="n"/>
      <c r="E86" s="19" t="inlineStr">
        <is>
          <t>P00000QQ</t>
        </is>
      </c>
      <c r="F86" s="71" t="inlineStr">
        <is>
          <t>미니묶음</t>
        </is>
      </c>
      <c r="G86" s="71" t="inlineStr">
        <is>
          <t>석3,자2</t>
        </is>
      </c>
      <c r="H86" s="203" t="n"/>
      <c r="I86" s="71" t="n"/>
      <c r="J86" s="72" t="n"/>
      <c r="K86" s="763" t="inlineStr">
        <is>
          <t>도매</t>
        </is>
      </c>
      <c r="L86" s="764" t="inlineStr">
        <is>
          <t>인증살롱/마스터</t>
        </is>
      </c>
      <c r="M86" s="765" t="n"/>
      <c r="N86" s="766" t="inlineStr">
        <is>
          <t>할인</t>
        </is>
      </c>
      <c r="O86" s="766" t="inlineStr">
        <is>
          <t>세트할인</t>
        </is>
      </c>
      <c r="P86" s="766" t="inlineStr">
        <is>
          <t>할인+증정</t>
        </is>
      </c>
      <c r="Q86" s="794" t="inlineStr">
        <is>
          <t>증정</t>
        </is>
      </c>
      <c r="R86" s="767" t="inlineStr">
        <is>
          <t>품목별합계</t>
        </is>
      </c>
      <c r="S86" s="795" t="inlineStr">
        <is>
          <t>도매,마스터원가</t>
        </is>
      </c>
    </row>
    <row r="87">
      <c r="A87" s="79" t="inlineStr">
        <is>
          <t>슈가스크럽자몽520</t>
        </is>
      </c>
      <c r="B87" s="703" t="inlineStr">
        <is>
          <t>P00000BN</t>
        </is>
      </c>
      <c r="C87" s="233" t="n">
        <v>114</v>
      </c>
      <c r="D87" s="235" t="n"/>
      <c r="E87" s="234" t="n">
        <v>20</v>
      </c>
      <c r="F87" s="230" t="n"/>
      <c r="G87" s="322" t="n"/>
      <c r="H87" s="230" t="n"/>
      <c r="I87" s="230" t="n"/>
      <c r="J87" s="35">
        <f>SUM(C87:I87)</f>
        <v/>
      </c>
      <c r="K87" s="792">
        <f>C87*18900</f>
        <v/>
      </c>
      <c r="L87" s="790">
        <f>D87*15400</f>
        <v/>
      </c>
      <c r="M87" s="770">
        <f>E87*15400</f>
        <v/>
      </c>
      <c r="N87" s="771" t="n"/>
      <c r="O87" s="771" t="n"/>
      <c r="P87" s="796">
        <f>H87*18000</f>
        <v/>
      </c>
      <c r="Q87" s="797" t="n"/>
      <c r="R87" s="756">
        <f>SUM(K87:Q87)</f>
        <v/>
      </c>
      <c r="S87" s="756">
        <f>J87*7734</f>
        <v/>
      </c>
    </row>
    <row r="88">
      <c r="A88" s="79" t="inlineStr">
        <is>
          <t>슈가스크럽석류520</t>
        </is>
      </c>
      <c r="B88" s="703" t="inlineStr">
        <is>
          <t>P00000BN</t>
        </is>
      </c>
      <c r="C88" s="233" t="n">
        <v>72</v>
      </c>
      <c r="D88" s="538" t="n"/>
      <c r="E88" s="234" t="n">
        <v>3</v>
      </c>
      <c r="F88" s="230" t="n"/>
      <c r="G88" s="322" t="n"/>
      <c r="H88" s="230" t="n"/>
      <c r="I88" s="230" t="n"/>
      <c r="J88" s="35">
        <f>SUM(C88:I88)</f>
        <v/>
      </c>
      <c r="K88" s="792">
        <f>C88*18900</f>
        <v/>
      </c>
      <c r="L88" s="790">
        <f>D88*15400</f>
        <v/>
      </c>
      <c r="M88" s="770">
        <f>E88*15400</f>
        <v/>
      </c>
      <c r="N88" s="771" t="n"/>
      <c r="O88" s="771" t="n"/>
      <c r="P88" s="796">
        <f>H88*18000</f>
        <v/>
      </c>
      <c r="Q88" s="797" t="n"/>
      <c r="R88" s="756">
        <f>SUM(K88:Q88)</f>
        <v/>
      </c>
      <c r="S88" s="756">
        <f>J88*7734</f>
        <v/>
      </c>
    </row>
    <row r="89">
      <c r="A89" s="79" t="inlineStr">
        <is>
          <t>슈가스크럽라벤다520.</t>
        </is>
      </c>
      <c r="B89" s="703" t="inlineStr">
        <is>
          <t>P00000BN</t>
        </is>
      </c>
      <c r="C89" s="233" t="n">
        <v>93</v>
      </c>
      <c r="D89" s="235" t="n"/>
      <c r="E89" s="234" t="n">
        <v>17</v>
      </c>
      <c r="F89" s="230" t="n"/>
      <c r="G89" s="322" t="n"/>
      <c r="H89" s="230" t="n"/>
      <c r="I89" s="230" t="n"/>
      <c r="J89" s="35">
        <f>SUM(C89:I89)</f>
        <v/>
      </c>
      <c r="K89" s="792">
        <f>C89*18900</f>
        <v/>
      </c>
      <c r="L89" s="790">
        <f>D89*15400</f>
        <v/>
      </c>
      <c r="M89" s="770">
        <f>E89*15400</f>
        <v/>
      </c>
      <c r="N89" s="771" t="n"/>
      <c r="O89" s="771" t="n"/>
      <c r="P89" s="796">
        <f>H89*18000</f>
        <v/>
      </c>
      <c r="Q89" s="797" t="n"/>
      <c r="R89" s="756">
        <f>SUM(K89:Q89)</f>
        <v/>
      </c>
      <c r="S89" s="756">
        <f>J89*7734</f>
        <v/>
      </c>
    </row>
    <row r="90">
      <c r="A90" s="79" t="inlineStr">
        <is>
          <t>슈가스크럽코코넛&amp;바닐라520</t>
        </is>
      </c>
      <c r="B90" s="703" t="inlineStr">
        <is>
          <t>P00000BN</t>
        </is>
      </c>
      <c r="C90" s="233" t="n">
        <v>83</v>
      </c>
      <c r="D90" s="235" t="n"/>
      <c r="E90" s="234" t="n">
        <v>1</v>
      </c>
      <c r="F90" s="230" t="n"/>
      <c r="G90" s="322" t="n"/>
      <c r="H90" s="230" t="n"/>
      <c r="I90" s="230" t="n"/>
      <c r="J90" s="35">
        <f>SUM(C90:I90)</f>
        <v/>
      </c>
      <c r="K90" s="792">
        <f>C90*18900</f>
        <v/>
      </c>
      <c r="L90" s="790">
        <f>D90*15400</f>
        <v/>
      </c>
      <c r="M90" s="770">
        <f>E90*15400</f>
        <v/>
      </c>
      <c r="N90" s="771" t="n"/>
      <c r="O90" s="771" t="n"/>
      <c r="P90" s="796">
        <f>H90*18000</f>
        <v/>
      </c>
      <c r="Q90" s="797" t="n"/>
      <c r="R90" s="756">
        <f>SUM(K90:Q90)</f>
        <v/>
      </c>
      <c r="S90" s="756">
        <f>J90*7734</f>
        <v/>
      </c>
    </row>
    <row r="91">
      <c r="A91" s="79" t="inlineStr">
        <is>
          <t>슈가스크럽애플520</t>
        </is>
      </c>
      <c r="B91" s="703" t="inlineStr">
        <is>
          <t>P00000BN</t>
        </is>
      </c>
      <c r="C91" s="233" t="n">
        <v>52</v>
      </c>
      <c r="D91" s="235" t="n"/>
      <c r="E91" s="234" t="n">
        <v>6</v>
      </c>
      <c r="F91" s="230" t="n"/>
      <c r="G91" s="322" t="n"/>
      <c r="H91" s="230" t="n"/>
      <c r="I91" s="230" t="n"/>
      <c r="J91" s="35">
        <f>SUM(C91:I91)</f>
        <v/>
      </c>
      <c r="K91" s="792">
        <f>C91*18900</f>
        <v/>
      </c>
      <c r="L91" s="790">
        <f>D91*15400</f>
        <v/>
      </c>
      <c r="M91" s="770">
        <f>E91*15400</f>
        <v/>
      </c>
      <c r="N91" s="771" t="n"/>
      <c r="O91" s="771" t="n"/>
      <c r="P91" s="796">
        <f>H91*18000</f>
        <v/>
      </c>
      <c r="Q91" s="797" t="n"/>
      <c r="R91" s="756">
        <f>SUM(K91:Q91)</f>
        <v/>
      </c>
      <c r="S91" s="756">
        <f>J91*7734</f>
        <v/>
      </c>
    </row>
    <row r="92">
      <c r="A92" s="79" t="inlineStr">
        <is>
          <t>슈가스크럽망고520</t>
        </is>
      </c>
      <c r="B92" s="703" t="inlineStr">
        <is>
          <t>P00000BN</t>
        </is>
      </c>
      <c r="C92" s="233" t="n">
        <v>39</v>
      </c>
      <c r="D92" s="235" t="n"/>
      <c r="E92" s="234" t="n">
        <v>9</v>
      </c>
      <c r="F92" s="230" t="n"/>
      <c r="G92" s="322" t="n"/>
      <c r="H92" s="230" t="n"/>
      <c r="I92" s="230" t="n"/>
      <c r="J92" s="35">
        <f>SUM(C92:I92)</f>
        <v/>
      </c>
      <c r="K92" s="792">
        <f>C92*18900</f>
        <v/>
      </c>
      <c r="L92" s="790">
        <f>D92*15400</f>
        <v/>
      </c>
      <c r="M92" s="770">
        <f>E92*15400</f>
        <v/>
      </c>
      <c r="N92" s="771" t="n"/>
      <c r="O92" s="771" t="n"/>
      <c r="P92" s="796">
        <f>H92*18000</f>
        <v/>
      </c>
      <c r="Q92" s="797" t="n"/>
      <c r="R92" s="756">
        <f>SUM(K92:Q92)</f>
        <v/>
      </c>
      <c r="S92" s="756">
        <f>J92*7734</f>
        <v/>
      </c>
    </row>
    <row r="93">
      <c r="A93" s="79" t="inlineStr">
        <is>
          <t>자몽스크럽100</t>
        </is>
      </c>
      <c r="B93" s="703" t="inlineStr">
        <is>
          <t>P00000OG</t>
        </is>
      </c>
      <c r="C93" s="233" t="n">
        <v>88</v>
      </c>
      <c r="D93" s="235" t="n"/>
      <c r="E93" s="234" t="n">
        <v>32</v>
      </c>
      <c r="F93" s="230" t="n">
        <v>430</v>
      </c>
      <c r="G93" s="322" t="n"/>
      <c r="H93" s="236" t="n"/>
      <c r="I93" s="330" t="n"/>
      <c r="J93" s="35">
        <f>SUM(C93:I93)</f>
        <v/>
      </c>
      <c r="K93" s="792">
        <f>C93*8400</f>
        <v/>
      </c>
      <c r="L93" s="790">
        <f>D93*6600</f>
        <v/>
      </c>
      <c r="M93" s="770">
        <f>E93*6600</f>
        <v/>
      </c>
      <c r="N93" s="771">
        <f>F93*6720</f>
        <v/>
      </c>
      <c r="O93" s="771" t="n"/>
      <c r="P93" s="771" t="n"/>
      <c r="Q93" s="797" t="n"/>
      <c r="R93" s="756">
        <f>SUM(K93:Q93)</f>
        <v/>
      </c>
      <c r="S93" s="756">
        <f>J93*2880</f>
        <v/>
      </c>
    </row>
    <row r="94">
      <c r="A94" s="79" t="inlineStr">
        <is>
          <t>석류스크럽100</t>
        </is>
      </c>
      <c r="B94" s="703" t="inlineStr">
        <is>
          <t>P00000OG</t>
        </is>
      </c>
      <c r="C94" s="233" t="n">
        <v>58</v>
      </c>
      <c r="D94" s="235" t="n"/>
      <c r="E94" s="531" t="n">
        <v>32</v>
      </c>
      <c r="F94" s="230" t="n">
        <v>860</v>
      </c>
      <c r="G94" s="322" t="n"/>
      <c r="H94" s="236" t="n"/>
      <c r="I94" s="242" t="n"/>
      <c r="J94" s="35">
        <f>SUM(C94:I94)</f>
        <v/>
      </c>
      <c r="K94" s="792">
        <f>C94*8400</f>
        <v/>
      </c>
      <c r="L94" s="790">
        <f>D94*6600</f>
        <v/>
      </c>
      <c r="M94" s="770">
        <f>E94*6600</f>
        <v/>
      </c>
      <c r="N94" s="771">
        <f>F94*6720</f>
        <v/>
      </c>
      <c r="O94" s="771" t="n"/>
      <c r="P94" s="771" t="n"/>
      <c r="Q94" s="797" t="n"/>
      <c r="R94" s="756">
        <f>SUM(K94:Q94)</f>
        <v/>
      </c>
      <c r="S94" s="756">
        <f>J94*2880</f>
        <v/>
      </c>
    </row>
    <row r="95">
      <c r="A95" s="79" t="inlineStr">
        <is>
          <t>라벤더스크럽100</t>
        </is>
      </c>
      <c r="B95" s="703" t="inlineStr">
        <is>
          <t>P00000OG</t>
        </is>
      </c>
      <c r="C95" s="233" t="n">
        <v>113</v>
      </c>
      <c r="D95" s="235" t="n"/>
      <c r="E95" s="234" t="n">
        <v>28</v>
      </c>
      <c r="F95" s="230" t="n">
        <v>860</v>
      </c>
      <c r="G95" s="322" t="n"/>
      <c r="H95" s="236" t="n"/>
      <c r="I95" s="242" t="n"/>
      <c r="J95" s="35">
        <f>SUM(C95:I95)</f>
        <v/>
      </c>
      <c r="K95" s="792">
        <f>C95*8400</f>
        <v/>
      </c>
      <c r="L95" s="790">
        <f>D95*6600</f>
        <v/>
      </c>
      <c r="M95" s="770">
        <f>E95*6600</f>
        <v/>
      </c>
      <c r="N95" s="771">
        <f>F95*6720</f>
        <v/>
      </c>
      <c r="O95" s="771" t="n"/>
      <c r="P95" s="771" t="n"/>
      <c r="Q95" s="797" t="n"/>
      <c r="R95" s="756">
        <f>SUM(K95:Q95)</f>
        <v/>
      </c>
      <c r="S95" s="756">
        <f>J95*2880</f>
        <v/>
      </c>
    </row>
    <row r="96">
      <c r="A96" s="79" t="inlineStr">
        <is>
          <t>코코넛스크럽100</t>
        </is>
      </c>
      <c r="B96" s="703" t="inlineStr">
        <is>
          <t>P00000OG</t>
        </is>
      </c>
      <c r="C96" s="233" t="n">
        <v>76</v>
      </c>
      <c r="D96" s="235" t="n"/>
      <c r="E96" s="234" t="n">
        <v>15</v>
      </c>
      <c r="F96" s="230" t="n"/>
      <c r="G96" s="322" t="n"/>
      <c r="H96" s="236" t="n"/>
      <c r="I96" s="242" t="n"/>
      <c r="J96" s="35">
        <f>SUM(C96:I96)</f>
        <v/>
      </c>
      <c r="K96" s="792">
        <f>C96*8400</f>
        <v/>
      </c>
      <c r="L96" s="790">
        <f>D96*6600</f>
        <v/>
      </c>
      <c r="M96" s="770">
        <f>E96*6600</f>
        <v/>
      </c>
      <c r="N96" s="771">
        <f>F96*6720</f>
        <v/>
      </c>
      <c r="O96" s="771" t="n"/>
      <c r="P96" s="771" t="n"/>
      <c r="Q96" s="797" t="n"/>
      <c r="R96" s="756">
        <f>SUM(K96:Q96)</f>
        <v/>
      </c>
      <c r="S96" s="756">
        <f>J96*2880</f>
        <v/>
      </c>
    </row>
    <row r="97">
      <c r="A97" s="79" t="inlineStr">
        <is>
          <t>애플스크럽100</t>
        </is>
      </c>
      <c r="B97" s="703" t="inlineStr">
        <is>
          <t>P00000OG</t>
        </is>
      </c>
      <c r="C97" s="233" t="n">
        <v>81</v>
      </c>
      <c r="D97" s="235" t="n"/>
      <c r="E97" s="234" t="n">
        <v>22</v>
      </c>
      <c r="F97" s="230" t="n"/>
      <c r="G97" s="322" t="n"/>
      <c r="H97" s="236" t="n"/>
      <c r="I97" s="330" t="n"/>
      <c r="J97" s="35">
        <f>SUM(C97:I97)</f>
        <v/>
      </c>
      <c r="K97" s="792">
        <f>C97*8400</f>
        <v/>
      </c>
      <c r="L97" s="790">
        <f>D97*6600</f>
        <v/>
      </c>
      <c r="M97" s="770">
        <f>E97*6600</f>
        <v/>
      </c>
      <c r="N97" s="771">
        <f>F97*6720</f>
        <v/>
      </c>
      <c r="O97" s="771" t="n"/>
      <c r="P97" s="771" t="n"/>
      <c r="Q97" s="797" t="n"/>
      <c r="R97" s="756">
        <f>SUM(K97:Q97)</f>
        <v/>
      </c>
      <c r="S97" s="756">
        <f>J97*2880</f>
        <v/>
      </c>
    </row>
    <row r="98">
      <c r="A98" s="423" t="inlineStr">
        <is>
          <t>망고스크럽100</t>
        </is>
      </c>
      <c r="B98" s="692" t="inlineStr">
        <is>
          <t>P00000OG</t>
        </is>
      </c>
      <c r="C98" s="311" t="n">
        <v>46</v>
      </c>
      <c r="D98" s="335" t="n"/>
      <c r="E98" s="336" t="n">
        <v>21</v>
      </c>
      <c r="F98" s="424" t="n"/>
      <c r="G98" s="337" t="n"/>
      <c r="H98" s="338" t="n"/>
      <c r="I98" s="425" t="n"/>
      <c r="J98" s="66">
        <f>SUM(C98:I98)</f>
        <v/>
      </c>
      <c r="K98" s="792">
        <f>C98*8400</f>
        <v/>
      </c>
      <c r="L98" s="790">
        <f>D98*6600</f>
        <v/>
      </c>
      <c r="M98" s="770">
        <f>E98*6600</f>
        <v/>
      </c>
      <c r="N98" s="771">
        <f>F98*6720</f>
        <v/>
      </c>
      <c r="O98" s="771" t="n"/>
      <c r="P98" s="771" t="n"/>
      <c r="Q98" s="797" t="n"/>
      <c r="R98" s="756">
        <f>SUM(K98:Q98)</f>
        <v/>
      </c>
      <c r="S98" s="756">
        <f>J98*2880</f>
        <v/>
      </c>
    </row>
    <row r="99" customFormat="1" s="24">
      <c r="A99" s="81" t="inlineStr">
        <is>
          <t>520g합계</t>
        </is>
      </c>
      <c r="B99" s="703" t="n"/>
      <c r="C99" s="233">
        <f>SUM(C87:C98)</f>
        <v/>
      </c>
      <c r="D99" s="235" t="n"/>
      <c r="E99" s="234">
        <f>SUM(E87:E98)</f>
        <v/>
      </c>
      <c r="F99" s="230">
        <f>SUM(F87:F92)</f>
        <v/>
      </c>
      <c r="G99" s="230">
        <f>SUM(G87:G92)</f>
        <v/>
      </c>
      <c r="H99" s="230">
        <f>SUM(H87:H92)</f>
        <v/>
      </c>
      <c r="I99" s="422">
        <f>SUM(I87:I92)</f>
        <v/>
      </c>
      <c r="J99" s="422">
        <f>SUM(J87:J92)</f>
        <v/>
      </c>
      <c r="K99" s="798">
        <f>SUM(K87:K92)</f>
        <v/>
      </c>
      <c r="L99" s="799">
        <f>SUM(L87:L92)</f>
        <v/>
      </c>
      <c r="M99" s="800">
        <f>SUM(M87:M92)</f>
        <v/>
      </c>
      <c r="N99" s="801">
        <f>SUM(N87:N92)</f>
        <v/>
      </c>
      <c r="O99" s="801">
        <f>SUM(O87:O92)</f>
        <v/>
      </c>
      <c r="P99" s="801">
        <f>SUM(P87:P92)</f>
        <v/>
      </c>
      <c r="Q99" s="802">
        <f>SUM(Q87:Q92)</f>
        <v/>
      </c>
      <c r="R99" s="803" t="n"/>
      <c r="S99" s="803" t="n"/>
    </row>
    <row r="100">
      <c r="A100" s="81" t="inlineStr">
        <is>
          <t>미니100ml합계</t>
        </is>
      </c>
      <c r="B100" s="73" t="n"/>
      <c r="C100" s="35">
        <f>SUM(C94:C98)</f>
        <v/>
      </c>
      <c r="D100" s="32" t="n"/>
      <c r="E100" s="33">
        <f>SUM(E94:E98)</f>
        <v/>
      </c>
      <c r="F100" s="191">
        <f>SUM(F94:F98)</f>
        <v/>
      </c>
      <c r="G100" s="191" t="n"/>
      <c r="H100" s="191">
        <f>SUM(H94:H98)</f>
        <v/>
      </c>
      <c r="I100" s="41">
        <f>SUM(I87:I92)</f>
        <v/>
      </c>
      <c r="J100" s="438">
        <f>SUM(J94:J98)</f>
        <v/>
      </c>
      <c r="K100" s="804">
        <f>SUM(K94:K98)</f>
        <v/>
      </c>
      <c r="L100" s="805">
        <f>SUM(L94:L98)</f>
        <v/>
      </c>
      <c r="M100" s="806">
        <f>SUM(M94:M98)</f>
        <v/>
      </c>
      <c r="N100" s="807">
        <f>SUM(N94:N98)</f>
        <v/>
      </c>
      <c r="O100" s="807">
        <f>SUM(O94:O98)</f>
        <v/>
      </c>
      <c r="P100" s="807">
        <f>SUM(P94:P98)</f>
        <v/>
      </c>
      <c r="Q100" s="808" t="n"/>
      <c r="R100" s="809" t="n"/>
      <c r="S100" s="809" t="n"/>
    </row>
    <row r="101" customFormat="1" s="24">
      <c r="B101" s="74" t="n"/>
      <c r="C101" s="74" t="n"/>
      <c r="D101" s="9" t="n"/>
      <c r="E101" s="10" t="n"/>
      <c r="F101" s="12" t="n"/>
      <c r="G101" s="12" t="n"/>
      <c r="H101" s="192" t="n"/>
      <c r="I101" s="12" t="n"/>
      <c r="J101" s="639" t="inlineStr">
        <is>
          <t>합계</t>
        </is>
      </c>
      <c r="K101" s="777">
        <f>SUM(K87:K98)</f>
        <v/>
      </c>
      <c r="L101" s="791">
        <f>SUM(L87:L98)</f>
        <v/>
      </c>
      <c r="M101" s="779">
        <f>SUM(M87:M98)</f>
        <v/>
      </c>
      <c r="N101" s="780">
        <f>SUM(N87:N98)</f>
        <v/>
      </c>
      <c r="O101" s="780">
        <f>SUM(O87:O98)</f>
        <v/>
      </c>
      <c r="P101" s="780">
        <f>SUM(P87:P98)</f>
        <v/>
      </c>
      <c r="Q101" s="780">
        <f>SUM(Q87:Q98)</f>
        <v/>
      </c>
      <c r="R101" s="781">
        <f>SUM(R87:R98)</f>
        <v/>
      </c>
      <c r="S101" s="782">
        <f>SUM(S87:S98)</f>
        <v/>
      </c>
    </row>
    <row r="102" customFormat="1" s="24">
      <c r="B102" s="74" t="n"/>
      <c r="C102" s="74" t="inlineStr">
        <is>
          <t>도매</t>
        </is>
      </c>
      <c r="D102" s="9" t="n"/>
      <c r="E102" s="10" t="inlineStr">
        <is>
          <t>인증/마스터</t>
        </is>
      </c>
      <c r="F102" s="12" t="inlineStr">
        <is>
          <t>할인행사</t>
        </is>
      </c>
      <c r="G102" s="12" t="n"/>
      <c r="H102" s="192" t="n"/>
      <c r="I102" s="12" t="n"/>
      <c r="J102" s="639" t="n"/>
      <c r="K102" s="810" t="n"/>
      <c r="L102" s="811" t="n"/>
      <c r="M102" s="812" t="n"/>
      <c r="N102" s="813" t="n"/>
      <c r="O102" s="813" t="n"/>
      <c r="P102" s="813" t="n"/>
      <c r="Q102" s="813" t="n"/>
      <c r="R102" s="814" t="n"/>
      <c r="S102" s="814" t="n"/>
    </row>
    <row r="103">
      <c r="C103" s="14" t="n"/>
      <c r="D103" s="388" t="n"/>
      <c r="E103" s="15" t="inlineStr">
        <is>
          <t>P00000QS</t>
        </is>
      </c>
      <c r="F103" s="20" t="inlineStr">
        <is>
          <t>P0000BMZ</t>
        </is>
      </c>
      <c r="G103" s="75" t="n"/>
      <c r="H103" s="204" t="n"/>
      <c r="I103" s="76" t="n"/>
      <c r="J103" s="76" t="n"/>
      <c r="K103" s="789" t="n"/>
      <c r="P103" s="785" t="n"/>
    </row>
    <row r="104">
      <c r="C104" s="314" t="n"/>
      <c r="D104" s="388" t="n"/>
      <c r="E104" s="15" t="inlineStr">
        <is>
          <t>P00000QR</t>
        </is>
      </c>
      <c r="F104" s="20" t="inlineStr">
        <is>
          <t>P0000BMA</t>
        </is>
      </c>
      <c r="G104" s="75" t="inlineStr">
        <is>
          <t>기한임박</t>
        </is>
      </c>
      <c r="H104" s="205" t="n"/>
      <c r="I104" s="78" t="n"/>
      <c r="J104" s="78" t="n"/>
      <c r="P104" s="785" t="n"/>
    </row>
    <row r="105">
      <c r="A105" s="24" t="inlineStr">
        <is>
          <t>바디로션</t>
        </is>
      </c>
      <c r="C105" s="25" t="n"/>
      <c r="D105" s="389" t="n"/>
      <c r="E105" s="19" t="inlineStr">
        <is>
          <t>P00000QH</t>
        </is>
      </c>
      <c r="F105" s="20" t="inlineStr">
        <is>
          <t>P0000BAM</t>
        </is>
      </c>
      <c r="G105" s="77" t="n"/>
      <c r="H105" s="205" t="n"/>
      <c r="I105" s="78" t="n"/>
      <c r="J105" s="78" t="n"/>
      <c r="K105" s="763" t="inlineStr">
        <is>
          <t>도매</t>
        </is>
      </c>
      <c r="L105" s="764" t="inlineStr">
        <is>
          <t>인증살롱/마스터</t>
        </is>
      </c>
      <c r="M105" s="765" t="n"/>
      <c r="N105" s="766" t="inlineStr">
        <is>
          <t>할인</t>
        </is>
      </c>
      <c r="O105" s="766" t="inlineStr">
        <is>
          <t>기한임박할인</t>
        </is>
      </c>
      <c r="P105" s="766" t="inlineStr">
        <is>
          <t>할인+증정</t>
        </is>
      </c>
      <c r="Q105" s="767" t="n"/>
      <c r="R105" s="767" t="inlineStr">
        <is>
          <t>품목별합계</t>
        </is>
      </c>
      <c r="S105" s="795" t="inlineStr">
        <is>
          <t>도매,마스터원가</t>
        </is>
      </c>
    </row>
    <row r="106">
      <c r="A106" s="228" t="inlineStr">
        <is>
          <t>자몽로션250</t>
        </is>
      </c>
      <c r="B106" s="357" t="inlineStr">
        <is>
          <t>P000000U</t>
        </is>
      </c>
      <c r="C106" s="240" t="n"/>
      <c r="D106" s="235" t="n"/>
      <c r="E106" s="256" t="n"/>
      <c r="F106" s="230" t="n"/>
      <c r="G106" s="231" t="n"/>
      <c r="H106" s="236" t="n"/>
      <c r="I106" s="41" t="n"/>
      <c r="J106" s="35">
        <f>SUM(C106:I106)</f>
        <v/>
      </c>
      <c r="K106" s="815">
        <f>C106*12000</f>
        <v/>
      </c>
      <c r="L106" s="790">
        <f>D106*12000</f>
        <v/>
      </c>
      <c r="M106" s="770">
        <f>E106*12000</f>
        <v/>
      </c>
      <c r="N106" s="771" t="n"/>
      <c r="O106" s="771" t="n"/>
      <c r="P106" s="771" t="n"/>
      <c r="Q106" s="787" t="n"/>
      <c r="R106" s="756">
        <f>SUM(K106:Q106)</f>
        <v/>
      </c>
      <c r="S106" s="756">
        <f>J106*5967</f>
        <v/>
      </c>
    </row>
    <row r="107" customFormat="1" s="567">
      <c r="A107" s="228" t="inlineStr">
        <is>
          <t>석류로션250</t>
        </is>
      </c>
      <c r="B107" s="357" t="inlineStr">
        <is>
          <t>P000000U</t>
        </is>
      </c>
      <c r="C107" s="238" t="n"/>
      <c r="D107" s="242" t="n"/>
      <c r="E107" s="238" t="n"/>
      <c r="F107" s="242" t="n"/>
      <c r="G107" s="330" t="n"/>
      <c r="H107" s="242" t="n"/>
      <c r="I107" s="64" t="n"/>
      <c r="J107" s="64">
        <f>SUM(C107:I107)</f>
        <v/>
      </c>
      <c r="K107" s="943">
        <f>C107*12000</f>
        <v/>
      </c>
      <c r="L107" s="943">
        <f>D107*12000</f>
        <v/>
      </c>
      <c r="M107" s="932">
        <f>E107*12000</f>
        <v/>
      </c>
      <c r="N107" s="907" t="n"/>
      <c r="O107" s="907" t="n"/>
      <c r="P107" s="907" t="n"/>
      <c r="Q107" s="944" t="n"/>
      <c r="R107" s="932">
        <f>SUM(K107:Q107)</f>
        <v/>
      </c>
      <c r="S107" s="932">
        <f>J107*5967</f>
        <v/>
      </c>
    </row>
    <row r="108" customFormat="1" s="567">
      <c r="A108" s="228" t="inlineStr">
        <is>
          <t>라벤더로션</t>
        </is>
      </c>
      <c r="B108" s="357" t="inlineStr">
        <is>
          <t>P000000U</t>
        </is>
      </c>
      <c r="C108" s="238" t="n"/>
      <c r="D108" s="242" t="n"/>
      <c r="E108" s="238" t="n"/>
      <c r="F108" s="242" t="n"/>
      <c r="G108" s="330" t="n"/>
      <c r="H108" s="242" t="n"/>
      <c r="I108" s="64" t="n"/>
      <c r="J108" s="64">
        <f>SUM(C108:I108)</f>
        <v/>
      </c>
      <c r="K108" s="943">
        <f>C108*12000</f>
        <v/>
      </c>
      <c r="L108" s="943">
        <f>D108*12000</f>
        <v/>
      </c>
      <c r="M108" s="932">
        <f>E108*12000</f>
        <v/>
      </c>
      <c r="N108" s="907" t="n"/>
      <c r="O108" s="907" t="n"/>
      <c r="P108" s="907" t="n"/>
      <c r="Q108" s="944" t="n"/>
      <c r="R108" s="932">
        <f>SUM(K108:Q108)</f>
        <v/>
      </c>
      <c r="S108" s="932">
        <f>J108*5967</f>
        <v/>
      </c>
    </row>
    <row r="109">
      <c r="A109" s="79" t="inlineStr">
        <is>
          <t>코코넛250</t>
        </is>
      </c>
      <c r="B109" s="703" t="inlineStr">
        <is>
          <t>P000000U</t>
        </is>
      </c>
      <c r="C109" s="240" t="n"/>
      <c r="D109" s="235" t="n"/>
      <c r="E109" s="256" t="n"/>
      <c r="F109" s="230" t="n"/>
      <c r="G109" s="231" t="n"/>
      <c r="H109" s="236" t="n"/>
      <c r="I109" s="35" t="n"/>
      <c r="J109" s="35">
        <f>SUM(C109:I109)</f>
        <v/>
      </c>
      <c r="K109" s="815">
        <f>C109*12000</f>
        <v/>
      </c>
      <c r="L109" s="790">
        <f>D109*12000</f>
        <v/>
      </c>
      <c r="M109" s="770">
        <f>E109*12000</f>
        <v/>
      </c>
      <c r="N109" s="771" t="n"/>
      <c r="O109" s="771" t="n"/>
      <c r="P109" s="771" t="n"/>
      <c r="Q109" s="787" t="n"/>
      <c r="R109" s="756">
        <f>SUM(K109:Q109)</f>
        <v/>
      </c>
      <c r="S109" s="756">
        <f>J109*5967</f>
        <v/>
      </c>
    </row>
    <row r="110">
      <c r="A110" s="79" t="inlineStr">
        <is>
          <t>애플로션250</t>
        </is>
      </c>
      <c r="B110" s="703" t="inlineStr">
        <is>
          <t>P000000U</t>
        </is>
      </c>
      <c r="C110" s="240" t="n"/>
      <c r="D110" s="235" t="n"/>
      <c r="E110" s="256" t="n"/>
      <c r="F110" s="230" t="n"/>
      <c r="G110" s="231" t="n"/>
      <c r="H110" s="236" t="n"/>
      <c r="I110" s="35" t="n"/>
      <c r="J110" s="35">
        <f>SUM(C110:I110)</f>
        <v/>
      </c>
      <c r="K110" s="815">
        <f>C110*12000</f>
        <v/>
      </c>
      <c r="L110" s="790">
        <f>D110*12000</f>
        <v/>
      </c>
      <c r="M110" s="770">
        <f>E110*12000</f>
        <v/>
      </c>
      <c r="N110" s="771" t="n"/>
      <c r="O110" s="771" t="n"/>
      <c r="P110" s="771" t="n"/>
      <c r="Q110" s="787" t="n"/>
      <c r="R110" s="756">
        <f>SUM(K110:Q110)</f>
        <v/>
      </c>
      <c r="S110" s="756">
        <f>J110*5967</f>
        <v/>
      </c>
    </row>
    <row r="111">
      <c r="A111" s="79" t="inlineStr">
        <is>
          <t>망고로션250</t>
        </is>
      </c>
      <c r="B111" s="703" t="inlineStr">
        <is>
          <t>P000000U</t>
        </is>
      </c>
      <c r="C111" s="240" t="n">
        <v>22</v>
      </c>
      <c r="D111" s="235" t="n"/>
      <c r="E111" s="256" t="n"/>
      <c r="F111" s="230" t="n"/>
      <c r="G111" s="231" t="n"/>
      <c r="H111" s="236" t="n"/>
      <c r="I111" s="35" t="n"/>
      <c r="J111" s="35">
        <f>SUM(C111:I111)</f>
        <v/>
      </c>
      <c r="K111" s="815">
        <f>C111*12000</f>
        <v/>
      </c>
      <c r="L111" s="790">
        <f>D111*12000</f>
        <v/>
      </c>
      <c r="M111" s="770">
        <f>E111*12000</f>
        <v/>
      </c>
      <c r="N111" s="771" t="n"/>
      <c r="O111" s="771" t="n"/>
      <c r="P111" s="771" t="n"/>
      <c r="Q111" s="787" t="n"/>
      <c r="R111" s="756">
        <f>SUM(K111:Q111)</f>
        <v/>
      </c>
      <c r="S111" s="756">
        <f>J111*5967</f>
        <v/>
      </c>
    </row>
    <row r="112">
      <c r="A112" s="79" t="inlineStr">
        <is>
          <t>슈가로션자몽1L</t>
        </is>
      </c>
      <c r="B112" s="703" t="inlineStr">
        <is>
          <t>P0000BHQ</t>
        </is>
      </c>
      <c r="C112" s="240" t="n">
        <v>1</v>
      </c>
      <c r="D112" s="235" t="n"/>
      <c r="E112" s="256" t="n"/>
      <c r="F112" s="230" t="n"/>
      <c r="G112" s="231" t="n"/>
      <c r="H112" s="236" t="n"/>
      <c r="I112" s="35" t="n"/>
      <c r="J112" s="35">
        <f>SUM(C112:I112)</f>
        <v/>
      </c>
      <c r="K112" s="792">
        <f>C112*47000</f>
        <v/>
      </c>
      <c r="L112" s="790">
        <f>D112*35200</f>
        <v/>
      </c>
      <c r="M112" s="770">
        <f>E112*35200</f>
        <v/>
      </c>
      <c r="N112" s="771">
        <f>F112*23500</f>
        <v/>
      </c>
      <c r="O112" s="771">
        <f>G112*22500</f>
        <v/>
      </c>
      <c r="P112" s="771" t="n"/>
      <c r="Q112" s="787" t="n"/>
      <c r="R112" s="756">
        <f>SUM(K112:Q112)</f>
        <v/>
      </c>
      <c r="S112" s="756">
        <f>J112*15480</f>
        <v/>
      </c>
    </row>
    <row r="113">
      <c r="A113" s="79" t="inlineStr">
        <is>
          <t>슈가로션석류1L</t>
        </is>
      </c>
      <c r="B113" s="703" t="inlineStr">
        <is>
          <t>P000000V</t>
        </is>
      </c>
      <c r="C113" s="35" t="n"/>
      <c r="D113" s="235" t="n"/>
      <c r="E113" s="256" t="n"/>
      <c r="F113" s="230" t="n"/>
      <c r="G113" s="231" t="n"/>
      <c r="H113" s="236" t="n"/>
      <c r="I113" s="35" t="n"/>
      <c r="J113" s="35">
        <f>SUM(C113:I113)</f>
        <v/>
      </c>
      <c r="K113" s="792">
        <f>C113*47000</f>
        <v/>
      </c>
      <c r="L113" s="790">
        <f>D113*35200</f>
        <v/>
      </c>
      <c r="M113" s="770">
        <f>E113*35200</f>
        <v/>
      </c>
      <c r="N113" s="771">
        <f>F113*23500</f>
        <v/>
      </c>
      <c r="O113" s="771" t="n"/>
      <c r="P113" s="771" t="n"/>
      <c r="Q113" s="787" t="n"/>
      <c r="R113" s="756">
        <f>SUM(K113:Q113)</f>
        <v/>
      </c>
      <c r="S113" s="756">
        <f>J113*15480</f>
        <v/>
      </c>
    </row>
    <row r="114">
      <c r="A114" s="79" t="inlineStr">
        <is>
          <t>슈가로션라벤더1L</t>
        </is>
      </c>
      <c r="B114" s="703" t="inlineStr">
        <is>
          <t>P0000BIO</t>
        </is>
      </c>
      <c r="C114" s="240" t="n"/>
      <c r="D114" s="235" t="n"/>
      <c r="E114" s="256" t="n"/>
      <c r="F114" s="230" t="n"/>
      <c r="G114" s="231" t="n"/>
      <c r="H114" s="236" t="n"/>
      <c r="I114" s="35" t="n"/>
      <c r="J114" s="35">
        <f>SUM(C114:I114)</f>
        <v/>
      </c>
      <c r="K114" s="792">
        <f>C114*47000</f>
        <v/>
      </c>
      <c r="L114" s="790">
        <f>D114*35200</f>
        <v/>
      </c>
      <c r="M114" s="770">
        <f>E114*35200</f>
        <v/>
      </c>
      <c r="N114" s="771">
        <f>F114*23500</f>
        <v/>
      </c>
      <c r="O114" s="771">
        <f>G114*22500</f>
        <v/>
      </c>
      <c r="P114" s="771" t="n"/>
      <c r="Q114" s="787" t="n"/>
      <c r="R114" s="756">
        <f>SUM(K114:Q114)</f>
        <v/>
      </c>
      <c r="S114" s="756">
        <f>J114*15480</f>
        <v/>
      </c>
    </row>
    <row r="115">
      <c r="A115" s="79" t="inlineStr">
        <is>
          <t>슈가로션코코넛&amp;바닐라1L</t>
        </is>
      </c>
      <c r="B115" s="90" t="inlineStr">
        <is>
          <t>P0000BHP</t>
        </is>
      </c>
      <c r="C115" s="240" t="n">
        <v>2</v>
      </c>
      <c r="D115" s="235" t="n"/>
      <c r="E115" s="256" t="n"/>
      <c r="F115" s="230" t="n">
        <v>8</v>
      </c>
      <c r="G115" s="230" t="n"/>
      <c r="H115" s="236" t="n"/>
      <c r="I115" s="35" t="n"/>
      <c r="J115" s="35">
        <f>SUM(C115:I115)</f>
        <v/>
      </c>
      <c r="K115" s="792">
        <f>C115*47000</f>
        <v/>
      </c>
      <c r="L115" s="790">
        <f>D115*35200</f>
        <v/>
      </c>
      <c r="M115" s="770">
        <f>E115*35200</f>
        <v/>
      </c>
      <c r="N115" s="771">
        <f>F115*23500</f>
        <v/>
      </c>
      <c r="O115" s="771">
        <f>G115*23500</f>
        <v/>
      </c>
      <c r="P115" s="771" t="n"/>
      <c r="Q115" s="787" t="n"/>
      <c r="R115" s="756">
        <f>SUM(K115:Q115)</f>
        <v/>
      </c>
      <c r="S115" s="756">
        <f>J115*15480</f>
        <v/>
      </c>
    </row>
    <row r="116">
      <c r="A116" s="79" t="inlineStr">
        <is>
          <t>슈가로션애플1L</t>
        </is>
      </c>
      <c r="B116" s="703" t="inlineStr">
        <is>
          <t>P000000V</t>
        </is>
      </c>
      <c r="C116" s="240" t="n"/>
      <c r="D116" s="235" t="n"/>
      <c r="E116" s="256" t="n"/>
      <c r="F116" s="230" t="n">
        <v>4</v>
      </c>
      <c r="G116" s="230" t="n"/>
      <c r="H116" s="236" t="n"/>
      <c r="I116" s="35" t="n"/>
      <c r="J116" s="35">
        <f>SUM(C116:I116)</f>
        <v/>
      </c>
      <c r="K116" s="792">
        <f>C116*47000</f>
        <v/>
      </c>
      <c r="L116" s="790">
        <f>D116*35200</f>
        <v/>
      </c>
      <c r="M116" s="770">
        <f>E116*35200</f>
        <v/>
      </c>
      <c r="N116" s="771">
        <f>F116*23500</f>
        <v/>
      </c>
      <c r="O116" s="771">
        <f>G116*23500</f>
        <v/>
      </c>
      <c r="P116" s="771" t="n"/>
      <c r="Q116" s="787" t="n"/>
      <c r="R116" s="756">
        <f>SUM(K116:Q116)</f>
        <v/>
      </c>
      <c r="S116" s="756">
        <f>J116*15480</f>
        <v/>
      </c>
    </row>
    <row r="117">
      <c r="A117" s="79" t="inlineStr">
        <is>
          <t>슈가로션망고1L</t>
        </is>
      </c>
      <c r="B117" s="90" t="inlineStr">
        <is>
          <t>P0000BAO</t>
        </is>
      </c>
      <c r="C117" s="237" t="n"/>
      <c r="D117" s="235" t="n"/>
      <c r="E117" s="234" t="n"/>
      <c r="F117" s="230" t="n">
        <v>5</v>
      </c>
      <c r="G117" s="230" t="n"/>
      <c r="H117" s="197" t="n"/>
      <c r="I117" s="35" t="n"/>
      <c r="J117" s="35">
        <f>SUM(C117:I117)</f>
        <v/>
      </c>
      <c r="K117" s="792">
        <f>C117*47000</f>
        <v/>
      </c>
      <c r="L117" s="790">
        <f>D117*35200</f>
        <v/>
      </c>
      <c r="M117" s="770">
        <f>E117*35200</f>
        <v/>
      </c>
      <c r="N117" s="771">
        <f>F117*23500</f>
        <v/>
      </c>
      <c r="O117" s="771" t="n"/>
      <c r="P117" s="771" t="n"/>
      <c r="Q117" s="787" t="n"/>
      <c r="R117" s="756">
        <f>SUM(K117:Q117)</f>
        <v/>
      </c>
      <c r="S117" s="756">
        <f>J117*15480</f>
        <v/>
      </c>
    </row>
    <row r="118">
      <c r="A118" s="81" t="n"/>
      <c r="B118" s="29" t="n"/>
      <c r="C118" s="35" t="n"/>
      <c r="D118" s="32" t="n"/>
      <c r="E118" s="33" t="n"/>
      <c r="F118" s="191" t="n"/>
      <c r="G118" s="191" t="n"/>
      <c r="H118" s="191" t="n"/>
      <c r="I118" s="191" t="n"/>
      <c r="J118" s="35" t="n"/>
      <c r="L118" s="790" t="n"/>
      <c r="M118" s="770" t="n"/>
      <c r="N118" s="771" t="n"/>
      <c r="O118" s="771" t="n"/>
      <c r="P118" s="771" t="n"/>
      <c r="Q118" s="787" t="n"/>
    </row>
    <row r="119" customFormat="1" s="24">
      <c r="B119" s="639" t="n"/>
      <c r="C119" s="74" t="n"/>
      <c r="D119" s="82" t="n"/>
      <c r="E119" s="83" t="n"/>
      <c r="F119" s="84" t="n"/>
      <c r="G119" s="84" t="n"/>
      <c r="H119" s="206" t="n"/>
      <c r="I119" s="84" t="n"/>
      <c r="J119" s="85" t="inlineStr">
        <is>
          <t>합계</t>
        </is>
      </c>
      <c r="K119" s="777">
        <f>SUM(K107:K118)</f>
        <v/>
      </c>
      <c r="L119" s="791">
        <f>SUM(L107:L118)</f>
        <v/>
      </c>
      <c r="M119" s="779">
        <f>SUM(M107:M118)</f>
        <v/>
      </c>
      <c r="N119" s="780">
        <f>SUM(N107:N118)</f>
        <v/>
      </c>
      <c r="O119" s="780">
        <f>SUM(O107:O118)</f>
        <v/>
      </c>
      <c r="P119" s="780">
        <f>SUM(P107:P118)</f>
        <v/>
      </c>
      <c r="Q119" s="816">
        <f>SUM(Q107:Q118)</f>
        <v/>
      </c>
      <c r="R119" s="781">
        <f>SUM(R107:R118)</f>
        <v/>
      </c>
      <c r="S119" s="782">
        <f>SUM(S107:S118)</f>
        <v/>
      </c>
    </row>
    <row r="120" customFormat="1" s="24">
      <c r="B120" s="639" t="n"/>
      <c r="C120" s="74" t="inlineStr">
        <is>
          <t>도매</t>
        </is>
      </c>
      <c r="D120" s="82" t="n"/>
      <c r="E120" s="10" t="inlineStr">
        <is>
          <t>인증/마스터</t>
        </is>
      </c>
      <c r="F120" s="84" t="inlineStr">
        <is>
          <t>할인행사</t>
        </is>
      </c>
      <c r="G120" s="84" t="n"/>
      <c r="H120" s="206" t="n"/>
      <c r="I120" s="84" t="n"/>
      <c r="J120" s="85" t="n"/>
      <c r="K120" s="817" t="n"/>
      <c r="L120" s="818" t="n"/>
      <c r="M120" s="819" t="n"/>
      <c r="N120" s="820" t="n"/>
      <c r="O120" s="820" t="n"/>
      <c r="P120" s="820" t="n"/>
      <c r="Q120" s="783" t="n"/>
      <c r="R120" s="821" t="n"/>
      <c r="S120" s="821" t="n"/>
    </row>
    <row r="121">
      <c r="A121" s="24" t="inlineStr">
        <is>
          <t>대용량슈가스크럽</t>
        </is>
      </c>
      <c r="B121" s="86" t="n"/>
      <c r="D121" s="55" t="n"/>
      <c r="E121" s="15" t="inlineStr">
        <is>
          <t>P00000QY</t>
        </is>
      </c>
      <c r="F121" s="45" t="n"/>
      <c r="G121" s="45" t="n"/>
      <c r="H121" s="199" t="n"/>
      <c r="I121" s="35" t="n"/>
      <c r="J121" s="35" t="n"/>
      <c r="K121" s="822" t="inlineStr">
        <is>
          <t>도매</t>
        </is>
      </c>
      <c r="L121" s="764" t="inlineStr">
        <is>
          <t>인증살롱/마스터</t>
        </is>
      </c>
      <c r="M121" s="765" t="n"/>
      <c r="N121" s="823" t="inlineStr">
        <is>
          <t>할인</t>
        </is>
      </c>
      <c r="O121" s="823" t="inlineStr">
        <is>
          <t>세트할인</t>
        </is>
      </c>
      <c r="P121" s="823" t="inlineStr">
        <is>
          <t>할인+증정</t>
        </is>
      </c>
      <c r="Q121" s="824" t="n"/>
      <c r="R121" s="824" t="inlineStr">
        <is>
          <t>품목별합계</t>
        </is>
      </c>
      <c r="S121" s="825" t="inlineStr">
        <is>
          <t>도매,마스터원가</t>
        </is>
      </c>
    </row>
    <row r="122">
      <c r="A122" s="29" t="inlineStr">
        <is>
          <t>자몽2.5kg</t>
        </is>
      </c>
      <c r="B122" s="703" t="inlineStr">
        <is>
          <t>P000000W</t>
        </is>
      </c>
      <c r="C122" s="237" t="n">
        <v>2</v>
      </c>
      <c r="D122" s="235" t="n"/>
      <c r="E122" s="234" t="n">
        <v>1</v>
      </c>
      <c r="F122" s="230" t="n"/>
      <c r="G122" s="230" t="n"/>
      <c r="H122" s="197" t="n"/>
      <c r="I122" s="35" t="n"/>
      <c r="J122" s="35">
        <f>SUM(C122:I122)</f>
        <v/>
      </c>
      <c r="K122" s="793">
        <f>C122*100800</f>
        <v/>
      </c>
      <c r="L122" s="790">
        <f>D122*86900</f>
        <v/>
      </c>
      <c r="M122" s="770">
        <f>E122*86900</f>
        <v/>
      </c>
      <c r="N122" s="771" t="n"/>
      <c r="O122" s="771" t="n"/>
      <c r="P122" s="771" t="n"/>
      <c r="R122" s="756">
        <f>SUM(K122:Q122)</f>
        <v/>
      </c>
      <c r="S122" s="756">
        <f>J122*36064</f>
        <v/>
      </c>
    </row>
    <row r="123">
      <c r="A123" s="29" t="inlineStr">
        <is>
          <t>석류2.5kg</t>
        </is>
      </c>
      <c r="B123" s="703" t="inlineStr">
        <is>
          <t>P000000W</t>
        </is>
      </c>
      <c r="C123" s="237" t="n">
        <v>1</v>
      </c>
      <c r="D123" s="235" t="n"/>
      <c r="E123" s="234" t="n"/>
      <c r="F123" s="230" t="n"/>
      <c r="G123" s="230" t="n"/>
      <c r="H123" s="197" t="n"/>
      <c r="I123" s="35" t="n"/>
      <c r="J123" s="35">
        <f>SUM(C123:I123)</f>
        <v/>
      </c>
      <c r="K123" s="793">
        <f>C123*100800</f>
        <v/>
      </c>
      <c r="L123" s="790">
        <f>D123*86900</f>
        <v/>
      </c>
      <c r="M123" s="770">
        <f>E123*86900</f>
        <v/>
      </c>
      <c r="N123" s="771" t="n"/>
      <c r="O123" s="771" t="n"/>
      <c r="P123" s="771" t="n"/>
      <c r="R123" s="756">
        <f>SUM(K123:Q123)</f>
        <v/>
      </c>
      <c r="S123" s="756">
        <f>J123*36064</f>
        <v/>
      </c>
    </row>
    <row r="124">
      <c r="A124" s="29" t="inlineStr">
        <is>
          <t>라벤더2.5kg</t>
        </is>
      </c>
      <c r="B124" s="703" t="inlineStr">
        <is>
          <t>P000000W</t>
        </is>
      </c>
      <c r="C124" s="233" t="n">
        <v>1</v>
      </c>
      <c r="D124" s="235" t="n"/>
      <c r="E124" s="234" t="n"/>
      <c r="F124" s="230" t="n"/>
      <c r="G124" s="230" t="n"/>
      <c r="H124" s="197" t="n"/>
      <c r="I124" s="35" t="n"/>
      <c r="J124" s="35">
        <f>SUM(C124:I124)</f>
        <v/>
      </c>
      <c r="K124" s="793">
        <f>C124*100800</f>
        <v/>
      </c>
      <c r="L124" s="790">
        <f>D124*86900</f>
        <v/>
      </c>
      <c r="M124" s="770">
        <f>E124*86900</f>
        <v/>
      </c>
      <c r="N124" s="771" t="n"/>
      <c r="O124" s="771" t="n"/>
      <c r="P124" s="771" t="n"/>
      <c r="R124" s="756">
        <f>SUM(K124:Q124)</f>
        <v/>
      </c>
      <c r="S124" s="756">
        <f>J124*36064</f>
        <v/>
      </c>
    </row>
    <row r="125">
      <c r="A125" s="29" t="inlineStr">
        <is>
          <t>코코넛2.5kg</t>
        </is>
      </c>
      <c r="B125" s="703" t="inlineStr">
        <is>
          <t>P000000W</t>
        </is>
      </c>
      <c r="C125" s="237" t="n">
        <v>1</v>
      </c>
      <c r="D125" s="235" t="n"/>
      <c r="E125" s="234" t="n">
        <v>1</v>
      </c>
      <c r="F125" s="230" t="n"/>
      <c r="G125" s="230" t="n"/>
      <c r="H125" s="197" t="n"/>
      <c r="I125" s="35" t="n"/>
      <c r="J125" s="35">
        <f>SUM(C125:I125)</f>
        <v/>
      </c>
      <c r="K125" s="793">
        <f>C125*100800</f>
        <v/>
      </c>
      <c r="L125" s="790">
        <f>D125*86900</f>
        <v/>
      </c>
      <c r="M125" s="770">
        <f>E125*86900</f>
        <v/>
      </c>
      <c r="N125" s="771" t="n"/>
      <c r="O125" s="771" t="n"/>
      <c r="P125" s="771" t="n"/>
      <c r="R125" s="756">
        <f>SUM(K125:Q125)</f>
        <v/>
      </c>
      <c r="S125" s="756">
        <f>J125*36064</f>
        <v/>
      </c>
    </row>
    <row r="126" customFormat="1" s="24">
      <c r="B126" s="74" t="n"/>
      <c r="C126" s="74" t="n"/>
      <c r="D126" s="82" t="n"/>
      <c r="E126" s="10" t="inlineStr">
        <is>
          <t>인증/마스터</t>
        </is>
      </c>
      <c r="F126" s="84" t="inlineStr">
        <is>
          <t>할인행사</t>
        </is>
      </c>
      <c r="G126" s="84" t="n"/>
      <c r="H126" s="206" t="n"/>
      <c r="I126" s="84" t="n"/>
      <c r="J126" s="74" t="inlineStr">
        <is>
          <t>합계</t>
        </is>
      </c>
      <c r="K126" s="777">
        <f>SUM(K122:K125)</f>
        <v/>
      </c>
      <c r="L126" s="791">
        <f>SUM(L122:L125)</f>
        <v/>
      </c>
      <c r="M126" s="779">
        <f>SUM(M122:M125)</f>
        <v/>
      </c>
      <c r="N126" s="780">
        <f>SUM(N122:N125)</f>
        <v/>
      </c>
      <c r="O126" s="780">
        <f>SUM(O122:O125)</f>
        <v/>
      </c>
      <c r="P126" s="780">
        <f>SUM(P122:P125)</f>
        <v/>
      </c>
      <c r="Q126" s="777">
        <f>SUM(Q122:Q125)</f>
        <v/>
      </c>
      <c r="R126" s="781">
        <f>SUM(R122:R125)</f>
        <v/>
      </c>
      <c r="S126" s="782">
        <f>SUM(S122:S125)</f>
        <v/>
      </c>
    </row>
    <row r="127">
      <c r="A127" s="24" t="inlineStr">
        <is>
          <t>페디제품</t>
        </is>
      </c>
      <c r="B127" s="628" t="inlineStr">
        <is>
          <t>도매</t>
        </is>
      </c>
      <c r="C127" s="87" t="n"/>
      <c r="D127" s="88" t="n"/>
      <c r="E127" s="731" t="inlineStr">
        <is>
          <t>P00000RC</t>
        </is>
      </c>
      <c r="F127" s="90" t="inlineStr">
        <is>
          <t>P00000YY</t>
        </is>
      </c>
      <c r="G127" s="73" t="n"/>
      <c r="H127" s="195" t="n"/>
      <c r="I127" s="73" t="n"/>
      <c r="J127" s="74" t="n"/>
      <c r="K127" s="763" t="inlineStr">
        <is>
          <t>도매</t>
        </is>
      </c>
      <c r="L127" s="764" t="inlineStr">
        <is>
          <t>인증살롱/마스터</t>
        </is>
      </c>
      <c r="M127" s="765" t="n"/>
      <c r="N127" s="766" t="inlineStr">
        <is>
          <t>할인</t>
        </is>
      </c>
      <c r="O127" s="766" t="inlineStr">
        <is>
          <t>세트할인</t>
        </is>
      </c>
      <c r="P127" s="766" t="inlineStr">
        <is>
          <t>할인+증정</t>
        </is>
      </c>
      <c r="Q127" s="767" t="n"/>
      <c r="R127" s="767" t="inlineStr">
        <is>
          <t>품목별합계</t>
        </is>
      </c>
      <c r="S127" s="795" t="inlineStr">
        <is>
          <t>도매,마스터원가</t>
        </is>
      </c>
    </row>
    <row r="128">
      <c r="A128" s="129" t="inlineStr">
        <is>
          <t>리프레싱속</t>
        </is>
      </c>
      <c r="B128" s="87" t="n"/>
      <c r="C128" s="35" t="n"/>
      <c r="D128" s="32" t="n"/>
      <c r="E128" s="33" t="n"/>
      <c r="F128" s="230" t="n"/>
      <c r="G128" s="241" t="n"/>
      <c r="H128" s="195" t="n"/>
      <c r="I128" s="73" t="n"/>
      <c r="J128" s="35">
        <f>SUM(C128:I128)</f>
        <v/>
      </c>
      <c r="L128" s="769" t="n"/>
      <c r="M128" s="770" t="n"/>
      <c r="N128" s="771">
        <f>F128*39000</f>
        <v/>
      </c>
      <c r="P128" s="785" t="n"/>
      <c r="R128" s="756">
        <f>SUM(K128:Q128)</f>
        <v/>
      </c>
      <c r="S128" s="756">
        <f>J128*22255</f>
        <v/>
      </c>
    </row>
    <row r="129">
      <c r="A129" s="129" t="inlineStr">
        <is>
          <t>페디마사지로션</t>
        </is>
      </c>
      <c r="B129" s="87" t="n"/>
      <c r="C129" s="35" t="n"/>
      <c r="D129" s="32" t="n"/>
      <c r="E129" s="33" t="n"/>
      <c r="F129" s="230" t="n">
        <v>1</v>
      </c>
      <c r="G129" s="241" t="n"/>
      <c r="H129" s="195" t="n"/>
      <c r="I129" s="73" t="n"/>
      <c r="J129" s="35">
        <f>SUM(C129:I129)</f>
        <v/>
      </c>
      <c r="L129" s="769" t="n"/>
      <c r="M129" s="770" t="n"/>
      <c r="N129" s="771">
        <f>F129*39000</f>
        <v/>
      </c>
      <c r="P129" s="785" t="n"/>
      <c r="R129" s="756">
        <f>SUM(K129:Q129)</f>
        <v/>
      </c>
      <c r="S129" s="756">
        <f>J129*32062</f>
        <v/>
      </c>
    </row>
    <row r="130">
      <c r="A130" s="129" t="inlineStr">
        <is>
          <t>페디스크럽2.5</t>
        </is>
      </c>
      <c r="B130" s="87" t="n"/>
      <c r="C130" s="35" t="n"/>
      <c r="D130" s="32" t="n"/>
      <c r="E130" s="33" t="n"/>
      <c r="F130" s="230" t="n"/>
      <c r="G130" s="241" t="n"/>
      <c r="H130" s="195" t="n"/>
      <c r="I130" s="73" t="n"/>
      <c r="J130" s="35">
        <f>SUM(C130:I130)</f>
        <v/>
      </c>
      <c r="L130" s="769" t="n"/>
      <c r="M130" s="770" t="n"/>
      <c r="N130" s="771">
        <f>F130*39000</f>
        <v/>
      </c>
      <c r="P130" s="785" t="n"/>
      <c r="R130" s="756">
        <f>SUM(K130:Q130)</f>
        <v/>
      </c>
      <c r="S130" s="756">
        <f>J130*29799</f>
        <v/>
      </c>
    </row>
    <row r="131">
      <c r="A131" s="129" t="inlineStr">
        <is>
          <t>페디마스크팩</t>
        </is>
      </c>
      <c r="B131" s="87" t="n"/>
      <c r="C131" s="35" t="n"/>
      <c r="D131" s="32" t="n"/>
      <c r="E131" s="33" t="n"/>
      <c r="F131" s="230" t="n">
        <v>1</v>
      </c>
      <c r="G131" s="241" t="n"/>
      <c r="H131" s="195" t="n"/>
      <c r="I131" s="73" t="n"/>
      <c r="J131" s="35">
        <f>SUM(C131:I131)</f>
        <v/>
      </c>
      <c r="L131" s="769" t="n"/>
      <c r="M131" s="770" t="n"/>
      <c r="N131" s="771">
        <f>F131*39000</f>
        <v/>
      </c>
      <c r="P131" s="785" t="n"/>
      <c r="R131" s="756">
        <f>SUM(K131:Q131)</f>
        <v/>
      </c>
      <c r="S131" s="756">
        <f>J131*32062</f>
        <v/>
      </c>
    </row>
    <row r="132" customFormat="1" s="24">
      <c r="B132" s="74" t="n"/>
      <c r="C132" s="74" t="n"/>
      <c r="D132" s="9" t="n"/>
      <c r="E132" s="10" t="n"/>
      <c r="F132" s="12" t="n"/>
      <c r="G132" s="12" t="n"/>
      <c r="H132" s="192" t="n"/>
      <c r="I132" s="84" t="n"/>
      <c r="J132" s="639" t="inlineStr">
        <is>
          <t>합계</t>
        </is>
      </c>
      <c r="K132" s="777">
        <f>SUM(K128:K131)</f>
        <v/>
      </c>
      <c r="L132" s="778">
        <f>SUM(L128:L131)</f>
        <v/>
      </c>
      <c r="M132" s="779">
        <f>SUM(M128:M131)</f>
        <v/>
      </c>
      <c r="N132" s="780">
        <f>SUM(N128:N131)</f>
        <v/>
      </c>
      <c r="O132" s="780">
        <f>SUM(O128:O131)</f>
        <v/>
      </c>
      <c r="P132" s="777">
        <f>SUM(P128:P131)</f>
        <v/>
      </c>
      <c r="Q132" s="777">
        <f>SUM(Q128:Q131)</f>
        <v/>
      </c>
      <c r="R132" s="781">
        <f>SUM(R128:R131)</f>
        <v/>
      </c>
      <c r="S132" s="782">
        <f>SUM(S128:S131)</f>
        <v/>
      </c>
    </row>
    <row r="133" customFormat="1" s="24">
      <c r="B133" s="74" t="n"/>
      <c r="C133" s="74" t="inlineStr">
        <is>
          <t>도매</t>
        </is>
      </c>
      <c r="D133" s="9" t="n"/>
      <c r="E133" s="10" t="inlineStr">
        <is>
          <t>인증/마스터</t>
        </is>
      </c>
      <c r="F133" s="12" t="inlineStr">
        <is>
          <t>할인행사</t>
        </is>
      </c>
      <c r="G133" s="12" t="n"/>
      <c r="H133" s="192" t="n"/>
      <c r="I133" s="92" t="n"/>
      <c r="J133" s="639" t="n"/>
      <c r="K133" s="817" t="n"/>
      <c r="L133" s="826" t="n"/>
      <c r="M133" s="819" t="n"/>
      <c r="N133" s="820" t="n"/>
      <c r="O133" s="820" t="n"/>
      <c r="P133" s="817" t="n"/>
      <c r="Q133" s="817" t="n"/>
      <c r="R133" s="821" t="n"/>
      <c r="S133" s="821" t="n"/>
    </row>
    <row r="134">
      <c r="C134" s="638" t="n"/>
      <c r="D134" s="55" t="n"/>
      <c r="E134" s="15" t="inlineStr">
        <is>
          <t>P00000QZ</t>
        </is>
      </c>
      <c r="F134" s="84" t="n"/>
      <c r="G134" s="12" t="n"/>
      <c r="H134" s="192" t="n"/>
      <c r="I134" s="92" t="n"/>
      <c r="J134" s="639" t="n"/>
      <c r="L134" s="769" t="n"/>
      <c r="M134" s="770" t="n"/>
      <c r="P134" s="785" t="n"/>
    </row>
    <row r="135">
      <c r="A135" s="24" t="inlineStr">
        <is>
          <t>세트제품</t>
        </is>
      </c>
      <c r="B135" s="93" t="n"/>
      <c r="C135" s="94" t="n"/>
      <c r="D135" s="55" t="n"/>
      <c r="E135" s="15" t="inlineStr">
        <is>
          <t>P00000XA</t>
        </is>
      </c>
      <c r="F135" s="45" t="n"/>
      <c r="G135" s="630" t="n"/>
      <c r="H135" s="193" t="n"/>
      <c r="I135" s="66" t="n"/>
      <c r="J135" s="66" t="n"/>
      <c r="K135" s="763" t="inlineStr">
        <is>
          <t>도매</t>
        </is>
      </c>
      <c r="L135" s="764" t="inlineStr">
        <is>
          <t>인증살롱/마스터</t>
        </is>
      </c>
      <c r="M135" s="765" t="n"/>
      <c r="N135" s="766" t="inlineStr">
        <is>
          <t>할인</t>
        </is>
      </c>
      <c r="O135" s="766" t="inlineStr">
        <is>
          <t>세트할인</t>
        </is>
      </c>
      <c r="P135" s="766" t="inlineStr">
        <is>
          <t>할인+증정</t>
        </is>
      </c>
      <c r="Q135" s="827" t="n"/>
      <c r="R135" s="767" t="inlineStr">
        <is>
          <t>품목별합계</t>
        </is>
      </c>
      <c r="S135" s="795" t="inlineStr">
        <is>
          <t>도매,마스터원가</t>
        </is>
      </c>
    </row>
    <row r="136">
      <c r="A136" s="24" t="n"/>
      <c r="B136" s="365" t="n"/>
      <c r="C136" s="94" t="n"/>
      <c r="D136" s="55" t="n"/>
      <c r="E136" s="15" t="inlineStr">
        <is>
          <t>P0000BHU</t>
        </is>
      </c>
      <c r="F136" s="45" t="n"/>
      <c r="G136" s="630" t="n"/>
      <c r="H136" s="193" t="n"/>
      <c r="I136" s="66" t="n"/>
      <c r="J136" s="66" t="n"/>
      <c r="K136" s="828" t="n"/>
      <c r="L136" s="829" t="n"/>
      <c r="M136" s="830" t="n"/>
      <c r="N136" s="796" t="n"/>
      <c r="O136" s="796" t="n"/>
      <c r="P136" s="796" t="n"/>
      <c r="Q136" s="772" t="n"/>
      <c r="R136" s="758" t="n"/>
    </row>
    <row r="137">
      <c r="A137" s="95" t="inlineStr">
        <is>
          <t>핑키니브라질리언세트</t>
        </is>
      </c>
      <c r="B137" s="67" t="inlineStr">
        <is>
          <t>P00000PN</t>
        </is>
      </c>
      <c r="C137" s="312" t="n">
        <v>2</v>
      </c>
      <c r="D137" s="235" t="n"/>
      <c r="E137" s="234" t="n">
        <v>2</v>
      </c>
      <c r="F137" s="34" t="n"/>
      <c r="G137" s="34" t="n"/>
      <c r="H137" s="195" t="n"/>
      <c r="I137" s="41" t="n"/>
      <c r="J137" s="35">
        <f>SUM(C137:I137)</f>
        <v/>
      </c>
      <c r="K137" s="815">
        <f>C137*134000</f>
        <v/>
      </c>
      <c r="L137" s="769">
        <f>D137*106700</f>
        <v/>
      </c>
      <c r="M137" s="770">
        <f>E137*106700</f>
        <v/>
      </c>
      <c r="N137" s="771" t="n"/>
      <c r="O137" s="771" t="n"/>
      <c r="P137" s="771" t="n"/>
      <c r="Q137" s="772" t="n"/>
      <c r="R137" s="756">
        <f>SUM(K137:Q137)</f>
        <v/>
      </c>
      <c r="S137" s="756">
        <f>J137*59055</f>
        <v/>
      </c>
    </row>
    <row r="138">
      <c r="A138" s="95" t="inlineStr">
        <is>
          <t>맨니피코세트</t>
        </is>
      </c>
      <c r="B138" s="67" t="inlineStr">
        <is>
          <t>P00000XD</t>
        </is>
      </c>
      <c r="C138" s="312" t="n">
        <v>1</v>
      </c>
      <c r="D138" s="235" t="n"/>
      <c r="E138" s="234" t="n"/>
      <c r="F138" s="34" t="n"/>
      <c r="G138" s="34" t="n"/>
      <c r="H138" s="195" t="n"/>
      <c r="I138" s="41" t="n"/>
      <c r="J138" s="35">
        <f>SUM(C138:I138)</f>
        <v/>
      </c>
      <c r="K138" s="815">
        <f>C138*134000</f>
        <v/>
      </c>
      <c r="L138" s="769">
        <f>D138*106700</f>
        <v/>
      </c>
      <c r="M138" s="770">
        <f>E138*106700</f>
        <v/>
      </c>
      <c r="N138" s="771" t="n"/>
      <c r="O138" s="771" t="n"/>
      <c r="P138" s="771" t="n"/>
      <c r="Q138" s="772" t="n"/>
      <c r="R138" s="756">
        <f>SUM(K138:Q138)</f>
        <v/>
      </c>
      <c r="S138" s="756">
        <f>J138*40000</f>
        <v/>
      </c>
    </row>
    <row r="139">
      <c r="A139" s="555" t="inlineStr">
        <is>
          <t>라이코페디프로7종세트</t>
        </is>
      </c>
      <c r="B139" s="556" t="inlineStr">
        <is>
          <t>P0000BHS</t>
        </is>
      </c>
      <c r="C139" s="559" t="n"/>
      <c r="D139" s="235" t="n"/>
      <c r="E139" s="234" t="n"/>
      <c r="F139" s="191" t="n">
        <v>2</v>
      </c>
      <c r="G139" s="34" t="n"/>
      <c r="H139" s="195" t="n"/>
      <c r="I139" s="41" t="n"/>
      <c r="J139" s="35">
        <f>SUM(C139:I139)</f>
        <v/>
      </c>
      <c r="K139" s="831">
        <f>C139*89600</f>
        <v/>
      </c>
      <c r="L139" s="769">
        <f>D139*89600</f>
        <v/>
      </c>
      <c r="M139" s="770">
        <f>E139*89600</f>
        <v/>
      </c>
      <c r="N139" s="771">
        <f>F139*89600</f>
        <v/>
      </c>
      <c r="O139" s="771" t="n"/>
      <c r="P139" s="771" t="n"/>
      <c r="Q139" s="772" t="n"/>
      <c r="R139" s="756">
        <f>SUM(K139:Q139)</f>
        <v/>
      </c>
      <c r="S139" s="756">
        <f>J139*55173</f>
        <v/>
      </c>
    </row>
    <row r="140">
      <c r="A140" s="96" t="n"/>
      <c r="D140" s="97" t="n"/>
      <c r="E140" s="98" t="n"/>
      <c r="F140" s="99" t="n"/>
      <c r="G140" s="100" t="n"/>
      <c r="H140" s="198" t="n"/>
      <c r="I140" s="72" t="n"/>
      <c r="J140" s="72" t="inlineStr">
        <is>
          <t>합계</t>
        </is>
      </c>
      <c r="K140" s="777">
        <f>SUM(K136:K139)</f>
        <v/>
      </c>
      <c r="L140" s="778">
        <f>SUM(L136:L139)</f>
        <v/>
      </c>
      <c r="M140" s="779">
        <f>SUM(M136:M139)</f>
        <v/>
      </c>
      <c r="N140" s="780">
        <f>SUM(N136:N139)</f>
        <v/>
      </c>
      <c r="O140" s="780">
        <f>SUM(O136:O139)</f>
        <v/>
      </c>
      <c r="P140" s="780">
        <f>SUM(P136:P139)</f>
        <v/>
      </c>
      <c r="Q140" s="780">
        <f>SUM(Q136:Q139)</f>
        <v/>
      </c>
      <c r="R140" s="781">
        <f>SUM(R136:R139)</f>
        <v/>
      </c>
      <c r="S140" s="782">
        <f>SUM(S136:S139)</f>
        <v/>
      </c>
    </row>
    <row r="141" customFormat="1" s="24">
      <c r="B141" s="74" t="n"/>
      <c r="C141" s="31" t="n"/>
      <c r="D141" s="588" t="n"/>
      <c r="E141" s="10" t="inlineStr">
        <is>
          <t>인증/마스터</t>
        </is>
      </c>
      <c r="F141" s="695" t="inlineStr">
        <is>
          <t>할인행사</t>
        </is>
      </c>
      <c r="G141" s="695" t="n"/>
      <c r="H141" s="590" t="n"/>
      <c r="I141" s="84" t="inlineStr">
        <is>
          <t>행사</t>
        </is>
      </c>
      <c r="J141" s="85" t="n"/>
      <c r="K141" s="817" t="n"/>
      <c r="L141" s="826" t="n"/>
      <c r="M141" s="819" t="n"/>
      <c r="N141" s="820" t="n"/>
      <c r="O141" s="820" t="n"/>
      <c r="P141" s="820" t="n"/>
      <c r="Q141" s="820" t="n"/>
      <c r="R141" s="821" t="n"/>
      <c r="S141" s="821" t="n"/>
    </row>
    <row r="142">
      <c r="A142" s="24" t="n"/>
      <c r="C142" s="584" t="n"/>
      <c r="D142" s="584" t="inlineStr">
        <is>
          <t>인그로운15</t>
        </is>
      </c>
      <c r="E142" s="585" t="inlineStr">
        <is>
          <t>P00000QK</t>
        </is>
      </c>
      <c r="F142" s="586" t="n"/>
      <c r="G142" s="108" t="n"/>
      <c r="H142" s="587" t="n"/>
      <c r="I142" s="108" t="n"/>
      <c r="J142" s="107" t="n"/>
      <c r="L142" s="769" t="n"/>
      <c r="P142" s="785" t="n"/>
    </row>
    <row r="143">
      <c r="A143" s="24" t="n"/>
      <c r="C143" s="104" t="inlineStr">
        <is>
          <t>인스125,50</t>
        </is>
      </c>
      <c r="D143" s="394" t="n"/>
      <c r="E143" s="15" t="inlineStr">
        <is>
          <t>P00000QI</t>
        </is>
      </c>
      <c r="F143" s="20" t="inlineStr">
        <is>
          <t>P0000BJQ</t>
        </is>
      </c>
      <c r="G143" s="84" t="inlineStr">
        <is>
          <t>기한임박</t>
        </is>
      </c>
      <c r="H143" s="195" t="n"/>
      <c r="I143" s="73" t="n"/>
      <c r="J143" s="102" t="n"/>
      <c r="L143" s="769" t="n"/>
      <c r="P143" s="785" t="n"/>
    </row>
    <row r="144">
      <c r="A144" s="24" t="n"/>
      <c r="C144" s="104" t="inlineStr">
        <is>
          <t>인크,헤어</t>
        </is>
      </c>
      <c r="D144" s="394" t="n"/>
      <c r="E144" s="15" t="inlineStr">
        <is>
          <t>P00000QL</t>
        </is>
      </c>
      <c r="F144" s="45" t="inlineStr">
        <is>
          <t>P00000KX</t>
        </is>
      </c>
      <c r="G144" s="101" t="inlineStr">
        <is>
          <t>인15+브팩</t>
        </is>
      </c>
      <c r="H144" s="207" t="n"/>
      <c r="I144" s="84" t="n"/>
      <c r="J144" s="102" t="n"/>
      <c r="L144" s="769" t="n"/>
      <c r="P144" s="785" t="n"/>
    </row>
    <row r="145" ht="24" customHeight="1" s="754">
      <c r="A145" s="24" t="inlineStr">
        <is>
          <t>사후관리제품</t>
        </is>
      </c>
      <c r="C145" s="104" t="inlineStr">
        <is>
          <t>바디,셀룰</t>
        </is>
      </c>
      <c r="D145" s="394" t="n"/>
      <c r="E145" s="15" t="inlineStr">
        <is>
          <t>P00000QM</t>
        </is>
      </c>
      <c r="F145" s="20" t="inlineStr">
        <is>
          <t>P00000YU</t>
        </is>
      </c>
      <c r="G145" s="26" t="inlineStr">
        <is>
          <t>바디스타터키트</t>
        </is>
      </c>
      <c r="H145" s="195" t="n"/>
      <c r="I145" s="20" t="n"/>
      <c r="J145" s="102" t="n"/>
      <c r="L145" s="769" t="n"/>
      <c r="P145" s="785" t="n"/>
    </row>
    <row r="146">
      <c r="A146" s="24" t="n"/>
      <c r="C146" s="104" t="inlineStr">
        <is>
          <t>핑키니</t>
        </is>
      </c>
      <c r="D146" s="394" t="n"/>
      <c r="E146" s="15" t="inlineStr">
        <is>
          <t>P00000QO</t>
        </is>
      </c>
      <c r="F146" s="20" t="n"/>
      <c r="G146" s="292" t="n"/>
      <c r="H146" s="195" t="n"/>
      <c r="I146" s="109" t="n"/>
      <c r="J146" s="124" t="n"/>
      <c r="L146" s="769" t="n"/>
      <c r="P146" s="785" t="n"/>
    </row>
    <row r="147">
      <c r="A147" s="24" t="n"/>
      <c r="B147" s="104" t="n"/>
      <c r="C147" s="104" t="inlineStr">
        <is>
          <t>로션250</t>
        </is>
      </c>
      <c r="D147" s="55" t="n"/>
      <c r="E147" s="15" t="inlineStr">
        <is>
          <t>P00000QS</t>
        </is>
      </c>
      <c r="F147" s="20" t="n"/>
      <c r="G147" s="147" t="n"/>
      <c r="H147" s="195" t="n"/>
      <c r="I147" s="20" t="n"/>
      <c r="J147" s="124" t="n"/>
      <c r="L147" s="769" t="n"/>
      <c r="P147" s="785" t="n"/>
    </row>
    <row r="148">
      <c r="A148" s="24" t="n"/>
      <c r="B148" s="638" t="inlineStr">
        <is>
          <t>도매</t>
        </is>
      </c>
      <c r="C148" s="552" t="n"/>
      <c r="D148" s="553" t="n"/>
      <c r="E148" s="553" t="n"/>
      <c r="F148" s="106" t="n"/>
      <c r="G148" s="107" t="n"/>
      <c r="H148" s="202" t="n"/>
      <c r="I148" s="107" t="n"/>
      <c r="J148" s="108" t="n"/>
      <c r="K148" s="832" t="inlineStr">
        <is>
          <t>도매</t>
        </is>
      </c>
      <c r="L148" s="764" t="inlineStr">
        <is>
          <t>인증살롱/마스터</t>
        </is>
      </c>
      <c r="M148" s="765" t="n"/>
      <c r="N148" s="766" t="inlineStr">
        <is>
          <t>할인</t>
        </is>
      </c>
      <c r="O148" s="766" t="inlineStr">
        <is>
          <t>세트할인</t>
        </is>
      </c>
      <c r="P148" s="766" t="inlineStr">
        <is>
          <t>할인+증정</t>
        </is>
      </c>
      <c r="Q148" s="766" t="inlineStr">
        <is>
          <t>세트할인</t>
        </is>
      </c>
      <c r="R148" s="767" t="inlineStr">
        <is>
          <t>품목별합계</t>
        </is>
      </c>
      <c r="S148" s="795" t="inlineStr">
        <is>
          <t>도매,마스터원가</t>
        </is>
      </c>
    </row>
    <row r="149">
      <c r="A149" s="79" t="inlineStr">
        <is>
          <t>인그로운xit솔루션50ml</t>
        </is>
      </c>
      <c r="B149" s="703" t="inlineStr">
        <is>
          <t>P000000Q</t>
        </is>
      </c>
      <c r="C149" s="233" t="n">
        <v>576</v>
      </c>
      <c r="D149" s="366" t="n"/>
      <c r="E149" s="339" t="n">
        <v>36</v>
      </c>
      <c r="F149" s="230" t="n"/>
      <c r="G149" s="231" t="n"/>
      <c r="H149" s="236" t="n"/>
      <c r="I149" s="242" t="n"/>
      <c r="J149" s="35">
        <f>SUM(C149:I149)</f>
        <v/>
      </c>
      <c r="K149" s="815">
        <f>C149*10400</f>
        <v/>
      </c>
      <c r="L149" s="769">
        <f>D149*9000</f>
        <v/>
      </c>
      <c r="M149" s="770">
        <f>E149*9000</f>
        <v/>
      </c>
      <c r="N149" s="771" t="n"/>
      <c r="O149" s="771" t="n"/>
      <c r="P149" s="771" t="n"/>
      <c r="Q149" s="796" t="n"/>
      <c r="R149" s="756">
        <f>SUM(K149:Q149)</f>
        <v/>
      </c>
      <c r="S149" s="756">
        <f>J149*5400</f>
        <v/>
      </c>
    </row>
    <row r="150">
      <c r="A150" s="79" t="inlineStr">
        <is>
          <t>인그로운xit솔루션125ml</t>
        </is>
      </c>
      <c r="B150" s="703" t="inlineStr">
        <is>
          <t>P00000BJ</t>
        </is>
      </c>
      <c r="C150" s="233" t="n">
        <v>261</v>
      </c>
      <c r="D150" s="235" t="n"/>
      <c r="E150" s="234" t="n">
        <v>72</v>
      </c>
      <c r="F150" s="230" t="n">
        <v>1</v>
      </c>
      <c r="G150" s="242" t="n"/>
      <c r="H150" s="236" t="n"/>
      <c r="I150" s="230" t="n"/>
      <c r="J150" s="35">
        <f>SUM(C150:I150)</f>
        <v/>
      </c>
      <c r="K150" s="815">
        <f>C150*14700</f>
        <v/>
      </c>
      <c r="L150" s="769">
        <f>D150*12900</f>
        <v/>
      </c>
      <c r="M150" s="770">
        <f>E150*12900</f>
        <v/>
      </c>
      <c r="N150" s="771" t="n"/>
      <c r="O150" s="771">
        <f>F150*11760</f>
        <v/>
      </c>
      <c r="P150" s="771" t="n"/>
      <c r="Q150" s="796" t="n"/>
      <c r="R150" s="756">
        <f>SUM(K150:Q150)</f>
        <v/>
      </c>
      <c r="S150" s="756">
        <f>J150*7140</f>
        <v/>
      </c>
    </row>
    <row r="151">
      <c r="A151" s="79" t="inlineStr">
        <is>
          <t>인그로운15ml</t>
        </is>
      </c>
      <c r="B151" s="373" t="n"/>
      <c r="C151" s="261" t="n"/>
      <c r="D151" s="340" t="n"/>
      <c r="E151" s="341" t="n"/>
      <c r="F151" s="230" t="n"/>
      <c r="G151" s="231" t="n"/>
      <c r="H151" s="236" t="n"/>
      <c r="I151" s="230" t="n"/>
      <c r="J151" s="35">
        <f>SUM(C151:I151)</f>
        <v/>
      </c>
      <c r="K151" s="789">
        <f>C151*4500</f>
        <v/>
      </c>
      <c r="L151" s="769">
        <f>D151*4500</f>
        <v/>
      </c>
      <c r="M151" s="770">
        <f>E151*4500</f>
        <v/>
      </c>
      <c r="N151" s="771">
        <f>F151*4200</f>
        <v/>
      </c>
      <c r="O151" s="771" t="n"/>
      <c r="P151" s="771" t="n"/>
      <c r="Q151" s="796" t="n"/>
      <c r="R151" s="756">
        <f>SUM(K151:Q151)</f>
        <v/>
      </c>
      <c r="S151" s="756">
        <f>J151*1984</f>
        <v/>
      </c>
    </row>
    <row r="152">
      <c r="A152" s="79" t="inlineStr">
        <is>
          <t>인그로운크림30</t>
        </is>
      </c>
      <c r="B152" s="703" t="inlineStr">
        <is>
          <t>P00000BI</t>
        </is>
      </c>
      <c r="C152" s="233" t="n">
        <v>9</v>
      </c>
      <c r="D152" s="235" t="n"/>
      <c r="E152" s="234" t="n"/>
      <c r="F152" s="230" t="n"/>
      <c r="G152" s="231" t="n"/>
      <c r="H152" s="236" t="n"/>
      <c r="I152" s="230" t="n"/>
      <c r="J152" s="35">
        <f>SUM(C152:I152)</f>
        <v/>
      </c>
      <c r="K152" s="815">
        <f>C152*14700</f>
        <v/>
      </c>
      <c r="L152" s="769">
        <f>D152*11000</f>
        <v/>
      </c>
      <c r="M152" s="770">
        <f>E152*11000</f>
        <v/>
      </c>
      <c r="N152" s="771" t="n"/>
      <c r="O152" s="771" t="n"/>
      <c r="P152" s="771" t="n"/>
      <c r="Q152" s="796" t="n"/>
      <c r="R152" s="756">
        <f>SUM(K152:Q152)</f>
        <v/>
      </c>
      <c r="S152" s="756">
        <f>J152*4658</f>
        <v/>
      </c>
    </row>
    <row r="153">
      <c r="A153" s="79" t="inlineStr">
        <is>
          <t>바디엑스폴리언트200</t>
        </is>
      </c>
      <c r="B153" s="703" t="inlineStr">
        <is>
          <t>P00000BL</t>
        </is>
      </c>
      <c r="C153" s="233" t="n">
        <v>56</v>
      </c>
      <c r="D153" s="235" t="n"/>
      <c r="E153" s="234" t="n"/>
      <c r="F153" s="230" t="n"/>
      <c r="G153" s="231" t="n"/>
      <c r="H153" s="236" t="n"/>
      <c r="I153" s="230" t="n"/>
      <c r="J153" s="35">
        <f>SUM(C153:I153)</f>
        <v/>
      </c>
      <c r="K153" s="815">
        <f>C153*26400</f>
        <v/>
      </c>
      <c r="L153" s="769">
        <f>D153*18500</f>
        <v/>
      </c>
      <c r="M153" s="770">
        <f>E153*18500</f>
        <v/>
      </c>
      <c r="N153" s="771" t="n"/>
      <c r="O153" s="771" t="n"/>
      <c r="P153" s="771" t="n"/>
      <c r="Q153" s="796" t="n"/>
      <c r="R153" s="756">
        <f>SUM(K153:Q153)</f>
        <v/>
      </c>
      <c r="S153" s="756">
        <f>J153*6653</f>
        <v/>
      </c>
    </row>
    <row r="154">
      <c r="A154" s="79" t="inlineStr">
        <is>
          <t>핑키니세럼 30</t>
        </is>
      </c>
      <c r="B154" s="703" t="inlineStr">
        <is>
          <t>P00000JL</t>
        </is>
      </c>
      <c r="C154" s="233" t="n">
        <v>30</v>
      </c>
      <c r="D154" s="235" t="n"/>
      <c r="E154" s="234" t="n"/>
      <c r="F154" s="230" t="n"/>
      <c r="G154" s="231" t="n"/>
      <c r="H154" s="236" t="n"/>
      <c r="I154" s="230" t="n"/>
      <c r="J154" s="35">
        <f>SUM(C154:I154)</f>
        <v/>
      </c>
      <c r="K154" s="815">
        <f>C154*23100</f>
        <v/>
      </c>
      <c r="L154" s="769">
        <f>D154*17000</f>
        <v/>
      </c>
      <c r="M154" s="770">
        <f>E154*17000</f>
        <v/>
      </c>
      <c r="N154" s="771" t="n"/>
      <c r="O154" s="771" t="n"/>
      <c r="P154" s="771" t="n"/>
      <c r="Q154" s="796" t="n"/>
      <c r="R154" s="756">
        <f>SUM(K154:Q154)</f>
        <v/>
      </c>
      <c r="S154" s="756">
        <f>J154*8415</f>
        <v/>
      </c>
    </row>
    <row r="155">
      <c r="A155" s="109" t="inlineStr">
        <is>
          <t>핑키니세럼 box(9개)</t>
        </is>
      </c>
      <c r="B155" s="45" t="inlineStr">
        <is>
          <t>P00000PP</t>
        </is>
      </c>
      <c r="C155" s="215" t="n"/>
      <c r="D155" s="235" t="n"/>
      <c r="E155" s="234" t="n">
        <v>18</v>
      </c>
      <c r="F155" s="230" t="n">
        <v>63</v>
      </c>
      <c r="G155" s="231" t="n"/>
      <c r="H155" s="236" t="n"/>
      <c r="I155" s="230" t="n"/>
      <c r="J155" s="35">
        <f>SUM(C155:I155)</f>
        <v/>
      </c>
      <c r="K155" s="820">
        <f>C155*21000</f>
        <v/>
      </c>
      <c r="L155" s="769">
        <f>D155*15200</f>
        <v/>
      </c>
      <c r="M155" s="770">
        <f>E155*15200</f>
        <v/>
      </c>
      <c r="N155" s="771">
        <f>F155*19640</f>
        <v/>
      </c>
      <c r="O155" s="771" t="n"/>
      <c r="P155" s="771" t="n"/>
      <c r="Q155" s="796" t="n"/>
      <c r="R155" s="756">
        <f>SUM(K155:Q155)</f>
        <v/>
      </c>
      <c r="S155" s="756">
        <f>J155*8415</f>
        <v/>
      </c>
    </row>
    <row r="156">
      <c r="A156" s="115" t="inlineStr">
        <is>
          <t>인그로운XIT포밍젤250</t>
        </is>
      </c>
      <c r="B156" s="703" t="inlineStr">
        <is>
          <t>P00000BH</t>
        </is>
      </c>
      <c r="C156" s="237" t="n">
        <v>3</v>
      </c>
      <c r="D156" s="235" t="n"/>
      <c r="E156" s="234" t="n"/>
      <c r="F156" s="230" t="n"/>
      <c r="G156" s="231" t="n"/>
      <c r="H156" s="236" t="n"/>
      <c r="I156" s="230" t="n"/>
      <c r="J156" s="35">
        <f>SUM(C156:I156)</f>
        <v/>
      </c>
      <c r="K156" s="815">
        <f>C156*14700</f>
        <v/>
      </c>
      <c r="L156" s="769">
        <f>D156*11000</f>
        <v/>
      </c>
      <c r="M156" s="770">
        <f>E156*11000</f>
        <v/>
      </c>
      <c r="N156" s="771" t="n"/>
      <c r="O156" s="771" t="n"/>
      <c r="P156" s="771" t="n"/>
      <c r="Q156" s="796" t="n"/>
      <c r="R156" s="756">
        <f>SUM(K156:Q156)</f>
        <v/>
      </c>
      <c r="S156" s="756">
        <f>J156*5590</f>
        <v/>
      </c>
    </row>
    <row r="157">
      <c r="A157" s="115" t="inlineStr">
        <is>
          <t>티트리토탈워시</t>
        </is>
      </c>
      <c r="B157" s="703" t="inlineStr">
        <is>
          <t>P00000BM</t>
        </is>
      </c>
      <c r="C157" s="237" t="n">
        <v>7</v>
      </c>
      <c r="D157" s="235" t="n"/>
      <c r="E157" s="234" t="n"/>
      <c r="F157" s="230" t="n"/>
      <c r="G157" s="231" t="n"/>
      <c r="H157" s="236" t="n"/>
      <c r="I157" s="230" t="n"/>
      <c r="J157" s="35">
        <f>SUM(C157:I157)</f>
        <v/>
      </c>
      <c r="K157" s="815">
        <f>C157*17500</f>
        <v/>
      </c>
      <c r="L157" s="769">
        <f>D157*17500</f>
        <v/>
      </c>
      <c r="M157" s="770">
        <f>E157*17500</f>
        <v/>
      </c>
      <c r="N157" s="771" t="n"/>
      <c r="O157" s="771" t="n"/>
      <c r="P157" s="771" t="n"/>
      <c r="Q157" s="796" t="n"/>
      <c r="R157" s="756">
        <f>SUM(K157:Q157)</f>
        <v/>
      </c>
      <c r="S157" s="756">
        <f>J157*7123</f>
        <v/>
      </c>
    </row>
    <row r="158" customFormat="1" s="24">
      <c r="A158" s="611" t="inlineStr">
        <is>
          <t>네출럴포밍</t>
        </is>
      </c>
      <c r="B158" s="731" t="inlineStr">
        <is>
          <t>P00000YV</t>
        </is>
      </c>
      <c r="C158" s="610" t="inlineStr">
        <is>
          <t>헤어프리</t>
        </is>
      </c>
      <c r="D158" s="620" t="inlineStr">
        <is>
          <t>P0000BFJ / P0000BFG</t>
        </is>
      </c>
      <c r="E158" s="391" t="n"/>
      <c r="F158" s="357" t="n"/>
      <c r="G158" s="357" t="n"/>
      <c r="H158" s="358" t="n"/>
      <c r="I158" s="92" t="inlineStr">
        <is>
          <t>기타</t>
        </is>
      </c>
      <c r="J158" s="58" t="inlineStr">
        <is>
          <t>합계</t>
        </is>
      </c>
      <c r="K158" s="777">
        <f>SUM(K149:K157)</f>
        <v/>
      </c>
      <c r="L158" s="778">
        <f>SUM(L149:L157)</f>
        <v/>
      </c>
      <c r="M158" s="779">
        <f>SUM(M149:M157)</f>
        <v/>
      </c>
      <c r="N158" s="777">
        <f>SUM(N149:N157)</f>
        <v/>
      </c>
      <c r="O158" s="780">
        <f>SUM(O149:O157)</f>
        <v/>
      </c>
      <c r="P158" s="780">
        <f>SUM(P149:P157)</f>
        <v/>
      </c>
      <c r="Q158" s="780">
        <f>SUM(Q149:Q157)</f>
        <v/>
      </c>
      <c r="R158" s="781">
        <f>SUM(R149:R157)</f>
        <v/>
      </c>
      <c r="S158" s="782">
        <f>SUM(S149:S157)</f>
        <v/>
      </c>
    </row>
    <row r="159">
      <c r="A159" s="609" t="inlineStr">
        <is>
          <t>밀크클렌징 200</t>
        </is>
      </c>
      <c r="B159" s="731" t="inlineStr">
        <is>
          <t>P0000BGK</t>
        </is>
      </c>
      <c r="C159" s="610" t="inlineStr">
        <is>
          <t>리본미스트</t>
        </is>
      </c>
      <c r="D159" s="731" t="inlineStr">
        <is>
          <t>P00000ND</t>
        </is>
      </c>
      <c r="E159" s="391" t="inlineStr">
        <is>
          <t>P0000BIT</t>
        </is>
      </c>
      <c r="F159" s="20" t="inlineStr">
        <is>
          <t>P00000YS</t>
        </is>
      </c>
      <c r="G159" s="392" t="inlineStr">
        <is>
          <t>스타터키트</t>
        </is>
      </c>
      <c r="H159" s="20" t="n"/>
      <c r="I159" s="558" t="n"/>
      <c r="J159" s="353" t="n"/>
      <c r="K159" s="391" t="n"/>
      <c r="P159" s="785" t="n"/>
    </row>
    <row r="160">
      <c r="A160" s="609" t="inlineStr">
        <is>
          <t>밀크클렌징 800</t>
        </is>
      </c>
      <c r="B160" s="15" t="inlineStr">
        <is>
          <t>P00000NA</t>
        </is>
      </c>
      <c r="C160" s="731" t="inlineStr">
        <is>
          <t>시카팩</t>
        </is>
      </c>
      <c r="D160" s="731" t="inlineStr">
        <is>
          <t>P00000XY</t>
        </is>
      </c>
      <c r="E160" s="391" t="inlineStr">
        <is>
          <t>P0000BJB</t>
        </is>
      </c>
      <c r="F160" s="20" t="n"/>
      <c r="G160" s="392" t="n"/>
      <c r="H160" s="20" t="n"/>
      <c r="I160" s="543" t="n"/>
      <c r="J160" s="395" t="n"/>
      <c r="K160" s="391" t="n"/>
      <c r="P160" s="785" t="n"/>
    </row>
    <row r="161">
      <c r="A161" s="609" t="inlineStr">
        <is>
          <t>알로에800</t>
        </is>
      </c>
      <c r="B161" s="731" t="inlineStr">
        <is>
          <t>P00000NE</t>
        </is>
      </c>
      <c r="C161" s="731" t="inlineStr">
        <is>
          <t>티로사카밍</t>
        </is>
      </c>
      <c r="D161" s="391" t="inlineStr">
        <is>
          <t>P0000BNB</t>
        </is>
      </c>
      <c r="E161" s="391" t="inlineStr">
        <is>
          <t>P0000BMV</t>
        </is>
      </c>
      <c r="F161" s="20" t="n"/>
      <c r="G161" s="392" t="n"/>
      <c r="H161" s="20" t="n"/>
      <c r="I161" s="558" t="n"/>
      <c r="J161" s="107" t="n"/>
      <c r="K161" s="391" t="n"/>
      <c r="L161" s="142" t="n"/>
      <c r="P161" s="785" t="n"/>
    </row>
    <row r="162">
      <c r="A162" s="609" t="inlineStr">
        <is>
          <t>알로에200</t>
        </is>
      </c>
      <c r="B162" s="731" t="inlineStr">
        <is>
          <t>P0000BFP</t>
        </is>
      </c>
      <c r="C162" s="731" t="inlineStr">
        <is>
          <t>아나프리오일</t>
        </is>
      </c>
      <c r="D162" s="731" t="inlineStr">
        <is>
          <t>P0000BLW</t>
        </is>
      </c>
      <c r="E162" s="391" t="inlineStr">
        <is>
          <t>P0000BMU</t>
        </is>
      </c>
      <c r="F162" s="20" t="n"/>
      <c r="G162" s="533" t="n"/>
      <c r="H162" s="20" t="n"/>
      <c r="I162" s="157" t="n"/>
      <c r="J162" s="473" t="n"/>
      <c r="K162" s="391" t="n"/>
      <c r="L162" s="313" t="n"/>
      <c r="P162" s="785" t="n"/>
    </row>
    <row r="163">
      <c r="A163" s="609" t="inlineStr">
        <is>
          <t>큐어셀토너</t>
        </is>
      </c>
      <c r="B163" s="731" t="inlineStr">
        <is>
          <t>P0000BFM</t>
        </is>
      </c>
      <c r="C163" s="617" t="inlineStr">
        <is>
          <t>릴렉싱오일</t>
        </is>
      </c>
      <c r="D163" s="391" t="inlineStr">
        <is>
          <t>P0000BNH / P0000BNK</t>
        </is>
      </c>
      <c r="E163" s="391" t="inlineStr">
        <is>
          <t>P0000BNE</t>
        </is>
      </c>
      <c r="F163" s="20" t="n"/>
      <c r="G163" s="542" t="n"/>
      <c r="H163" s="20" t="n"/>
      <c r="I163" s="20" t="n"/>
      <c r="J163" s="112" t="n"/>
      <c r="K163" s="470" t="n"/>
      <c r="L163" s="313" t="n"/>
      <c r="P163" s="785" t="n"/>
    </row>
    <row r="164" ht="24" customHeight="1" s="754">
      <c r="A164" s="611" t="inlineStr">
        <is>
          <t>큐어셀크림</t>
        </is>
      </c>
      <c r="B164" s="731" t="inlineStr">
        <is>
          <t>P0000BGX</t>
        </is>
      </c>
      <c r="C164" s="731" t="inlineStr">
        <is>
          <t>딥릴리프200</t>
        </is>
      </c>
      <c r="D164" s="391" t="inlineStr">
        <is>
          <t>P0000BLW</t>
        </is>
      </c>
      <c r="E164" s="391" t="inlineStr">
        <is>
          <t>P0000BIS</t>
        </is>
      </c>
      <c r="F164" s="20" t="n"/>
      <c r="G164" s="565" t="n"/>
      <c r="H164" s="20" t="n"/>
      <c r="I164" s="45" t="inlineStr">
        <is>
          <t>P00000YZ</t>
        </is>
      </c>
      <c r="J164" s="473" t="inlineStr">
        <is>
          <t>컵세트할인</t>
        </is>
      </c>
      <c r="K164" s="470" t="n"/>
      <c r="L164" s="142" t="n"/>
      <c r="P164" s="785" t="n"/>
    </row>
    <row r="165">
      <c r="A165" s="611" t="inlineStr">
        <is>
          <t>큐어셀세럼</t>
        </is>
      </c>
      <c r="B165" s="731" t="inlineStr">
        <is>
          <t>P00000NI</t>
        </is>
      </c>
      <c r="C165" s="731" t="inlineStr">
        <is>
          <t>딥릴리프75</t>
        </is>
      </c>
      <c r="D165" s="391" t="inlineStr">
        <is>
          <t>P0000BLV</t>
        </is>
      </c>
      <c r="E165" s="391" t="inlineStr">
        <is>
          <t>P0000BJD</t>
        </is>
      </c>
      <c r="F165" s="20" t="n"/>
      <c r="G165" s="576" t="n"/>
      <c r="H165" s="575" t="n"/>
      <c r="I165" s="577" t="n"/>
      <c r="J165" s="45" t="n"/>
      <c r="K165" s="471" t="n"/>
      <c r="P165" s="785" t="n"/>
    </row>
    <row r="166">
      <c r="A166" s="611" t="inlineStr">
        <is>
          <t>히알세럼</t>
        </is>
      </c>
      <c r="B166" s="731" t="inlineStr">
        <is>
          <t>P00000NF</t>
        </is>
      </c>
      <c r="C166" s="618" t="inlineStr">
        <is>
          <t>트래블키트</t>
        </is>
      </c>
      <c r="D166" s="731" t="inlineStr">
        <is>
          <t>P0000BLS</t>
        </is>
      </c>
      <c r="E166" s="391" t="inlineStr">
        <is>
          <t>P0000BJE</t>
        </is>
      </c>
      <c r="F166" s="20" t="n"/>
      <c r="G166" s="578" t="n"/>
      <c r="H166" s="20" t="n"/>
      <c r="I166" s="308" t="n"/>
      <c r="J166" s="124" t="inlineStr">
        <is>
          <t>행사</t>
        </is>
      </c>
      <c r="K166" s="630" t="n"/>
      <c r="P166" s="785" t="n"/>
    </row>
    <row r="167">
      <c r="A167" s="611" t="inlineStr">
        <is>
          <t>리본수딩젤</t>
        </is>
      </c>
      <c r="B167" s="731" t="inlineStr">
        <is>
          <t>P0000BHK</t>
        </is>
      </c>
      <c r="C167" s="617" t="inlineStr">
        <is>
          <t>안티버그</t>
        </is>
      </c>
      <c r="D167" s="731" t="inlineStr">
        <is>
          <t>P0000BLT</t>
        </is>
      </c>
      <c r="E167" s="391" t="inlineStr">
        <is>
          <t>P0000BJF</t>
        </is>
      </c>
      <c r="F167" s="20" t="n"/>
      <c r="G167" s="471" t="n"/>
      <c r="H167" s="90" t="inlineStr">
        <is>
          <t>P00000VA</t>
        </is>
      </c>
      <c r="I167" s="467" t="inlineStr">
        <is>
          <t>화이트팩+스크럽10</t>
        </is>
      </c>
      <c r="J167" s="124" t="n"/>
      <c r="K167" s="630" t="n"/>
      <c r="P167" s="785" t="n"/>
    </row>
    <row r="168">
      <c r="A168" s="609" t="inlineStr">
        <is>
          <t>안자라로션</t>
        </is>
      </c>
      <c r="B168" s="731" t="inlineStr">
        <is>
          <t>P0000BHD</t>
        </is>
      </c>
      <c r="C168" s="731" t="inlineStr">
        <is>
          <t>uv썬/톤업</t>
        </is>
      </c>
      <c r="D168" s="731" t="inlineStr">
        <is>
          <t>P0000BIL</t>
        </is>
      </c>
      <c r="E168" s="391" t="n"/>
      <c r="F168" s="90" t="n"/>
      <c r="G168" s="557" t="n"/>
      <c r="H168" s="630" t="n"/>
      <c r="I168" s="308" t="n"/>
      <c r="J168" s="124" t="n"/>
      <c r="K168" s="472" t="n"/>
      <c r="P168" s="785" t="n"/>
    </row>
    <row r="169">
      <c r="A169" s="616" t="inlineStr">
        <is>
          <t>안티바이오미스트</t>
        </is>
      </c>
      <c r="B169" s="731" t="inlineStr">
        <is>
          <t>P00000ZI</t>
        </is>
      </c>
      <c r="C169" s="619" t="inlineStr">
        <is>
          <t>포레스크럽</t>
        </is>
      </c>
      <c r="D169" s="391" t="inlineStr">
        <is>
          <t>P0000BIY</t>
        </is>
      </c>
      <c r="E169" s="391" t="n"/>
      <c r="F169" s="391" t="n"/>
      <c r="G169" s="393" t="n"/>
      <c r="H169" s="193" t="n"/>
      <c r="I169" s="535" t="inlineStr">
        <is>
          <t>증정행사</t>
        </is>
      </c>
      <c r="J169" s="52" t="inlineStr">
        <is>
          <t>행사</t>
        </is>
      </c>
      <c r="K169" s="474" t="inlineStr">
        <is>
          <t>도매</t>
        </is>
      </c>
      <c r="L169" s="764" t="inlineStr">
        <is>
          <t>인증살롱/마스터</t>
        </is>
      </c>
      <c r="M169" s="765" t="n"/>
      <c r="N169" s="766" t="inlineStr">
        <is>
          <t>할인</t>
        </is>
      </c>
      <c r="O169" s="833" t="inlineStr">
        <is>
          <t>세트할인(스타터)</t>
        </is>
      </c>
      <c r="P169" s="766" t="inlineStr">
        <is>
          <t>할인+증정</t>
        </is>
      </c>
      <c r="Q169" s="833" t="inlineStr">
        <is>
          <t>컵세트묶음할인. 증정</t>
        </is>
      </c>
      <c r="R169" s="767" t="inlineStr">
        <is>
          <t>품목별합계</t>
        </is>
      </c>
      <c r="S169" s="795" t="inlineStr">
        <is>
          <t>도매,마스터원가</t>
        </is>
      </c>
    </row>
    <row r="170">
      <c r="A170" s="24" t="inlineStr">
        <is>
          <t>제모미인제품</t>
        </is>
      </c>
      <c r="B170" s="357" t="n"/>
      <c r="C170" s="619" t="n"/>
      <c r="D170" s="235" t="n"/>
      <c r="E170" s="241" t="n"/>
      <c r="F170" s="342" t="n"/>
      <c r="G170" s="241" t="n"/>
      <c r="H170" s="343" t="n"/>
      <c r="I170" s="232" t="n"/>
      <c r="J170" s="35" t="n"/>
      <c r="K170" s="828" t="n"/>
      <c r="L170" s="834" t="n"/>
      <c r="M170" s="770" t="n"/>
      <c r="N170" s="796" t="n"/>
      <c r="O170" s="796" t="n"/>
      <c r="P170" s="796" t="n"/>
      <c r="Q170" s="772" t="n"/>
      <c r="R170" s="758" t="n"/>
    </row>
    <row r="171">
      <c r="A171" s="227" t="inlineStr">
        <is>
          <t>자디니네츄럴포밍클랜징</t>
        </is>
      </c>
      <c r="B171" s="704" t="inlineStr">
        <is>
          <t>P00000PT</t>
        </is>
      </c>
      <c r="C171" s="233" t="n">
        <v>11</v>
      </c>
      <c r="D171" s="235" t="n"/>
      <c r="E171" s="234" t="n">
        <v>10</v>
      </c>
      <c r="F171" s="215" t="n"/>
      <c r="G171" s="231" t="n"/>
      <c r="H171" s="236" t="n"/>
      <c r="I171" s="230" t="n"/>
      <c r="J171" s="35">
        <f>SUM(C171:I171)</f>
        <v/>
      </c>
      <c r="K171" s="815">
        <f>C171*16800</f>
        <v/>
      </c>
      <c r="L171" s="790">
        <f>D171*12800</f>
        <v/>
      </c>
      <c r="M171" s="770">
        <f>E171*12800</f>
        <v/>
      </c>
      <c r="N171" s="771" t="n"/>
      <c r="O171" s="771" t="n"/>
      <c r="P171" s="771" t="n"/>
      <c r="Q171" s="772" t="n"/>
      <c r="R171" s="758">
        <f>SUM(K171:Q171)</f>
        <v/>
      </c>
      <c r="S171" s="756">
        <f>J171*3075</f>
        <v/>
      </c>
    </row>
    <row r="172">
      <c r="A172" s="79" t="inlineStr">
        <is>
          <t>자디니밀키웨이클렌징200</t>
        </is>
      </c>
      <c r="B172" s="703" t="inlineStr">
        <is>
          <t>P0000BGJ</t>
        </is>
      </c>
      <c r="C172" s="233" t="n">
        <v>2</v>
      </c>
      <c r="D172" s="235" t="n"/>
      <c r="E172" s="234" t="n">
        <v>4</v>
      </c>
      <c r="F172" s="342" t="n"/>
      <c r="G172" s="241" t="n"/>
      <c r="H172" s="343" t="n"/>
      <c r="I172" s="232" t="n"/>
      <c r="J172" s="35">
        <f>SUM(C172:I172)</f>
        <v/>
      </c>
      <c r="K172" s="835">
        <f>C172*12800</f>
        <v/>
      </c>
      <c r="L172" s="834">
        <f>D172*9600</f>
        <v/>
      </c>
      <c r="M172" s="770">
        <f>E172*9600</f>
        <v/>
      </c>
      <c r="N172" s="796" t="n"/>
      <c r="O172" s="796" t="n"/>
      <c r="P172" s="796" t="n"/>
      <c r="Q172" s="772" t="n"/>
      <c r="R172" s="758">
        <f>SUM(K172:Q172)</f>
        <v/>
      </c>
      <c r="S172" s="756">
        <f>J172*3857</f>
        <v/>
      </c>
    </row>
    <row r="173">
      <c r="A173" s="79" t="inlineStr">
        <is>
          <t>자디니밀키웨이클렌징800</t>
        </is>
      </c>
      <c r="B173" s="703" t="inlineStr">
        <is>
          <t>P00000JP</t>
        </is>
      </c>
      <c r="C173" s="233" t="n">
        <v>2</v>
      </c>
      <c r="D173" s="235" t="n"/>
      <c r="E173" s="234" t="n">
        <v>4</v>
      </c>
      <c r="F173" s="342" t="n"/>
      <c r="G173" s="241" t="n"/>
      <c r="H173" s="343" t="n"/>
      <c r="I173" s="232" t="n"/>
      <c r="J173" s="35">
        <f>SUM(C173:I173)</f>
        <v/>
      </c>
      <c r="K173" s="835">
        <f>C173*36000</f>
        <v/>
      </c>
      <c r="L173" s="834">
        <f>D173*33000</f>
        <v/>
      </c>
      <c r="M173" s="770">
        <f>E173*33000</f>
        <v/>
      </c>
      <c r="N173" s="796" t="n"/>
      <c r="O173" s="796" t="n"/>
      <c r="P173" s="796" t="n"/>
      <c r="Q173" s="772" t="n"/>
      <c r="R173" s="758">
        <f>SUM(K173:Q173)</f>
        <v/>
      </c>
      <c r="S173" s="756">
        <f>J173*8619</f>
        <v/>
      </c>
    </row>
    <row r="174">
      <c r="A174" s="115" t="inlineStr">
        <is>
          <t>자디니아쿠아알로에수딩젤800</t>
        </is>
      </c>
      <c r="B174" s="703" t="inlineStr">
        <is>
          <t>P00000LP</t>
        </is>
      </c>
      <c r="C174" s="233" t="n">
        <v>126</v>
      </c>
      <c r="D174" s="235" t="n"/>
      <c r="E174" s="234" t="n">
        <v>43</v>
      </c>
      <c r="F174" s="215" t="n"/>
      <c r="G174" s="230" t="n"/>
      <c r="H174" s="230" t="n"/>
      <c r="I174" s="230" t="n"/>
      <c r="J174" s="35">
        <f>SUM(C174:I174)</f>
        <v/>
      </c>
      <c r="K174" s="815">
        <f>C174*28800</f>
        <v/>
      </c>
      <c r="L174" s="790">
        <f>D174*26400</f>
        <v/>
      </c>
      <c r="M174" s="770">
        <f>E174*26400</f>
        <v/>
      </c>
      <c r="N174" s="771" t="n"/>
      <c r="O174" s="771" t="n"/>
      <c r="P174" s="771">
        <f>F174*28800</f>
        <v/>
      </c>
      <c r="Q174" s="772" t="n"/>
      <c r="R174" s="758">
        <f>SUM(K174:Q174)</f>
        <v/>
      </c>
      <c r="S174" s="756">
        <f>J174*6704</f>
        <v/>
      </c>
    </row>
    <row r="175">
      <c r="A175" s="115" t="inlineStr">
        <is>
          <t>자디니아쿠아알로에수딩젤200</t>
        </is>
      </c>
      <c r="B175" s="703" t="inlineStr">
        <is>
          <t>P0000BFO</t>
        </is>
      </c>
      <c r="C175" s="233" t="n">
        <v>131</v>
      </c>
      <c r="D175" s="235" t="n"/>
      <c r="E175" s="234" t="n">
        <v>53</v>
      </c>
      <c r="F175" s="238" t="n"/>
      <c r="G175" s="242" t="n"/>
      <c r="H175" s="230" t="n"/>
      <c r="I175" s="242" t="n"/>
      <c r="J175" s="35">
        <f>SUM(C175:I175)</f>
        <v/>
      </c>
      <c r="K175" s="815">
        <f>C175*16000</f>
        <v/>
      </c>
      <c r="L175" s="790">
        <f>D175*11200</f>
        <v/>
      </c>
      <c r="M175" s="770">
        <f>E175*11200</f>
        <v/>
      </c>
      <c r="N175" s="771" t="n"/>
      <c r="O175" s="796" t="n"/>
      <c r="P175" s="771" t="n"/>
      <c r="Q175" s="772" t="n"/>
      <c r="R175" s="758">
        <f>SUM(K175:Q175)</f>
        <v/>
      </c>
      <c r="S175" s="756">
        <f>J175*3489</f>
        <v/>
      </c>
    </row>
    <row r="176">
      <c r="A176" s="227" t="inlineStr">
        <is>
          <t>자디니큐어셀토너800</t>
        </is>
      </c>
      <c r="B176" s="704" t="inlineStr">
        <is>
          <t>P0000BFL</t>
        </is>
      </c>
      <c r="C176" s="233" t="n">
        <v>15</v>
      </c>
      <c r="D176" s="235" t="n"/>
      <c r="E176" s="234" t="n">
        <v>15</v>
      </c>
      <c r="F176" s="215" t="n"/>
      <c r="G176" s="231" t="n"/>
      <c r="H176" s="236" t="n"/>
      <c r="I176" s="242" t="n"/>
      <c r="J176" s="35">
        <f>SUM(C176:I176)</f>
        <v/>
      </c>
      <c r="K176" s="815">
        <f>C176*36800</f>
        <v/>
      </c>
      <c r="L176" s="790">
        <f>D176*27200</f>
        <v/>
      </c>
      <c r="M176" s="770">
        <f>E176*27200</f>
        <v/>
      </c>
      <c r="N176" s="771" t="n"/>
      <c r="O176" s="771" t="n"/>
      <c r="P176" s="771" t="n"/>
      <c r="Q176" s="772" t="n"/>
      <c r="R176" s="758">
        <f>SUM(K176:Q176)</f>
        <v/>
      </c>
      <c r="S176" s="756">
        <f>J176*6040</f>
        <v/>
      </c>
    </row>
    <row r="177">
      <c r="A177" s="227" t="inlineStr">
        <is>
          <t>자디니큐어셀토너200</t>
        </is>
      </c>
      <c r="B177" s="775" t="n"/>
      <c r="C177" s="233" t="n"/>
      <c r="D177" s="235" t="n"/>
      <c r="E177" s="234" t="n"/>
      <c r="F177" s="215" t="n"/>
      <c r="G177" s="231" t="n"/>
      <c r="H177" s="236" t="n"/>
      <c r="I177" s="242" t="n"/>
      <c r="J177" s="35">
        <f>SUM(C177:I177)</f>
        <v/>
      </c>
      <c r="K177" s="815">
        <f>C177*16000</f>
        <v/>
      </c>
      <c r="L177" s="790">
        <f>D177*12800</f>
        <v/>
      </c>
      <c r="M177" s="770">
        <f>E177*12800</f>
        <v/>
      </c>
      <c r="N177" s="771" t="n"/>
      <c r="O177" s="771" t="n"/>
      <c r="P177" s="771" t="n"/>
      <c r="Q177" s="772" t="n"/>
      <c r="R177" s="758">
        <f>SUM(K177:Q177)</f>
        <v/>
      </c>
      <c r="S177" s="756">
        <f>J177*4212</f>
        <v/>
      </c>
    </row>
    <row r="178">
      <c r="A178" s="227" t="inlineStr">
        <is>
          <t>자디니큐어셀스무디</t>
        </is>
      </c>
      <c r="B178" s="704" t="inlineStr">
        <is>
          <t>P0000BGD</t>
        </is>
      </c>
      <c r="C178" s="233" t="n"/>
      <c r="D178" s="235" t="n"/>
      <c r="E178" s="234" t="n"/>
      <c r="F178" s="215" t="n"/>
      <c r="G178" s="231" t="n"/>
      <c r="H178" s="236" t="n"/>
      <c r="I178" s="230" t="n"/>
      <c r="J178" s="35">
        <f>SUM(C178:I178)</f>
        <v/>
      </c>
      <c r="K178" s="815">
        <f>C178*28000</f>
        <v/>
      </c>
      <c r="L178" s="790">
        <f>D178*19600</f>
        <v/>
      </c>
      <c r="M178" s="770">
        <f>E178*19600</f>
        <v/>
      </c>
      <c r="N178" s="771" t="n"/>
      <c r="O178" s="771" t="n"/>
      <c r="P178" s="771" t="n"/>
      <c r="Q178" s="772" t="n"/>
      <c r="R178" s="758">
        <f>SUM(K178:Q178)</f>
        <v/>
      </c>
      <c r="S178" s="756">
        <f>J178*6097</f>
        <v/>
      </c>
    </row>
    <row r="179">
      <c r="A179" s="227" t="inlineStr">
        <is>
          <t>자디니큐어셀크림100</t>
        </is>
      </c>
      <c r="B179" s="704" t="inlineStr">
        <is>
          <t>P0000BGW</t>
        </is>
      </c>
      <c r="C179" s="233" t="n">
        <v>4</v>
      </c>
      <c r="D179" s="235" t="n"/>
      <c r="E179" s="234" t="n">
        <v>3</v>
      </c>
      <c r="F179" s="215" t="n"/>
      <c r="G179" s="231" t="n"/>
      <c r="H179" s="236" t="n"/>
      <c r="I179" s="230" t="n"/>
      <c r="J179" s="35">
        <f>SUM(C179:I179)</f>
        <v/>
      </c>
      <c r="K179" s="815">
        <f>C179*31000</f>
        <v/>
      </c>
      <c r="L179" s="790">
        <f>D179*19800</f>
        <v/>
      </c>
      <c r="M179" s="770">
        <f>E179*19800</f>
        <v/>
      </c>
      <c r="N179" s="771" t="n"/>
      <c r="O179" s="771" t="n"/>
      <c r="P179" s="771" t="n"/>
      <c r="Q179" s="772" t="n"/>
      <c r="R179" s="758">
        <f>SUM(K179:Q179)</f>
        <v/>
      </c>
      <c r="S179" s="756">
        <f>J179*6612</f>
        <v/>
      </c>
    </row>
    <row r="180" customFormat="1" s="567">
      <c r="A180" s="346" t="inlineStr">
        <is>
          <t>자디니큐어셀세럼(PR세럼)</t>
        </is>
      </c>
      <c r="B180" s="704" t="inlineStr">
        <is>
          <t>P00000MG</t>
        </is>
      </c>
      <c r="C180" s="233" t="n">
        <v>7</v>
      </c>
      <c r="D180" s="235" t="n"/>
      <c r="E180" s="234" t="n">
        <v>1</v>
      </c>
      <c r="F180" s="242" t="n"/>
      <c r="G180" s="330" t="n"/>
      <c r="H180" s="242" t="n"/>
      <c r="I180" s="242" t="n"/>
      <c r="J180" s="218">
        <f>SUM(C180:I180)</f>
        <v/>
      </c>
      <c r="K180" s="836">
        <f>C180*27200</f>
        <v/>
      </c>
      <c r="L180" s="790">
        <f>D180*20000</f>
        <v/>
      </c>
      <c r="M180" s="770">
        <f>E180*20000</f>
        <v/>
      </c>
      <c r="N180" s="771" t="n"/>
      <c r="O180" s="771" t="n"/>
      <c r="P180" s="771" t="n"/>
      <c r="Q180" s="772" t="n"/>
      <c r="R180" s="837">
        <f>SUM(K180:Q180)</f>
        <v/>
      </c>
      <c r="S180" s="838">
        <f>J180*4582</f>
        <v/>
      </c>
    </row>
    <row r="181">
      <c r="A181" s="115" t="inlineStr">
        <is>
          <t>자디니히아루로닉아쿠아세럼50</t>
        </is>
      </c>
      <c r="B181" s="547" t="inlineStr">
        <is>
          <t>P00000TJ</t>
        </is>
      </c>
      <c r="C181" s="233" t="n">
        <v>8</v>
      </c>
      <c r="D181" s="235" t="n"/>
      <c r="E181" s="234" t="n">
        <v>7</v>
      </c>
      <c r="F181" s="230" t="n"/>
      <c r="G181" s="231" t="n"/>
      <c r="H181" s="230" t="n"/>
      <c r="I181" s="230" t="n"/>
      <c r="J181" s="35">
        <f>SUM(C181:I181)</f>
        <v/>
      </c>
      <c r="K181" s="815">
        <f>C181*16000</f>
        <v/>
      </c>
      <c r="L181" s="790">
        <f>D181*12000</f>
        <v/>
      </c>
      <c r="M181" s="770">
        <f>E181*12000</f>
        <v/>
      </c>
      <c r="N181" s="771" t="n"/>
      <c r="O181" s="771" t="n"/>
      <c r="P181" s="771" t="n"/>
      <c r="Q181" s="772" t="n"/>
      <c r="R181" s="758">
        <f>SUM(K181:Q181)</f>
        <v/>
      </c>
      <c r="S181" s="756">
        <f>J181*3501</f>
        <v/>
      </c>
    </row>
    <row r="182">
      <c r="A182" s="115" t="inlineStr">
        <is>
          <t>자디니리본수딩젤(구천년초)</t>
        </is>
      </c>
      <c r="B182" s="547" t="inlineStr">
        <is>
          <t>P0000BHJ</t>
        </is>
      </c>
      <c r="C182" s="233" t="n">
        <v>6</v>
      </c>
      <c r="D182" s="255" t="n"/>
      <c r="E182" s="232" t="n"/>
      <c r="F182" s="230" t="n"/>
      <c r="G182" s="231" t="n"/>
      <c r="H182" s="230" t="n"/>
      <c r="I182" s="230" t="n"/>
      <c r="J182" s="35">
        <f>SUM(C182:I182)</f>
        <v/>
      </c>
      <c r="K182" s="815">
        <f>C182*19000</f>
        <v/>
      </c>
      <c r="L182" s="790">
        <f>D182*13000</f>
        <v/>
      </c>
      <c r="M182" s="770">
        <f>E182*13000</f>
        <v/>
      </c>
      <c r="N182" s="771" t="n"/>
      <c r="O182" s="771" t="n"/>
      <c r="P182" s="771" t="n"/>
      <c r="Q182" s="772" t="n"/>
      <c r="R182" s="758">
        <f>SUM(K182:Q182)</f>
        <v/>
      </c>
      <c r="S182" s="756">
        <f>J182*3677</f>
        <v/>
      </c>
    </row>
    <row r="183">
      <c r="A183" s="346" t="inlineStr">
        <is>
          <t>자디니안자라로션</t>
        </is>
      </c>
      <c r="B183" s="704" t="inlineStr">
        <is>
          <t>P0000BHC</t>
        </is>
      </c>
      <c r="C183" s="239" t="n"/>
      <c r="D183" s="235" t="n"/>
      <c r="E183" s="234" t="n"/>
      <c r="F183" s="230" t="n"/>
      <c r="G183" s="322" t="n"/>
      <c r="H183" s="230" t="n"/>
      <c r="I183" s="242" t="n"/>
      <c r="J183" s="35">
        <f>SUM(C183:I183)</f>
        <v/>
      </c>
      <c r="K183" s="815">
        <f>C183*16000</f>
        <v/>
      </c>
      <c r="L183" s="790">
        <f>D183*12000</f>
        <v/>
      </c>
      <c r="M183" s="770">
        <f>E183*12000</f>
        <v/>
      </c>
      <c r="N183" s="771" t="n"/>
      <c r="O183" s="771" t="n"/>
      <c r="P183" s="771" t="n"/>
      <c r="Q183" s="772" t="n"/>
      <c r="R183" s="758">
        <f>SUM(K183:Q183)</f>
        <v/>
      </c>
      <c r="S183" s="756">
        <f>J183*4716</f>
        <v/>
      </c>
    </row>
    <row r="184" customFormat="1" s="307">
      <c r="A184" s="306" t="inlineStr">
        <is>
          <t>자디니리본펩타이드세럼50</t>
        </is>
      </c>
      <c r="B184" s="703" t="inlineStr">
        <is>
          <t>P0000BFR</t>
        </is>
      </c>
      <c r="C184" s="344" t="n"/>
      <c r="D184" s="235" t="n"/>
      <c r="E184" s="234" t="n"/>
      <c r="F184" s="230" t="n"/>
      <c r="G184" s="322" t="n"/>
      <c r="H184" s="230" t="n"/>
      <c r="I184" s="257" t="n"/>
      <c r="J184" s="35">
        <f>SUM(C184:I184)</f>
        <v/>
      </c>
      <c r="K184" s="815">
        <f>C184*26880</f>
        <v/>
      </c>
      <c r="L184" s="790">
        <f>D184*26400</f>
        <v/>
      </c>
      <c r="M184" s="770">
        <f>E184*26400</f>
        <v/>
      </c>
      <c r="N184" s="771" t="n"/>
      <c r="O184" s="771" t="n"/>
      <c r="P184" s="771">
        <f>H184*26880</f>
        <v/>
      </c>
      <c r="Q184" s="772" t="n"/>
      <c r="R184" s="758">
        <f>SUM(K184:Q184)</f>
        <v/>
      </c>
      <c r="S184" s="756">
        <f>J184*8712</f>
        <v/>
      </c>
    </row>
    <row r="185">
      <c r="A185" s="115" t="inlineStr">
        <is>
          <t>자디니안티바이오미스트</t>
        </is>
      </c>
      <c r="B185" s="703" t="inlineStr">
        <is>
          <t>P00000JX</t>
        </is>
      </c>
      <c r="C185" s="239" t="n">
        <v>8</v>
      </c>
      <c r="D185" s="235" t="n"/>
      <c r="E185" s="234" t="n">
        <v>4</v>
      </c>
      <c r="F185" s="230" t="n"/>
      <c r="G185" s="322" t="n"/>
      <c r="H185" s="230" t="n"/>
      <c r="I185" s="242" t="n"/>
      <c r="J185" s="35">
        <f>SUM(C185:I185)</f>
        <v/>
      </c>
      <c r="K185" s="815">
        <f>C185*30400</f>
        <v/>
      </c>
      <c r="L185" s="790">
        <f>D185*25600</f>
        <v/>
      </c>
      <c r="M185" s="770">
        <f>E185*25600</f>
        <v/>
      </c>
      <c r="N185" s="771" t="n"/>
      <c r="O185" s="771" t="n"/>
      <c r="P185" s="771" t="n"/>
      <c r="Q185" s="772" t="n"/>
      <c r="R185" s="758">
        <f>SUM(K185:Q185)</f>
        <v/>
      </c>
      <c r="S185" s="756">
        <f>J185*5760</f>
        <v/>
      </c>
    </row>
    <row r="186">
      <c r="A186" s="115" t="inlineStr">
        <is>
          <t>자디니안티바이오로션</t>
        </is>
      </c>
      <c r="B186" s="703" t="inlineStr">
        <is>
          <t>P0000BEZ</t>
        </is>
      </c>
      <c r="C186" s="239" t="n">
        <v>11</v>
      </c>
      <c r="D186" s="235" t="n"/>
      <c r="E186" s="242" t="n"/>
      <c r="F186" s="230" t="n"/>
      <c r="G186" s="322" t="n"/>
      <c r="H186" s="230" t="n"/>
      <c r="I186" s="242" t="n"/>
      <c r="J186" s="35">
        <f>SUM(C186:I186)</f>
        <v/>
      </c>
      <c r="K186" s="815">
        <f>C186*17600</f>
        <v/>
      </c>
      <c r="L186" s="790">
        <f>D186*14400</f>
        <v/>
      </c>
      <c r="M186" s="839">
        <f>E186*14400</f>
        <v/>
      </c>
      <c r="N186" s="820" t="n"/>
      <c r="O186" s="771" t="n"/>
      <c r="P186" s="771" t="n"/>
      <c r="Q186" s="772" t="n"/>
      <c r="R186" s="758">
        <f>SUM(K186:Q186)</f>
        <v/>
      </c>
      <c r="S186" s="756">
        <f>J186*3867</f>
        <v/>
      </c>
    </row>
    <row r="187">
      <c r="A187" s="115" t="inlineStr">
        <is>
          <t>13TS오일</t>
        </is>
      </c>
      <c r="B187" s="703" t="inlineStr">
        <is>
          <t>P00000HO</t>
        </is>
      </c>
      <c r="C187" s="233" t="n"/>
      <c r="D187" s="235" t="n"/>
      <c r="E187" s="242" t="n"/>
      <c r="F187" s="230" t="n"/>
      <c r="G187" s="322" t="n"/>
      <c r="H187" s="230" t="n"/>
      <c r="I187" s="230" t="n"/>
      <c r="J187" s="35">
        <f>SUM(C187:I187)</f>
        <v/>
      </c>
      <c r="K187" s="815">
        <f>C187*64800</f>
        <v/>
      </c>
      <c r="L187" s="790">
        <f>D187*51840</f>
        <v/>
      </c>
      <c r="M187" s="770">
        <f>E187*51840</f>
        <v/>
      </c>
      <c r="N187" s="771">
        <f>F187*45360</f>
        <v/>
      </c>
      <c r="O187" s="771" t="n"/>
      <c r="P187" s="771">
        <f>H187*45360</f>
        <v/>
      </c>
      <c r="Q187" s="772" t="n"/>
      <c r="R187" s="758">
        <f>SUM(K187:Q187)</f>
        <v/>
      </c>
      <c r="S187" s="756">
        <f>J187*20308</f>
        <v/>
      </c>
    </row>
    <row r="188">
      <c r="A188" s="227" t="inlineStr">
        <is>
          <t>자디니헤어프리인그로운스프레이</t>
        </is>
      </c>
      <c r="B188" s="703" t="inlineStr">
        <is>
          <t>P0000BFE</t>
        </is>
      </c>
      <c r="C188" s="233" t="n">
        <v>383</v>
      </c>
      <c r="D188" s="235" t="n">
        <v>20</v>
      </c>
      <c r="E188" s="234" t="n">
        <v>120</v>
      </c>
      <c r="F188" s="230" t="n"/>
      <c r="G188" s="230" t="n"/>
      <c r="H188" s="230" t="n"/>
      <c r="I188" s="230" t="n"/>
      <c r="J188" s="35">
        <f>SUM(C188:I188)</f>
        <v/>
      </c>
      <c r="K188" s="815">
        <f>C188*11000</f>
        <v/>
      </c>
      <c r="L188" s="790">
        <f>D188*9900</f>
        <v/>
      </c>
      <c r="M188" s="770">
        <f>E188*8800</f>
        <v/>
      </c>
      <c r="N188" s="771" t="n"/>
      <c r="O188" s="771">
        <f>F188*11000</f>
        <v/>
      </c>
      <c r="P188" s="771">
        <f>H188*11000</f>
        <v/>
      </c>
      <c r="Q188" s="772" t="n"/>
      <c r="R188" s="758">
        <f>SUM(K188:Q188)</f>
        <v/>
      </c>
      <c r="S188" s="756">
        <f>J188*2006</f>
        <v/>
      </c>
    </row>
    <row r="189">
      <c r="A189" s="115" t="inlineStr">
        <is>
          <t>자디니리본미스트110</t>
        </is>
      </c>
      <c r="B189" s="703" t="inlineStr">
        <is>
          <t>P00000XU</t>
        </is>
      </c>
      <c r="C189" s="233" t="n">
        <v>5</v>
      </c>
      <c r="D189" s="235" t="n"/>
      <c r="E189" s="234" t="n">
        <v>1</v>
      </c>
      <c r="F189" s="215" t="n">
        <v>2</v>
      </c>
      <c r="G189" s="242" t="n"/>
      <c r="H189" s="230" t="n"/>
      <c r="I189" s="238" t="n"/>
      <c r="J189" s="35">
        <f>SUM(C189:I189)</f>
        <v/>
      </c>
      <c r="K189" s="815">
        <f>C189*16000</f>
        <v/>
      </c>
      <c r="L189" s="790">
        <f>D189*12000</f>
        <v/>
      </c>
      <c r="M189" s="770">
        <f>E189*12000</f>
        <v/>
      </c>
      <c r="N189" s="771" t="n"/>
      <c r="O189" s="771">
        <f>F189*12800</f>
        <v/>
      </c>
      <c r="P189" s="771" t="n"/>
      <c r="Q189" s="772" t="n"/>
      <c r="R189" s="758">
        <f>SUM(K189:Q189)</f>
        <v/>
      </c>
      <c r="S189" s="756">
        <f>J189*2144</f>
        <v/>
      </c>
    </row>
    <row r="190">
      <c r="A190" s="224" t="inlineStr">
        <is>
          <t>자디니시카마스크팩</t>
        </is>
      </c>
      <c r="B190" s="90" t="inlineStr">
        <is>
          <t>P00000XW</t>
        </is>
      </c>
      <c r="C190" s="230" t="n">
        <v>150</v>
      </c>
      <c r="D190" s="235" t="n"/>
      <c r="E190" s="234" t="n">
        <v>200</v>
      </c>
      <c r="F190" s="230" t="n">
        <v>10</v>
      </c>
      <c r="G190" s="230" t="n"/>
      <c r="H190" s="230" t="n"/>
      <c r="I190" s="238" t="n"/>
      <c r="J190" s="35">
        <f>SUM(C190:I190)</f>
        <v/>
      </c>
      <c r="K190" s="820">
        <f>C190*1800</f>
        <v/>
      </c>
      <c r="L190" s="790">
        <f>D190*1600</f>
        <v/>
      </c>
      <c r="M190" s="770">
        <f>E190*1600</f>
        <v/>
      </c>
      <c r="N190" s="771" t="n"/>
      <c r="O190" s="771">
        <f>F190*1600</f>
        <v/>
      </c>
      <c r="P190" s="771" t="n"/>
      <c r="Q190" s="772" t="n"/>
      <c r="R190" s="758">
        <f>SUM(K190:Q190)</f>
        <v/>
      </c>
      <c r="S190" s="756">
        <f>J190*818</f>
        <v/>
      </c>
    </row>
    <row r="191">
      <c r="A191" s="115" t="inlineStr">
        <is>
          <t>자디니시카마스크5개</t>
        </is>
      </c>
      <c r="B191" s="703" t="inlineStr">
        <is>
          <t>P00000XW</t>
        </is>
      </c>
      <c r="C191" s="233" t="n">
        <v>75</v>
      </c>
      <c r="D191" s="235" t="n"/>
      <c r="E191" s="259" t="n"/>
      <c r="F191" s="230" t="n"/>
      <c r="G191" s="230" t="n"/>
      <c r="H191" s="230" t="n"/>
      <c r="I191" s="215" t="n"/>
      <c r="J191" s="35">
        <f>SUM(C191:I191)</f>
        <v/>
      </c>
      <c r="K191" s="815">
        <f>C191*2000</f>
        <v/>
      </c>
      <c r="L191" s="790">
        <f>D191*1600</f>
        <v/>
      </c>
      <c r="M191" s="770">
        <f>E191*1600</f>
        <v/>
      </c>
      <c r="N191" s="771" t="n"/>
      <c r="O191" s="771">
        <f>F191*1600</f>
        <v/>
      </c>
      <c r="P191" s="771" t="n"/>
      <c r="Q191" s="772" t="n"/>
      <c r="R191" s="758">
        <f>SUM(K191:Q191)</f>
        <v/>
      </c>
      <c r="S191" s="756">
        <f>J191*863</f>
        <v/>
      </c>
    </row>
    <row r="192">
      <c r="A192" s="115" t="inlineStr">
        <is>
          <t>자디니티로사카밍로션</t>
        </is>
      </c>
      <c r="B192" s="703" t="inlineStr">
        <is>
          <t>P0000BNA</t>
        </is>
      </c>
      <c r="C192" s="233" t="n">
        <v>19</v>
      </c>
      <c r="D192" s="235" t="n"/>
      <c r="E192" s="234" t="n">
        <v>30</v>
      </c>
      <c r="F192" s="230" t="n"/>
      <c r="G192" s="230" t="n"/>
      <c r="H192" s="230" t="n"/>
      <c r="I192" s="238" t="n"/>
      <c r="J192" s="35">
        <f>SUM(C192:I192)</f>
        <v/>
      </c>
      <c r="K192" s="815">
        <f>C192*24000</f>
        <v/>
      </c>
      <c r="L192" s="790" t="n"/>
      <c r="M192" s="770">
        <f>E192*18000</f>
        <v/>
      </c>
      <c r="N192" s="771" t="n"/>
      <c r="O192" s="771" t="n"/>
      <c r="P192" s="771" t="n"/>
      <c r="Q192" s="772" t="n"/>
      <c r="R192" s="758">
        <f>SUM(K192:Q192)</f>
        <v/>
      </c>
      <c r="S192" s="756">
        <f>J192*3853</f>
        <v/>
      </c>
    </row>
    <row r="193">
      <c r="A193" s="115" t="inlineStr">
        <is>
          <t>자디니아나프리오일</t>
        </is>
      </c>
      <c r="B193" s="703" t="inlineStr">
        <is>
          <t>P0000BLE</t>
        </is>
      </c>
      <c r="C193" s="233" t="n">
        <v>25</v>
      </c>
      <c r="D193" s="235" t="n"/>
      <c r="E193" s="234" t="n"/>
      <c r="F193" s="230" t="n"/>
      <c r="G193" s="230" t="n"/>
      <c r="H193" s="230" t="n"/>
      <c r="I193" s="238" t="n"/>
      <c r="J193" s="35">
        <f>SUM(C193:I193)</f>
        <v/>
      </c>
      <c r="K193" s="815">
        <f>C193*19200</f>
        <v/>
      </c>
      <c r="L193" s="790">
        <f>D193*21000</f>
        <v/>
      </c>
      <c r="M193" s="770">
        <f>E193*11000</f>
        <v/>
      </c>
      <c r="N193" s="771" t="n"/>
      <c r="O193" s="771">
        <f>G193*19200</f>
        <v/>
      </c>
      <c r="P193" s="771" t="n"/>
      <c r="Q193" s="772" t="n"/>
      <c r="R193" s="758">
        <f>SUM(K193:Q193)</f>
        <v/>
      </c>
      <c r="S193" s="756">
        <f>J193*4062</f>
        <v/>
      </c>
    </row>
    <row r="194">
      <c r="A194" s="115" t="inlineStr">
        <is>
          <t>자디니버진오일</t>
        </is>
      </c>
      <c r="B194" s="703" t="inlineStr">
        <is>
          <t>P0000BGA</t>
        </is>
      </c>
      <c r="C194" s="233" t="n"/>
      <c r="D194" s="235" t="n"/>
      <c r="E194" s="234" t="n"/>
      <c r="F194" s="230" t="n"/>
      <c r="G194" s="230" t="n"/>
      <c r="H194" s="230" t="n"/>
      <c r="I194" s="215" t="n"/>
      <c r="J194" s="35">
        <f>SUM(C194:I194)</f>
        <v/>
      </c>
      <c r="K194" s="815">
        <f>C194*24000</f>
        <v/>
      </c>
      <c r="L194" s="790">
        <f>D194*21000</f>
        <v/>
      </c>
      <c r="M194" s="770">
        <f>E194*21000</f>
        <v/>
      </c>
      <c r="N194" s="771" t="n"/>
      <c r="O194" s="771">
        <f>G194*19200</f>
        <v/>
      </c>
      <c r="P194" s="771" t="n"/>
      <c r="Q194" s="772" t="n"/>
      <c r="R194" s="758">
        <f>SUM(K194:Q194)</f>
        <v/>
      </c>
      <c r="S194" s="756">
        <f>J194*7146</f>
        <v/>
      </c>
    </row>
    <row r="195">
      <c r="A195" s="115" t="inlineStr">
        <is>
          <t>자디니릴렉싱바디오일500</t>
        </is>
      </c>
      <c r="B195" s="703" t="inlineStr">
        <is>
          <t>P0000BNG</t>
        </is>
      </c>
      <c r="C195" s="233" t="n"/>
      <c r="D195" s="235" t="n"/>
      <c r="E195" s="234" t="n"/>
      <c r="F195" s="230" t="n"/>
      <c r="G195" s="230" t="n"/>
      <c r="H195" s="230" t="n"/>
      <c r="I195" s="215" t="n"/>
      <c r="J195" s="35">
        <f>SUM(C195:I195)</f>
        <v/>
      </c>
      <c r="K195" s="815">
        <f>C195*44000</f>
        <v/>
      </c>
      <c r="L195" s="790" t="n"/>
      <c r="M195" s="770">
        <f>E195*30800</f>
        <v/>
      </c>
      <c r="N195" s="771" t="n"/>
      <c r="O195" s="771" t="n"/>
      <c r="P195" s="771" t="n"/>
      <c r="Q195" s="772" t="n"/>
      <c r="R195" s="758">
        <f>SUM(K195:Q195)</f>
        <v/>
      </c>
      <c r="S195" s="756">
        <f>J195*6987</f>
        <v/>
      </c>
    </row>
    <row r="196">
      <c r="A196" s="115" t="inlineStr">
        <is>
          <t>자디니릴렉싱바디오일100</t>
        </is>
      </c>
      <c r="B196" s="703" t="inlineStr">
        <is>
          <t>P0000BNJ</t>
        </is>
      </c>
      <c r="C196" s="233" t="n"/>
      <c r="D196" s="235" t="n"/>
      <c r="E196" s="234" t="n"/>
      <c r="F196" s="230" t="n"/>
      <c r="G196" s="230" t="n"/>
      <c r="H196" s="230" t="n"/>
      <c r="I196" s="215" t="n"/>
      <c r="J196" s="35">
        <f>SUM(C196:I196)</f>
        <v/>
      </c>
      <c r="K196" s="815">
        <f>C196*16000</f>
        <v/>
      </c>
      <c r="L196" s="790" t="n"/>
      <c r="M196" s="770">
        <f>E196*12800</f>
        <v/>
      </c>
      <c r="N196" s="771" t="n"/>
      <c r="O196" s="771" t="n"/>
      <c r="P196" s="771" t="n"/>
      <c r="Q196" s="772" t="n"/>
      <c r="R196" s="758">
        <f>SUM(K196:Q196)</f>
        <v/>
      </c>
      <c r="S196" s="756">
        <f>J196*2978</f>
        <v/>
      </c>
    </row>
    <row r="197">
      <c r="A197" s="115" t="inlineStr">
        <is>
          <t>자디니딥릴리프오일200</t>
        </is>
      </c>
      <c r="B197" s="703" t="inlineStr">
        <is>
          <t>P0000BLG</t>
        </is>
      </c>
      <c r="C197" s="233" t="n">
        <v>2</v>
      </c>
      <c r="D197" s="235" t="n"/>
      <c r="E197" s="234" t="n"/>
      <c r="F197" s="230" t="n"/>
      <c r="G197" s="230" t="n"/>
      <c r="H197" s="230" t="n"/>
      <c r="I197" s="215" t="n"/>
      <c r="J197" s="35">
        <f>SUM(C197:I197)</f>
        <v/>
      </c>
      <c r="K197" s="815">
        <f>C197*19200</f>
        <v/>
      </c>
      <c r="L197" s="790" t="n"/>
      <c r="M197" s="770">
        <f>E197*11000</f>
        <v/>
      </c>
      <c r="N197" s="771" t="n"/>
      <c r="O197" s="771" t="n"/>
      <c r="P197" s="771" t="n"/>
      <c r="Q197" s="772" t="n"/>
      <c r="R197" s="758">
        <f>SUM(K197:Q197)</f>
        <v/>
      </c>
      <c r="S197" s="756">
        <f>J197*4314</f>
        <v/>
      </c>
    </row>
    <row r="198">
      <c r="A198" s="115" t="inlineStr">
        <is>
          <t>자디니딥릴리프오일75</t>
        </is>
      </c>
      <c r="B198" s="703" t="inlineStr">
        <is>
          <t>P0000BLI</t>
        </is>
      </c>
      <c r="C198" s="233" t="n">
        <v>1</v>
      </c>
      <c r="D198" s="235" t="n"/>
      <c r="E198" s="234" t="n"/>
      <c r="F198" s="230" t="n"/>
      <c r="G198" s="230" t="n"/>
      <c r="H198" s="230" t="n"/>
      <c r="I198" s="238" t="n"/>
      <c r="J198" s="35">
        <f>SUM(C198:I198)</f>
        <v/>
      </c>
      <c r="K198" s="815">
        <f>C198*9000</f>
        <v/>
      </c>
      <c r="L198" s="790" t="n"/>
      <c r="M198" s="770">
        <f>E198*6600</f>
        <v/>
      </c>
      <c r="N198" s="771" t="n"/>
      <c r="O198" s="771" t="n"/>
      <c r="P198" s="771" t="n"/>
      <c r="Q198" s="772" t="n"/>
      <c r="R198" s="758">
        <f>SUM(K198:Q198)</f>
        <v/>
      </c>
      <c r="S198" s="756">
        <f>J198*3131</f>
        <v/>
      </c>
    </row>
    <row r="199">
      <c r="A199" s="115" t="inlineStr">
        <is>
          <t>자디니안티버그스프레이(10묶음)</t>
        </is>
      </c>
      <c r="B199" s="703" t="inlineStr">
        <is>
          <t>P0000BLM</t>
        </is>
      </c>
      <c r="C199" s="233" t="n">
        <v>20</v>
      </c>
      <c r="D199" s="235" t="n"/>
      <c r="E199" s="234" t="n"/>
      <c r="F199" s="230" t="n"/>
      <c r="G199" s="230" t="n"/>
      <c r="H199" s="230" t="n"/>
      <c r="I199" s="238" t="n"/>
      <c r="J199" s="35">
        <f>SUM(C199:I199)</f>
        <v/>
      </c>
      <c r="K199" s="815">
        <f>C199*5500</f>
        <v/>
      </c>
      <c r="L199" s="815">
        <f>D199*5500</f>
        <v/>
      </c>
      <c r="M199" s="770">
        <f>E199*5500</f>
        <v/>
      </c>
      <c r="N199" s="771" t="n"/>
      <c r="O199" s="771" t="n"/>
      <c r="P199" s="771" t="n"/>
      <c r="Q199" s="772" t="n"/>
      <c r="R199" s="758">
        <f>SUM(K199:Q199)</f>
        <v/>
      </c>
      <c r="S199" s="756">
        <f>J199*2426</f>
        <v/>
      </c>
    </row>
    <row r="200">
      <c r="A200" s="115" t="inlineStr">
        <is>
          <t>자디니트래블키트</t>
        </is>
      </c>
      <c r="B200" s="703" t="inlineStr">
        <is>
          <t>P0000BLN</t>
        </is>
      </c>
      <c r="C200" s="233" t="n">
        <v>6</v>
      </c>
      <c r="D200" s="235" t="n"/>
      <c r="E200" s="234" t="n"/>
      <c r="F200" s="230" t="n"/>
      <c r="G200" s="230" t="n"/>
      <c r="H200" s="230" t="n"/>
      <c r="I200" s="238" t="n"/>
      <c r="J200" s="35">
        <f>SUM(C200:I200)</f>
        <v/>
      </c>
      <c r="K200" s="815">
        <f>C200*14500</f>
        <v/>
      </c>
      <c r="L200" s="815">
        <f>D200*14500</f>
        <v/>
      </c>
      <c r="M200" s="770">
        <f>E200*12100</f>
        <v/>
      </c>
      <c r="N200" s="771" t="n"/>
      <c r="O200" s="771" t="n"/>
      <c r="P200" s="771" t="n"/>
      <c r="Q200" s="772" t="n"/>
      <c r="R200" s="758">
        <f>SUM(K200:Q200)</f>
        <v/>
      </c>
      <c r="S200" s="756">
        <f>J200*5557</f>
        <v/>
      </c>
    </row>
    <row r="201" customFormat="1" s="755">
      <c r="A201" s="115" t="inlineStr">
        <is>
          <t>자디니UV썬스크린데일리크림30</t>
        </is>
      </c>
      <c r="B201" s="703" t="inlineStr">
        <is>
          <t>P0000BIK</t>
        </is>
      </c>
      <c r="C201" s="233" t="n">
        <v>4</v>
      </c>
      <c r="D201" s="235" t="n"/>
      <c r="E201" s="234" t="n"/>
      <c r="F201" s="230" t="n"/>
      <c r="G201" s="230" t="n"/>
      <c r="H201" s="230" t="n"/>
      <c r="I201" s="238" t="n"/>
      <c r="J201" s="35">
        <f>SUM(C201:I201)</f>
        <v/>
      </c>
      <c r="K201" s="815">
        <f>C201*12000</f>
        <v/>
      </c>
      <c r="L201" s="790">
        <f>D201*9900</f>
        <v/>
      </c>
      <c r="M201" s="770">
        <f>E201*9900</f>
        <v/>
      </c>
      <c r="N201" s="771" t="n"/>
      <c r="O201" s="771">
        <f>F201*7200</f>
        <v/>
      </c>
      <c r="P201" s="771" t="n"/>
      <c r="Q201" s="772" t="n"/>
      <c r="R201" s="758">
        <f>SUM(K201:Q201)</f>
        <v/>
      </c>
      <c r="S201" s="756">
        <f>J201*2633</f>
        <v/>
      </c>
    </row>
    <row r="202" customFormat="1" s="755">
      <c r="A202" s="227" t="inlineStr">
        <is>
          <t>자디니UV썬톤업크림30</t>
        </is>
      </c>
      <c r="B202" s="775" t="n"/>
      <c r="C202" s="233" t="n">
        <v>1</v>
      </c>
      <c r="D202" s="235" t="n"/>
      <c r="E202" s="234" t="n"/>
      <c r="F202" s="230" t="n"/>
      <c r="G202" s="322" t="n"/>
      <c r="H202" s="230" t="n"/>
      <c r="I202" s="238" t="n"/>
      <c r="J202" s="35">
        <f>SUM(C202:I202)</f>
        <v/>
      </c>
      <c r="K202" s="755">
        <f>C202*14000</f>
        <v/>
      </c>
      <c r="L202" s="790">
        <f>D202*11600</f>
        <v/>
      </c>
      <c r="M202" s="770">
        <f>E202*11600</f>
        <v/>
      </c>
      <c r="N202" s="771" t="n"/>
      <c r="O202" s="771">
        <f>F202*8400</f>
        <v/>
      </c>
      <c r="P202" s="771" t="n"/>
      <c r="Q202" s="772" t="n"/>
      <c r="R202" s="758">
        <f>SUM(K202:Q202)</f>
        <v/>
      </c>
      <c r="S202" s="756">
        <f>J202*3569</f>
        <v/>
      </c>
    </row>
    <row r="203" customFormat="1" s="755">
      <c r="A203" s="115" t="inlineStr">
        <is>
          <t>자디니포레스트페이셜스크럽</t>
        </is>
      </c>
      <c r="B203" s="703" t="inlineStr">
        <is>
          <t>P0000BIZ</t>
        </is>
      </c>
      <c r="C203" s="237" t="n">
        <v>83</v>
      </c>
      <c r="D203" s="235" t="n"/>
      <c r="E203" s="234" t="n">
        <v>42</v>
      </c>
      <c r="F203" s="242" t="n"/>
      <c r="G203" s="230" t="n"/>
      <c r="H203" s="230" t="n"/>
      <c r="I203" s="238" t="n"/>
      <c r="J203" s="35">
        <f>SUM(C203:I203)</f>
        <v/>
      </c>
      <c r="K203" s="755">
        <f>C203*16500</f>
        <v/>
      </c>
      <c r="L203" s="790" t="n"/>
      <c r="M203" s="770">
        <f>E203*12500</f>
        <v/>
      </c>
      <c r="N203" s="771" t="n"/>
      <c r="O203" s="771" t="n"/>
      <c r="P203" s="771" t="n"/>
      <c r="Q203" s="796" t="n"/>
      <c r="R203" s="758">
        <f>SUM(K203:Q203)</f>
        <v/>
      </c>
      <c r="S203" s="756">
        <f>J203*3069</f>
        <v/>
      </c>
    </row>
    <row r="204" customFormat="1" s="755">
      <c r="A204" s="115" t="inlineStr">
        <is>
          <t>자디니포레스트바디로션</t>
        </is>
      </c>
      <c r="B204" s="703" t="inlineStr">
        <is>
          <t>P0000BIV</t>
        </is>
      </c>
      <c r="C204" s="237" t="n">
        <v>33</v>
      </c>
      <c r="D204" s="235" t="n"/>
      <c r="E204" s="234" t="n">
        <v>17</v>
      </c>
      <c r="F204" s="230" t="n"/>
      <c r="G204" s="322" t="n"/>
      <c r="H204" s="230" t="n"/>
      <c r="I204" s="238" t="n"/>
      <c r="J204" s="35">
        <f>SUM(C204:I204)</f>
        <v/>
      </c>
      <c r="K204" s="755">
        <f>C204*18000</f>
        <v/>
      </c>
      <c r="L204" s="790" t="n"/>
      <c r="M204" s="770">
        <f>E204*13200</f>
        <v/>
      </c>
      <c r="N204" s="771">
        <f>F204*18000</f>
        <v/>
      </c>
      <c r="O204" s="771" t="n"/>
      <c r="P204" s="771" t="n"/>
      <c r="Q204" s="772" t="n"/>
      <c r="R204" s="758">
        <f>SUM(K204:Q204)</f>
        <v/>
      </c>
      <c r="S204" s="756">
        <f>J204*3147</f>
        <v/>
      </c>
    </row>
    <row r="205" customFormat="1" s="755">
      <c r="A205" s="115" t="inlineStr">
        <is>
          <t>자디니포레스트바디워시</t>
        </is>
      </c>
      <c r="B205" s="703" t="inlineStr">
        <is>
          <t>P0000BJC</t>
        </is>
      </c>
      <c r="C205" s="237" t="n">
        <v>8</v>
      </c>
      <c r="D205" s="235" t="n"/>
      <c r="E205" s="234" t="n">
        <v>2</v>
      </c>
      <c r="F205" s="230" t="n"/>
      <c r="G205" s="230" t="n"/>
      <c r="H205" s="230" t="n"/>
      <c r="I205" s="238" t="n"/>
      <c r="J205" s="35">
        <f>SUM(C205:I205)</f>
        <v/>
      </c>
      <c r="K205" s="755">
        <f>C205*12000</f>
        <v/>
      </c>
      <c r="L205" s="790" t="n"/>
      <c r="M205" s="770">
        <f>E205*9600</f>
        <v/>
      </c>
      <c r="N205" s="771">
        <f>F205*12000</f>
        <v/>
      </c>
      <c r="O205" s="771">
        <f>G205*9600</f>
        <v/>
      </c>
      <c r="P205" s="771" t="n"/>
      <c r="Q205" s="772" t="n"/>
      <c r="R205" s="758">
        <f>SUM(K205:Q205)</f>
        <v/>
      </c>
      <c r="S205" s="756">
        <f>J205*2740</f>
        <v/>
      </c>
    </row>
    <row r="206" customFormat="1" s="755">
      <c r="A206" s="115" t="inlineStr">
        <is>
          <t>제모미인페이스왁싱스킨100</t>
        </is>
      </c>
      <c r="B206" s="703" t="inlineStr">
        <is>
          <t>P00000ZA</t>
        </is>
      </c>
      <c r="C206" s="233" t="n">
        <v>28</v>
      </c>
      <c r="D206" s="235" t="n"/>
      <c r="E206" s="259" t="n"/>
      <c r="F206" s="215" t="n">
        <v>2</v>
      </c>
      <c r="G206" s="230" t="n"/>
      <c r="H206" s="230" t="n"/>
      <c r="I206" s="230" t="n">
        <v>2</v>
      </c>
      <c r="J206" s="35">
        <f>SUM(C206:I206)</f>
        <v/>
      </c>
      <c r="K206" s="815">
        <f>C206*6600</f>
        <v/>
      </c>
      <c r="L206" s="790" t="n"/>
      <c r="M206" s="770">
        <f>E206*5500</f>
        <v/>
      </c>
      <c r="N206" s="771" t="n"/>
      <c r="O206" s="771">
        <f>F206*5300</f>
        <v/>
      </c>
      <c r="P206" s="771" t="n"/>
      <c r="Q206" s="796">
        <f>I206*4620</f>
        <v/>
      </c>
      <c r="R206" s="758">
        <f>SUM(K206:Q206)</f>
        <v/>
      </c>
      <c r="S206" s="756">
        <f>J206*2573</f>
        <v/>
      </c>
    </row>
    <row r="207" customFormat="1" s="755">
      <c r="A207" s="115" t="inlineStr">
        <is>
          <t>제모미인페이스왁싱프리오일100</t>
        </is>
      </c>
      <c r="B207" s="775" t="n"/>
      <c r="C207" s="233" t="n">
        <v>31</v>
      </c>
      <c r="D207" s="235" t="n"/>
      <c r="E207" s="259" t="n"/>
      <c r="F207" s="215" t="n">
        <v>2</v>
      </c>
      <c r="G207" s="230" t="n"/>
      <c r="H207" s="230" t="n"/>
      <c r="I207" s="230" t="n">
        <v>2</v>
      </c>
      <c r="J207" s="35">
        <f>SUM(C207:I207)</f>
        <v/>
      </c>
      <c r="K207" s="815">
        <f>C207*6600</f>
        <v/>
      </c>
      <c r="L207" s="790" t="n"/>
      <c r="M207" s="770">
        <f>E207*5500</f>
        <v/>
      </c>
      <c r="N207" s="771" t="n"/>
      <c r="O207" s="771">
        <f>F207*5300</f>
        <v/>
      </c>
      <c r="P207" s="771" t="n"/>
      <c r="Q207" s="796">
        <f>I207*4620</f>
        <v/>
      </c>
      <c r="R207" s="758">
        <f>SUM(K207:Q207)</f>
        <v/>
      </c>
      <c r="S207" s="756">
        <f>J207*3222</f>
        <v/>
      </c>
    </row>
    <row r="208" customFormat="1" s="755">
      <c r="A208" s="115" t="inlineStr">
        <is>
          <t>제모스킨덕용10L</t>
        </is>
      </c>
      <c r="B208" s="373" t="n"/>
      <c r="C208" s="237" t="n"/>
      <c r="D208" s="235" t="n"/>
      <c r="E208" s="234" t="n"/>
      <c r="F208" s="230" t="n"/>
      <c r="G208" s="322" t="n"/>
      <c r="H208" s="230" t="n"/>
      <c r="I208" s="351" t="n"/>
      <c r="J208" s="35">
        <f>SUM(C208:I208)</f>
        <v/>
      </c>
      <c r="L208" s="790" t="n"/>
      <c r="M208" s="770">
        <f>E208*180000</f>
        <v/>
      </c>
      <c r="N208" s="771" t="n"/>
      <c r="O208" s="771" t="n"/>
      <c r="P208" s="771" t="n"/>
      <c r="Q208" s="772" t="n"/>
      <c r="R208" s="758">
        <f>SUM(K208:Q208)</f>
        <v/>
      </c>
      <c r="S208" s="756">
        <f>J208*63000</f>
        <v/>
      </c>
    </row>
    <row r="209" customFormat="1" s="755">
      <c r="A209" s="115" t="inlineStr">
        <is>
          <t>제모오일덕용10L</t>
        </is>
      </c>
      <c r="B209" s="373" t="n"/>
      <c r="C209" s="35" t="n"/>
      <c r="D209" s="32" t="n"/>
      <c r="E209" s="234" t="n"/>
      <c r="F209" s="34" t="n"/>
      <c r="G209" s="34" t="n"/>
      <c r="H209" s="191" t="n"/>
      <c r="I209" s="80" t="n"/>
      <c r="J209" s="35">
        <f>SUM(C209:I209)</f>
        <v/>
      </c>
      <c r="L209" s="790" t="n"/>
      <c r="M209" s="770">
        <f>E209*180000</f>
        <v/>
      </c>
      <c r="N209" s="771" t="n"/>
      <c r="O209" s="771" t="n"/>
      <c r="P209" s="771" t="n"/>
      <c r="Q209" s="772" t="n"/>
      <c r="R209" s="758">
        <f>SUM(K209:Q209)</f>
        <v/>
      </c>
      <c r="S209" s="756">
        <f>J209*90000</f>
        <v/>
      </c>
    </row>
    <row r="210" customFormat="1" s="755">
      <c r="A210" s="227" t="inlineStr">
        <is>
          <t>자디니알루마마미레스트</t>
        </is>
      </c>
      <c r="B210" s="703" t="inlineStr">
        <is>
          <t>P0000BMS</t>
        </is>
      </c>
      <c r="C210" s="233" t="n">
        <v>2</v>
      </c>
      <c r="D210" s="235" t="n"/>
      <c r="E210" s="234" t="n">
        <v>2</v>
      </c>
      <c r="F210" s="230" t="n"/>
      <c r="G210" s="322" t="n"/>
      <c r="H210" s="230" t="n"/>
      <c r="I210" s="238" t="n"/>
      <c r="J210" s="35">
        <f>SUM(C210:I210)</f>
        <v/>
      </c>
      <c r="K210" s="755">
        <f>C210*28000</f>
        <v/>
      </c>
      <c r="L210" s="790" t="n"/>
      <c r="M210" s="770">
        <f>E210*22400</f>
        <v/>
      </c>
      <c r="N210" s="771" t="n"/>
      <c r="O210" s="771" t="n"/>
      <c r="P210" s="771" t="n"/>
      <c r="Q210" s="772" t="n"/>
      <c r="R210" s="758">
        <f>SUM(K210:Q210)</f>
        <v/>
      </c>
      <c r="S210" s="756">
        <f>J210*4618</f>
        <v/>
      </c>
    </row>
    <row r="211" customFormat="1" s="755">
      <c r="A211" s="227" t="inlineStr">
        <is>
          <t>자디니마인드밸런스레스트풀슬립</t>
        </is>
      </c>
      <c r="B211" s="703" t="inlineStr">
        <is>
          <t>P0000BMQ</t>
        </is>
      </c>
      <c r="C211" s="233" t="n">
        <v>2</v>
      </c>
      <c r="D211" s="235" t="n"/>
      <c r="E211" s="234" t="n">
        <v>2</v>
      </c>
      <c r="F211" s="230" t="n"/>
      <c r="G211" s="322" t="n"/>
      <c r="H211" s="230" t="n"/>
      <c r="I211" s="238" t="n"/>
      <c r="J211" s="35">
        <f>SUM(C211:I211)</f>
        <v/>
      </c>
      <c r="K211" s="755">
        <f>C211*27000</f>
        <v/>
      </c>
      <c r="L211" s="790" t="n"/>
      <c r="M211" s="770">
        <f>E211*21600</f>
        <v/>
      </c>
      <c r="N211" s="771" t="n"/>
      <c r="O211" s="771" t="n"/>
      <c r="P211" s="771" t="n"/>
      <c r="Q211" s="772" t="n"/>
      <c r="R211" s="758">
        <f>SUM(K211:Q211)</f>
        <v/>
      </c>
      <c r="S211" s="756">
        <f>J211*4063</f>
        <v/>
      </c>
    </row>
    <row r="212" customFormat="1" s="755">
      <c r="A212" s="227" t="inlineStr">
        <is>
          <t>바디리추얼슬림&amp;쉐입</t>
        </is>
      </c>
      <c r="B212" s="703" t="inlineStr">
        <is>
          <t>P0000BND</t>
        </is>
      </c>
      <c r="C212" s="233" t="n"/>
      <c r="D212" s="235" t="n"/>
      <c r="E212" s="234" t="n"/>
      <c r="F212" s="230" t="n"/>
      <c r="G212" s="322" t="n"/>
      <c r="H212" s="230" t="n"/>
      <c r="I212" s="238" t="n"/>
      <c r="J212" s="35" t="n"/>
      <c r="K212" s="755">
        <f>C212*27000</f>
        <v/>
      </c>
      <c r="L212" s="790" t="n"/>
      <c r="M212" s="770">
        <f>E212*21600</f>
        <v/>
      </c>
      <c r="N212" s="771" t="n"/>
      <c r="O212" s="771" t="n"/>
      <c r="P212" s="771" t="n"/>
      <c r="Q212" s="772" t="n"/>
      <c r="R212" s="758">
        <f>SUM(K212:Q212)</f>
        <v/>
      </c>
      <c r="S212" s="756">
        <f>J212*3601</f>
        <v/>
      </c>
    </row>
    <row r="213" customFormat="1" s="755">
      <c r="A213" s="115" t="inlineStr">
        <is>
          <t>자디니아로마헤어샴푸</t>
        </is>
      </c>
      <c r="B213" s="703" t="inlineStr">
        <is>
          <t>P0000BKJ</t>
        </is>
      </c>
      <c r="C213" s="237" t="n">
        <v>12</v>
      </c>
      <c r="D213" s="235" t="n"/>
      <c r="E213" s="234" t="n"/>
      <c r="F213" s="230" t="n"/>
      <c r="G213" s="322" t="n"/>
      <c r="H213" s="230" t="n"/>
      <c r="I213" s="238" t="n"/>
      <c r="J213" s="35">
        <f>SUM(C213:I213)</f>
        <v/>
      </c>
      <c r="K213" s="755">
        <f>C213*28000</f>
        <v/>
      </c>
      <c r="L213" s="790" t="n"/>
      <c r="M213" s="770" t="n"/>
      <c r="N213" s="771">
        <f>F213*19600</f>
        <v/>
      </c>
      <c r="O213" s="771" t="n"/>
      <c r="P213" s="771">
        <f>H213*22400</f>
        <v/>
      </c>
      <c r="Q213" s="772" t="n"/>
      <c r="R213" s="758">
        <f>SUM(K213:Q213)</f>
        <v/>
      </c>
      <c r="S213" s="756">
        <f>J213*6493</f>
        <v/>
      </c>
    </row>
    <row r="214" customFormat="1" s="755">
      <c r="A214" s="115" t="inlineStr">
        <is>
          <t>자디니아로마헤어트리트먼트</t>
        </is>
      </c>
      <c r="B214" s="703" t="inlineStr">
        <is>
          <t>P0000BKK</t>
        </is>
      </c>
      <c r="C214" s="35" t="n">
        <v>9</v>
      </c>
      <c r="D214" s="235" t="n"/>
      <c r="E214" s="234" t="n"/>
      <c r="F214" s="230" t="n"/>
      <c r="G214" s="322" t="n"/>
      <c r="H214" s="230" t="n"/>
      <c r="I214" s="238" t="n"/>
      <c r="J214" s="35">
        <f>SUM(C214:I214)</f>
        <v/>
      </c>
      <c r="K214" s="755">
        <f>C214*28000</f>
        <v/>
      </c>
      <c r="L214" s="790" t="n"/>
      <c r="M214" s="770" t="n"/>
      <c r="N214" s="771">
        <f>F214*19600</f>
        <v/>
      </c>
      <c r="O214" s="771" t="n"/>
      <c r="P214" s="771">
        <f>H214*22400</f>
        <v/>
      </c>
      <c r="Q214" s="772" t="n"/>
      <c r="R214" s="758">
        <f>SUM(K214:Q214)</f>
        <v/>
      </c>
      <c r="S214" s="756">
        <f>J214*6900</f>
        <v/>
      </c>
    </row>
    <row r="215" customFormat="1" s="755">
      <c r="A215" s="115" t="inlineStr">
        <is>
          <t>자디니아로마헤어루트인핸서</t>
        </is>
      </c>
      <c r="B215" s="703" t="inlineStr">
        <is>
          <t>P0000BKL</t>
        </is>
      </c>
      <c r="C215" s="237" t="n">
        <v>1</v>
      </c>
      <c r="D215" s="235" t="n"/>
      <c r="E215" s="234" t="n"/>
      <c r="F215" s="230" t="n"/>
      <c r="G215" s="322" t="n"/>
      <c r="H215" s="230" t="n"/>
      <c r="I215" s="238" t="n"/>
      <c r="J215" s="35">
        <f>SUM(C215:I215)</f>
        <v/>
      </c>
      <c r="K215" s="755">
        <f>C215*22000</f>
        <v/>
      </c>
      <c r="L215" s="790" t="n"/>
      <c r="M215" s="770" t="n"/>
      <c r="N215" s="771">
        <f>F215*17100</f>
        <v/>
      </c>
      <c r="O215" s="771" t="n"/>
      <c r="P215" s="771" t="n"/>
      <c r="Q215" s="772" t="n"/>
      <c r="R215" s="758">
        <f>SUM(K215:Q215)</f>
        <v/>
      </c>
      <c r="S215" s="756">
        <f>J215*2573</f>
        <v/>
      </c>
    </row>
    <row r="216" ht="24" customFormat="1" customHeight="1" s="755">
      <c r="A216" s="115" t="inlineStr">
        <is>
          <t>자디니무수알코올1kg</t>
        </is>
      </c>
      <c r="B216" s="532" t="inlineStr">
        <is>
          <t>P0000BJY /  P0000BKI</t>
        </is>
      </c>
      <c r="C216" s="237" t="n"/>
      <c r="D216" s="235" t="n"/>
      <c r="E216" s="234" t="n"/>
      <c r="F216" s="230" t="n"/>
      <c r="G216" s="322" t="n"/>
      <c r="H216" s="230" t="n"/>
      <c r="I216" s="351" t="n"/>
      <c r="J216" s="35">
        <f>SUM(C216:I216)</f>
        <v/>
      </c>
      <c r="K216" s="755">
        <f>C216*22000</f>
        <v/>
      </c>
      <c r="L216" s="790" t="n"/>
      <c r="M216" s="770" t="n"/>
      <c r="N216" s="771">
        <f>F216*17600</f>
        <v/>
      </c>
      <c r="O216" s="771" t="n"/>
      <c r="P216" s="771" t="n"/>
      <c r="Q216" s="772" t="n"/>
      <c r="R216" s="758">
        <f>SUM(K216:Q216)</f>
        <v/>
      </c>
      <c r="S216" s="756">
        <f>J216*4950</f>
        <v/>
      </c>
    </row>
    <row r="217" ht="16.5" customFormat="1" customHeight="1" s="755">
      <c r="A217" s="115" t="inlineStr">
        <is>
          <t>라벤더워터120ml</t>
        </is>
      </c>
      <c r="B217" s="532" t="inlineStr">
        <is>
          <t>P0000BJD / P0000BKB</t>
        </is>
      </c>
      <c r="C217" s="237" t="n"/>
      <c r="D217" s="235" t="n"/>
      <c r="E217" s="234" t="n"/>
      <c r="F217" s="230" t="n"/>
      <c r="G217" s="322" t="n"/>
      <c r="H217" s="230" t="n"/>
      <c r="I217" s="238" t="n"/>
      <c r="J217" s="35">
        <f>SUM(C217:I217)</f>
        <v/>
      </c>
      <c r="K217" s="755">
        <f>C217*12000</f>
        <v/>
      </c>
      <c r="L217" s="790" t="n"/>
      <c r="M217" s="770">
        <f>E217*12000</f>
        <v/>
      </c>
      <c r="N217" s="771">
        <f>F217*9600</f>
        <v/>
      </c>
      <c r="O217" s="771" t="n"/>
      <c r="P217" s="771">
        <f>H217*12000</f>
        <v/>
      </c>
      <c r="Q217" s="772" t="n"/>
      <c r="R217" s="758">
        <f>SUM(K217:Q217)</f>
        <v/>
      </c>
      <c r="S217" s="756">
        <f>J217*2645</f>
        <v/>
      </c>
    </row>
    <row r="218" customFormat="1" s="755">
      <c r="A218" s="115" t="inlineStr">
        <is>
          <t>라벤더워터500ml</t>
        </is>
      </c>
      <c r="B218" s="775" t="n"/>
      <c r="C218" s="237" t="n"/>
      <c r="D218" s="235" t="n"/>
      <c r="E218" s="234" t="n"/>
      <c r="F218" s="230" t="n"/>
      <c r="G218" s="322" t="n"/>
      <c r="H218" s="230" t="n"/>
      <c r="I218" s="238" t="n"/>
      <c r="J218" s="35">
        <f>SUM(C218:I218)</f>
        <v/>
      </c>
      <c r="K218" s="755">
        <f>C218*48000</f>
        <v/>
      </c>
      <c r="L218" s="790" t="n"/>
      <c r="M218" s="770">
        <f>E218*48000</f>
        <v/>
      </c>
      <c r="N218" s="771">
        <f>F218*38400</f>
        <v/>
      </c>
      <c r="O218" s="771" t="n"/>
      <c r="P218" s="771" t="n"/>
      <c r="Q218" s="772" t="n"/>
      <c r="R218" s="758">
        <f>SUM(K218:Q218)</f>
        <v/>
      </c>
      <c r="S218" s="756">
        <f>J218*5981</f>
        <v/>
      </c>
    </row>
    <row r="219" ht="16.5" customHeight="1" s="754">
      <c r="A219" s="115" t="inlineStr">
        <is>
          <t>자디니티트리워터120ml</t>
        </is>
      </c>
      <c r="B219" s="532" t="inlineStr">
        <is>
          <t>P0000BJE / P0000BKC</t>
        </is>
      </c>
      <c r="C219" s="257" t="n">
        <v>2</v>
      </c>
      <c r="D219" s="235" t="n"/>
      <c r="E219" s="234" t="n"/>
      <c r="F219" s="230" t="n"/>
      <c r="G219" s="322" t="n"/>
      <c r="H219" s="230" t="n"/>
      <c r="I219" s="351" t="n"/>
      <c r="J219" s="35">
        <f>SUM(C219:I219)</f>
        <v/>
      </c>
      <c r="K219" s="755">
        <f>C219*12000</f>
        <v/>
      </c>
      <c r="L219" s="790" t="n"/>
      <c r="M219" s="770">
        <f>E219*12000</f>
        <v/>
      </c>
      <c r="N219" s="771">
        <f>F219*9600</f>
        <v/>
      </c>
      <c r="O219" s="771" t="n"/>
      <c r="P219" s="771">
        <f>H219*12000</f>
        <v/>
      </c>
      <c r="Q219" s="772" t="n"/>
      <c r="R219" s="758">
        <f>SUM(K219:Q219)</f>
        <v/>
      </c>
      <c r="S219" s="756">
        <f>J219*2718</f>
        <v/>
      </c>
    </row>
    <row r="220">
      <c r="A220" s="115" t="inlineStr">
        <is>
          <t>자디니티트리워터500ml</t>
        </is>
      </c>
      <c r="B220" s="775" t="n"/>
      <c r="C220" s="237" t="n">
        <v>5</v>
      </c>
      <c r="D220" s="235" t="n"/>
      <c r="E220" s="234" t="n"/>
      <c r="F220" s="230" t="n"/>
      <c r="G220" s="322" t="n"/>
      <c r="H220" s="230" t="n"/>
      <c r="I220" s="351" t="n"/>
      <c r="J220" s="35">
        <f>SUM(C220:I220)</f>
        <v/>
      </c>
      <c r="K220" s="755">
        <f>C220*48000</f>
        <v/>
      </c>
      <c r="L220" s="790" t="n"/>
      <c r="M220" s="770">
        <f>E220*48000</f>
        <v/>
      </c>
      <c r="N220" s="771">
        <f>F220*38400</f>
        <v/>
      </c>
      <c r="O220" s="771" t="n"/>
      <c r="P220" s="771" t="n"/>
      <c r="Q220" s="772" t="n"/>
      <c r="R220" s="758">
        <f>SUM(K220:Q220)</f>
        <v/>
      </c>
      <c r="S220" s="756">
        <f>J220*6197</f>
        <v/>
      </c>
    </row>
    <row r="221" ht="24" customHeight="1" s="754">
      <c r="A221" s="115" t="inlineStr">
        <is>
          <t>자디니로즈워터120ml</t>
        </is>
      </c>
      <c r="B221" s="532" t="inlineStr">
        <is>
          <t>P0000BJF / P0000BKD</t>
        </is>
      </c>
      <c r="C221" s="237" t="n"/>
      <c r="D221" s="235" t="n"/>
      <c r="E221" s="234" t="n"/>
      <c r="F221" s="230" t="n"/>
      <c r="G221" s="322" t="n"/>
      <c r="H221" s="242" t="n"/>
      <c r="I221" s="238" t="n"/>
      <c r="J221" s="35">
        <f>SUM(C221:I221)</f>
        <v/>
      </c>
      <c r="K221" s="755">
        <f>C221*18000</f>
        <v/>
      </c>
      <c r="L221" s="790" t="n"/>
      <c r="M221" s="770" t="n"/>
      <c r="N221" s="771">
        <f>F221*14400</f>
        <v/>
      </c>
      <c r="O221" s="771" t="n"/>
      <c r="P221" s="771" t="n"/>
      <c r="Q221" s="772" t="n"/>
      <c r="R221" s="758">
        <f>SUM(K221:Q221)</f>
        <v/>
      </c>
      <c r="S221" s="756">
        <f>J221*3129</f>
        <v/>
      </c>
    </row>
    <row r="222" ht="16.5" customHeight="1" s="754">
      <c r="A222" s="115" t="inlineStr">
        <is>
          <t>유기농오가닉골든호호바오일30</t>
        </is>
      </c>
      <c r="B222" s="532" t="inlineStr">
        <is>
          <t>P0000BIS  /  P0000BKA</t>
        </is>
      </c>
      <c r="C222" s="257" t="n">
        <v>23</v>
      </c>
      <c r="D222" s="235" t="n"/>
      <c r="E222" s="234" t="n"/>
      <c r="F222" s="230" t="n">
        <v>1</v>
      </c>
      <c r="G222" s="322" t="n"/>
      <c r="H222" s="230" t="n"/>
      <c r="I222" s="238" t="n"/>
      <c r="J222" s="35">
        <f>SUM(C222:I222)</f>
        <v/>
      </c>
      <c r="K222" s="755">
        <f>C222*18000</f>
        <v/>
      </c>
      <c r="L222" s="790" t="n"/>
      <c r="M222" s="770">
        <f>E222*18000</f>
        <v/>
      </c>
      <c r="N222" s="771">
        <f>F222*14400</f>
        <v/>
      </c>
      <c r="O222" s="771" t="n"/>
      <c r="P222" s="771">
        <f>H222*18000</f>
        <v/>
      </c>
      <c r="Q222" s="772" t="n"/>
      <c r="R222" s="758">
        <f>SUM(K222:Q222)</f>
        <v/>
      </c>
      <c r="S222" s="756">
        <f>J222*2748</f>
        <v/>
      </c>
    </row>
    <row r="223">
      <c r="A223" s="115" t="inlineStr">
        <is>
          <t>유기농오가닉골든호호바오일100</t>
        </is>
      </c>
      <c r="B223" s="774" t="n"/>
      <c r="C223" s="257" t="n">
        <v>5</v>
      </c>
      <c r="D223" s="235" t="n"/>
      <c r="E223" s="234" t="n"/>
      <c r="F223" s="230" t="n"/>
      <c r="G223" s="322" t="n"/>
      <c r="H223" s="230" t="n"/>
      <c r="I223" s="351" t="n"/>
      <c r="J223" s="35">
        <f>SUM(C223:I223)</f>
        <v/>
      </c>
      <c r="K223" s="755">
        <f>C223*36000</f>
        <v/>
      </c>
      <c r="L223" s="790" t="n"/>
      <c r="M223" s="770">
        <f>E223*36000</f>
        <v/>
      </c>
      <c r="N223" s="771">
        <f>F223*28800</f>
        <v/>
      </c>
      <c r="O223" s="771" t="n"/>
      <c r="P223" s="771">
        <f>H223*36000</f>
        <v/>
      </c>
      <c r="Q223" s="772" t="n"/>
      <c r="R223" s="758">
        <f>SUM(K223:Q223)</f>
        <v/>
      </c>
      <c r="S223" s="756">
        <f>J223*4960</f>
        <v/>
      </c>
    </row>
    <row r="224">
      <c r="A224" s="115" t="inlineStr">
        <is>
          <t>유기농오가닉골든호호바오일500</t>
        </is>
      </c>
      <c r="B224" s="775" t="n"/>
      <c r="C224" s="539" t="n">
        <v>3</v>
      </c>
      <c r="D224" s="32" t="n"/>
      <c r="E224" s="234" t="n"/>
      <c r="F224" s="191" t="n">
        <v>1</v>
      </c>
      <c r="G224" s="34" t="n"/>
      <c r="H224" s="191" t="n"/>
      <c r="I224" s="80" t="n"/>
      <c r="J224" s="35">
        <f>SUM(C224:I224)</f>
        <v/>
      </c>
      <c r="K224" s="755">
        <f>C224*90000</f>
        <v/>
      </c>
      <c r="L224" s="790" t="n"/>
      <c r="M224" s="770">
        <f>E224*90000</f>
        <v/>
      </c>
      <c r="N224" s="771">
        <f>F224*72000</f>
        <v/>
      </c>
      <c r="O224" s="771" t="n"/>
      <c r="P224" s="771" t="n"/>
      <c r="Q224" s="772" t="n"/>
      <c r="R224" s="758">
        <f>SUM(K224:Q224)</f>
        <v/>
      </c>
      <c r="S224" s="756">
        <f>J224*14800</f>
        <v/>
      </c>
    </row>
    <row r="225" customFormat="1" s="24">
      <c r="B225" s="74" t="n"/>
      <c r="C225" s="74" t="n"/>
      <c r="D225" s="116" t="n"/>
      <c r="E225" s="10" t="n"/>
      <c r="F225" s="10" t="n"/>
      <c r="G225" s="11" t="n"/>
      <c r="H225" s="192" t="n"/>
      <c r="I225" s="12" t="inlineStr">
        <is>
          <t>할인행사</t>
        </is>
      </c>
      <c r="J225" s="117" t="inlineStr">
        <is>
          <t>합계</t>
        </is>
      </c>
      <c r="K225" s="840">
        <f>SUM(K170:K224)</f>
        <v/>
      </c>
      <c r="L225" s="841">
        <f>SUM(L170:L224)</f>
        <v/>
      </c>
      <c r="M225" s="842">
        <f>SUM(M170:M224)</f>
        <v/>
      </c>
      <c r="N225" s="843">
        <f>SUM(N170:N224)</f>
        <v/>
      </c>
      <c r="O225" s="843">
        <f>SUM(O170:O224)</f>
        <v/>
      </c>
      <c r="P225" s="843">
        <f>SUM(P170:P224)</f>
        <v/>
      </c>
      <c r="Q225" s="840">
        <f>SUM(Q170:Q224)</f>
        <v/>
      </c>
      <c r="R225" s="844">
        <f>SUM(R170:R224)</f>
        <v/>
      </c>
      <c r="S225" s="844">
        <f>SUM(S170:S224)</f>
        <v/>
      </c>
    </row>
    <row r="226" customFormat="1" s="244">
      <c r="B226" s="245" t="n"/>
      <c r="C226" s="245" t="n"/>
      <c r="D226" s="116" t="n"/>
      <c r="E226" s="475" t="n"/>
      <c r="F226" s="475" t="n"/>
      <c r="G226" s="476" t="n"/>
      <c r="H226" s="477" t="n"/>
      <c r="I226" s="478" t="n"/>
      <c r="J226" s="479" t="n"/>
      <c r="K226" s="845" t="n"/>
      <c r="L226" s="846" t="n"/>
      <c r="M226" s="847" t="n"/>
      <c r="N226" s="848" t="n"/>
      <c r="O226" s="848" t="n"/>
      <c r="P226" s="848" t="n"/>
      <c r="Q226" s="845" t="n"/>
      <c r="R226" s="849" t="n"/>
      <c r="S226" s="849" t="n"/>
    </row>
    <row r="227" ht="24" customHeight="1" s="754">
      <c r="A227" s="120" t="inlineStr">
        <is>
          <t>바자즐링제품</t>
        </is>
      </c>
      <c r="C227" s="121" t="inlineStr">
        <is>
          <t>y존미스트</t>
        </is>
      </c>
      <c r="D227" s="682" t="n"/>
      <c r="E227" s="313" t="n"/>
      <c r="F227" s="10" t="inlineStr">
        <is>
          <t>마스터단품</t>
        </is>
      </c>
      <c r="G227" s="15" t="inlineStr">
        <is>
          <t>마스터번들(50+10)</t>
        </is>
      </c>
      <c r="H227" s="16" t="n"/>
      <c r="I227" s="125" t="n"/>
      <c r="J227" s="107" t="n"/>
      <c r="K227" s="789" t="n"/>
      <c r="P227" s="785" t="n"/>
    </row>
    <row r="228" ht="17.25" customHeight="1" s="754">
      <c r="A228" s="120" t="n"/>
      <c r="C228" s="592" t="inlineStr">
        <is>
          <t>세정제</t>
        </is>
      </c>
      <c r="D228" s="774" t="n"/>
      <c r="E228" s="398" t="n"/>
      <c r="F228" s="397" t="n"/>
      <c r="G228" s="20" t="n"/>
      <c r="H228" s="544" t="n"/>
      <c r="I228" s="534" t="n"/>
      <c r="J228" s="20" t="n"/>
      <c r="K228" s="414" t="n"/>
      <c r="P228" s="785" t="n"/>
    </row>
    <row r="229" ht="21.75" customHeight="1" s="754">
      <c r="A229" s="120" t="n"/>
      <c r="C229" s="592" t="inlineStr">
        <is>
          <t>청결제</t>
        </is>
      </c>
      <c r="D229" s="774" t="n"/>
      <c r="E229" s="398" t="n"/>
      <c r="F229" s="396" t="inlineStr">
        <is>
          <t>P00000SF</t>
        </is>
      </c>
      <c r="G229" s="566" t="n"/>
      <c r="H229" s="20" t="n"/>
      <c r="I229" s="534" t="n"/>
      <c r="J229" s="320" t="n"/>
      <c r="K229" s="321" t="n"/>
      <c r="P229" s="785" t="n"/>
    </row>
    <row r="230">
      <c r="B230" s="628" t="inlineStr">
        <is>
          <t>도매</t>
        </is>
      </c>
      <c r="C230" s="563" t="inlineStr">
        <is>
          <t>토너패드(30)</t>
        </is>
      </c>
      <c r="D230" s="398" t="n"/>
      <c r="E230" s="595" t="inlineStr">
        <is>
          <t>P0000BIH</t>
        </is>
      </c>
      <c r="F230" s="208" t="n"/>
      <c r="G230" s="399" t="inlineStr">
        <is>
          <t>P00000WW</t>
        </is>
      </c>
      <c r="H230" s="20" t="n"/>
      <c r="I230" s="575" t="n"/>
      <c r="J230" s="124" t="n"/>
      <c r="K230" s="763" t="inlineStr">
        <is>
          <t>도매</t>
        </is>
      </c>
      <c r="L230" s="764" t="inlineStr">
        <is>
          <t>가맹점/마스터단품</t>
        </is>
      </c>
      <c r="M230" s="765" t="n"/>
      <c r="N230" s="765" t="n"/>
      <c r="O230" s="850" t="n"/>
      <c r="P230" s="851" t="n"/>
      <c r="Q230" s="852" t="inlineStr">
        <is>
          <t>제품+중정</t>
        </is>
      </c>
      <c r="R230" s="767" t="inlineStr">
        <is>
          <t>품목별합계</t>
        </is>
      </c>
      <c r="S230" s="795" t="inlineStr">
        <is>
          <t>도매,마스터원가</t>
        </is>
      </c>
    </row>
    <row r="231">
      <c r="A231" s="29" t="inlineStr">
        <is>
          <t>바자즐링y존케어미스트150</t>
        </is>
      </c>
      <c r="B231" s="374" t="inlineStr">
        <is>
          <t>P00000KB</t>
        </is>
      </c>
      <c r="C231" s="233" t="n">
        <v>110</v>
      </c>
      <c r="D231" s="235" t="n"/>
      <c r="E231" s="234" t="n"/>
      <c r="F231" s="234" t="n">
        <v>16</v>
      </c>
      <c r="G231" s="235" t="n"/>
      <c r="H231" s="230" t="n"/>
      <c r="I231" s="352" t="n"/>
      <c r="J231" s="35">
        <f>SUM(C231:I231)</f>
        <v/>
      </c>
      <c r="K231" s="815">
        <f>C231*12000</f>
        <v/>
      </c>
      <c r="L231" s="790">
        <f>D231*9900</f>
        <v/>
      </c>
      <c r="M231" s="839">
        <f>F231*9900</f>
        <v/>
      </c>
      <c r="N231" s="770" t="n"/>
      <c r="O231" s="853" t="n"/>
      <c r="P231" s="854" t="n"/>
      <c r="Q231" s="772">
        <f>H231*12000</f>
        <v/>
      </c>
      <c r="R231" s="756">
        <f>SUM(K231:Q231)</f>
        <v/>
      </c>
      <c r="S231" s="756">
        <f>J231*2723</f>
        <v/>
      </c>
    </row>
    <row r="232">
      <c r="A232" s="29" t="inlineStr">
        <is>
          <t>바자즐링y존클렌저150</t>
        </is>
      </c>
      <c r="B232" s="374" t="inlineStr">
        <is>
          <t>P00000LL</t>
        </is>
      </c>
      <c r="C232" s="233" t="n">
        <v>124</v>
      </c>
      <c r="D232" s="235" t="n"/>
      <c r="E232" s="234" t="n"/>
      <c r="F232" s="234" t="n">
        <v>28</v>
      </c>
      <c r="G232" s="229" t="n"/>
      <c r="H232" s="230" t="n"/>
      <c r="I232" s="36" t="n"/>
      <c r="J232" s="35">
        <f>SUM(C232:I232)</f>
        <v/>
      </c>
      <c r="K232" s="815">
        <f>C232*22000</f>
        <v/>
      </c>
      <c r="L232" s="790">
        <f>D232*18000</f>
        <v/>
      </c>
      <c r="M232" s="839">
        <f>F232*18000</f>
        <v/>
      </c>
      <c r="N232" s="770" t="n"/>
      <c r="O232" s="853" t="n"/>
      <c r="P232" s="854" t="n"/>
      <c r="Q232" s="772">
        <f>H232*22000</f>
        <v/>
      </c>
      <c r="R232" s="756">
        <f>SUM(K232:Q232)</f>
        <v/>
      </c>
      <c r="S232" s="756">
        <f>J232*2338</f>
        <v/>
      </c>
    </row>
    <row r="233">
      <c r="A233" s="29" t="inlineStr">
        <is>
          <t>바자즐링y존여성청결제</t>
        </is>
      </c>
      <c r="B233" s="374" t="inlineStr">
        <is>
          <t>P00000KY</t>
        </is>
      </c>
      <c r="C233" s="239" t="n">
        <v>31</v>
      </c>
      <c r="D233" s="255" t="n"/>
      <c r="E233" s="234" t="n"/>
      <c r="F233" s="234" t="n"/>
      <c r="G233" s="229" t="n"/>
      <c r="H233" s="230" t="n"/>
      <c r="I233" s="352" t="n"/>
      <c r="J233" s="35">
        <f>SUM(C233:I233)</f>
        <v/>
      </c>
      <c r="K233" s="815">
        <f>C233*16500</f>
        <v/>
      </c>
      <c r="L233" s="790">
        <f>D233*13200</f>
        <v/>
      </c>
      <c r="M233" s="839">
        <f>F233*13200</f>
        <v/>
      </c>
      <c r="N233" s="770" t="n"/>
      <c r="O233" s="853" t="n"/>
      <c r="P233" s="854" t="n"/>
      <c r="Q233" s="772">
        <f>H233*13200</f>
        <v/>
      </c>
      <c r="R233" s="756">
        <f>SUM(K233:Q233)</f>
        <v/>
      </c>
      <c r="S233" s="756">
        <f>J233*2598</f>
        <v/>
      </c>
    </row>
    <row r="234">
      <c r="A234" s="29" t="inlineStr">
        <is>
          <t>바자즐링Y존토너패드</t>
        </is>
      </c>
      <c r="B234" s="374" t="inlineStr">
        <is>
          <t>P0000BIG</t>
        </is>
      </c>
      <c r="C234" s="239" t="n">
        <v>19</v>
      </c>
      <c r="D234" s="255" t="n"/>
      <c r="E234" s="234" t="n">
        <v>30</v>
      </c>
      <c r="F234" s="234" t="n"/>
      <c r="G234" s="229" t="n"/>
      <c r="H234" s="230" t="n"/>
      <c r="I234" s="352" t="n"/>
      <c r="J234" s="35">
        <f>SUM(C234:I234)</f>
        <v/>
      </c>
      <c r="K234" s="815">
        <f>C234*16000</f>
        <v/>
      </c>
      <c r="L234" s="839">
        <f>E234*13100</f>
        <v/>
      </c>
      <c r="M234" s="839" t="n"/>
      <c r="N234" s="770" t="n"/>
      <c r="O234" s="853" t="n"/>
      <c r="P234" s="854" t="n"/>
      <c r="Q234" s="772">
        <f>G234*16000</f>
        <v/>
      </c>
      <c r="R234" s="756">
        <f>SUM(K234:Q234)</f>
        <v/>
      </c>
      <c r="S234" s="756">
        <f>J234*4740</f>
        <v/>
      </c>
    </row>
    <row r="235" ht="40.5" customFormat="1" customHeight="1" s="24">
      <c r="B235" s="628" t="inlineStr">
        <is>
          <t>도매</t>
        </is>
      </c>
      <c r="C235" s="74" t="n"/>
      <c r="D235" s="113" t="n"/>
      <c r="E235" s="347" t="inlineStr">
        <is>
          <t>P00000WW</t>
        </is>
      </c>
      <c r="F235" s="123" t="n"/>
      <c r="G235" s="123" t="n"/>
      <c r="H235" s="20" t="n"/>
      <c r="I235" s="125" t="inlineStr">
        <is>
          <t>할인증정(센서형손소독기)</t>
        </is>
      </c>
      <c r="J235" s="58" t="inlineStr">
        <is>
          <t>합계</t>
        </is>
      </c>
      <c r="K235" s="840">
        <f>SUM(K231:K234)</f>
        <v/>
      </c>
      <c r="L235" s="945">
        <f>SUM(L231:L234)</f>
        <v/>
      </c>
      <c r="M235" s="840">
        <f>SUM(M231:M234)</f>
        <v/>
      </c>
      <c r="N235" s="842">
        <f>SUM(N231:N234)</f>
        <v/>
      </c>
      <c r="O235" s="843">
        <f>SUM(O231:O234)</f>
        <v/>
      </c>
      <c r="P235" s="843">
        <f>SUM(P231:P234)</f>
        <v/>
      </c>
      <c r="Q235" s="840">
        <f>SUM(Q231:Q234)</f>
        <v/>
      </c>
      <c r="R235" s="844">
        <f>SUM(R231:R234)</f>
        <v/>
      </c>
      <c r="S235" s="844">
        <f>SUM(S231:S234)</f>
        <v/>
      </c>
    </row>
    <row r="236" customFormat="1" s="24">
      <c r="B236" s="628" t="n"/>
      <c r="C236" s="74" t="n"/>
      <c r="D236" s="401" t="inlineStr">
        <is>
          <t>P00000SG</t>
        </is>
      </c>
      <c r="E236" s="123" t="n"/>
      <c r="F236" s="123" t="n"/>
      <c r="G236" s="123" t="n"/>
      <c r="H236" s="20" t="n"/>
      <c r="I236" s="317" t="n"/>
      <c r="J236" s="117" t="n"/>
      <c r="K236" s="845" t="n"/>
      <c r="L236" s="846" t="n"/>
      <c r="M236" s="845" t="n"/>
      <c r="N236" s="845" t="n"/>
      <c r="O236" s="848" t="n"/>
      <c r="P236" s="845" t="n"/>
      <c r="Q236" s="845" t="n"/>
      <c r="R236" s="849" t="n"/>
      <c r="S236" s="849" t="n"/>
    </row>
    <row r="237">
      <c r="A237" s="74" t="inlineStr">
        <is>
          <t>파우치</t>
        </is>
      </c>
      <c r="B237" s="126" t="n"/>
      <c r="C237" s="100" t="n"/>
      <c r="D237" s="682" t="inlineStr">
        <is>
          <t>P00000SV</t>
        </is>
      </c>
      <c r="E237" s="113" t="n"/>
      <c r="F237" s="127" t="n"/>
      <c r="G237" s="209" t="n"/>
      <c r="H237" s="20" t="inlineStr">
        <is>
          <t>세트할인</t>
        </is>
      </c>
      <c r="I237" s="20" t="n"/>
      <c r="J237" s="108" t="n"/>
      <c r="K237" s="828" t="inlineStr">
        <is>
          <t>도매</t>
        </is>
      </c>
      <c r="L237" s="855" t="inlineStr">
        <is>
          <t xml:space="preserve">가맹점/마스터 </t>
        </is>
      </c>
      <c r="N237" s="796" t="inlineStr">
        <is>
          <t>할인</t>
        </is>
      </c>
      <c r="O237" s="796" t="inlineStr">
        <is>
          <t>세트할인</t>
        </is>
      </c>
      <c r="P237" s="856" t="inlineStr">
        <is>
          <t>할인+증정</t>
        </is>
      </c>
      <c r="Q237" s="796" t="n"/>
      <c r="R237" s="758" t="inlineStr">
        <is>
          <t>품목별합계</t>
        </is>
      </c>
      <c r="S237" s="756" t="inlineStr">
        <is>
          <t>도매,마스터원가</t>
        </is>
      </c>
    </row>
    <row r="238">
      <c r="A238" s="128" t="inlineStr">
        <is>
          <t>센서형소독용제</t>
        </is>
      </c>
      <c r="B238" s="715" t="inlineStr">
        <is>
          <t>P00000ZM</t>
        </is>
      </c>
      <c r="C238" s="237" t="n"/>
      <c r="D238" s="32" t="n"/>
      <c r="E238" s="33" t="n"/>
      <c r="F238" s="191" t="n"/>
      <c r="G238" s="197" t="n"/>
      <c r="H238" s="36" t="n"/>
      <c r="I238" s="191" t="n"/>
      <c r="J238" s="35">
        <f>SUM(C238:I238)</f>
        <v/>
      </c>
      <c r="K238" s="755">
        <f>C238*7000</f>
        <v/>
      </c>
      <c r="L238" s="790" t="n"/>
      <c r="M238" s="770">
        <f>E238*0</f>
        <v/>
      </c>
      <c r="N238" s="771" t="n"/>
      <c r="O238" s="771">
        <f>H238*1680</f>
        <v/>
      </c>
      <c r="P238" s="857" t="n"/>
      <c r="Q238" s="796" t="n"/>
      <c r="R238" s="756">
        <f>SUM(K238:Q238)</f>
        <v/>
      </c>
      <c r="S238" s="756">
        <f>J238*1957</f>
        <v/>
      </c>
    </row>
    <row r="239">
      <c r="A239" s="129" t="inlineStr">
        <is>
          <t>센서형소독용세트</t>
        </is>
      </c>
      <c r="B239" s="378" t="inlineStr">
        <is>
          <t>P00000ZM</t>
        </is>
      </c>
      <c r="C239" s="215" t="n"/>
      <c r="D239" s="32" t="n"/>
      <c r="E239" s="33" t="n"/>
      <c r="F239" s="191" t="n"/>
      <c r="G239" s="197" t="n"/>
      <c r="H239" s="36" t="n"/>
      <c r="I239" s="191" t="n"/>
      <c r="J239" s="35">
        <f>SUM(C239:I239)</f>
        <v/>
      </c>
      <c r="K239" s="820">
        <f>C239*7800</f>
        <v/>
      </c>
      <c r="L239" s="790" t="n"/>
      <c r="M239" s="770">
        <f>E239*0</f>
        <v/>
      </c>
      <c r="N239" s="771" t="n"/>
      <c r="O239" s="771">
        <f>H239*1680</f>
        <v/>
      </c>
      <c r="P239" s="857" t="n"/>
      <c r="Q239" s="796" t="n"/>
      <c r="R239" s="756">
        <f>SUM(K239:Q239)</f>
        <v/>
      </c>
      <c r="S239" s="756">
        <f>J239*10200</f>
        <v/>
      </c>
    </row>
    <row r="240">
      <c r="A240" s="128" t="inlineStr">
        <is>
          <t>미니파우치포밍</t>
        </is>
      </c>
      <c r="B240" s="374" t="inlineStr">
        <is>
          <t>P00000OD</t>
        </is>
      </c>
      <c r="C240" s="237" t="n"/>
      <c r="D240" s="235" t="n"/>
      <c r="E240" s="33" t="n"/>
      <c r="F240" s="191" t="n"/>
      <c r="G240" s="197" t="n"/>
      <c r="H240" s="191" t="n"/>
      <c r="I240" s="36" t="n"/>
      <c r="J240" s="35">
        <f>SUM(C240:I240)</f>
        <v/>
      </c>
      <c r="K240" s="815">
        <f>C240*600</f>
        <v/>
      </c>
      <c r="L240" s="790">
        <f>D240*600</f>
        <v/>
      </c>
      <c r="M240" s="770">
        <f>E240*600</f>
        <v/>
      </c>
      <c r="N240" s="771" t="n"/>
      <c r="O240" s="771">
        <f>H240*1680</f>
        <v/>
      </c>
      <c r="P240" s="857" t="n"/>
      <c r="Q240" s="796" t="n"/>
      <c r="R240" s="756">
        <f>SUM(K240:Q240)</f>
        <v/>
      </c>
      <c r="S240" s="756">
        <f>J240*480</f>
        <v/>
      </c>
    </row>
    <row r="241" ht="27" customFormat="1" customHeight="1" s="24">
      <c r="B241" s="74" t="n"/>
      <c r="C241" s="74" t="n"/>
      <c r="D241" s="55" t="inlineStr">
        <is>
          <t>가맹점단품</t>
        </is>
      </c>
      <c r="E241" s="125" t="inlineStr">
        <is>
          <t>도매번들50+10</t>
        </is>
      </c>
      <c r="F241" s="130" t="inlineStr">
        <is>
          <t xml:space="preserve">인증/마스터50   </t>
        </is>
      </c>
      <c r="G241" s="10" t="inlineStr">
        <is>
          <t>마스터단품</t>
        </is>
      </c>
      <c r="H241" s="130" t="n"/>
      <c r="I241" s="131" t="inlineStr">
        <is>
          <t>마스터박스</t>
        </is>
      </c>
      <c r="J241" s="58" t="inlineStr">
        <is>
          <t>합계</t>
        </is>
      </c>
      <c r="K241" s="840">
        <f>SUM(K238:K240)</f>
        <v/>
      </c>
      <c r="L241" s="841">
        <f>SUM(L238:L240)</f>
        <v/>
      </c>
      <c r="M241" s="858">
        <f>SUM(M238:M240)</f>
        <v/>
      </c>
      <c r="N241" s="843">
        <f>SUM(N238:N240)</f>
        <v/>
      </c>
      <c r="O241" s="843">
        <f>SUM(O238:O240)</f>
        <v/>
      </c>
      <c r="P241" s="843">
        <f>SUM(P238:P240)</f>
        <v/>
      </c>
      <c r="Q241" s="843">
        <f>SUM(Q238:Q240)</f>
        <v/>
      </c>
      <c r="R241" s="844">
        <f>SUM(R238:R240)</f>
        <v/>
      </c>
      <c r="S241" s="844">
        <f>SUM(S238:S240)</f>
        <v/>
      </c>
    </row>
    <row r="242">
      <c r="C242" s="592" t="inlineStr">
        <is>
          <t>팩2종</t>
        </is>
      </c>
      <c r="D242" s="404" t="inlineStr">
        <is>
          <t>P00000SF</t>
        </is>
      </c>
      <c r="E242" s="400" t="inlineStr">
        <is>
          <t>P00000TG</t>
        </is>
      </c>
      <c r="F242" s="399" t="inlineStr">
        <is>
          <t>P00000WW</t>
        </is>
      </c>
      <c r="G242" s="396" t="inlineStr">
        <is>
          <t>P00000SF</t>
        </is>
      </c>
      <c r="H242" s="103" t="n"/>
      <c r="I242" s="103" t="inlineStr">
        <is>
          <t>P00000TY</t>
        </is>
      </c>
      <c r="J242" s="107" t="n"/>
      <c r="P242" s="785" t="n"/>
    </row>
    <row r="243">
      <c r="D243" s="404" t="n"/>
      <c r="E243" s="402" t="inlineStr">
        <is>
          <t>P00000VA</t>
        </is>
      </c>
      <c r="F243" s="402" t="n"/>
      <c r="G243" s="405" t="n"/>
      <c r="H243" s="399" t="n"/>
      <c r="I243" s="400" t="n"/>
      <c r="J243" s="124" t="n"/>
      <c r="P243" s="785" t="n"/>
    </row>
    <row r="244">
      <c r="D244" s="88" t="n"/>
      <c r="E244" s="403" t="inlineStr">
        <is>
          <t>P00000KX</t>
        </is>
      </c>
      <c r="F244" s="400" t="n"/>
      <c r="G244" s="209" t="n"/>
      <c r="H244" s="132" t="n"/>
      <c r="I244" s="132" t="n"/>
      <c r="J244" s="124" t="inlineStr">
        <is>
          <t>행사</t>
        </is>
      </c>
      <c r="P244" s="785" t="n"/>
    </row>
    <row r="245">
      <c r="A245" s="74" t="n"/>
      <c r="D245" s="133" t="n"/>
      <c r="E245" s="402" t="inlineStr">
        <is>
          <t>P00000UZ</t>
        </is>
      </c>
      <c r="F245" s="402" t="inlineStr">
        <is>
          <t>P0000BEW</t>
        </is>
      </c>
      <c r="G245" s="209" t="n"/>
      <c r="H245" s="122" t="n"/>
      <c r="I245" s="536" t="inlineStr">
        <is>
          <t>증정</t>
        </is>
      </c>
      <c r="J245" s="102" t="n"/>
      <c r="P245" s="785" t="n"/>
    </row>
    <row r="246">
      <c r="C246" s="628" t="inlineStr">
        <is>
          <t>도매</t>
        </is>
      </c>
      <c r="D246" s="134" t="n"/>
      <c r="E246" s="108" t="n"/>
      <c r="F246" s="350" t="n"/>
      <c r="G246" s="206" t="n"/>
      <c r="H246" s="109" t="n"/>
      <c r="I246" s="64" t="n"/>
      <c r="J246" s="108" t="n"/>
      <c r="K246" s="828" t="inlineStr">
        <is>
          <t>도매</t>
        </is>
      </c>
      <c r="L246" s="859" t="inlineStr">
        <is>
          <t>가맹/마스터단품</t>
        </is>
      </c>
      <c r="M246" s="787" t="inlineStr">
        <is>
          <t>도매,인증번들</t>
        </is>
      </c>
      <c r="N246" s="860" t="inlineStr">
        <is>
          <t>인증/마스터번들</t>
        </is>
      </c>
      <c r="O246" s="861" t="n"/>
      <c r="P246" s="862" t="inlineStr">
        <is>
          <t>마스터박스</t>
        </is>
      </c>
      <c r="Q246" s="862" t="n"/>
      <c r="R246" s="828" t="inlineStr">
        <is>
          <t>품목별합계</t>
        </is>
      </c>
      <c r="S246" s="756" t="inlineStr">
        <is>
          <t>도매,마스터원가</t>
        </is>
      </c>
    </row>
    <row r="247">
      <c r="A247" s="79" t="inlineStr">
        <is>
          <t>브라질리언수딩마스크팩</t>
        </is>
      </c>
      <c r="B247" s="374" t="inlineStr">
        <is>
          <t>P00000ID</t>
        </is>
      </c>
      <c r="C247" s="233" t="n">
        <v>210</v>
      </c>
      <c r="D247" s="235" t="n"/>
      <c r="E247" s="215" t="n">
        <v>1650</v>
      </c>
      <c r="F247" s="234" t="n">
        <v>350</v>
      </c>
      <c r="G247" s="234" t="n"/>
      <c r="H247" s="234" t="n"/>
      <c r="I247" s="234" t="n"/>
      <c r="J247" s="35">
        <f>SUM(C247:I247)+I246</f>
        <v/>
      </c>
      <c r="K247" s="815">
        <f>C247*1750</f>
        <v/>
      </c>
      <c r="L247" s="790">
        <f>D247*1750</f>
        <v/>
      </c>
      <c r="M247" s="863">
        <f>E247*1400</f>
        <v/>
      </c>
      <c r="N247" s="770">
        <f>F247*1400</f>
        <v/>
      </c>
      <c r="O247" s="861">
        <f>G247*1750</f>
        <v/>
      </c>
      <c r="P247" s="770">
        <f>H247*1200</f>
        <v/>
      </c>
      <c r="Q247" s="770" t="n"/>
      <c r="R247" s="755">
        <f>SUM(K247:Q247)</f>
        <v/>
      </c>
      <c r="S247" s="755">
        <f>J247*289</f>
        <v/>
      </c>
    </row>
    <row r="248">
      <c r="A248" s="128" t="inlineStr">
        <is>
          <t>화이트브라질리언마스크팩</t>
        </is>
      </c>
      <c r="B248" s="374" t="inlineStr">
        <is>
          <t>P00000UK</t>
        </is>
      </c>
      <c r="C248" s="237" t="n">
        <v>90</v>
      </c>
      <c r="D248" s="235" t="n"/>
      <c r="E248" s="215" t="n">
        <v>2400</v>
      </c>
      <c r="F248" s="234" t="n">
        <v>200</v>
      </c>
      <c r="G248" s="234" t="n"/>
      <c r="H248" s="234" t="n"/>
      <c r="I248" s="242" t="n"/>
      <c r="J248" s="35">
        <f>SUM(C248:I248)</f>
        <v/>
      </c>
      <c r="K248" s="815">
        <f>C248*1750</f>
        <v/>
      </c>
      <c r="L248" s="790">
        <f>D248*1750</f>
        <v/>
      </c>
      <c r="M248" s="863">
        <f>E248*1400</f>
        <v/>
      </c>
      <c r="N248" s="770">
        <f>F248*1400</f>
        <v/>
      </c>
      <c r="O248" s="861">
        <f>G248*1750</f>
        <v/>
      </c>
      <c r="P248" s="770">
        <f>H248*1200</f>
        <v/>
      </c>
      <c r="Q248" s="770" t="n"/>
      <c r="R248" s="755">
        <f>SUM(I248:Q248)</f>
        <v/>
      </c>
      <c r="S248" s="755">
        <f>J248*305</f>
        <v/>
      </c>
    </row>
    <row r="249" customFormat="1" s="24">
      <c r="B249" s="74" t="n"/>
      <c r="C249" s="486" t="n"/>
      <c r="D249" s="486" t="n"/>
      <c r="E249" s="273" t="n"/>
      <c r="F249" s="272" t="n"/>
      <c r="G249" s="272" t="n"/>
      <c r="H249" s="272" t="n"/>
      <c r="I249" s="84" t="inlineStr">
        <is>
          <t>기타</t>
        </is>
      </c>
      <c r="J249" s="58" t="inlineStr">
        <is>
          <t>합계</t>
        </is>
      </c>
      <c r="K249" s="840">
        <f>SUM(K247:K248)</f>
        <v/>
      </c>
      <c r="L249" s="841">
        <f>SUM(L247:L248)</f>
        <v/>
      </c>
      <c r="M249" s="840">
        <f>SUM(M247:M248)</f>
        <v/>
      </c>
      <c r="N249" s="840">
        <f>SUM(N247:N248)</f>
        <v/>
      </c>
      <c r="O249" s="842">
        <f>SUM(O247:O248)</f>
        <v/>
      </c>
      <c r="P249" s="840">
        <f>SUM(P247:P248)</f>
        <v/>
      </c>
      <c r="Q249" s="840">
        <f>SUM(Q247:Q248)</f>
        <v/>
      </c>
      <c r="R249" s="864">
        <f>SUM(R247:R248)</f>
        <v/>
      </c>
      <c r="S249" s="865">
        <f>SUM(S247:S248)</f>
        <v/>
      </c>
    </row>
    <row r="250" customFormat="1" s="24">
      <c r="B250" s="74" t="n"/>
      <c r="C250" s="74" t="n"/>
      <c r="D250" s="142" t="n"/>
      <c r="E250" s="143" t="n"/>
      <c r="F250" s="630" t="n"/>
      <c r="G250" s="26" t="n"/>
      <c r="H250" s="144" t="n"/>
      <c r="I250" s="630" t="n"/>
      <c r="J250" s="630" t="n"/>
      <c r="K250" s="866" t="n"/>
      <c r="L250" s="866" t="n"/>
      <c r="M250" s="867" t="n"/>
      <c r="N250" s="867" t="n"/>
      <c r="O250" s="868" t="n"/>
      <c r="P250" s="869" t="n"/>
      <c r="Q250" s="870" t="n"/>
      <c r="R250" s="866" t="n"/>
      <c r="S250" s="871" t="n"/>
    </row>
    <row r="251" customFormat="1" s="24">
      <c r="B251" s="74" t="n"/>
      <c r="C251" s="74" t="n"/>
      <c r="D251" s="723" t="inlineStr">
        <is>
          <t>P00000QT</t>
        </is>
      </c>
      <c r="E251" s="143" t="inlineStr">
        <is>
          <t>마스터</t>
        </is>
      </c>
      <c r="F251" s="691" t="inlineStr">
        <is>
          <t>P00000VL</t>
        </is>
      </c>
      <c r="G251" s="12" t="inlineStr">
        <is>
          <t>보상판매</t>
        </is>
      </c>
      <c r="H251" s="144" t="n"/>
      <c r="I251" s="691" t="n"/>
      <c r="J251" s="499" t="inlineStr">
        <is>
          <t>할인</t>
        </is>
      </c>
      <c r="K251" s="866" t="n"/>
      <c r="L251" s="866" t="n"/>
      <c r="M251" s="867" t="n"/>
      <c r="N251" s="867" t="n"/>
      <c r="O251" s="868" t="n"/>
      <c r="P251" s="869" t="n"/>
      <c r="Q251" s="870" t="n"/>
      <c r="R251" s="866" t="n"/>
      <c r="S251" s="871" t="n"/>
    </row>
    <row r="252" ht="24" customFormat="1" customHeight="1" s="244">
      <c r="B252" s="245" t="n"/>
      <c r="C252" s="245" t="n"/>
      <c r="D252" s="406" t="inlineStr">
        <is>
          <t>P00000WK</t>
        </is>
      </c>
      <c r="E252" s="19" t="inlineStr">
        <is>
          <t>P00000QU</t>
        </is>
      </c>
      <c r="F252" s="20" t="inlineStr">
        <is>
          <t>P00000YU</t>
        </is>
      </c>
      <c r="G252" s="26" t="inlineStr">
        <is>
          <t>바디스타터키트</t>
        </is>
      </c>
      <c r="H252" s="491" t="n"/>
      <c r="I252" s="20" t="inlineStr">
        <is>
          <t>P00000YZ</t>
        </is>
      </c>
      <c r="J252" s="77" t="inlineStr">
        <is>
          <t>컵세트할인</t>
        </is>
      </c>
      <c r="K252" s="866" t="n"/>
      <c r="L252" s="866" t="n"/>
      <c r="M252" s="867" t="n"/>
      <c r="N252" s="867" t="n"/>
      <c r="O252" s="868" t="n"/>
      <c r="P252" s="869" t="n"/>
      <c r="Q252" s="870" t="n"/>
      <c r="R252" s="866" t="n"/>
      <c r="S252" s="871" t="n"/>
    </row>
    <row r="253">
      <c r="A253" s="24" t="inlineStr">
        <is>
          <t>워머기&amp;컵</t>
        </is>
      </c>
      <c r="C253" s="628" t="inlineStr">
        <is>
          <t>도매</t>
        </is>
      </c>
      <c r="D253" s="406" t="inlineStr">
        <is>
          <t>P00000NL</t>
        </is>
      </c>
      <c r="E253" s="91" t="n"/>
      <c r="F253" s="20" t="inlineStr">
        <is>
          <t>P00000YS</t>
        </is>
      </c>
      <c r="G253" s="110" t="inlineStr">
        <is>
          <t>스타터키트</t>
        </is>
      </c>
      <c r="I253" s="102" t="n"/>
      <c r="J253" s="140" t="n"/>
      <c r="K253" s="763" t="inlineStr">
        <is>
          <t>도매</t>
        </is>
      </c>
      <c r="L253" s="764" t="inlineStr">
        <is>
          <t>마스터/인증살롱</t>
        </is>
      </c>
      <c r="M253" s="765" t="n"/>
      <c r="N253" s="827" t="n"/>
      <c r="O253" s="827" t="inlineStr">
        <is>
          <t>스타터키트</t>
        </is>
      </c>
      <c r="P253" s="872" t="n"/>
      <c r="Q253" s="852" t="inlineStr">
        <is>
          <t>세트할인</t>
        </is>
      </c>
      <c r="R253" s="767" t="inlineStr">
        <is>
          <t>품목별합계</t>
        </is>
      </c>
      <c r="S253" s="873" t="inlineStr">
        <is>
          <t>도매,마스터원가</t>
        </is>
      </c>
    </row>
    <row r="254">
      <c r="A254" s="79" t="inlineStr">
        <is>
          <t>2구워머기 1000/1000</t>
        </is>
      </c>
      <c r="B254" s="548" t="inlineStr">
        <is>
          <t>P00000VK</t>
        </is>
      </c>
      <c r="C254" s="233" t="n">
        <v>28</v>
      </c>
      <c r="D254" s="235" t="n"/>
      <c r="E254" s="234" t="n">
        <v>4</v>
      </c>
      <c r="F254" s="215" t="n">
        <v>1</v>
      </c>
      <c r="G254" s="242" t="n"/>
      <c r="H254" s="231" t="n"/>
      <c r="I254" s="230" t="n"/>
      <c r="J254" s="35">
        <f>SUM(C254:I254)</f>
        <v/>
      </c>
      <c r="K254" s="815">
        <f>C254*204000</f>
        <v/>
      </c>
      <c r="L254" s="790">
        <f>D254*176000</f>
        <v/>
      </c>
      <c r="M254" s="770">
        <f>E254*176000</f>
        <v/>
      </c>
      <c r="N254" s="757" t="n"/>
      <c r="O254" s="757">
        <f>F254*163200</f>
        <v/>
      </c>
      <c r="P254" s="785" t="n"/>
      <c r="Q254" s="772" t="n"/>
      <c r="R254" s="756">
        <f>SUM(K254:Q254)</f>
        <v/>
      </c>
      <c r="S254" s="756">
        <f>J254*55000</f>
        <v/>
      </c>
    </row>
    <row r="255">
      <c r="A255" s="79" t="inlineStr">
        <is>
          <t>베이비히터</t>
        </is>
      </c>
      <c r="B255" s="548" t="inlineStr">
        <is>
          <t>P00000VK</t>
        </is>
      </c>
      <c r="C255" s="233" t="n">
        <v>9</v>
      </c>
      <c r="D255" s="235" t="n"/>
      <c r="E255" s="234" t="n"/>
      <c r="F255" s="215" t="n">
        <v>2</v>
      </c>
      <c r="G255" s="242" t="n"/>
      <c r="H255" s="231" t="n"/>
      <c r="I255" s="215" t="n">
        <v>2</v>
      </c>
      <c r="J255" s="35">
        <f>SUM(C255:I255)</f>
        <v/>
      </c>
      <c r="K255" s="815">
        <f>C255*46200</f>
        <v/>
      </c>
      <c r="L255" s="790">
        <f>D255*44000</f>
        <v/>
      </c>
      <c r="M255" s="770">
        <f>E255*44000</f>
        <v/>
      </c>
      <c r="N255" s="757" t="n"/>
      <c r="O255" s="757">
        <f>F255*36920</f>
        <v/>
      </c>
      <c r="P255" s="785" t="n"/>
      <c r="Q255" s="772">
        <f>I255*30800</f>
        <v/>
      </c>
      <c r="R255" s="756">
        <f>SUM(K255:Q255)</f>
        <v/>
      </c>
      <c r="S255" s="756">
        <f>J255*13500</f>
        <v/>
      </c>
    </row>
    <row r="256">
      <c r="A256" s="79" t="inlineStr">
        <is>
          <t>컵500</t>
        </is>
      </c>
      <c r="B256" s="715" t="inlineStr">
        <is>
          <t>P00000DY</t>
        </is>
      </c>
      <c r="C256" s="233" t="n">
        <v>15</v>
      </c>
      <c r="D256" s="235" t="n"/>
      <c r="E256" s="234" t="n"/>
      <c r="F256" s="229" t="n"/>
      <c r="G256" s="236" t="n"/>
      <c r="H256" s="231" t="n"/>
      <c r="I256" s="231" t="n"/>
      <c r="J256" s="35">
        <f>SUM(C256:I256)</f>
        <v/>
      </c>
      <c r="K256" s="815">
        <f>C256*21000</f>
        <v/>
      </c>
      <c r="L256" s="790">
        <f>D256*15400</f>
        <v/>
      </c>
      <c r="M256" s="770">
        <f>E256*15400</f>
        <v/>
      </c>
      <c r="N256" s="757" t="n"/>
      <c r="P256" s="785" t="n"/>
      <c r="Q256" s="772" t="n"/>
      <c r="R256" s="756">
        <f>SUM(K256:Q256)</f>
        <v/>
      </c>
      <c r="S256" s="756">
        <f>J256*4500</f>
        <v/>
      </c>
    </row>
    <row r="257">
      <c r="A257" s="128" t="inlineStr">
        <is>
          <t>컵1000</t>
        </is>
      </c>
      <c r="B257" s="715" t="inlineStr">
        <is>
          <t>P00000DY</t>
        </is>
      </c>
      <c r="C257" s="233" t="n">
        <v>21</v>
      </c>
      <c r="D257" s="235" t="n"/>
      <c r="E257" s="234" t="n">
        <v>1</v>
      </c>
      <c r="F257" s="230" t="n"/>
      <c r="G257" s="236" t="n"/>
      <c r="H257" s="231" t="n"/>
      <c r="I257" s="231" t="n"/>
      <c r="J257" s="35">
        <f>SUM(C257:I257)</f>
        <v/>
      </c>
      <c r="K257" s="815">
        <f>C257*21000</f>
        <v/>
      </c>
      <c r="L257" s="790">
        <f>D257*15400</f>
        <v/>
      </c>
      <c r="M257" s="770">
        <f>E257*15400</f>
        <v/>
      </c>
      <c r="N257" s="757" t="n"/>
      <c r="P257" s="785" t="n"/>
      <c r="Q257" s="772" t="n"/>
      <c r="R257" s="756">
        <f>SUM(K257:Q257)</f>
        <v/>
      </c>
      <c r="S257" s="756">
        <f>J257*4700</f>
        <v/>
      </c>
    </row>
    <row r="258">
      <c r="A258" s="128" t="inlineStr">
        <is>
          <t>베이비컵</t>
        </is>
      </c>
      <c r="B258" s="715" t="inlineStr">
        <is>
          <t>P00000DY</t>
        </is>
      </c>
      <c r="C258" s="233" t="n">
        <v>7</v>
      </c>
      <c r="D258" s="235" t="n"/>
      <c r="E258" s="234" t="n"/>
      <c r="F258" s="230" t="n"/>
      <c r="G258" s="236" t="n"/>
      <c r="H258" s="231" t="n"/>
      <c r="I258" s="230" t="n"/>
      <c r="J258" s="35">
        <f>SUM(C258:I258)</f>
        <v/>
      </c>
      <c r="K258" s="815">
        <f>C258*10400</f>
        <v/>
      </c>
      <c r="L258" s="790">
        <f>D258*10400</f>
        <v/>
      </c>
      <c r="M258" s="770">
        <f>E258*10400</f>
        <v/>
      </c>
      <c r="N258" s="757" t="n"/>
      <c r="P258" s="785" t="n"/>
      <c r="Q258" s="772" t="n"/>
      <c r="R258" s="756">
        <f>SUM(K258:Q258)</f>
        <v/>
      </c>
      <c r="S258" s="756">
        <f>J258*2700</f>
        <v/>
      </c>
    </row>
    <row r="259">
      <c r="A259" s="79" t="inlineStr">
        <is>
          <t>에어브러쉬건</t>
        </is>
      </c>
      <c r="B259" s="715" t="inlineStr">
        <is>
          <t>P00000QC</t>
        </is>
      </c>
      <c r="C259" s="237" t="n"/>
      <c r="D259" s="235" t="n"/>
      <c r="E259" s="234" t="n"/>
      <c r="F259" s="230" t="n"/>
      <c r="G259" s="236" t="n"/>
      <c r="H259" s="231" t="n"/>
      <c r="I259" s="231" t="n"/>
      <c r="J259" s="35">
        <f>SUM(C259:I259)</f>
        <v/>
      </c>
      <c r="K259" s="755">
        <f>C259*150000</f>
        <v/>
      </c>
      <c r="L259" s="790">
        <f>D259*120000</f>
        <v/>
      </c>
      <c r="M259" s="770">
        <f>E259*120000</f>
        <v/>
      </c>
      <c r="N259" s="757" t="n"/>
      <c r="P259" s="785" t="n"/>
      <c r="Q259" s="772" t="n"/>
      <c r="R259" s="756">
        <f>SUM(K259:Q259)</f>
        <v/>
      </c>
      <c r="S259" s="756">
        <f>J259*79000</f>
        <v/>
      </c>
    </row>
    <row r="260">
      <c r="A260" s="109" t="inlineStr">
        <is>
          <t>센서형손소독기</t>
        </is>
      </c>
      <c r="B260" s="378" t="inlineStr">
        <is>
          <t>P00000ZM</t>
        </is>
      </c>
      <c r="C260" s="230" t="n"/>
      <c r="D260" s="32" t="n"/>
      <c r="E260" s="33" t="n"/>
      <c r="F260" s="191" t="n"/>
      <c r="G260" s="197" t="n"/>
      <c r="H260" s="80" t="n"/>
      <c r="I260" s="80" t="n"/>
      <c r="J260" s="35">
        <f>SUM(C260:I260)</f>
        <v/>
      </c>
      <c r="K260" s="831">
        <f>C260*12000</f>
        <v/>
      </c>
      <c r="L260" s="790" t="n"/>
      <c r="M260" s="770" t="n"/>
      <c r="N260" s="757" t="n"/>
      <c r="P260" s="785" t="n"/>
      <c r="Q260" s="772">
        <f>F260*12000</f>
        <v/>
      </c>
      <c r="R260" s="756">
        <f>SUM(K260:Q260)</f>
        <v/>
      </c>
      <c r="S260" s="756">
        <f>J260*8230</f>
        <v/>
      </c>
    </row>
    <row r="261" customFormat="1" s="244">
      <c r="B261" s="245" t="n"/>
      <c r="C261" s="486" t="n"/>
      <c r="D261" s="475" t="n"/>
      <c r="E261" s="487" t="n"/>
      <c r="F261" s="488" t="n"/>
      <c r="G261" s="488" t="n"/>
      <c r="H261" s="488" t="n"/>
      <c r="I261" s="246" t="n"/>
      <c r="J261" s="247" t="n"/>
      <c r="K261" s="845" t="n"/>
      <c r="L261" s="846" t="n"/>
      <c r="M261" s="845" t="n"/>
      <c r="N261" s="845" t="n"/>
      <c r="O261" s="847" t="n"/>
      <c r="P261" s="845" t="n"/>
      <c r="Q261" s="845" t="n"/>
      <c r="R261" s="845" t="n"/>
      <c r="S261" s="874" t="n"/>
    </row>
    <row r="262" customFormat="1" s="24">
      <c r="B262" s="74" t="n"/>
      <c r="C262" s="74" t="n"/>
      <c r="D262" s="9" t="n"/>
      <c r="E262" s="10" t="n"/>
      <c r="F262" s="12" t="n"/>
      <c r="G262" s="12" t="n"/>
      <c r="H262" s="12" t="n"/>
      <c r="I262" s="12" t="n"/>
      <c r="J262" s="117" t="inlineStr">
        <is>
          <t>합계</t>
        </is>
      </c>
      <c r="K262" s="875">
        <f>SUM(K254:K261)</f>
        <v/>
      </c>
      <c r="L262" s="875">
        <f>SUM(L254:L261)</f>
        <v/>
      </c>
      <c r="M262" s="875">
        <f>SUM(M254:M261)</f>
        <v/>
      </c>
      <c r="N262" s="875">
        <f>SUM(N254:N261)</f>
        <v/>
      </c>
      <c r="O262" s="875">
        <f>SUM(O254:O261)</f>
        <v/>
      </c>
      <c r="P262" s="875">
        <f>SUM(P254:P261)</f>
        <v/>
      </c>
      <c r="Q262" s="875">
        <f>SUM(Q254:Q261)</f>
        <v/>
      </c>
      <c r="R262" s="875">
        <f>SUM(R254:R261)</f>
        <v/>
      </c>
      <c r="S262" s="875">
        <f>SUM(S254:S261)</f>
        <v/>
      </c>
    </row>
    <row r="263">
      <c r="C263" s="106" t="n"/>
      <c r="D263" s="55" t="n"/>
      <c r="E263" s="10" t="inlineStr">
        <is>
          <t>마스터</t>
        </is>
      </c>
      <c r="F263" s="12" t="inlineStr">
        <is>
          <t>할인행사</t>
        </is>
      </c>
      <c r="G263" s="12" t="n"/>
      <c r="H263" s="12" t="n"/>
      <c r="I263" s="12" t="inlineStr">
        <is>
          <t>증정</t>
        </is>
      </c>
      <c r="J263" s="110" t="n"/>
      <c r="P263" s="785" t="n"/>
    </row>
    <row r="264">
      <c r="A264" s="74" t="inlineStr">
        <is>
          <t>소모품</t>
        </is>
      </c>
      <c r="C264" s="106" t="inlineStr">
        <is>
          <t>위생용품</t>
        </is>
      </c>
      <c r="D264" s="55" t="n"/>
      <c r="E264" s="15" t="inlineStr">
        <is>
          <t>P00000QW</t>
        </is>
      </c>
      <c r="F264" s="20" t="n"/>
      <c r="G264" s="110" t="n"/>
      <c r="H264" s="137" t="n"/>
      <c r="I264" s="20" t="inlineStr">
        <is>
          <t>P00000YS</t>
        </is>
      </c>
      <c r="J264" s="110" t="inlineStr">
        <is>
          <t>스타터키트</t>
        </is>
      </c>
      <c r="P264" s="785" t="n"/>
    </row>
    <row r="265" ht="24" customHeight="1" s="754">
      <c r="C265" s="106" t="inlineStr">
        <is>
          <t>스파츌라</t>
        </is>
      </c>
      <c r="D265" s="105" t="n"/>
      <c r="E265" s="15" t="inlineStr">
        <is>
          <t>P00000QV</t>
        </is>
      </c>
      <c r="F265" s="19" t="inlineStr">
        <is>
          <t>P0000BMO</t>
        </is>
      </c>
      <c r="G265" s="146" t="n"/>
      <c r="H265" s="146" t="n"/>
      <c r="I265" s="20" t="inlineStr">
        <is>
          <t>P00000YU</t>
        </is>
      </c>
      <c r="J265" s="26" t="inlineStr">
        <is>
          <t>바디스타터키트</t>
        </is>
      </c>
      <c r="P265" s="785" t="n"/>
    </row>
    <row r="266">
      <c r="C266" s="106" t="inlineStr">
        <is>
          <t>부직포</t>
        </is>
      </c>
      <c r="D266" s="545" t="n"/>
      <c r="E266" s="19" t="inlineStr">
        <is>
          <t>P00000QX</t>
        </is>
      </c>
      <c r="F266" s="19" t="inlineStr">
        <is>
          <t>P0000BMB</t>
        </is>
      </c>
      <c r="G266" s="146" t="n"/>
      <c r="H266" s="146" t="n"/>
      <c r="I266" s="20" t="n"/>
      <c r="J266" s="309" t="n"/>
      <c r="P266" s="785" t="n"/>
    </row>
    <row r="267">
      <c r="A267" s="148" t="n"/>
      <c r="B267" s="628" t="inlineStr">
        <is>
          <t>도매</t>
        </is>
      </c>
      <c r="C267" s="106" t="inlineStr">
        <is>
          <t>롤러,거울</t>
        </is>
      </c>
      <c r="D267" s="105" t="n"/>
      <c r="E267" s="19" t="inlineStr">
        <is>
          <t>P0000BLZ</t>
        </is>
      </c>
      <c r="F267" s="20" t="n"/>
      <c r="G267" s="26" t="n"/>
      <c r="H267" s="146" t="n"/>
      <c r="I267" s="124" t="inlineStr">
        <is>
          <t>증정행사</t>
        </is>
      </c>
      <c r="J267" s="140" t="n"/>
      <c r="K267" s="763" t="inlineStr">
        <is>
          <t>도매</t>
        </is>
      </c>
      <c r="L267" s="764" t="inlineStr">
        <is>
          <t>마스터/인증살롱</t>
        </is>
      </c>
      <c r="M267" s="765" t="n"/>
      <c r="N267" s="766" t="inlineStr">
        <is>
          <t xml:space="preserve">할인 </t>
        </is>
      </c>
      <c r="O267" s="766" t="inlineStr">
        <is>
          <t>세트할인</t>
        </is>
      </c>
      <c r="P267" s="766" t="inlineStr">
        <is>
          <t>할인+증정</t>
        </is>
      </c>
      <c r="Q267" s="767" t="n"/>
      <c r="R267" s="767" t="inlineStr">
        <is>
          <t>품목별합계</t>
        </is>
      </c>
      <c r="S267" s="873" t="inlineStr">
        <is>
          <t>도매,마스터원가</t>
        </is>
      </c>
    </row>
    <row r="268" customFormat="1" s="755">
      <c r="A268" s="115" t="inlineStr">
        <is>
          <t>위생시트(개수)</t>
        </is>
      </c>
      <c r="B268" s="532" t="inlineStr">
        <is>
          <t>P00000DB</t>
        </is>
      </c>
      <c r="C268" s="237" t="n">
        <v>10</v>
      </c>
      <c r="D268" s="235" t="n"/>
      <c r="E268" s="234" t="n">
        <v>4</v>
      </c>
      <c r="F268" s="230" t="n"/>
      <c r="G268" s="236" t="n"/>
      <c r="H268" s="231" t="n"/>
      <c r="I268" s="230" t="n"/>
      <c r="J268" s="35">
        <f>SUM(C268:I268)</f>
        <v/>
      </c>
      <c r="K268" s="815">
        <f>C268*25000</f>
        <v/>
      </c>
      <c r="L268" s="790">
        <f>D268*22000</f>
        <v/>
      </c>
      <c r="M268" s="770">
        <f>E268*22000</f>
        <v/>
      </c>
      <c r="N268" s="771">
        <f>F268*10000</f>
        <v/>
      </c>
      <c r="O268" s="771" t="n"/>
      <c r="P268" s="771" t="n"/>
      <c r="Q268" s="758" t="n"/>
      <c r="R268" s="756">
        <f>SUM(K268:Q268)</f>
        <v/>
      </c>
      <c r="S268" s="756">
        <f>J268*15400</f>
        <v/>
      </c>
    </row>
    <row r="269" customFormat="1" s="755">
      <c r="A269" s="115" t="inlineStr">
        <is>
          <t>제모미인항균시트</t>
        </is>
      </c>
      <c r="B269" s="775" t="n"/>
      <c r="C269" s="233" t="n">
        <v>42</v>
      </c>
      <c r="D269" s="235" t="n"/>
      <c r="E269" s="234" t="n"/>
      <c r="F269" s="230" t="n"/>
      <c r="G269" s="236" t="n"/>
      <c r="H269" s="231" t="n"/>
      <c r="I269" s="242" t="n"/>
      <c r="J269" s="35">
        <f>SUM(C269:I269)</f>
        <v/>
      </c>
      <c r="K269" s="815">
        <f>C269*12000</f>
        <v/>
      </c>
      <c r="L269" s="790">
        <f>D269*12000</f>
        <v/>
      </c>
      <c r="M269" s="770">
        <f>E269*12000</f>
        <v/>
      </c>
      <c r="N269" s="771" t="n"/>
      <c r="O269" s="771" t="n"/>
      <c r="P269" s="771" t="n"/>
      <c r="Q269" s="758" t="n"/>
      <c r="R269" s="756">
        <f>SUM(K269:Q269)</f>
        <v/>
      </c>
      <c r="S269" s="756">
        <f>J269*7150</f>
        <v/>
      </c>
    </row>
    <row r="270" customFormat="1" s="755">
      <c r="A270" s="115" t="inlineStr">
        <is>
          <t>5겹솜</t>
        </is>
      </c>
      <c r="B270" s="369" t="inlineStr">
        <is>
          <t>P00000PS</t>
        </is>
      </c>
      <c r="C270" s="233" t="n">
        <v>11</v>
      </c>
      <c r="D270" s="235" t="n"/>
      <c r="E270" s="234" t="n">
        <v>14</v>
      </c>
      <c r="F270" s="229" t="n"/>
      <c r="G270" s="236" t="n"/>
      <c r="H270" s="231" t="n"/>
      <c r="I270" s="230" t="n"/>
      <c r="J270" s="35">
        <f>SUM(C270:I270)</f>
        <v/>
      </c>
      <c r="K270" s="815">
        <f>C270*22000</f>
        <v/>
      </c>
      <c r="L270" s="790">
        <f>D270*22000</f>
        <v/>
      </c>
      <c r="M270" s="770">
        <f>E270*15000</f>
        <v/>
      </c>
      <c r="N270" s="771" t="n"/>
      <c r="O270" s="771" t="n"/>
      <c r="P270" s="771" t="n"/>
      <c r="Q270" s="758" t="n"/>
      <c r="R270" s="756">
        <f>SUM(K270:Q270)</f>
        <v/>
      </c>
      <c r="S270" s="756">
        <f>J270*10835</f>
        <v/>
      </c>
    </row>
    <row r="271" customFormat="1" s="755">
      <c r="A271" s="115" t="inlineStr">
        <is>
          <t>깃털천</t>
        </is>
      </c>
      <c r="B271" s="370" t="inlineStr">
        <is>
          <t>P00000CZ</t>
        </is>
      </c>
      <c r="C271" s="233" t="n">
        <v>35</v>
      </c>
      <c r="D271" s="235" t="n"/>
      <c r="E271" s="234" t="n">
        <v>8</v>
      </c>
      <c r="F271" s="230" t="n"/>
      <c r="G271" s="236" t="n"/>
      <c r="H271" s="231" t="n"/>
      <c r="I271" s="242" t="n"/>
      <c r="J271" s="35">
        <f>SUM(C271:I271)</f>
        <v/>
      </c>
      <c r="K271" s="815">
        <f>C271*22000</f>
        <v/>
      </c>
      <c r="L271" s="790">
        <f>D271*22000</f>
        <v/>
      </c>
      <c r="M271" s="770">
        <f>E271*22000</f>
        <v/>
      </c>
      <c r="N271" s="771" t="n"/>
      <c r="O271" s="771" t="n"/>
      <c r="P271" s="771" t="n"/>
      <c r="Q271" s="758" t="n"/>
      <c r="R271" s="756">
        <f>SUM(K271:Q271)</f>
        <v/>
      </c>
      <c r="S271" s="756">
        <f>J271*9361</f>
        <v/>
      </c>
    </row>
    <row r="272" customFormat="1" s="755">
      <c r="A272" s="115" t="inlineStr">
        <is>
          <t>부직포250</t>
        </is>
      </c>
      <c r="B272" s="370" t="inlineStr">
        <is>
          <t>P00000DD</t>
        </is>
      </c>
      <c r="C272" s="257" t="n">
        <v>14</v>
      </c>
      <c r="D272" s="235" t="n"/>
      <c r="E272" s="234" t="n">
        <v>14</v>
      </c>
      <c r="F272" s="230" t="n"/>
      <c r="G272" s="236" t="n"/>
      <c r="H272" s="231" t="n"/>
      <c r="I272" s="215" t="n">
        <v>1</v>
      </c>
      <c r="J272" s="35">
        <f>SUM(C272:I272)</f>
        <v/>
      </c>
      <c r="K272" s="815">
        <f>C272*18000</f>
        <v/>
      </c>
      <c r="L272" s="790">
        <f>D272*15000</f>
        <v/>
      </c>
      <c r="M272" s="770">
        <f>E272*15000</f>
        <v/>
      </c>
      <c r="N272" s="771" t="n"/>
      <c r="O272" s="771">
        <f>I272*14400</f>
        <v/>
      </c>
      <c r="P272" s="771" t="n"/>
      <c r="Q272" s="796" t="n"/>
      <c r="R272" s="756">
        <f>SUM(K272:Q272)</f>
        <v/>
      </c>
      <c r="S272" s="756">
        <f>J272*4238</f>
        <v/>
      </c>
    </row>
    <row r="273" customFormat="1" s="755">
      <c r="A273" s="115" t="inlineStr">
        <is>
          <t>라이콘롤50m</t>
        </is>
      </c>
      <c r="B273" s="370" t="inlineStr">
        <is>
          <t>P00000DA</t>
        </is>
      </c>
      <c r="C273" s="237" t="n">
        <v>10</v>
      </c>
      <c r="D273" s="235" t="n"/>
      <c r="E273" s="234" t="n"/>
      <c r="F273" s="230" t="n"/>
      <c r="G273" s="236" t="n"/>
      <c r="H273" s="231" t="n"/>
      <c r="I273" s="215" t="n"/>
      <c r="J273" s="35">
        <f>SUM(C273:I273)</f>
        <v/>
      </c>
      <c r="K273" s="815">
        <f>C273*15000</f>
        <v/>
      </c>
      <c r="L273" s="790">
        <f>D273*11600</f>
        <v/>
      </c>
      <c r="M273" s="770">
        <f>E273*11600</f>
        <v/>
      </c>
      <c r="N273" s="771" t="n"/>
      <c r="O273" s="771" t="n"/>
      <c r="P273" s="771" t="n"/>
      <c r="Q273" s="758" t="n"/>
      <c r="R273" s="756">
        <f>SUM(K273:Q273)</f>
        <v/>
      </c>
      <c r="S273" s="756">
        <f>J273*3719</f>
        <v/>
      </c>
    </row>
    <row r="274" customFormat="1" s="755">
      <c r="A274" s="115" t="inlineStr">
        <is>
          <t>픽미트위저</t>
        </is>
      </c>
      <c r="B274" s="383" t="inlineStr">
        <is>
          <t>P0000BBL</t>
        </is>
      </c>
      <c r="C274" s="237" t="n">
        <v>9</v>
      </c>
      <c r="D274" s="235" t="n"/>
      <c r="E274" s="234" t="n"/>
      <c r="F274" s="230" t="n"/>
      <c r="G274" s="236" t="n"/>
      <c r="H274" s="231" t="n"/>
      <c r="I274" s="215" t="n"/>
      <c r="J274" s="35">
        <f>SUM(C274:I274)</f>
        <v/>
      </c>
      <c r="K274" s="815">
        <f>C274*33000</f>
        <v/>
      </c>
      <c r="L274" s="790">
        <f>D274*33000</f>
        <v/>
      </c>
      <c r="M274" s="839">
        <f>E274*33000</f>
        <v/>
      </c>
      <c r="N274" s="820" t="n"/>
      <c r="O274" s="820" t="n"/>
      <c r="P274" s="820" t="n"/>
      <c r="Q274" s="758" t="n"/>
      <c r="R274" s="756">
        <f>SUM(K274:Q274)</f>
        <v/>
      </c>
      <c r="S274" s="756">
        <f>J274*16500</f>
        <v/>
      </c>
    </row>
    <row r="275" customFormat="1" s="755">
      <c r="A275" s="211" t="inlineStr">
        <is>
          <t>인그로운족집게</t>
        </is>
      </c>
      <c r="B275" s="383" t="inlineStr">
        <is>
          <t>P00000ZL</t>
        </is>
      </c>
      <c r="C275" s="237" t="n"/>
      <c r="D275" s="235" t="n"/>
      <c r="E275" s="234" t="n"/>
      <c r="F275" s="230" t="n"/>
      <c r="G275" s="236" t="n"/>
      <c r="H275" s="231" t="n"/>
      <c r="I275" s="215" t="n"/>
      <c r="J275" s="35">
        <f>SUM(C275:I275)</f>
        <v/>
      </c>
      <c r="K275" s="755">
        <f>C275*77000</f>
        <v/>
      </c>
      <c r="L275" s="790">
        <f>D275*77000</f>
        <v/>
      </c>
      <c r="M275" s="839">
        <f>E275*77000</f>
        <v/>
      </c>
      <c r="N275" s="820" t="n"/>
      <c r="O275" s="820" t="n"/>
      <c r="P275" s="820" t="n"/>
      <c r="Q275" s="796" t="n"/>
      <c r="R275" s="756">
        <f>SUM(K275:Q275)</f>
        <v/>
      </c>
      <c r="S275" s="756">
        <f>J275*38500</f>
        <v/>
      </c>
    </row>
    <row r="276" ht="21.75" customFormat="1" customHeight="1" s="755">
      <c r="A276" s="149" t="inlineStr">
        <is>
          <t>바디스파츌라</t>
        </is>
      </c>
      <c r="B276" s="383" t="inlineStr">
        <is>
          <t>P00000DH</t>
        </is>
      </c>
      <c r="C276" s="233" t="n">
        <v>74</v>
      </c>
      <c r="D276" s="235" t="n"/>
      <c r="E276" s="234" t="n"/>
      <c r="F276" s="230" t="n"/>
      <c r="G276" s="236" t="n"/>
      <c r="H276" s="231" t="n"/>
      <c r="I276" s="214" t="n"/>
      <c r="J276" s="35">
        <f>SUM(C276:I276)</f>
        <v/>
      </c>
      <c r="K276" s="836">
        <f>C276*2500</f>
        <v/>
      </c>
      <c r="L276" s="790" t="n"/>
      <c r="M276" s="770" t="n"/>
      <c r="N276" s="771" t="n"/>
      <c r="O276" s="771" t="n"/>
      <c r="P276" s="771" t="n"/>
      <c r="Q276" s="796" t="n"/>
      <c r="R276" s="756">
        <f>SUM(K276:Q276)</f>
        <v/>
      </c>
      <c r="S276" s="756">
        <f>J276*1070</f>
        <v/>
      </c>
    </row>
    <row r="277" customFormat="1" s="755">
      <c r="A277" s="150" t="inlineStr">
        <is>
          <t>바디스파츌라(묶음)</t>
        </is>
      </c>
      <c r="B277" s="371" t="inlineStr">
        <is>
          <t>P00000TX</t>
        </is>
      </c>
      <c r="C277" s="215" t="n">
        <v>400</v>
      </c>
      <c r="D277" s="235" t="n"/>
      <c r="E277" s="234" t="n"/>
      <c r="F277" s="230" t="n"/>
      <c r="G277" s="236" t="n"/>
      <c r="H277" s="231" t="n"/>
      <c r="I277" s="215" t="n">
        <v>1</v>
      </c>
      <c r="J277" s="35">
        <f>SUM(C277:I277)</f>
        <v/>
      </c>
      <c r="K277" s="820">
        <f>C277*1700</f>
        <v/>
      </c>
      <c r="L277" s="790">
        <f>D277*1700</f>
        <v/>
      </c>
      <c r="M277" s="770">
        <f>E277*1700</f>
        <v/>
      </c>
      <c r="N277" s="771" t="n"/>
      <c r="O277" s="771">
        <f>I277*2000</f>
        <v/>
      </c>
      <c r="P277" s="771" t="n"/>
      <c r="Q277" s="796" t="n"/>
      <c r="R277" s="756">
        <f>SUM(K277:Q277)</f>
        <v/>
      </c>
      <c r="S277" s="756">
        <f>J277*1070</f>
        <v/>
      </c>
    </row>
    <row r="278" customFormat="1" s="755">
      <c r="A278" s="151" t="inlineStr">
        <is>
          <t>패들팝</t>
        </is>
      </c>
      <c r="B278" s="383" t="inlineStr">
        <is>
          <t>P00000DE</t>
        </is>
      </c>
      <c r="C278" s="239" t="n">
        <v>60</v>
      </c>
      <c r="D278" s="235" t="n"/>
      <c r="E278" s="234" t="n"/>
      <c r="F278" s="230" t="n"/>
      <c r="G278" s="236" t="n"/>
      <c r="H278" s="231" t="n"/>
      <c r="I278" s="215" t="n"/>
      <c r="J278" s="35">
        <f>SUM(C278:I278)</f>
        <v/>
      </c>
      <c r="K278" s="836">
        <f>C278*2500</f>
        <v/>
      </c>
      <c r="L278" s="790" t="n"/>
      <c r="M278" s="770">
        <f>E278*1500</f>
        <v/>
      </c>
      <c r="N278" s="771" t="n"/>
      <c r="O278" s="771" t="n"/>
      <c r="P278" s="771" t="n"/>
      <c r="Q278" s="758" t="n"/>
      <c r="R278" s="756">
        <f>SUM(K278:Q278)</f>
        <v/>
      </c>
      <c r="S278" s="756">
        <f>J278*495</f>
        <v/>
      </c>
    </row>
    <row r="279" customFormat="1" s="755">
      <c r="A279" s="152" t="inlineStr">
        <is>
          <t>패들팝(묶음)</t>
        </is>
      </c>
      <c r="B279" s="372" t="inlineStr">
        <is>
          <t>P00000TX</t>
        </is>
      </c>
      <c r="C279" s="215" t="n"/>
      <c r="D279" s="235" t="n"/>
      <c r="E279" s="234" t="n"/>
      <c r="F279" s="230" t="n"/>
      <c r="G279" s="236" t="n"/>
      <c r="H279" s="231" t="n"/>
      <c r="I279" s="215" t="n"/>
      <c r="J279" s="35">
        <f>SUM(C279:I279)</f>
        <v/>
      </c>
      <c r="K279" s="820">
        <f>C279*1700</f>
        <v/>
      </c>
      <c r="L279" s="790">
        <f>D279*1700</f>
        <v/>
      </c>
      <c r="M279" s="770">
        <f>E279*1700</f>
        <v/>
      </c>
      <c r="N279" s="771" t="n"/>
      <c r="O279" s="771">
        <f>I279*2000</f>
        <v/>
      </c>
      <c r="P279" s="771" t="n"/>
      <c r="Q279" s="758" t="n"/>
      <c r="R279" s="756">
        <f>SUM(K279:Q279)</f>
        <v/>
      </c>
      <c r="S279" s="756">
        <f>J279*495</f>
        <v/>
      </c>
    </row>
    <row r="280" customFormat="1" s="755">
      <c r="A280" s="153" t="inlineStr">
        <is>
          <t>페이스스파츌라</t>
        </is>
      </c>
      <c r="B280" s="384" t="inlineStr">
        <is>
          <t>P00000LA</t>
        </is>
      </c>
      <c r="C280" s="239" t="n">
        <v>171</v>
      </c>
      <c r="D280" s="235" t="n"/>
      <c r="E280" s="234" t="n"/>
      <c r="F280" s="230" t="n"/>
      <c r="G280" s="236" t="n"/>
      <c r="H280" s="231" t="n"/>
      <c r="I280" s="214" t="n"/>
      <c r="J280" s="35">
        <f>SUM(C280:I280)</f>
        <v/>
      </c>
      <c r="K280" s="836">
        <f>C280*2500</f>
        <v/>
      </c>
      <c r="L280" s="790" t="n"/>
      <c r="M280" s="770" t="n"/>
      <c r="N280" s="771" t="n"/>
      <c r="O280" s="771" t="n"/>
      <c r="P280" s="771" t="n"/>
      <c r="Q280" s="796" t="n"/>
      <c r="R280" s="756">
        <f>SUM(K280:Q280)</f>
        <v/>
      </c>
      <c r="S280" s="756">
        <f>J280*310</f>
        <v/>
      </c>
    </row>
    <row r="281" customFormat="1" s="755">
      <c r="A281" s="154" t="inlineStr">
        <is>
          <t>페이스스파츌라(묶음)</t>
        </is>
      </c>
      <c r="B281" s="372" t="inlineStr">
        <is>
          <t>P00000TX</t>
        </is>
      </c>
      <c r="C281" s="215" t="n">
        <v>100</v>
      </c>
      <c r="D281" s="235" t="n"/>
      <c r="E281" s="234" t="n">
        <v>200</v>
      </c>
      <c r="F281" s="229" t="n"/>
      <c r="G281" s="236" t="n"/>
      <c r="H281" s="231" t="n"/>
      <c r="I281" s="215" t="n">
        <v>3</v>
      </c>
      <c r="J281" s="35">
        <f>SUM(C281:I281)</f>
        <v/>
      </c>
      <c r="K281" s="820">
        <f>C281*1700</f>
        <v/>
      </c>
      <c r="L281" s="790">
        <f>D281*1700</f>
        <v/>
      </c>
      <c r="M281" s="770">
        <f>E281*1700</f>
        <v/>
      </c>
      <c r="N281" s="771" t="n"/>
      <c r="O281" s="771">
        <f>I281*2000</f>
        <v/>
      </c>
      <c r="P281" s="771" t="n"/>
      <c r="Q281" s="796" t="n"/>
      <c r="R281" s="756">
        <f>SUM(K281:Q281)</f>
        <v/>
      </c>
      <c r="S281" s="756">
        <f>J281*310</f>
        <v/>
      </c>
    </row>
    <row r="282" customFormat="1" s="755">
      <c r="A282" s="260" t="inlineStr">
        <is>
          <t>메탈스파츌라(라이콘)</t>
        </is>
      </c>
      <c r="B282" s="876" t="inlineStr">
        <is>
          <t>P00000DG</t>
        </is>
      </c>
      <c r="C282" s="239" t="n">
        <v>14</v>
      </c>
      <c r="D282" s="235" t="n"/>
      <c r="E282" s="234" t="n">
        <v>3</v>
      </c>
      <c r="F282" s="233" t="n"/>
      <c r="G282" s="233" t="n"/>
      <c r="H282" s="242" t="n"/>
      <c r="I282" s="215" t="n">
        <v>1</v>
      </c>
      <c r="J282" s="35">
        <f>SUM(C282:I282)</f>
        <v/>
      </c>
      <c r="K282" s="815">
        <f>C282*18900</f>
        <v/>
      </c>
      <c r="L282" s="790">
        <f>D282*15400</f>
        <v/>
      </c>
      <c r="M282" s="839">
        <f>E282*15400</f>
        <v/>
      </c>
      <c r="N282" s="820" t="n"/>
      <c r="O282" s="877">
        <f>I282*15120</f>
        <v/>
      </c>
      <c r="P282" s="820" t="n"/>
      <c r="Q282" s="820" t="n"/>
      <c r="R282" s="756">
        <f>SUM(K282:Q282)</f>
        <v/>
      </c>
      <c r="S282" s="756">
        <f>J282*4794</f>
        <v/>
      </c>
    </row>
    <row r="283" customFormat="1" s="755">
      <c r="A283" s="155" t="inlineStr">
        <is>
          <t>메탈스파츌라(제모)</t>
        </is>
      </c>
      <c r="B283" s="775" t="n"/>
      <c r="C283" s="239" t="n"/>
      <c r="D283" s="235" t="n"/>
      <c r="E283" s="234" t="n"/>
      <c r="F283" s="229" t="n"/>
      <c r="G283" s="236" t="n"/>
      <c r="H283" s="231" t="n"/>
      <c r="I283" s="215" t="n"/>
      <c r="J283" s="35">
        <f>SUM(C283:I283)</f>
        <v/>
      </c>
      <c r="K283" s="755">
        <f>C283*11000</f>
        <v/>
      </c>
      <c r="L283" s="790">
        <f>D283*7000</f>
        <v/>
      </c>
      <c r="M283" s="770">
        <f>E283*7000</f>
        <v/>
      </c>
      <c r="N283" s="771" t="n"/>
      <c r="O283" s="771" t="n"/>
      <c r="P283" s="771" t="n"/>
      <c r="Q283" s="758" t="n"/>
      <c r="R283" s="756">
        <f>SUM(K283:Q283)</f>
        <v/>
      </c>
      <c r="S283" s="756">
        <f>J283*1200</f>
        <v/>
      </c>
    </row>
    <row r="284">
      <c r="A284" s="115" t="inlineStr">
        <is>
          <t>라이콘스파앞치마</t>
        </is>
      </c>
      <c r="B284" s="383" t="inlineStr">
        <is>
          <t>P00000LD</t>
        </is>
      </c>
      <c r="C284" s="237" t="n">
        <v>2</v>
      </c>
      <c r="D284" s="235" t="n"/>
      <c r="E284" s="234" t="n">
        <v>1</v>
      </c>
      <c r="F284" s="230" t="n"/>
      <c r="G284" s="236" t="n"/>
      <c r="H284" s="231" t="n"/>
      <c r="I284" s="238" t="n"/>
      <c r="J284" s="35">
        <f>SUM(C284:I284)</f>
        <v/>
      </c>
      <c r="K284" s="815">
        <f>C284*25000</f>
        <v/>
      </c>
      <c r="L284" s="790">
        <f>D284*20000</f>
        <v/>
      </c>
      <c r="M284" s="770">
        <f>E284*20000</f>
        <v/>
      </c>
      <c r="N284" s="771" t="n"/>
      <c r="O284" s="771" t="n"/>
      <c r="P284" s="771" t="n"/>
      <c r="R284" s="756">
        <f>SUM(K284:Q284)</f>
        <v/>
      </c>
      <c r="S284" s="756">
        <f>J284*12400</f>
        <v/>
      </c>
    </row>
    <row r="285">
      <c r="A285" s="155" t="inlineStr">
        <is>
          <t>라이콘스파타올(대)</t>
        </is>
      </c>
      <c r="B285" s="876" t="inlineStr">
        <is>
          <t>P0000BES</t>
        </is>
      </c>
      <c r="C285" s="237" t="n">
        <v>1</v>
      </c>
      <c r="D285" s="235" t="n"/>
      <c r="E285" s="234" t="n"/>
      <c r="F285" s="237" t="n"/>
      <c r="G285" s="236" t="n"/>
      <c r="H285" s="241" t="n"/>
      <c r="I285" s="237" t="n"/>
      <c r="J285" s="35">
        <f>SUM(C285:I285)</f>
        <v/>
      </c>
      <c r="K285" s="815">
        <f>C285*40000</f>
        <v/>
      </c>
      <c r="L285" s="790">
        <f>D285*40000</f>
        <v/>
      </c>
      <c r="M285" s="770">
        <f>E285*38000</f>
        <v/>
      </c>
      <c r="N285" s="771" t="n"/>
      <c r="O285" s="877" t="n"/>
      <c r="P285" s="771" t="n"/>
      <c r="R285" s="756">
        <f>SUM(K285:Q285)</f>
        <v/>
      </c>
      <c r="S285" s="756">
        <f>J285*26400</f>
        <v/>
      </c>
    </row>
    <row r="286">
      <c r="A286" s="155" t="inlineStr">
        <is>
          <t>라이콘스파타올(중)</t>
        </is>
      </c>
      <c r="B286" s="774" t="n"/>
      <c r="C286" s="237" t="n">
        <v>1</v>
      </c>
      <c r="D286" s="235" t="n"/>
      <c r="E286" s="234" t="n"/>
      <c r="F286" s="237" t="n"/>
      <c r="G286" s="236" t="n"/>
      <c r="H286" s="241" t="n"/>
      <c r="I286" s="237" t="n"/>
      <c r="J286" s="35">
        <f>SUM(C286:I286)</f>
        <v/>
      </c>
      <c r="K286" s="815">
        <f>C286*22000</f>
        <v/>
      </c>
      <c r="L286" s="790">
        <f>D286*22000</f>
        <v/>
      </c>
      <c r="M286" s="770">
        <f>E286*18000</f>
        <v/>
      </c>
      <c r="N286" s="771" t="n"/>
      <c r="O286" s="771" t="n"/>
      <c r="P286" s="771" t="n"/>
      <c r="R286" s="756">
        <f>SUM(K286:Q286)</f>
        <v/>
      </c>
      <c r="S286" s="756">
        <f>J286*11000</f>
        <v/>
      </c>
    </row>
    <row r="287">
      <c r="A287" s="155" t="inlineStr">
        <is>
          <t>라이콘스파타올(소)</t>
        </is>
      </c>
      <c r="B287" s="775" t="n"/>
      <c r="C287" s="237" t="n"/>
      <c r="D287" s="235" t="n"/>
      <c r="E287" s="234" t="n">
        <v>50</v>
      </c>
      <c r="F287" s="237" t="n"/>
      <c r="G287" s="236" t="n"/>
      <c r="H287" s="241" t="n"/>
      <c r="I287" s="237" t="n"/>
      <c r="J287" s="35">
        <f>SUM(C287:I287)</f>
        <v/>
      </c>
      <c r="K287" s="755">
        <f>C287*4000</f>
        <v/>
      </c>
      <c r="L287" s="790">
        <f>D287*4000</f>
        <v/>
      </c>
      <c r="M287" s="770">
        <f>E287*3000</f>
        <v/>
      </c>
      <c r="N287" s="771" t="n"/>
      <c r="O287" s="771" t="n"/>
      <c r="P287" s="771" t="n"/>
      <c r="R287" s="756">
        <f>SUM(K287:Q287)</f>
        <v/>
      </c>
      <c r="S287" s="756">
        <f>J287*1760</f>
        <v/>
      </c>
    </row>
    <row r="288">
      <c r="A288" s="155" t="inlineStr">
        <is>
          <t>케이프세트</t>
        </is>
      </c>
      <c r="B288" s="385" t="inlineStr">
        <is>
          <t>P00000ED</t>
        </is>
      </c>
      <c r="C288" s="233" t="n">
        <v>4</v>
      </c>
      <c r="D288" s="237" t="n"/>
      <c r="E288" s="234" t="n"/>
      <c r="F288" s="237" t="n"/>
      <c r="G288" s="236" t="n"/>
      <c r="H288" s="241" t="n"/>
      <c r="I288" s="237" t="n"/>
      <c r="J288" s="35">
        <f>SUM(C288:I288)</f>
        <v/>
      </c>
      <c r="K288" s="815">
        <f>C288*25000</f>
        <v/>
      </c>
      <c r="L288" s="790">
        <f>D288*25000</f>
        <v/>
      </c>
      <c r="M288" s="770">
        <f>E288*25000</f>
        <v/>
      </c>
      <c r="N288" s="771" t="n"/>
      <c r="O288" s="771" t="n"/>
      <c r="P288" s="771" t="n"/>
      <c r="R288" s="756">
        <f>SUM(K288:Q288)</f>
        <v/>
      </c>
      <c r="S288" s="756">
        <f>J288*18000</f>
        <v/>
      </c>
    </row>
    <row r="289">
      <c r="A289" s="155" t="inlineStr">
        <is>
          <t>제모미인헤어터번</t>
        </is>
      </c>
      <c r="B289" s="385" t="inlineStr">
        <is>
          <t>P0000BFC</t>
        </is>
      </c>
      <c r="C289" s="237" t="n">
        <v>1</v>
      </c>
      <c r="D289" s="235" t="n"/>
      <c r="E289" s="234" t="n"/>
      <c r="F289" s="237" t="n"/>
      <c r="G289" s="236" t="n"/>
      <c r="H289" s="241" t="n"/>
      <c r="I289" s="237" t="n"/>
      <c r="J289" s="35">
        <f>SUM(C289:I289)</f>
        <v/>
      </c>
      <c r="K289" s="815">
        <f>C289*5000</f>
        <v/>
      </c>
      <c r="L289" s="790">
        <f>D289*5000</f>
        <v/>
      </c>
      <c r="M289" s="770">
        <f>E289*4500</f>
        <v/>
      </c>
      <c r="N289" s="771" t="n"/>
      <c r="O289" s="771" t="n"/>
      <c r="P289" s="771" t="n"/>
      <c r="R289" s="756">
        <f>SUM(K289:Q289)</f>
        <v/>
      </c>
      <c r="S289" s="756">
        <f>J289*1800</f>
        <v/>
      </c>
    </row>
    <row r="290">
      <c r="A290" s="128" t="inlineStr">
        <is>
          <t>자디니스파앞치마</t>
        </is>
      </c>
      <c r="B290" s="156" t="n"/>
      <c r="C290" s="237" t="n"/>
      <c r="D290" s="235" t="n"/>
      <c r="E290" s="234" t="n"/>
      <c r="F290" s="237" t="n"/>
      <c r="G290" s="236" t="n"/>
      <c r="H290" s="241" t="n"/>
      <c r="I290" s="242" t="n"/>
      <c r="J290" s="35">
        <f>SUM(C290:I290)</f>
        <v/>
      </c>
      <c r="K290" s="815">
        <f>C290*27000</f>
        <v/>
      </c>
      <c r="L290" s="790">
        <f>D290*20000</f>
        <v/>
      </c>
      <c r="M290" s="770">
        <f>E290*20000</f>
        <v/>
      </c>
      <c r="N290" s="771" t="n"/>
      <c r="O290" s="771" t="n"/>
      <c r="P290" s="771" t="n"/>
      <c r="R290" s="756">
        <f>SUM(K290:Q290)</f>
        <v/>
      </c>
      <c r="S290" s="756">
        <f>J290*14850</f>
        <v/>
      </c>
    </row>
    <row r="291">
      <c r="A291" s="155" t="inlineStr">
        <is>
          <t>mts롤러</t>
        </is>
      </c>
      <c r="B291" s="373" t="n"/>
      <c r="C291" s="237" t="n"/>
      <c r="D291" s="235" t="n"/>
      <c r="E291" s="234" t="n"/>
      <c r="F291" s="237" t="n"/>
      <c r="G291" s="236" t="n"/>
      <c r="H291" s="241" t="n"/>
      <c r="I291" s="237" t="n"/>
      <c r="J291" s="35">
        <f>SUM(C291:I291)</f>
        <v/>
      </c>
      <c r="K291" s="755">
        <f>C291*4000</f>
        <v/>
      </c>
      <c r="L291" s="790">
        <f>D291*4000</f>
        <v/>
      </c>
      <c r="M291" s="770">
        <f>E291*4000</f>
        <v/>
      </c>
      <c r="N291" s="771" t="n"/>
      <c r="O291" s="771" t="n"/>
      <c r="P291" s="771" t="n"/>
      <c r="R291" s="756">
        <f>SUM(K291:Q291)</f>
        <v/>
      </c>
      <c r="S291" s="756">
        <f>J291*2600</f>
        <v/>
      </c>
    </row>
    <row r="292">
      <c r="A292" s="155" t="inlineStr">
        <is>
          <t>위생장갑(PVC)</t>
        </is>
      </c>
      <c r="B292" s="385" t="inlineStr">
        <is>
          <t>P0000BBR</t>
        </is>
      </c>
      <c r="C292" s="233" t="n">
        <v>163</v>
      </c>
      <c r="D292" s="235" t="n"/>
      <c r="E292" s="234" t="n"/>
      <c r="F292" s="237" t="n"/>
      <c r="G292" s="236" t="n"/>
      <c r="H292" s="241" t="n"/>
      <c r="I292" s="230" t="n"/>
      <c r="J292" s="35">
        <f>SUM(C292:I292)</f>
        <v/>
      </c>
      <c r="K292" s="755">
        <f>C292*3900</f>
        <v/>
      </c>
      <c r="L292" s="790">
        <f>D292*3900</f>
        <v/>
      </c>
      <c r="M292" s="770">
        <f>E292*3900</f>
        <v/>
      </c>
      <c r="N292" s="771" t="n"/>
      <c r="O292" s="771" t="n"/>
      <c r="P292" s="771" t="n"/>
      <c r="R292" s="756">
        <f>SUM(K292:Q292)</f>
        <v/>
      </c>
      <c r="S292" s="756">
        <f>J292*3000</f>
        <v/>
      </c>
    </row>
    <row r="293">
      <c r="A293" s="155" t="inlineStr">
        <is>
          <t>위생장갑(라텍스)</t>
        </is>
      </c>
      <c r="B293" s="385" t="inlineStr">
        <is>
          <t>P0000BLQ</t>
        </is>
      </c>
      <c r="C293" s="233" t="n">
        <v>8</v>
      </c>
      <c r="D293" s="235" t="n"/>
      <c r="E293" s="234" t="n"/>
      <c r="F293" s="237" t="n"/>
      <c r="G293" s="236" t="n"/>
      <c r="H293" s="241" t="n"/>
      <c r="I293" s="230" t="n"/>
      <c r="J293" s="35">
        <f>SUM(C293:I293)</f>
        <v/>
      </c>
      <c r="K293" s="755">
        <f>C293*6600</f>
        <v/>
      </c>
      <c r="L293" s="790">
        <f>D293*6600</f>
        <v/>
      </c>
      <c r="M293" s="770">
        <f>E293*6600</f>
        <v/>
      </c>
      <c r="N293" s="771" t="n"/>
      <c r="O293" s="771" t="n"/>
      <c r="P293" s="771" t="n"/>
      <c r="R293" s="756">
        <f>SUM(K293:Q293)</f>
        <v/>
      </c>
      <c r="S293" s="756">
        <f>J293*4400</f>
        <v/>
      </c>
    </row>
    <row r="294">
      <c r="A294" s="155" t="inlineStr">
        <is>
          <t>아이스쿨러</t>
        </is>
      </c>
      <c r="B294" s="373" t="n"/>
      <c r="C294" s="237" t="n"/>
      <c r="D294" s="235" t="n"/>
      <c r="E294" s="234" t="n"/>
      <c r="F294" s="237" t="n"/>
      <c r="G294" s="236" t="n"/>
      <c r="H294" s="241" t="n"/>
      <c r="I294" s="241" t="n"/>
      <c r="J294" s="35">
        <f>SUM(C294:I294)</f>
        <v/>
      </c>
      <c r="K294" s="755">
        <f>C294*25000</f>
        <v/>
      </c>
      <c r="L294" s="790">
        <f>D294*20000</f>
        <v/>
      </c>
      <c r="M294" s="770">
        <f>E294*20000</f>
        <v/>
      </c>
      <c r="N294" s="771" t="n"/>
      <c r="O294" s="771" t="n"/>
      <c r="P294" s="771" t="n"/>
      <c r="R294" s="756">
        <f>SUM(K294:Q294)</f>
        <v/>
      </c>
      <c r="S294" s="756">
        <f>J294*8800</f>
        <v/>
      </c>
    </row>
    <row r="295">
      <c r="A295" s="155" t="inlineStr">
        <is>
          <t>롤러아이스쿨러(바디)</t>
        </is>
      </c>
      <c r="B295" s="370" t="inlineStr">
        <is>
          <t>P00000KD</t>
        </is>
      </c>
      <c r="C295" s="237" t="n">
        <v>1</v>
      </c>
      <c r="D295" s="235" t="n"/>
      <c r="E295" s="234" t="n"/>
      <c r="F295" s="237" t="n"/>
      <c r="G295" s="236" t="n"/>
      <c r="H295" s="241" t="n"/>
      <c r="I295" s="241" t="n"/>
      <c r="J295" s="35">
        <f>SUM(C295:I295)</f>
        <v/>
      </c>
      <c r="K295" s="815">
        <f>C295*15000</f>
        <v/>
      </c>
      <c r="L295" s="790">
        <f>D295*10000</f>
        <v/>
      </c>
      <c r="M295" s="770">
        <f>E295*10000</f>
        <v/>
      </c>
      <c r="N295" s="771" t="n"/>
      <c r="O295" s="771" t="n"/>
      <c r="P295" s="771" t="n"/>
      <c r="R295" s="756">
        <f>SUM(K295:Q295)</f>
        <v/>
      </c>
      <c r="S295" s="756">
        <f>J295*4000</f>
        <v/>
      </c>
    </row>
    <row r="296">
      <c r="A296" s="155" t="inlineStr">
        <is>
          <t>롤러아이스쿨러(얼굴)</t>
        </is>
      </c>
      <c r="B296" s="370" t="inlineStr">
        <is>
          <t>P00000KE</t>
        </is>
      </c>
      <c r="C296" s="237" t="n"/>
      <c r="D296" s="235" t="n"/>
      <c r="E296" s="234" t="n"/>
      <c r="F296" s="237" t="n"/>
      <c r="G296" s="236" t="n"/>
      <c r="H296" s="241" t="n"/>
      <c r="I296" s="241" t="n"/>
      <c r="J296" s="35">
        <f>SUM(C296:I296)</f>
        <v/>
      </c>
      <c r="K296" s="815">
        <f>C296*15000</f>
        <v/>
      </c>
      <c r="L296" s="790">
        <f>D296*10000</f>
        <v/>
      </c>
      <c r="M296" s="770">
        <f>E296*10000</f>
        <v/>
      </c>
      <c r="N296" s="771" t="n"/>
      <c r="O296" s="771" t="n"/>
      <c r="P296" s="771" t="n"/>
      <c r="R296" s="756">
        <f>SUM(K296:Q296)</f>
        <v/>
      </c>
      <c r="S296" s="756">
        <f>J296*4000</f>
        <v/>
      </c>
    </row>
    <row r="297" customFormat="1" s="161">
      <c r="A297" s="128" t="inlineStr">
        <is>
          <t>가위</t>
        </is>
      </c>
      <c r="B297" s="385" t="inlineStr">
        <is>
          <t>P00000OE</t>
        </is>
      </c>
      <c r="C297" s="237" t="n">
        <v>2</v>
      </c>
      <c r="D297" s="237" t="n"/>
      <c r="E297" s="234" t="n"/>
      <c r="F297" s="237" t="n"/>
      <c r="G297" s="236" t="n"/>
      <c r="H297" s="243" t="n"/>
      <c r="I297" s="243" t="n"/>
      <c r="J297" s="35">
        <f>SUM(C297:I297)</f>
        <v/>
      </c>
      <c r="K297" s="836">
        <f>C297*30000</f>
        <v/>
      </c>
      <c r="L297" s="790">
        <f>D297*25000</f>
        <v/>
      </c>
      <c r="M297" s="770">
        <f>E297*25000</f>
        <v/>
      </c>
      <c r="N297" s="771" t="n"/>
      <c r="O297" s="771" t="n"/>
      <c r="P297" s="771" t="n"/>
      <c r="Q297" s="878" t="n"/>
      <c r="R297" s="756">
        <f>SUM(K297:Q297)</f>
        <v/>
      </c>
      <c r="S297" s="756">
        <f>J297*16500</f>
        <v/>
      </c>
    </row>
    <row r="298">
      <c r="A298" s="128" t="inlineStr">
        <is>
          <t>온도계</t>
        </is>
      </c>
      <c r="B298" s="385" t="inlineStr">
        <is>
          <t>P00000KG</t>
        </is>
      </c>
      <c r="C298" s="237" t="n"/>
      <c r="D298" s="237" t="n"/>
      <c r="E298" s="234" t="n"/>
      <c r="F298" s="237" t="n"/>
      <c r="G298" s="236" t="n"/>
      <c r="H298" s="241" t="n"/>
      <c r="I298" s="241" t="n"/>
      <c r="J298" s="35">
        <f>SUM(C298:I298)</f>
        <v/>
      </c>
      <c r="K298" s="755">
        <f>C298*24000</f>
        <v/>
      </c>
      <c r="L298" s="790">
        <f>D298*20000</f>
        <v/>
      </c>
      <c r="M298" s="770">
        <f>E298*18000</f>
        <v/>
      </c>
      <c r="N298" s="771" t="n"/>
      <c r="O298" s="771" t="n"/>
      <c r="P298" s="771" t="n"/>
      <c r="R298" s="756">
        <f>SUM(K298:Q298)</f>
        <v/>
      </c>
      <c r="S298" s="756">
        <f>J298*9945</f>
        <v/>
      </c>
    </row>
    <row r="299">
      <c r="A299" s="0" t="inlineStr">
        <is>
          <t>파우치</t>
        </is>
      </c>
      <c r="B299" s="876" t="inlineStr">
        <is>
          <t>P00000ED</t>
        </is>
      </c>
      <c r="C299" s="237" t="n"/>
      <c r="D299" s="235" t="n"/>
      <c r="E299" s="234" t="n"/>
      <c r="F299" s="230" t="n"/>
      <c r="G299" s="236" t="n"/>
      <c r="H299" s="231" t="n"/>
      <c r="I299" s="215" t="n"/>
      <c r="J299" s="35">
        <f>SUM(C299:I299)</f>
        <v/>
      </c>
      <c r="K299" s="755">
        <f>C299*25000</f>
        <v/>
      </c>
      <c r="L299" s="790">
        <f>D299*25000</f>
        <v/>
      </c>
      <c r="M299" s="770">
        <f>E299*25000</f>
        <v/>
      </c>
      <c r="N299" s="771" t="n"/>
      <c r="O299" s="771" t="n"/>
      <c r="P299" s="771" t="n"/>
      <c r="R299" s="756">
        <f>SUM(K299:Q299)</f>
        <v/>
      </c>
      <c r="S299" s="756">
        <f>J299*18000</f>
        <v/>
      </c>
    </row>
    <row r="300">
      <c r="A300" s="128" t="inlineStr">
        <is>
          <t>브러쉬</t>
        </is>
      </c>
      <c r="B300" s="774" t="n"/>
      <c r="C300" s="237" t="n"/>
      <c r="D300" s="237" t="n"/>
      <c r="E300" s="234" t="n"/>
      <c r="F300" s="237" t="n"/>
      <c r="G300" s="236" t="n"/>
      <c r="H300" s="241" t="n"/>
      <c r="I300" s="241" t="n"/>
      <c r="J300" s="35">
        <f>SUM(C300:I300)</f>
        <v/>
      </c>
      <c r="K300" s="815">
        <f>C300*10000</f>
        <v/>
      </c>
      <c r="L300" s="790" t="n"/>
      <c r="M300" s="770" t="n"/>
      <c r="N300" s="771" t="n"/>
      <c r="O300" s="771" t="n"/>
      <c r="P300" s="771" t="n"/>
      <c r="R300" s="756">
        <f>SUM(K300:Q300)</f>
        <v/>
      </c>
      <c r="S300" s="756">
        <f>J300*9000</f>
        <v/>
      </c>
    </row>
    <row r="301">
      <c r="A301" s="128" t="inlineStr">
        <is>
          <t>브로우펜슬</t>
        </is>
      </c>
      <c r="B301" s="774" t="n"/>
      <c r="C301" s="237" t="n"/>
      <c r="D301" s="237" t="n"/>
      <c r="E301" s="234" t="n"/>
      <c r="F301" s="237" t="n"/>
      <c r="G301" s="236" t="n"/>
      <c r="H301" s="241" t="n"/>
      <c r="I301" s="241" t="n"/>
      <c r="J301" s="35">
        <f>SUM(C301:I301)</f>
        <v/>
      </c>
      <c r="K301" s="755">
        <f>C301*24000</f>
        <v/>
      </c>
      <c r="L301" s="790" t="n"/>
      <c r="M301" s="770" t="n"/>
      <c r="N301" s="771" t="n"/>
      <c r="O301" s="771" t="n"/>
      <c r="P301" s="771" t="n"/>
      <c r="R301" s="756">
        <f>SUM(K301:Q301)</f>
        <v/>
      </c>
      <c r="S301" s="756">
        <f>J301*18000</f>
        <v/>
      </c>
    </row>
    <row r="302">
      <c r="A302" s="128" t="inlineStr">
        <is>
          <t>거울</t>
        </is>
      </c>
      <c r="B302" s="775" t="n"/>
      <c r="C302" s="237" t="n"/>
      <c r="D302" s="237" t="n"/>
      <c r="E302" s="234" t="n"/>
      <c r="F302" s="237" t="n"/>
      <c r="G302" s="236" t="n"/>
      <c r="H302" s="241" t="n"/>
      <c r="I302" s="241" t="n"/>
      <c r="J302" s="35">
        <f>SUM(C302:I302)</f>
        <v/>
      </c>
      <c r="K302" s="755">
        <f>C302*7000</f>
        <v/>
      </c>
      <c r="L302" s="790">
        <f>D302*7000</f>
        <v/>
      </c>
      <c r="M302" s="770">
        <f>E302*7000</f>
        <v/>
      </c>
      <c r="N302" s="771" t="n"/>
      <c r="O302" s="771" t="n"/>
      <c r="P302" s="771" t="n"/>
      <c r="R302" s="756">
        <f>SUM(K302:Q302)</f>
        <v/>
      </c>
      <c r="S302" s="756">
        <f>J302*4000</f>
        <v/>
      </c>
    </row>
    <row r="303">
      <c r="A303" s="128" t="inlineStr">
        <is>
          <t>브로우펜슬(컨실러)</t>
        </is>
      </c>
      <c r="B303" s="598" t="n"/>
      <c r="C303" s="237" t="n"/>
      <c r="D303" s="237" t="n"/>
      <c r="E303" s="234" t="n"/>
      <c r="F303" s="237" t="n"/>
      <c r="G303" s="236" t="n"/>
      <c r="H303" s="241" t="n"/>
      <c r="I303" s="241" t="n"/>
      <c r="J303" s="35">
        <f>SUM(C303:I303)</f>
        <v/>
      </c>
      <c r="K303" s="755">
        <f>C303*10000</f>
        <v/>
      </c>
      <c r="L303" s="790">
        <f>D303*10000</f>
        <v/>
      </c>
      <c r="M303" s="770">
        <f>E303*10000</f>
        <v/>
      </c>
      <c r="N303" s="771" t="n"/>
      <c r="O303" s="771" t="n"/>
      <c r="P303" s="771" t="n"/>
      <c r="R303" s="756">
        <f>SUM(K303:Q303)</f>
        <v/>
      </c>
      <c r="S303" s="756">
        <f>J303*2664</f>
        <v/>
      </c>
    </row>
    <row r="304">
      <c r="A304" s="128" t="inlineStr">
        <is>
          <t xml:space="preserve">워머기카라 </t>
        </is>
      </c>
      <c r="B304" s="386" t="inlineStr">
        <is>
          <t>P00000OR</t>
        </is>
      </c>
      <c r="C304" s="237" t="n">
        <v>460</v>
      </c>
      <c r="D304" s="237" t="n"/>
      <c r="E304" s="234" t="n"/>
      <c r="F304" s="237" t="n"/>
      <c r="G304" s="236" t="n"/>
      <c r="H304" s="241" t="n"/>
      <c r="I304" s="242" t="n"/>
      <c r="J304" s="35">
        <f>SUM(C304:I304)</f>
        <v/>
      </c>
      <c r="K304" s="815">
        <f>C304*200</f>
        <v/>
      </c>
      <c r="L304" s="790">
        <f>D304*200</f>
        <v/>
      </c>
      <c r="M304" s="770">
        <f>E304*200</f>
        <v/>
      </c>
      <c r="N304" s="771" t="n"/>
      <c r="O304" s="771" t="n"/>
      <c r="P304" s="771" t="n"/>
      <c r="R304" s="756">
        <f>SUM(K304:Q304)</f>
        <v/>
      </c>
      <c r="S304" s="756">
        <f>J304*110</f>
        <v/>
      </c>
    </row>
    <row r="305">
      <c r="A305" s="162" t="inlineStr">
        <is>
          <t>왁스네임텍</t>
        </is>
      </c>
      <c r="B305" s="386" t="inlineStr">
        <is>
          <t>P00000OQ</t>
        </is>
      </c>
      <c r="C305" s="237" t="n">
        <v>40</v>
      </c>
      <c r="D305" s="237" t="n"/>
      <c r="E305" s="234" t="n"/>
      <c r="F305" s="237" t="n"/>
      <c r="G305" s="236" t="n"/>
      <c r="H305" s="241" t="n"/>
      <c r="I305" s="241" t="n"/>
      <c r="J305" s="35">
        <f>SUM(C305:I305)</f>
        <v/>
      </c>
      <c r="K305" s="815">
        <f>C305*200</f>
        <v/>
      </c>
      <c r="L305" s="790">
        <f>D305*200</f>
        <v/>
      </c>
      <c r="M305" s="770">
        <f>E305*200</f>
        <v/>
      </c>
      <c r="N305" s="771" t="n"/>
      <c r="O305" s="771" t="n"/>
      <c r="P305" s="771" t="n"/>
      <c r="R305" s="756">
        <f>SUM(K305:Q305)</f>
        <v/>
      </c>
      <c r="S305" s="756">
        <f>J305*110</f>
        <v/>
      </c>
    </row>
    <row r="306">
      <c r="A306" s="162" t="inlineStr">
        <is>
          <t>오일공용라벨</t>
        </is>
      </c>
      <c r="B306" s="386" t="n"/>
      <c r="C306" s="237" t="n"/>
      <c r="D306" s="237" t="n"/>
      <c r="E306" s="234" t="n">
        <v>120</v>
      </c>
      <c r="F306" s="237" t="n"/>
      <c r="G306" s="236" t="n"/>
      <c r="H306" s="241" t="n"/>
      <c r="I306" s="241" t="n"/>
      <c r="J306" s="35">
        <f>SUM(C306:I306)</f>
        <v/>
      </c>
      <c r="K306" s="815" t="n"/>
      <c r="L306" s="790" t="n"/>
      <c r="M306" s="770">
        <f>E306*150</f>
        <v/>
      </c>
      <c r="N306" s="771" t="n"/>
      <c r="O306" s="771" t="n"/>
      <c r="P306" s="771" t="n"/>
      <c r="R306" s="756">
        <f>SUM(K306:Q306)</f>
        <v/>
      </c>
      <c r="S306" s="756">
        <f>J306*127</f>
        <v/>
      </c>
    </row>
    <row r="307">
      <c r="A307" s="162" t="inlineStr">
        <is>
          <t>블랜딩엑스퍼트교육용교재</t>
        </is>
      </c>
      <c r="B307" s="386" t="n"/>
      <c r="C307" s="237" t="n"/>
      <c r="D307" s="237" t="n"/>
      <c r="E307" s="234" t="n"/>
      <c r="F307" s="237" t="n"/>
      <c r="G307" s="236" t="n"/>
      <c r="H307" s="241" t="n"/>
      <c r="I307" s="241" t="n"/>
      <c r="J307" s="35">
        <f>SUM(C307:I307)</f>
        <v/>
      </c>
      <c r="K307" s="815" t="n"/>
      <c r="L307" s="790" t="n"/>
      <c r="M307" s="770">
        <f>E307*15000</f>
        <v/>
      </c>
      <c r="N307" s="771" t="n"/>
      <c r="O307" s="771" t="n"/>
      <c r="P307" s="771" t="n"/>
      <c r="R307" s="756">
        <f>SUM(K307:Q307)</f>
        <v/>
      </c>
      <c r="S307" s="756">
        <f>J307*9680</f>
        <v/>
      </c>
    </row>
    <row r="308">
      <c r="A308" s="128" t="inlineStr">
        <is>
          <t>실리콘팩브러쉬</t>
        </is>
      </c>
      <c r="B308" s="385" t="inlineStr">
        <is>
          <t>P0000BDI</t>
        </is>
      </c>
      <c r="C308" s="237" t="n"/>
      <c r="D308" s="235" t="n"/>
      <c r="E308" s="234" t="n"/>
      <c r="F308" s="237" t="n"/>
      <c r="G308" s="236" t="n"/>
      <c r="H308" s="241" t="n"/>
      <c r="I308" s="241" t="n"/>
      <c r="J308" s="35">
        <f>SUM(C308:I308)</f>
        <v/>
      </c>
      <c r="K308" s="755">
        <f>C308*3000</f>
        <v/>
      </c>
      <c r="L308" s="790">
        <f>D308*3000</f>
        <v/>
      </c>
      <c r="M308" s="770">
        <f>E308*3000</f>
        <v/>
      </c>
      <c r="N308" s="771" t="n"/>
      <c r="O308" s="771" t="n"/>
      <c r="P308" s="771" t="n"/>
      <c r="R308" s="756">
        <f>SUM(K308:Q308)</f>
        <v/>
      </c>
      <c r="S308" s="756">
        <f>J308*1320</f>
        <v/>
      </c>
    </row>
    <row r="309" customFormat="1" s="755">
      <c r="A309" s="155" t="inlineStr">
        <is>
          <t>쇼핑백(소)</t>
        </is>
      </c>
      <c r="B309" s="876" t="inlineStr">
        <is>
          <t>P00000GH</t>
        </is>
      </c>
      <c r="C309" s="237" t="n">
        <v>10</v>
      </c>
      <c r="D309" s="237" t="n"/>
      <c r="E309" s="234" t="n"/>
      <c r="F309" s="237" t="n"/>
      <c r="G309" s="236" t="n"/>
      <c r="H309" s="241" t="n"/>
      <c r="I309" s="240" t="n"/>
      <c r="J309" s="35">
        <f>SUM(C309:I309)</f>
        <v/>
      </c>
      <c r="K309" s="815">
        <f>C309*1100</f>
        <v/>
      </c>
      <c r="L309" s="790">
        <f>D309*850</f>
        <v/>
      </c>
      <c r="M309" s="770">
        <f>E309*850</f>
        <v/>
      </c>
      <c r="N309" s="771" t="n"/>
      <c r="O309" s="771" t="n"/>
      <c r="P309" s="771" t="n"/>
      <c r="Q309" s="758" t="n"/>
      <c r="R309" s="756">
        <f>SUM(K309:Q309)</f>
        <v/>
      </c>
      <c r="S309" s="756">
        <f>J309*780</f>
        <v/>
      </c>
    </row>
    <row r="310" customFormat="1" s="755">
      <c r="A310" s="155" t="inlineStr">
        <is>
          <t>쇼핑백(중)</t>
        </is>
      </c>
      <c r="B310" s="775" t="n"/>
      <c r="C310" s="237" t="n">
        <v>10</v>
      </c>
      <c r="D310" s="237" t="n"/>
      <c r="E310" s="234" t="n"/>
      <c r="F310" s="237" t="n"/>
      <c r="G310" s="236" t="n"/>
      <c r="H310" s="241" t="n"/>
      <c r="I310" s="237" t="n"/>
      <c r="J310" s="35">
        <f>SUM(C310:I310)</f>
        <v/>
      </c>
      <c r="K310" s="815">
        <f>C310*1200</f>
        <v/>
      </c>
      <c r="L310" s="790">
        <f>D310*980</f>
        <v/>
      </c>
      <c r="M310" s="770">
        <f>E310*980</f>
        <v/>
      </c>
      <c r="N310" s="771" t="n"/>
      <c r="O310" s="771" t="n"/>
      <c r="P310" s="771" t="n"/>
      <c r="Q310" s="758" t="n"/>
      <c r="R310" s="756">
        <f>SUM(K310:Q310)</f>
        <v/>
      </c>
      <c r="S310" s="756">
        <f>J310*836</f>
        <v/>
      </c>
    </row>
    <row r="311" customFormat="1" s="755">
      <c r="A311" s="155" t="inlineStr">
        <is>
          <t>자디니쇼핑백</t>
        </is>
      </c>
      <c r="B311" s="385" t="inlineStr">
        <is>
          <t>P0000BMM</t>
        </is>
      </c>
      <c r="C311" s="237" t="n"/>
      <c r="D311" s="237" t="n"/>
      <c r="E311" s="234" t="n"/>
      <c r="F311" s="237" t="n"/>
      <c r="G311" s="236" t="n"/>
      <c r="H311" s="241" t="n"/>
      <c r="I311" s="242" t="n"/>
      <c r="J311" s="35">
        <f>SUM(C311:I311)</f>
        <v/>
      </c>
      <c r="K311" s="815">
        <f>C311*2500</f>
        <v/>
      </c>
      <c r="L311" s="790">
        <f>D311*1100</f>
        <v/>
      </c>
      <c r="M311" s="770">
        <f>E311*1100</f>
        <v/>
      </c>
      <c r="N311" s="771" t="n"/>
      <c r="O311" s="771" t="n"/>
      <c r="P311" s="771" t="n"/>
      <c r="Q311" s="758" t="n"/>
      <c r="R311" s="756">
        <f>SUM(K311:Q311)</f>
        <v/>
      </c>
      <c r="S311" s="756">
        <f>J311*1628</f>
        <v/>
      </c>
    </row>
    <row r="312" customFormat="1" s="755">
      <c r="A312" s="155" t="inlineStr">
        <is>
          <t>제모미인단상자(대)</t>
        </is>
      </c>
      <c r="B312" s="879" t="inlineStr">
        <is>
          <t>P0000BGT</t>
        </is>
      </c>
      <c r="C312" s="237" t="n">
        <v>10</v>
      </c>
      <c r="D312" s="237" t="n"/>
      <c r="E312" s="234" t="n"/>
      <c r="F312" s="237" t="n"/>
      <c r="G312" s="236" t="n"/>
      <c r="H312" s="241" t="n"/>
      <c r="I312" s="237" t="n"/>
      <c r="J312" s="35">
        <f>SUM(C312:I312)</f>
        <v/>
      </c>
      <c r="K312" s="755">
        <f>C312*550</f>
        <v/>
      </c>
      <c r="L312" s="790">
        <f>D312*550</f>
        <v/>
      </c>
      <c r="M312" s="770">
        <f>E312*550</f>
        <v/>
      </c>
      <c r="N312" s="771" t="n"/>
      <c r="O312" s="771" t="n"/>
      <c r="P312" s="771" t="n"/>
      <c r="Q312" s="758" t="n"/>
      <c r="R312" s="756">
        <f>SUM(K312:Q312)</f>
        <v/>
      </c>
      <c r="S312" s="756">
        <f>J312*389</f>
        <v/>
      </c>
    </row>
    <row r="313" customFormat="1" s="755">
      <c r="A313" s="155" t="inlineStr">
        <is>
          <t>제모미인단상자(중)</t>
        </is>
      </c>
      <c r="B313" s="774" t="n"/>
      <c r="C313" s="237" t="n">
        <v>20</v>
      </c>
      <c r="D313" s="237" t="n"/>
      <c r="E313" s="234" t="n"/>
      <c r="F313" s="237" t="n"/>
      <c r="G313" s="236" t="n"/>
      <c r="H313" s="241" t="n"/>
      <c r="I313" s="237" t="n"/>
      <c r="J313" s="35">
        <f>SUM(C313:I313)</f>
        <v/>
      </c>
      <c r="K313" s="755">
        <f>C313*550</f>
        <v/>
      </c>
      <c r="L313" s="790">
        <f>D313*550</f>
        <v/>
      </c>
      <c r="M313" s="770">
        <f>E313*550</f>
        <v/>
      </c>
      <c r="N313" s="771" t="n"/>
      <c r="O313" s="771" t="n"/>
      <c r="P313" s="771" t="n"/>
      <c r="Q313" s="758" t="n"/>
      <c r="R313" s="756">
        <f>SUM(K313:Q313)</f>
        <v/>
      </c>
      <c r="S313" s="756">
        <f>J313*389</f>
        <v/>
      </c>
    </row>
    <row r="314" customFormat="1" s="755">
      <c r="A314" s="155" t="inlineStr">
        <is>
          <t>제모미인단상자(소)</t>
        </is>
      </c>
      <c r="B314" s="775" t="n"/>
      <c r="C314" s="237" t="n">
        <v>10</v>
      </c>
      <c r="D314" s="237" t="n"/>
      <c r="E314" s="234" t="n"/>
      <c r="F314" s="237" t="n"/>
      <c r="G314" s="236" t="n"/>
      <c r="H314" s="241" t="n"/>
      <c r="I314" s="237" t="n"/>
      <c r="J314" s="35">
        <f>SUM(C314:I314)</f>
        <v/>
      </c>
      <c r="K314" s="755">
        <f>C314*550</f>
        <v/>
      </c>
      <c r="L314" s="790">
        <f>D314*550</f>
        <v/>
      </c>
      <c r="M314" s="770">
        <f>E314*550</f>
        <v/>
      </c>
      <c r="N314" s="771" t="n"/>
      <c r="O314" s="771" t="n"/>
      <c r="P314" s="771" t="n"/>
      <c r="Q314" s="758" t="n"/>
      <c r="R314" s="756">
        <f>SUM(K314:Q314)</f>
        <v/>
      </c>
      <c r="S314" s="756">
        <f>J314*389</f>
        <v/>
      </c>
    </row>
    <row r="315" customFormat="1" s="755">
      <c r="A315" s="155" t="inlineStr">
        <is>
          <t>Y존패드여행용리필케이스</t>
        </is>
      </c>
      <c r="B315" s="387" t="inlineStr">
        <is>
          <t>P0000BIJ</t>
        </is>
      </c>
      <c r="C315" s="237" t="n">
        <v>4</v>
      </c>
      <c r="D315" s="235" t="n"/>
      <c r="E315" s="234" t="n"/>
      <c r="F315" s="237" t="n"/>
      <c r="G315" s="236" t="n"/>
      <c r="H315" s="241" t="n"/>
      <c r="I315" s="242" t="n"/>
      <c r="J315" s="35">
        <f>SUM(C315:I315)</f>
        <v/>
      </c>
      <c r="K315" s="815">
        <f>C315*2500</f>
        <v/>
      </c>
      <c r="L315" s="790">
        <f>D315*2500</f>
        <v/>
      </c>
      <c r="M315" s="770">
        <f>E315*2500</f>
        <v/>
      </c>
      <c r="N315" s="771" t="n"/>
      <c r="O315" s="771" t="n"/>
      <c r="P315" s="771" t="n"/>
      <c r="Q315" s="758" t="n"/>
      <c r="R315" s="756">
        <f>SUM(K315:Q315)</f>
        <v/>
      </c>
      <c r="S315" s="756">
        <f>J315*1412</f>
        <v/>
      </c>
    </row>
    <row r="316" customFormat="1" s="755">
      <c r="A316" s="155" t="inlineStr">
        <is>
          <t>y존패드지퍼파우치</t>
        </is>
      </c>
      <c r="B316" s="386" t="inlineStr">
        <is>
          <t>P0000BIP</t>
        </is>
      </c>
      <c r="C316" s="237" t="n">
        <v>100</v>
      </c>
      <c r="D316" s="237" t="n"/>
      <c r="E316" s="234" t="n"/>
      <c r="F316" s="237" t="n"/>
      <c r="G316" s="236" t="n"/>
      <c r="H316" s="241" t="n"/>
      <c r="I316" s="242" t="n">
        <v>57</v>
      </c>
      <c r="J316" s="35">
        <f>SUM(C316:I316)</f>
        <v/>
      </c>
      <c r="K316" s="815">
        <f>C316*110</f>
        <v/>
      </c>
      <c r="L316" s="790" t="n"/>
      <c r="M316" s="770" t="n"/>
      <c r="N316" s="771" t="n"/>
      <c r="O316" s="771" t="n"/>
      <c r="P316" s="771" t="n"/>
      <c r="Q316" s="758" t="n"/>
      <c r="R316" s="756">
        <f>SUM(K316:Q316)</f>
        <v/>
      </c>
      <c r="S316" s="756">
        <f>J316*60</f>
        <v/>
      </c>
    </row>
    <row r="317" customFormat="1" s="755">
      <c r="A317" s="155" t="inlineStr">
        <is>
          <t>A2가로판넬</t>
        </is>
      </c>
      <c r="B317" s="386" t="inlineStr">
        <is>
          <t>P00000DM</t>
        </is>
      </c>
      <c r="C317" s="237" t="n"/>
      <c r="D317" s="237" t="n"/>
      <c r="E317" s="234" t="n"/>
      <c r="F317" s="237" t="n"/>
      <c r="G317" s="236" t="n"/>
      <c r="H317" s="241" t="n"/>
      <c r="I317" s="242" t="n"/>
      <c r="J317" s="35">
        <f>SUM(C317:I317)</f>
        <v/>
      </c>
      <c r="K317" s="815">
        <f>C317*75000</f>
        <v/>
      </c>
      <c r="L317" s="790" t="n"/>
      <c r="M317" s="770" t="n"/>
      <c r="N317" s="771" t="n"/>
      <c r="O317" s="771" t="n"/>
      <c r="P317" s="771" t="n"/>
      <c r="Q317" s="758" t="n"/>
      <c r="R317" s="756">
        <f>SUM(K317:Q317)</f>
        <v/>
      </c>
      <c r="S317" s="756">
        <f>J317*27500</f>
        <v/>
      </c>
    </row>
    <row r="318" customFormat="1" s="755">
      <c r="A318" s="155" t="inlineStr">
        <is>
          <t>A1 세로,가로판넬</t>
        </is>
      </c>
      <c r="B318" s="879" t="inlineStr">
        <is>
          <t>P00000DU</t>
        </is>
      </c>
      <c r="C318" s="237" t="n"/>
      <c r="D318" s="237" t="n"/>
      <c r="E318" s="234" t="n"/>
      <c r="F318" s="237" t="n"/>
      <c r="G318" s="236" t="n"/>
      <c r="H318" s="241" t="n"/>
      <c r="I318" s="242" t="n"/>
      <c r="J318" s="35">
        <f>SUM(C318:I318)</f>
        <v/>
      </c>
      <c r="K318" s="815">
        <f>C318*120000</f>
        <v/>
      </c>
      <c r="L318" s="790" t="n"/>
      <c r="M318" s="770" t="n"/>
      <c r="N318" s="771" t="n"/>
      <c r="O318" s="771" t="n"/>
      <c r="P318" s="771" t="n"/>
      <c r="Q318" s="758" t="n"/>
      <c r="R318" s="756">
        <f>SUM(K318:Q318)</f>
        <v/>
      </c>
      <c r="S318" s="756">
        <f>J318*59400</f>
        <v/>
      </c>
    </row>
    <row r="319" customFormat="1" s="755">
      <c r="A319" s="155" t="inlineStr">
        <is>
          <t>A2 세로,가로판넬</t>
        </is>
      </c>
      <c r="B319" s="775" t="n"/>
      <c r="C319" s="237" t="n"/>
      <c r="D319" s="237" t="n"/>
      <c r="E319" s="234" t="n"/>
      <c r="F319" s="237" t="n"/>
      <c r="G319" s="236" t="n"/>
      <c r="H319" s="241" t="n"/>
      <c r="I319" s="242" t="n"/>
      <c r="J319" s="35">
        <f>SUM(C319:I319)</f>
        <v/>
      </c>
      <c r="K319" s="815">
        <f>C319*75000</f>
        <v/>
      </c>
      <c r="L319" s="790" t="n"/>
      <c r="M319" s="770" t="n"/>
      <c r="N319" s="771" t="n"/>
      <c r="O319" s="771" t="n"/>
      <c r="P319" s="771" t="n"/>
      <c r="Q319" s="758" t="n"/>
      <c r="R319" s="756">
        <f>SUM(K319:Q319)</f>
        <v/>
      </c>
      <c r="S319" s="756">
        <f>J319*33000</f>
        <v/>
      </c>
    </row>
    <row r="320" customFormat="1" s="755">
      <c r="A320" s="155" t="inlineStr">
        <is>
          <t>A3사후관리액자</t>
        </is>
      </c>
      <c r="B320" s="386" t="inlineStr">
        <is>
          <t>P00000DS</t>
        </is>
      </c>
      <c r="C320" s="237" t="n"/>
      <c r="D320" s="237" t="n"/>
      <c r="E320" s="234" t="n"/>
      <c r="F320" s="237" t="n"/>
      <c r="G320" s="236" t="n"/>
      <c r="H320" s="241" t="n"/>
      <c r="I320" s="242" t="n"/>
      <c r="J320" s="35">
        <f>SUM(C320:I320)</f>
        <v/>
      </c>
      <c r="K320" s="815">
        <f>C320*35000</f>
        <v/>
      </c>
      <c r="L320" s="790" t="n"/>
      <c r="M320" s="770" t="n"/>
      <c r="N320" s="771" t="n"/>
      <c r="O320" s="771" t="n"/>
      <c r="P320" s="771" t="n"/>
      <c r="Q320" s="758" t="n"/>
      <c r="R320" s="756">
        <f>SUM(K320:Q320)</f>
        <v/>
      </c>
      <c r="S320" s="756">
        <f>J320*15400</f>
        <v/>
      </c>
    </row>
    <row r="321" customFormat="1" s="755">
      <c r="A321" s="155" t="inlineStr">
        <is>
          <t>라이콘핑키니배너</t>
        </is>
      </c>
      <c r="B321" s="879" t="inlineStr">
        <is>
          <t>P00000PM</t>
        </is>
      </c>
      <c r="C321" s="237" t="n"/>
      <c r="D321" s="237" t="n"/>
      <c r="E321" s="234" t="n"/>
      <c r="F321" s="237" t="n"/>
      <c r="G321" s="236" t="n"/>
      <c r="H321" s="241" t="n"/>
      <c r="I321" s="242" t="n"/>
      <c r="J321" s="35">
        <f>SUM(C321:I321)</f>
        <v/>
      </c>
      <c r="K321" s="815">
        <f>C321*36000</f>
        <v/>
      </c>
      <c r="L321" s="790" t="n"/>
      <c r="M321" s="770" t="n"/>
      <c r="N321" s="771" t="n"/>
      <c r="O321" s="771" t="n"/>
      <c r="P321" s="771" t="n"/>
      <c r="Q321" s="758" t="n"/>
      <c r="R321" s="756">
        <f>SUM(K321:Q321)</f>
        <v/>
      </c>
      <c r="S321" s="756">
        <f>J321*12000</f>
        <v/>
      </c>
    </row>
    <row r="322" customFormat="1" s="755">
      <c r="A322" s="155" t="inlineStr">
        <is>
          <t>라이콘핑키니배너세트</t>
        </is>
      </c>
      <c r="B322" s="775" t="n"/>
      <c r="C322" s="237" t="n"/>
      <c r="D322" s="237" t="n"/>
      <c r="E322" s="234" t="n"/>
      <c r="F322" s="237" t="n"/>
      <c r="G322" s="236" t="n"/>
      <c r="H322" s="241" t="n"/>
      <c r="I322" s="242" t="n"/>
      <c r="J322" s="35">
        <f>SUM(C322:I322)</f>
        <v/>
      </c>
      <c r="K322" s="815">
        <f>C322*81000</f>
        <v/>
      </c>
      <c r="L322" s="790" t="n"/>
      <c r="M322" s="770" t="n"/>
      <c r="N322" s="771" t="n"/>
      <c r="O322" s="771" t="n"/>
      <c r="P322" s="771" t="n"/>
      <c r="Q322" s="758" t="n"/>
      <c r="R322" s="756">
        <f>SUM(K322:Q322)</f>
        <v/>
      </c>
      <c r="S322" s="756">
        <f>J322*34000</f>
        <v/>
      </c>
    </row>
    <row r="323" customFormat="1" s="755">
      <c r="A323" s="155" t="inlineStr">
        <is>
          <t>배너단품,세트</t>
        </is>
      </c>
      <c r="B323" s="386" t="inlineStr">
        <is>
          <t>P00000EF</t>
        </is>
      </c>
      <c r="C323" s="237" t="n">
        <v>1</v>
      </c>
      <c r="D323" s="237" t="n"/>
      <c r="E323" s="234" t="n"/>
      <c r="F323" s="237" t="n"/>
      <c r="G323" s="236" t="n"/>
      <c r="H323" s="241" t="n"/>
      <c r="I323" s="242" t="n"/>
      <c r="J323" s="35">
        <f>SUM(C323:I323)</f>
        <v/>
      </c>
      <c r="K323" s="815">
        <f>C323*36000</f>
        <v/>
      </c>
      <c r="L323" s="790" t="n"/>
      <c r="M323" s="770" t="n"/>
      <c r="N323" s="771" t="n"/>
      <c r="O323" s="771" t="n"/>
      <c r="P323" s="771" t="n"/>
      <c r="Q323" s="758" t="n"/>
      <c r="R323" s="756">
        <f>SUM(K323:Q323)</f>
        <v/>
      </c>
      <c r="S323" s="756">
        <f>J323*12000</f>
        <v/>
      </c>
    </row>
    <row r="324" customFormat="1" s="755">
      <c r="A324" s="155" t="inlineStr">
        <is>
          <t>벨리테라피배너</t>
        </is>
      </c>
      <c r="B324" s="386" t="inlineStr">
        <is>
          <t>P0000BJU</t>
        </is>
      </c>
      <c r="C324" s="237" t="n"/>
      <c r="D324" s="237" t="n"/>
      <c r="E324" s="234" t="n"/>
      <c r="F324" s="237" t="n"/>
      <c r="G324" s="236" t="n"/>
      <c r="H324" s="241" t="n"/>
      <c r="I324" s="242" t="n"/>
      <c r="J324" s="35">
        <f>SUM(C324:I324)</f>
        <v/>
      </c>
      <c r="K324" s="815">
        <f>C324*81000</f>
        <v/>
      </c>
      <c r="L324" s="790" t="n"/>
      <c r="M324" s="770" t="n"/>
      <c r="N324" s="771" t="n"/>
      <c r="O324" s="771" t="n"/>
      <c r="P324" s="771" t="n"/>
      <c r="Q324" s="758" t="n"/>
      <c r="R324" s="756">
        <f>SUM(K324:Q324)</f>
        <v/>
      </c>
      <c r="S324" s="756">
        <f>J324*12000</f>
        <v/>
      </c>
    </row>
    <row r="325" customFormat="1" s="755">
      <c r="A325" s="155" t="inlineStr">
        <is>
          <t>라이콘브로슈어</t>
        </is>
      </c>
      <c r="B325" s="386" t="inlineStr">
        <is>
          <t>P0000BLB</t>
        </is>
      </c>
      <c r="C325" s="237" t="n"/>
      <c r="D325" s="237" t="n"/>
      <c r="E325" s="234" t="n"/>
      <c r="F325" s="237" t="n"/>
      <c r="G325" s="236" t="n"/>
      <c r="H325" s="241" t="n"/>
      <c r="I325" s="242" t="n"/>
      <c r="J325" s="35">
        <f>SUM(C325:I325)</f>
        <v/>
      </c>
      <c r="K325" s="815">
        <f>C325*1100</f>
        <v/>
      </c>
      <c r="L325" s="790" t="n"/>
      <c r="M325" s="770" t="n"/>
      <c r="N325" s="771" t="n"/>
      <c r="O325" s="771" t="n"/>
      <c r="P325" s="771" t="n"/>
      <c r="Q325" s="758" t="n"/>
      <c r="R325" s="756">
        <f>SUM(K325:Q325)</f>
        <v/>
      </c>
      <c r="S325" s="756">
        <f>J325*915</f>
        <v/>
      </c>
    </row>
    <row r="326">
      <c r="A326" s="155" t="inlineStr">
        <is>
          <t>자디니왁싱실리콘컵2종</t>
        </is>
      </c>
      <c r="B326" s="386" t="inlineStr">
        <is>
          <t>P0000BLX</t>
        </is>
      </c>
      <c r="C326" s="237" t="n">
        <v>17</v>
      </c>
      <c r="D326" s="237" t="n"/>
      <c r="E326" s="234" t="n"/>
      <c r="F326" s="237" t="n"/>
      <c r="G326" s="236" t="n"/>
      <c r="H326" s="241" t="n"/>
      <c r="I326" s="242" t="n"/>
      <c r="J326" s="35">
        <f>SUM(C326:I326)</f>
        <v/>
      </c>
      <c r="K326" s="880">
        <f>C326*3000</f>
        <v/>
      </c>
      <c r="L326" s="790" t="n"/>
      <c r="M326" s="770" t="n"/>
      <c r="N326" s="771" t="n"/>
      <c r="O326" s="771" t="n"/>
      <c r="P326" s="771" t="n"/>
      <c r="R326" s="756">
        <f>SUM(K326:Q326)</f>
        <v/>
      </c>
      <c r="S326" s="756">
        <f>J326*2000</f>
        <v/>
      </c>
    </row>
    <row r="327">
      <c r="A327" s="128" t="inlineStr">
        <is>
          <t>복주머니</t>
        </is>
      </c>
      <c r="B327" s="385" t="inlineStr">
        <is>
          <t>P00000FN</t>
        </is>
      </c>
      <c r="C327" s="257" t="n">
        <v>30</v>
      </c>
      <c r="D327" s="237" t="n"/>
      <c r="E327" s="234" t="n"/>
      <c r="F327" s="237" t="n"/>
      <c r="G327" s="236" t="n"/>
      <c r="H327" s="241" t="n"/>
      <c r="I327" s="241" t="n"/>
      <c r="J327" s="35">
        <f>SUM(C327:I327)</f>
        <v/>
      </c>
      <c r="K327" s="880">
        <f>C327*1000</f>
        <v/>
      </c>
      <c r="L327" s="790">
        <f>D327*10000</f>
        <v/>
      </c>
      <c r="M327" s="770">
        <f>E327*10000</f>
        <v/>
      </c>
      <c r="N327" s="771" t="n"/>
      <c r="O327" s="771" t="n"/>
      <c r="P327" s="771" t="n"/>
      <c r="R327" s="756">
        <f>SUM(K327:Q327)</f>
        <v/>
      </c>
      <c r="S327" s="756">
        <f>J327*528</f>
        <v/>
      </c>
    </row>
    <row r="328">
      <c r="A328" s="79" t="inlineStr">
        <is>
          <t>지퍼백(대)</t>
        </is>
      </c>
      <c r="B328" s="876" t="inlineStr">
        <is>
          <t>P00000FO</t>
        </is>
      </c>
      <c r="C328" s="237" t="n"/>
      <c r="D328" s="237" t="n"/>
      <c r="E328" s="234" t="n"/>
      <c r="F328" s="237" t="n"/>
      <c r="G328" s="236" t="n"/>
      <c r="H328" s="241" t="n"/>
      <c r="I328" s="241" t="n"/>
      <c r="J328" s="35">
        <f>SUM(C328:I328)</f>
        <v/>
      </c>
      <c r="K328" s="755">
        <f>C328*600</f>
        <v/>
      </c>
      <c r="L328" s="790">
        <f>D328*600</f>
        <v/>
      </c>
      <c r="M328" s="770">
        <f>E328*600</f>
        <v/>
      </c>
      <c r="N328" s="771" t="n"/>
      <c r="O328" s="771" t="n"/>
      <c r="P328" s="771" t="n"/>
      <c r="R328" s="756">
        <f>SUM(K328:Q328)</f>
        <v/>
      </c>
      <c r="S328" s="756">
        <f>J328*484</f>
        <v/>
      </c>
    </row>
    <row r="329" customFormat="1" s="638">
      <c r="A329" s="128" t="inlineStr">
        <is>
          <t>지퍼백(밑면삼각)</t>
        </is>
      </c>
      <c r="B329" s="775" t="n"/>
      <c r="C329" s="237" t="n"/>
      <c r="D329" s="237" t="n"/>
      <c r="E329" s="234" t="n"/>
      <c r="F329" s="237" t="n"/>
      <c r="G329" s="236" t="n"/>
      <c r="H329" s="241" t="n"/>
      <c r="I329" s="242" t="n"/>
      <c r="J329" s="35">
        <f>SUM(C329:I329)</f>
        <v/>
      </c>
      <c r="K329" s="815">
        <f>C329*1500</f>
        <v/>
      </c>
      <c r="L329" s="790">
        <f>D329*1500</f>
        <v/>
      </c>
      <c r="M329" s="770">
        <f>E329*1500</f>
        <v/>
      </c>
      <c r="N329" s="771" t="n"/>
      <c r="O329" s="771" t="n"/>
      <c r="P329" s="771" t="n"/>
      <c r="Q329" s="758" t="n"/>
      <c r="R329" s="756">
        <f>SUM(K329:Q329)</f>
        <v/>
      </c>
      <c r="S329" s="756">
        <f>J329*1155</f>
        <v/>
      </c>
    </row>
    <row r="330" customFormat="1" s="638">
      <c r="A330" s="79" t="inlineStr">
        <is>
          <t>pp박스</t>
        </is>
      </c>
      <c r="B330" s="385" t="inlineStr">
        <is>
          <t>P00000JI</t>
        </is>
      </c>
      <c r="C330" s="237" t="n"/>
      <c r="D330" s="237" t="n"/>
      <c r="E330" s="234" t="n"/>
      <c r="F330" s="237" t="n"/>
      <c r="G330" s="236" t="n"/>
      <c r="H330" s="241" t="n"/>
      <c r="I330" s="241" t="n"/>
      <c r="J330" s="35">
        <f>SUM(C330:I330)</f>
        <v/>
      </c>
      <c r="K330" s="755">
        <f>C330*1100</f>
        <v/>
      </c>
      <c r="L330" s="790">
        <f>D330*110</f>
        <v/>
      </c>
      <c r="M330" s="770">
        <f>E330*110</f>
        <v/>
      </c>
      <c r="N330" s="771" t="n"/>
      <c r="O330" s="771" t="n"/>
      <c r="P330" s="771" t="n"/>
      <c r="Q330" s="758" t="n"/>
      <c r="R330" s="756">
        <f>SUM(K330:Q330)</f>
        <v/>
      </c>
      <c r="S330" s="756">
        <f>J330*968</f>
        <v/>
      </c>
    </row>
    <row r="331" customFormat="1" s="638">
      <c r="A331" s="79" t="inlineStr">
        <is>
          <t>아로마흡입기</t>
        </is>
      </c>
      <c r="B331" s="385" t="n"/>
      <c r="C331" s="237" t="n"/>
      <c r="D331" s="237" t="n"/>
      <c r="E331" s="234" t="n"/>
      <c r="F331" s="237" t="n"/>
      <c r="G331" s="236" t="n"/>
      <c r="H331" s="241" t="n"/>
      <c r="I331" s="241" t="n"/>
      <c r="J331" s="35" t="n"/>
      <c r="K331" s="755">
        <f>C331*30000</f>
        <v/>
      </c>
      <c r="L331" s="790" t="n"/>
      <c r="M331" s="770" t="n"/>
      <c r="N331" s="771" t="n"/>
      <c r="O331" s="771" t="n"/>
      <c r="P331" s="771" t="n"/>
      <c r="Q331" s="758" t="n"/>
      <c r="R331" s="756">
        <f>SUM(K331:Q331)</f>
        <v/>
      </c>
      <c r="S331" s="756">
        <f>J331*9600</f>
        <v/>
      </c>
    </row>
    <row r="332" customFormat="1" s="638">
      <c r="A332" s="79" t="inlineStr">
        <is>
          <t>약용오일진열대(아크릴)</t>
        </is>
      </c>
      <c r="B332" s="385" t="n"/>
      <c r="C332" s="237" t="n"/>
      <c r="D332" s="237" t="n"/>
      <c r="E332" s="234" t="n"/>
      <c r="F332" s="237" t="n"/>
      <c r="G332" s="236" t="n"/>
      <c r="H332" s="241" t="n"/>
      <c r="I332" s="241" t="n"/>
      <c r="J332" s="35" t="n"/>
      <c r="K332" s="755">
        <f>C332*55000</f>
        <v/>
      </c>
      <c r="L332" s="790" t="n"/>
      <c r="M332" s="770" t="n"/>
      <c r="N332" s="771" t="n"/>
      <c r="O332" s="771" t="n"/>
      <c r="P332" s="771" t="n"/>
      <c r="Q332" s="758" t="n"/>
      <c r="R332" s="756">
        <f>SUM(K332:Q332)</f>
        <v/>
      </c>
      <c r="S332" s="756">
        <f>J332*26550</f>
        <v/>
      </c>
    </row>
    <row r="333" customFormat="1" s="638">
      <c r="A333" s="79" t="inlineStr">
        <is>
          <t>약용오일진열대(종이)</t>
        </is>
      </c>
      <c r="B333" s="385" t="n"/>
      <c r="C333" s="237" t="n"/>
      <c r="D333" s="237" t="n"/>
      <c r="E333" s="234" t="n"/>
      <c r="F333" s="237" t="n"/>
      <c r="G333" s="236" t="n"/>
      <c r="H333" s="241" t="n"/>
      <c r="I333" s="241" t="n"/>
      <c r="J333" s="35" t="n"/>
      <c r="K333" s="755">
        <f>C333*6000</f>
        <v/>
      </c>
      <c r="L333" s="790" t="n"/>
      <c r="M333" s="770" t="n"/>
      <c r="N333" s="771" t="n"/>
      <c r="O333" s="771" t="n"/>
      <c r="P333" s="771" t="n"/>
      <c r="Q333" s="758" t="n"/>
      <c r="R333" s="756">
        <f>SUM(K333:Q333)</f>
        <v/>
      </c>
      <c r="S333" s="756">
        <f>J333*2910</f>
        <v/>
      </c>
    </row>
    <row r="334" customFormat="1" s="638">
      <c r="A334" s="79" t="inlineStr">
        <is>
          <t>아크릴진열대</t>
        </is>
      </c>
      <c r="B334" s="385" t="inlineStr">
        <is>
          <t>P00000LO</t>
        </is>
      </c>
      <c r="C334" s="237" t="n"/>
      <c r="D334" s="237" t="n"/>
      <c r="E334" s="234" t="n"/>
      <c r="F334" s="237" t="n"/>
      <c r="G334" s="236" t="n"/>
      <c r="H334" s="241" t="n"/>
      <c r="I334" s="241" t="n"/>
      <c r="J334" s="35">
        <f>SUM(C334:I334)</f>
        <v/>
      </c>
      <c r="K334" s="755">
        <f>C334*88000</f>
        <v/>
      </c>
      <c r="L334" s="790">
        <f>D334*88000</f>
        <v/>
      </c>
      <c r="M334" s="839">
        <f>E334*88000</f>
        <v/>
      </c>
      <c r="N334" s="820" t="n"/>
      <c r="O334" s="771" t="n"/>
      <c r="P334" s="771" t="n"/>
      <c r="Q334" s="758" t="n"/>
      <c r="R334" s="756">
        <f>SUM(K334:Q334)</f>
        <v/>
      </c>
      <c r="S334" s="756">
        <f>J334*66000</f>
        <v/>
      </c>
    </row>
    <row r="335" customFormat="1" s="638">
      <c r="A335" s="128" t="inlineStr">
        <is>
          <t>제모미인쇼핑백</t>
        </is>
      </c>
      <c r="B335" s="385" t="inlineStr">
        <is>
          <t>P0000BGU</t>
        </is>
      </c>
      <c r="C335" s="237" t="n"/>
      <c r="D335" s="235" t="n"/>
      <c r="E335" s="234" t="n"/>
      <c r="F335" s="237" t="n"/>
      <c r="G335" s="236" t="n"/>
      <c r="H335" s="241" t="n"/>
      <c r="I335" s="241" t="n"/>
      <c r="J335" s="35">
        <f>SUM(C335:I335)</f>
        <v/>
      </c>
      <c r="K335" s="815">
        <f>C335*650</f>
        <v/>
      </c>
      <c r="L335" s="790">
        <f>D335*650</f>
        <v/>
      </c>
      <c r="M335" s="770">
        <f>E335*650</f>
        <v/>
      </c>
      <c r="N335" s="771" t="n"/>
      <c r="O335" s="771" t="n"/>
      <c r="P335" s="771" t="n"/>
      <c r="Q335" s="758" t="n"/>
      <c r="R335" s="756">
        <f>SUM(K335:Q335)</f>
        <v/>
      </c>
      <c r="S335" s="756">
        <f>J335*517</f>
        <v/>
      </c>
    </row>
    <row r="336" customFormat="1" s="638">
      <c r="A336" s="0" t="n"/>
      <c r="C336" s="628" t="n"/>
      <c r="K336" s="875">
        <f>SUM(K268:K335)</f>
        <v/>
      </c>
      <c r="L336" s="881">
        <f>SUM(L268:L335)</f>
        <v/>
      </c>
      <c r="M336" s="881">
        <f>SUM(M268:M335)</f>
        <v/>
      </c>
      <c r="N336" s="881">
        <f>SUM(N268:N335)</f>
        <v/>
      </c>
      <c r="O336" s="881">
        <f>SUM(O268:O335)</f>
        <v/>
      </c>
      <c r="P336" s="881">
        <f>SUM(P268:P335)</f>
        <v/>
      </c>
      <c r="Q336" s="881">
        <f>SUM(Q268:Q335)</f>
        <v/>
      </c>
      <c r="R336" s="881">
        <f>SUM(R268:R335)</f>
        <v/>
      </c>
      <c r="S336" s="881">
        <f>SUM(S268:S335)</f>
        <v/>
      </c>
    </row>
    <row r="337" customFormat="1" s="244">
      <c r="B337" s="245" t="n"/>
      <c r="C337" s="113" t="n"/>
      <c r="D337" s="274" t="n"/>
      <c r="E337" s="407" t="n"/>
      <c r="F337" s="272" t="n"/>
      <c r="G337" s="272" t="n"/>
      <c r="H337" s="272" t="n"/>
      <c r="I337" s="246" t="n"/>
      <c r="J337" s="247" t="n"/>
      <c r="K337" s="845" t="n"/>
      <c r="L337" s="845" t="n"/>
      <c r="M337" s="849" t="n"/>
      <c r="N337" s="849" t="n"/>
      <c r="O337" s="882" t="n"/>
      <c r="P337" s="883" t="n"/>
      <c r="Q337" s="884" t="n"/>
      <c r="R337" s="849" t="n"/>
      <c r="S337" s="849" t="n"/>
    </row>
    <row r="338" customFormat="1" s="244">
      <c r="B338" s="245" t="n"/>
      <c r="C338" s="271" t="n"/>
      <c r="D338" s="274" t="n"/>
      <c r="E338" s="407" t="n"/>
      <c r="F338" s="272" t="n"/>
      <c r="G338" s="272" t="n"/>
      <c r="H338" s="272" t="n"/>
      <c r="I338" s="246" t="n"/>
      <c r="J338" s="247" t="n"/>
      <c r="K338" s="845" t="n"/>
      <c r="L338" s="845" t="n"/>
      <c r="M338" s="849" t="n"/>
      <c r="N338" s="849" t="n"/>
      <c r="O338" s="882" t="n"/>
      <c r="P338" s="883" t="n"/>
      <c r="Q338" s="884" t="n"/>
      <c r="R338" s="849" t="n"/>
      <c r="S338" s="849" t="n"/>
    </row>
    <row r="339" customFormat="1" s="244">
      <c r="B339" s="245" t="n"/>
      <c r="C339" s="409" t="inlineStr">
        <is>
          <t>도매</t>
        </is>
      </c>
      <c r="D339" s="409" t="n"/>
      <c r="E339" s="489" t="inlineStr">
        <is>
          <t>마스터</t>
        </is>
      </c>
      <c r="F339" s="272" t="n"/>
      <c r="G339" s="272" t="n"/>
      <c r="H339" s="272" t="n"/>
      <c r="I339" s="246" t="n"/>
      <c r="J339" s="247" t="n"/>
      <c r="K339" s="845" t="n"/>
      <c r="L339" s="845" t="n"/>
      <c r="M339" s="849" t="n"/>
      <c r="N339" s="849" t="n"/>
      <c r="O339" s="882" t="n"/>
      <c r="P339" s="883" t="n"/>
      <c r="Q339" s="884" t="n"/>
      <c r="R339" s="849" t="n"/>
      <c r="S339" s="849" t="n"/>
    </row>
    <row r="340">
      <c r="D340" s="696" t="n"/>
      <c r="E340" s="408" t="n"/>
      <c r="F340" s="272" t="n"/>
      <c r="G340" s="272" t="n"/>
      <c r="H340" s="138" t="n"/>
      <c r="I340" s="138" t="n"/>
      <c r="J340" s="139" t="n"/>
      <c r="P340" s="785" t="n"/>
    </row>
    <row r="341">
      <c r="A341" s="74" t="inlineStr">
        <is>
          <t>자디니아로마오일</t>
        </is>
      </c>
      <c r="D341" s="696" t="n"/>
      <c r="E341" s="408" t="n"/>
      <c r="F341" s="272" t="n"/>
      <c r="G341" s="272" t="n"/>
      <c r="I341" s="20" t="n"/>
      <c r="J341" s="140" t="n"/>
      <c r="P341" s="785" t="n"/>
    </row>
    <row r="342" ht="48" customHeight="1" s="754">
      <c r="A342" s="111" t="inlineStr">
        <is>
          <t>자디니아로마에센셜오일1kg</t>
        </is>
      </c>
      <c r="B342" s="688" t="inlineStr">
        <is>
          <t>P0000BIB  / P0000BKE / P0000BMA</t>
        </is>
      </c>
      <c r="C342" s="696" t="n"/>
      <c r="D342" s="275" t="n"/>
      <c r="E342" s="408" t="n"/>
      <c r="F342" s="272" t="n"/>
      <c r="G342" s="272" t="n"/>
      <c r="H342" s="141" t="n"/>
      <c r="I342" s="141" t="inlineStr">
        <is>
          <t>증정</t>
        </is>
      </c>
      <c r="J342" s="140" t="n"/>
      <c r="K342" s="828" t="inlineStr">
        <is>
          <t>도매</t>
        </is>
      </c>
      <c r="L342" s="830" t="n"/>
      <c r="M342" s="830" t="inlineStr">
        <is>
          <t>마스터</t>
        </is>
      </c>
      <c r="N342" s="830" t="n"/>
      <c r="O342" s="772" t="n"/>
      <c r="P342" s="885" t="n"/>
      <c r="R342" s="828" t="inlineStr">
        <is>
          <t>품목별합계</t>
        </is>
      </c>
      <c r="S342" s="756" t="inlineStr">
        <is>
          <t>도매,마스터원가</t>
        </is>
      </c>
    </row>
    <row r="343" customFormat="1" s="638">
      <c r="A343" s="356" t="inlineStr">
        <is>
          <t>라벤다에센셜3ml</t>
        </is>
      </c>
      <c r="B343" s="374" t="n"/>
      <c r="C343" s="237" t="n"/>
      <c r="D343" s="234" t="n"/>
      <c r="E343" s="242" t="n"/>
      <c r="F343" s="230" t="n"/>
      <c r="G343" s="345" t="n"/>
      <c r="H343" s="80" t="n"/>
      <c r="I343" s="64" t="n"/>
      <c r="J343" s="35">
        <f>SUM(B343:I343)</f>
        <v/>
      </c>
      <c r="K343" s="755">
        <f>C343*4400</f>
        <v/>
      </c>
      <c r="L343" s="839" t="n"/>
      <c r="M343" s="770" t="n"/>
      <c r="N343" s="863" t="n"/>
      <c r="O343" s="757" t="n"/>
      <c r="P343" s="854" t="n"/>
      <c r="Q343" s="758" t="n"/>
      <c r="R343" s="755">
        <f>SUM(K343:Q343)</f>
        <v/>
      </c>
      <c r="S343" s="755">
        <f>J343*1340</f>
        <v/>
      </c>
    </row>
    <row r="344" customFormat="1" s="638">
      <c r="A344" s="356" t="inlineStr">
        <is>
          <t>페퍼민트에센셜3ml</t>
        </is>
      </c>
      <c r="B344" s="568" t="n"/>
      <c r="C344" s="237" t="n"/>
      <c r="D344" s="234" t="n"/>
      <c r="E344" s="242" t="n"/>
      <c r="F344" s="230" t="n"/>
      <c r="G344" s="345" t="n"/>
      <c r="H344" s="80" t="n"/>
      <c r="I344" s="64" t="n"/>
      <c r="J344" s="35">
        <f>SUM(B344:I344)</f>
        <v/>
      </c>
      <c r="K344" s="755" t="n"/>
      <c r="L344" s="839" t="n"/>
      <c r="M344" s="770" t="n"/>
      <c r="N344" s="863" t="n"/>
      <c r="O344" s="757" t="n"/>
      <c r="P344" s="854" t="n"/>
      <c r="Q344" s="758" t="n"/>
      <c r="R344" s="755">
        <f>SUM(K344:Q344)</f>
        <v/>
      </c>
      <c r="S344" s="755">
        <f>J344*1349</f>
        <v/>
      </c>
    </row>
    <row r="345" customFormat="1" s="638">
      <c r="A345" s="356" t="inlineStr">
        <is>
          <t>갈바넘</t>
        </is>
      </c>
      <c r="B345" s="568" t="n"/>
      <c r="C345" s="237" t="n"/>
      <c r="D345" s="234" t="n"/>
      <c r="E345" s="242" t="n"/>
      <c r="F345" s="230" t="n"/>
      <c r="G345" s="345" t="n"/>
      <c r="H345" s="80" t="n"/>
      <c r="I345" s="64" t="n"/>
      <c r="J345" s="35">
        <f>SUM(B345:I345)</f>
        <v/>
      </c>
      <c r="K345" s="755">
        <f>C345*60000</f>
        <v/>
      </c>
      <c r="L345" s="839" t="n"/>
      <c r="M345" s="770" t="n"/>
      <c r="N345" s="863">
        <f>F345*54000</f>
        <v/>
      </c>
      <c r="O345" s="757" t="n"/>
      <c r="P345" s="854" t="n"/>
      <c r="Q345" s="758" t="n"/>
      <c r="R345" s="755">
        <f>SUM(K345:Q345)</f>
        <v/>
      </c>
      <c r="S345" s="755">
        <f>J345*5060</f>
        <v/>
      </c>
    </row>
    <row r="346" ht="16.5" customFormat="1" customHeight="1" s="638">
      <c r="A346" s="356" t="inlineStr">
        <is>
          <t>그레이프루잇</t>
        </is>
      </c>
      <c r="B346" s="547" t="inlineStr">
        <is>
          <t xml:space="preserve">자디니아로마에센셜오일10ml     P0000BJT  /  P0000BKH   /  P0000BMF  / P0000BMG  </t>
        </is>
      </c>
      <c r="C346" s="218" t="n">
        <v>2</v>
      </c>
      <c r="D346" s="234" t="n"/>
      <c r="E346" s="234" t="n"/>
      <c r="F346" s="191" t="n"/>
      <c r="G346" s="345" t="n"/>
      <c r="H346" s="80" t="n"/>
      <c r="I346" s="114" t="n"/>
      <c r="J346" s="35">
        <f>SUM(B346:I346)</f>
        <v/>
      </c>
      <c r="K346" s="755" t="n">
        <v>20000</v>
      </c>
      <c r="L346" s="839" t="n"/>
      <c r="M346" s="770" t="n"/>
      <c r="N346" s="863" t="n">
        <v>0</v>
      </c>
      <c r="O346" s="757" t="n"/>
      <c r="P346" s="854" t="n"/>
      <c r="Q346" s="758" t="n"/>
      <c r="R346" s="755">
        <f>SUM(K346:Q346)</f>
        <v/>
      </c>
      <c r="S346" s="755">
        <f>J346*2850</f>
        <v/>
      </c>
    </row>
    <row r="347" ht="16.5" customFormat="1" customHeight="1" s="638">
      <c r="A347" s="356" t="inlineStr">
        <is>
          <t>넛맥</t>
        </is>
      </c>
      <c r="B347" s="774" t="n"/>
      <c r="C347" s="218" t="n"/>
      <c r="D347" s="234" t="n"/>
      <c r="E347" s="234" t="n"/>
      <c r="F347" s="191" t="n"/>
      <c r="G347" s="345" t="n"/>
      <c r="H347" s="80" t="n"/>
      <c r="I347" s="114" t="n"/>
      <c r="J347" s="35">
        <f>SUM(B347:I347)</f>
        <v/>
      </c>
      <c r="K347" s="755">
        <f>C347*17000</f>
        <v/>
      </c>
      <c r="L347" s="839" t="n"/>
      <c r="M347" s="770" t="n"/>
      <c r="N347" s="863">
        <f>F347*15000</f>
        <v/>
      </c>
      <c r="O347" s="757" t="n"/>
      <c r="P347" s="854" t="n"/>
      <c r="Q347" s="758" t="n"/>
      <c r="R347" s="755">
        <f>SUM(K347:Q347)</f>
        <v/>
      </c>
      <c r="S347" s="755">
        <f>J347*2670</f>
        <v/>
      </c>
    </row>
    <row r="348" customFormat="1" s="638">
      <c r="A348" s="356" t="inlineStr">
        <is>
          <t xml:space="preserve">네롤리 </t>
        </is>
      </c>
      <c r="B348" s="774" t="n"/>
      <c r="C348" s="237" t="n"/>
      <c r="D348" s="234" t="n"/>
      <c r="E348" s="234" t="n"/>
      <c r="F348" s="230" t="n"/>
      <c r="G348" s="345" t="n"/>
      <c r="H348" s="80" t="n"/>
      <c r="I348" s="114" t="n"/>
      <c r="J348" s="35">
        <f>SUM(B348:I348)</f>
        <v/>
      </c>
      <c r="K348" s="755" t="n">
        <v>0</v>
      </c>
      <c r="L348" s="839" t="n"/>
      <c r="M348" s="770" t="n"/>
      <c r="N348" s="863" t="n">
        <v>0</v>
      </c>
      <c r="O348" s="757" t="n"/>
      <c r="P348" s="854" t="n"/>
      <c r="Q348" s="758" t="n"/>
      <c r="R348" s="755">
        <f>SUM(K348:Q348)</f>
        <v/>
      </c>
      <c r="S348" s="755">
        <f>J348*2870</f>
        <v/>
      </c>
    </row>
    <row r="349" customFormat="1" s="638">
      <c r="A349" s="356" t="inlineStr">
        <is>
          <t>딜시드</t>
        </is>
      </c>
      <c r="B349" s="774" t="n"/>
      <c r="C349" s="237" t="n"/>
      <c r="D349" s="234" t="n"/>
      <c r="E349" s="234" t="n"/>
      <c r="F349" s="230" t="n"/>
      <c r="G349" s="345" t="n"/>
      <c r="H349" s="80" t="n"/>
      <c r="I349" s="114" t="n"/>
      <c r="J349" s="35">
        <f>SUM(B349:I349)</f>
        <v/>
      </c>
      <c r="K349" s="755">
        <f>C349*16000</f>
        <v/>
      </c>
      <c r="L349" s="839" t="n"/>
      <c r="M349" s="770" t="n"/>
      <c r="N349" s="863">
        <f>F349*14000</f>
        <v/>
      </c>
      <c r="O349" s="757" t="n"/>
      <c r="P349" s="854" t="n"/>
      <c r="Q349" s="758" t="n"/>
      <c r="R349" s="755">
        <f>SUM(K349:Q349)</f>
        <v/>
      </c>
      <c r="S349" s="755">
        <f>J349*2380</f>
        <v/>
      </c>
    </row>
    <row r="350" customFormat="1" s="638">
      <c r="A350" s="354" t="inlineStr">
        <is>
          <t>라벤다(불가리아)</t>
        </is>
      </c>
      <c r="B350" s="774" t="n"/>
      <c r="C350" s="233" t="n">
        <v>2</v>
      </c>
      <c r="D350" s="242" t="n"/>
      <c r="E350" s="234" t="n"/>
      <c r="F350" s="230" t="n">
        <v>1</v>
      </c>
      <c r="G350" s="345" t="n"/>
      <c r="H350" s="80" t="n"/>
      <c r="I350" s="114" t="n"/>
      <c r="J350" s="35">
        <f>SUM(B350:I350)</f>
        <v/>
      </c>
      <c r="K350" s="755" t="n">
        <v>28000</v>
      </c>
      <c r="L350" s="839" t="n"/>
      <c r="M350" s="770" t="n"/>
      <c r="N350" s="863" t="n">
        <v>13000</v>
      </c>
      <c r="O350" s="757" t="n"/>
      <c r="P350" s="854" t="n"/>
      <c r="Q350" s="758" t="n"/>
      <c r="R350" s="755">
        <f>SUM(K350:Q350)</f>
        <v/>
      </c>
      <c r="S350" s="755">
        <f>J350*2440</f>
        <v/>
      </c>
    </row>
    <row r="351" customFormat="1" s="638">
      <c r="A351" s="354" t="inlineStr">
        <is>
          <t>라임</t>
        </is>
      </c>
      <c r="B351" s="774" t="n"/>
      <c r="C351" s="233" t="n">
        <v>1</v>
      </c>
      <c r="D351" s="234" t="n"/>
      <c r="E351" s="234" t="n"/>
      <c r="F351" s="230" t="n"/>
      <c r="G351" s="345" t="n"/>
      <c r="H351" s="80" t="n"/>
      <c r="I351" s="114" t="n"/>
      <c r="J351" s="35">
        <f>SUM(B351:I351)</f>
        <v/>
      </c>
      <c r="K351" s="755" t="n">
        <v>10000</v>
      </c>
      <c r="L351" s="839" t="n"/>
      <c r="M351" s="770" t="n"/>
      <c r="N351" s="863" t="n">
        <v>0</v>
      </c>
      <c r="O351" s="757" t="n"/>
      <c r="P351" s="854" t="n"/>
      <c r="Q351" s="758" t="n"/>
      <c r="R351" s="755">
        <f>SUM(K351:Q351)</f>
        <v/>
      </c>
      <c r="S351" s="755">
        <f>J351*2740</f>
        <v/>
      </c>
    </row>
    <row r="352" customFormat="1" s="638">
      <c r="A352" s="354" t="inlineStr">
        <is>
          <t>레몬오일</t>
        </is>
      </c>
      <c r="B352" s="774" t="n"/>
      <c r="C352" s="233" t="n">
        <v>3</v>
      </c>
      <c r="D352" s="234" t="n"/>
      <c r="E352" s="234" t="n"/>
      <c r="F352" s="230" t="n"/>
      <c r="G352" s="345" t="n"/>
      <c r="H352" s="80" t="n"/>
      <c r="I352" s="114" t="n"/>
      <c r="J352" s="35">
        <f>SUM(B352:I352)</f>
        <v/>
      </c>
      <c r="K352" s="755" t="n">
        <v>21000</v>
      </c>
      <c r="L352" s="839" t="n"/>
      <c r="M352" s="770" t="n"/>
      <c r="N352" s="863" t="n">
        <v>0</v>
      </c>
      <c r="O352" s="757" t="n"/>
      <c r="P352" s="854" t="n"/>
      <c r="Q352" s="758" t="n"/>
      <c r="R352" s="755">
        <f>SUM(K352:Q352)</f>
        <v/>
      </c>
      <c r="S352" s="755">
        <f>J352*2300</f>
        <v/>
      </c>
    </row>
    <row r="353" customFormat="1" s="638">
      <c r="A353" s="354" t="inlineStr">
        <is>
          <t>레몬그라스오일</t>
        </is>
      </c>
      <c r="B353" s="774" t="n"/>
      <c r="C353" s="233" t="n">
        <v>1</v>
      </c>
      <c r="D353" s="234" t="n"/>
      <c r="E353" s="234" t="n"/>
      <c r="F353" s="230" t="n">
        <v>1</v>
      </c>
      <c r="G353" s="345" t="n"/>
      <c r="H353" s="80" t="n"/>
      <c r="I353" s="114" t="n"/>
      <c r="J353" s="35">
        <f>SUM(B353:I353)</f>
        <v/>
      </c>
      <c r="K353" s="755" t="n">
        <v>9000</v>
      </c>
      <c r="L353" s="839" t="n"/>
      <c r="M353" s="770" t="n"/>
      <c r="N353" s="863" t="n">
        <v>8000</v>
      </c>
      <c r="O353" s="757" t="n"/>
      <c r="P353" s="854" t="n"/>
      <c r="Q353" s="758" t="n"/>
      <c r="R353" s="755">
        <f>SUM(K353:Q353)</f>
        <v/>
      </c>
      <c r="S353" s="755">
        <f>J353*1920</f>
        <v/>
      </c>
    </row>
    <row r="354" customFormat="1" s="638">
      <c r="A354" s="355" t="inlineStr">
        <is>
          <t>로즈마리오일</t>
        </is>
      </c>
      <c r="B354" s="774" t="n"/>
      <c r="C354" s="233" t="n"/>
      <c r="D354" s="242" t="n"/>
      <c r="E354" s="234" t="n"/>
      <c r="F354" s="230" t="n">
        <v>1</v>
      </c>
      <c r="G354" s="345" t="n"/>
      <c r="H354" s="80" t="n"/>
      <c r="I354" s="114" t="n"/>
      <c r="J354" s="35">
        <f>SUM(B354:I354)</f>
        <v/>
      </c>
      <c r="K354" s="755">
        <f>C354*20000</f>
        <v/>
      </c>
      <c r="L354" s="839" t="n"/>
      <c r="M354" s="770" t="n"/>
      <c r="N354" s="863">
        <f>F354*18000</f>
        <v/>
      </c>
      <c r="O354" s="757" t="n"/>
      <c r="P354" s="854" t="n"/>
      <c r="Q354" s="758" t="n"/>
      <c r="R354" s="755">
        <f>SUM(K354:Q354)</f>
        <v/>
      </c>
      <c r="S354" s="755">
        <f>J354*4940</f>
        <v/>
      </c>
    </row>
    <row r="355" customFormat="1" s="638">
      <c r="A355" s="354" t="inlineStr">
        <is>
          <t>로즈제라늄</t>
        </is>
      </c>
      <c r="B355" s="774" t="n"/>
      <c r="C355" s="233" t="n">
        <v>4</v>
      </c>
      <c r="D355" s="242" t="n"/>
      <c r="E355" s="234" t="n"/>
      <c r="F355" s="230" t="n"/>
      <c r="G355" s="345" t="n"/>
      <c r="H355" s="80" t="n"/>
      <c r="I355" s="114" t="n"/>
      <c r="J355" s="35">
        <f>SUM(B355:I355)</f>
        <v/>
      </c>
      <c r="K355" s="755" t="n">
        <v>48000</v>
      </c>
      <c r="L355" s="839" t="n"/>
      <c r="M355" s="770" t="n"/>
      <c r="N355" s="863" t="n">
        <v>0</v>
      </c>
      <c r="O355" s="757" t="n"/>
      <c r="P355" s="854" t="n"/>
      <c r="Q355" s="758" t="n"/>
      <c r="R355" s="755">
        <f>SUM(K355:Q355)</f>
        <v/>
      </c>
      <c r="S355" s="755">
        <f>J355*2470</f>
        <v/>
      </c>
    </row>
    <row r="356" customFormat="1" s="638">
      <c r="A356" s="354" t="inlineStr">
        <is>
          <t>로만캐모마일(오가닉)</t>
        </is>
      </c>
      <c r="B356" s="774" t="n"/>
      <c r="C356" s="233" t="n">
        <v>1</v>
      </c>
      <c r="D356" s="234" t="n"/>
      <c r="E356" s="234" t="n"/>
      <c r="F356" s="230" t="n"/>
      <c r="G356" s="345" t="n"/>
      <c r="H356" s="80" t="n"/>
      <c r="I356" s="114" t="n"/>
      <c r="J356" s="35">
        <f>SUM(B356:I356)</f>
        <v/>
      </c>
      <c r="K356" s="755" t="n">
        <v>92000</v>
      </c>
      <c r="L356" s="839" t="n"/>
      <c r="M356" s="770" t="n"/>
      <c r="N356" s="863" t="n">
        <v>0</v>
      </c>
      <c r="O356" s="757" t="n"/>
      <c r="P356" s="854" t="n"/>
      <c r="Q356" s="758" t="n"/>
      <c r="R356" s="755">
        <f>SUM(K356:Q356)</f>
        <v/>
      </c>
      <c r="S356" s="755">
        <f>J356*28700</f>
        <v/>
      </c>
    </row>
    <row r="357" customFormat="1" s="638">
      <c r="A357" s="354" t="inlineStr">
        <is>
          <t>루</t>
        </is>
      </c>
      <c r="B357" s="774" t="n"/>
      <c r="C357" s="233" t="n"/>
      <c r="D357" s="234" t="n"/>
      <c r="E357" s="234" t="n"/>
      <c r="F357" s="230" t="n"/>
      <c r="G357" s="345" t="n"/>
      <c r="H357" s="80" t="n"/>
      <c r="I357" s="114" t="n"/>
      <c r="J357" s="35">
        <f>SUM(B357:I357)</f>
        <v/>
      </c>
      <c r="K357" s="755">
        <f>C357*23000</f>
        <v/>
      </c>
      <c r="L357" s="839" t="n"/>
      <c r="M357" s="770" t="n"/>
      <c r="N357" s="863">
        <f>F357*21000</f>
        <v/>
      </c>
      <c r="O357" s="757" t="n"/>
      <c r="P357" s="854" t="n"/>
      <c r="Q357" s="758" t="n"/>
      <c r="R357" s="755">
        <f>SUM(K357:Q357)</f>
        <v/>
      </c>
      <c r="S357" s="755">
        <f>J357*3170</f>
        <v/>
      </c>
    </row>
    <row r="358" customFormat="1" s="638">
      <c r="A358" s="356" t="inlineStr">
        <is>
          <t>마조람</t>
        </is>
      </c>
      <c r="B358" s="774" t="n"/>
      <c r="C358" s="218" t="n"/>
      <c r="D358" s="234" t="n"/>
      <c r="E358" s="234" t="n"/>
      <c r="F358" s="191" t="n"/>
      <c r="G358" s="195" t="n"/>
      <c r="H358" s="80" t="n"/>
      <c r="I358" s="114" t="n"/>
      <c r="J358" s="35">
        <f>SUM(B358:I358)</f>
        <v/>
      </c>
      <c r="K358" s="755" t="n">
        <v>0</v>
      </c>
      <c r="L358" s="839" t="n"/>
      <c r="M358" s="770" t="n"/>
      <c r="N358" s="863" t="n">
        <v>0</v>
      </c>
      <c r="O358" s="757" t="n"/>
      <c r="P358" s="854" t="n"/>
      <c r="Q358" s="758" t="n"/>
      <c r="R358" s="755">
        <f>SUM(K358:Q358)</f>
        <v/>
      </c>
      <c r="S358" s="755">
        <f>J358*5710</f>
        <v/>
      </c>
    </row>
    <row r="359" customFormat="1" s="638">
      <c r="A359" s="356" t="inlineStr">
        <is>
          <t>만다린</t>
        </is>
      </c>
      <c r="B359" s="774" t="n"/>
      <c r="C359" s="218" t="n">
        <v>1</v>
      </c>
      <c r="D359" s="234" t="n"/>
      <c r="E359" s="234" t="n"/>
      <c r="F359" s="191" t="n"/>
      <c r="G359" s="195" t="n"/>
      <c r="H359" s="80" t="n"/>
      <c r="I359" s="114" t="n"/>
      <c r="J359" s="35">
        <f>SUM(B359:I359)</f>
        <v/>
      </c>
      <c r="K359" s="755" t="n">
        <v>18000</v>
      </c>
      <c r="L359" s="839" t="n"/>
      <c r="M359" s="770" t="n"/>
      <c r="N359" s="863" t="n">
        <v>0</v>
      </c>
      <c r="O359" s="757" t="n"/>
      <c r="P359" s="854" t="n"/>
      <c r="Q359" s="758" t="n"/>
      <c r="R359" s="755">
        <f>SUM(K359:Q359)</f>
        <v/>
      </c>
      <c r="S359" s="755">
        <f>J359*4170</f>
        <v/>
      </c>
    </row>
    <row r="360" customFormat="1" s="638">
      <c r="A360" s="356" t="inlineStr">
        <is>
          <t>머그워트(쑥)</t>
        </is>
      </c>
      <c r="B360" s="774" t="n"/>
      <c r="C360" s="218" t="n"/>
      <c r="D360" s="234" t="n"/>
      <c r="E360" s="234" t="n"/>
      <c r="F360" s="191" t="n"/>
      <c r="G360" s="195" t="n"/>
      <c r="H360" s="80" t="n"/>
      <c r="I360" s="114" t="n"/>
      <c r="J360" s="35">
        <f>SUM(B360:I360)</f>
        <v/>
      </c>
      <c r="K360" s="755" t="n">
        <v>0</v>
      </c>
      <c r="L360" s="839" t="n"/>
      <c r="M360" s="770" t="n"/>
      <c r="N360" s="863" t="n">
        <v>0</v>
      </c>
      <c r="O360" s="757" t="n"/>
      <c r="P360" s="854" t="n"/>
      <c r="Q360" s="758" t="n"/>
      <c r="R360" s="755">
        <f>SUM(K360:Q360)</f>
        <v/>
      </c>
      <c r="S360" s="755">
        <f>J360*8570</f>
        <v/>
      </c>
    </row>
    <row r="361" customFormat="1" s="638">
      <c r="A361" s="356" t="inlineStr">
        <is>
          <t>머틀</t>
        </is>
      </c>
      <c r="B361" s="774" t="n"/>
      <c r="C361" s="218" t="n"/>
      <c r="D361" s="234" t="n"/>
      <c r="E361" s="234" t="n"/>
      <c r="F361" s="191" t="n"/>
      <c r="G361" s="195" t="n"/>
      <c r="H361" s="80" t="n"/>
      <c r="I361" s="114" t="n"/>
      <c r="J361" s="35">
        <f>SUM(B361:I361)</f>
        <v/>
      </c>
      <c r="K361" s="755" t="n">
        <v>0</v>
      </c>
      <c r="L361" s="839" t="n"/>
      <c r="M361" s="770" t="n"/>
      <c r="N361" s="863" t="n">
        <v>0</v>
      </c>
      <c r="O361" s="757" t="n"/>
      <c r="P361" s="854" t="n"/>
      <c r="Q361" s="758" t="n"/>
      <c r="R361" s="755">
        <f>SUM(K361:Q361)</f>
        <v/>
      </c>
      <c r="S361" s="755">
        <f>J361*2260</f>
        <v/>
      </c>
    </row>
    <row r="362" customFormat="1" s="638">
      <c r="A362" s="354" t="inlineStr">
        <is>
          <t>멜리사오일</t>
        </is>
      </c>
      <c r="B362" s="774" t="n"/>
      <c r="C362" s="233" t="n"/>
      <c r="D362" s="242" t="n"/>
      <c r="E362" s="234" t="n"/>
      <c r="F362" s="230" t="n"/>
      <c r="G362" s="345" t="n"/>
      <c r="H362" s="80" t="n"/>
      <c r="I362" s="114" t="n"/>
      <c r="J362" s="35">
        <f>SUM(B362:I362)</f>
        <v/>
      </c>
      <c r="K362" s="755" t="n">
        <v>0</v>
      </c>
      <c r="L362" s="839" t="n"/>
      <c r="M362" s="770" t="n"/>
      <c r="N362" s="863" t="n">
        <v>0</v>
      </c>
      <c r="O362" s="757" t="n"/>
      <c r="P362" s="854" t="n"/>
      <c r="Q362" s="758" t="n"/>
      <c r="R362" s="755">
        <f>SUM(K362:Q362)</f>
        <v/>
      </c>
      <c r="S362" s="755">
        <f>J362*16916</f>
        <v/>
      </c>
    </row>
    <row r="363" customFormat="1" s="638">
      <c r="A363" s="356" t="inlineStr">
        <is>
          <t>미르오일</t>
        </is>
      </c>
      <c r="B363" s="774" t="n"/>
      <c r="C363" s="218" t="n"/>
      <c r="D363" s="234" t="n"/>
      <c r="E363" s="234" t="n"/>
      <c r="F363" s="191" t="n"/>
      <c r="G363" s="195" t="n"/>
      <c r="H363" s="80" t="n"/>
      <c r="I363" s="114" t="n"/>
      <c r="J363" s="35">
        <f>SUM(B363:I363)</f>
        <v/>
      </c>
      <c r="K363" s="755" t="n">
        <v>0</v>
      </c>
      <c r="L363" s="839" t="n"/>
      <c r="M363" s="770" t="n"/>
      <c r="N363" s="863" t="n">
        <v>0</v>
      </c>
      <c r="O363" s="757" t="n"/>
      <c r="P363" s="854" t="n"/>
      <c r="Q363" s="758" t="n"/>
      <c r="R363" s="755">
        <f>SUM(K363:Q363)</f>
        <v/>
      </c>
      <c r="S363" s="755">
        <f>J363*2470</f>
        <v/>
      </c>
    </row>
    <row r="364" customFormat="1" s="638">
      <c r="A364" s="356" t="inlineStr">
        <is>
          <t>바질</t>
        </is>
      </c>
      <c r="B364" s="774" t="n"/>
      <c r="C364" s="218" t="n"/>
      <c r="D364" s="234" t="n"/>
      <c r="E364" s="234" t="n"/>
      <c r="F364" s="191" t="n"/>
      <c r="G364" s="195" t="n"/>
      <c r="H364" s="80" t="n"/>
      <c r="I364" s="114" t="n"/>
      <c r="J364" s="35">
        <f>SUM(B364:I364)</f>
        <v/>
      </c>
      <c r="K364" s="755" t="n">
        <v>0</v>
      </c>
      <c r="L364" s="839" t="n"/>
      <c r="M364" s="770" t="n"/>
      <c r="N364" s="863" t="n">
        <v>0</v>
      </c>
      <c r="O364" s="757" t="n"/>
      <c r="P364" s="854" t="n"/>
      <c r="Q364" s="758" t="n"/>
      <c r="R364" s="755">
        <f>SUM(K364:Q364)</f>
        <v/>
      </c>
      <c r="S364" s="755">
        <f>J364*2160</f>
        <v/>
      </c>
    </row>
    <row r="365" customFormat="1" s="638">
      <c r="A365" s="356" t="inlineStr">
        <is>
          <t>버치스윗</t>
        </is>
      </c>
      <c r="B365" s="774" t="n"/>
      <c r="C365" s="218" t="n"/>
      <c r="D365" s="234" t="n"/>
      <c r="E365" s="234" t="n"/>
      <c r="F365" s="191" t="n"/>
      <c r="G365" s="195" t="n"/>
      <c r="H365" s="80" t="n"/>
      <c r="I365" s="114" t="n"/>
      <c r="J365" s="35">
        <f>SUM(B365:I365)</f>
        <v/>
      </c>
      <c r="K365" s="755">
        <f>C365*23000</f>
        <v/>
      </c>
      <c r="L365" s="839" t="n"/>
      <c r="M365" s="770" t="n"/>
      <c r="N365" s="863">
        <f>F365*21000</f>
        <v/>
      </c>
      <c r="O365" s="757" t="n"/>
      <c r="P365" s="854" t="n"/>
      <c r="Q365" s="758" t="n"/>
      <c r="R365" s="755">
        <f>SUM(K365:Q365)</f>
        <v/>
      </c>
      <c r="S365" s="755">
        <f>J365*2540</f>
        <v/>
      </c>
    </row>
    <row r="366" customFormat="1" s="638">
      <c r="A366" s="354" t="inlineStr">
        <is>
          <t>베르가모트</t>
        </is>
      </c>
      <c r="B366" s="774" t="n"/>
      <c r="C366" s="233" t="n"/>
      <c r="D366" s="234" t="n"/>
      <c r="E366" s="234" t="n"/>
      <c r="F366" s="230" t="n"/>
      <c r="G366" s="345" t="n"/>
      <c r="H366" s="80" t="n"/>
      <c r="I366" s="114" t="n"/>
      <c r="J366" s="35">
        <f>SUM(B366:I366)</f>
        <v/>
      </c>
      <c r="K366" s="755" t="n">
        <v>0</v>
      </c>
      <c r="L366" s="839" t="n"/>
      <c r="M366" s="770" t="n"/>
      <c r="N366" s="863" t="n">
        <v>0</v>
      </c>
      <c r="O366" s="757" t="n"/>
      <c r="P366" s="854" t="n"/>
      <c r="Q366" s="758" t="n"/>
      <c r="R366" s="755">
        <f>SUM(K366:Q366)</f>
        <v/>
      </c>
      <c r="S366" s="755">
        <f>J366*1690</f>
        <v/>
      </c>
    </row>
    <row r="367" customFormat="1" s="638">
      <c r="A367" s="356" t="inlineStr">
        <is>
          <t>베티버오일</t>
        </is>
      </c>
      <c r="B367" s="774" t="n"/>
      <c r="C367" s="218" t="n"/>
      <c r="D367" s="234" t="n"/>
      <c r="E367" s="234" t="n"/>
      <c r="F367" s="191" t="n"/>
      <c r="G367" s="195" t="n"/>
      <c r="H367" s="80" t="n"/>
      <c r="I367" s="114" t="n"/>
      <c r="J367" s="35">
        <f>SUM(B367:I367)</f>
        <v/>
      </c>
      <c r="K367" s="755" t="n">
        <v>0</v>
      </c>
      <c r="L367" s="839" t="n"/>
      <c r="M367" s="770" t="n"/>
      <c r="N367" s="863" t="n">
        <v>0</v>
      </c>
      <c r="O367" s="757" t="n"/>
      <c r="P367" s="854" t="n"/>
      <c r="Q367" s="758" t="n"/>
      <c r="R367" s="755">
        <f>SUM(K367:Q367)</f>
        <v/>
      </c>
      <c r="S367" s="755">
        <f>J367*10990</f>
        <v/>
      </c>
    </row>
    <row r="368" customFormat="1" s="638">
      <c r="A368" s="356" t="inlineStr">
        <is>
          <t>벤조인</t>
        </is>
      </c>
      <c r="B368" s="774" t="n"/>
      <c r="C368" s="218" t="n"/>
      <c r="D368" s="234" t="n"/>
      <c r="E368" s="234" t="n"/>
      <c r="F368" s="191" t="n"/>
      <c r="G368" s="195" t="n"/>
      <c r="H368" s="80" t="n"/>
      <c r="I368" s="114" t="n"/>
      <c r="J368" s="35">
        <f>SUM(B368:I368)</f>
        <v/>
      </c>
      <c r="K368" s="755" t="n">
        <v>0</v>
      </c>
      <c r="L368" s="839" t="n"/>
      <c r="M368" s="770" t="n"/>
      <c r="N368" s="863" t="n">
        <v>0</v>
      </c>
      <c r="O368" s="757" t="n"/>
      <c r="P368" s="854" t="n"/>
      <c r="Q368" s="758" t="n"/>
      <c r="R368" s="755">
        <f>SUM(K368:Q368)</f>
        <v/>
      </c>
      <c r="S368" s="755">
        <f>J368*2180</f>
        <v/>
      </c>
    </row>
    <row r="369" customFormat="1" s="638">
      <c r="A369" s="356" t="inlineStr">
        <is>
          <t>블렉페퍼오일</t>
        </is>
      </c>
      <c r="B369" s="774" t="n"/>
      <c r="C369" s="218" t="n"/>
      <c r="D369" s="234" t="n"/>
      <c r="E369" s="234" t="n"/>
      <c r="F369" s="191" t="n"/>
      <c r="G369" s="195" t="n"/>
      <c r="H369" s="80" t="n"/>
      <c r="I369" s="114" t="n"/>
      <c r="J369" s="35">
        <f>SUM(B369:I369)</f>
        <v/>
      </c>
      <c r="K369" s="755" t="n">
        <v>0</v>
      </c>
      <c r="L369" s="839" t="n"/>
      <c r="M369" s="770" t="n"/>
      <c r="N369" s="863" t="n">
        <v>0</v>
      </c>
      <c r="O369" s="757" t="n"/>
      <c r="P369" s="854" t="n"/>
      <c r="Q369" s="758" t="n"/>
      <c r="R369" s="755">
        <f>SUM(K369:Q369)</f>
        <v/>
      </c>
      <c r="S369" s="755">
        <f>J369*7800</f>
        <v/>
      </c>
    </row>
    <row r="370" customFormat="1" s="638">
      <c r="A370" s="354" t="inlineStr">
        <is>
          <t>샌달우드오일</t>
        </is>
      </c>
      <c r="B370" s="774" t="n"/>
      <c r="C370" s="233" t="n"/>
      <c r="D370" s="234" t="n"/>
      <c r="E370" s="234" t="n"/>
      <c r="F370" s="230" t="n"/>
      <c r="G370" s="345" t="n"/>
      <c r="H370" s="80" t="n"/>
      <c r="I370" s="114" t="n"/>
      <c r="J370" s="35">
        <f>SUM(B370:I370)</f>
        <v/>
      </c>
      <c r="K370" s="755" t="n">
        <v>0</v>
      </c>
      <c r="L370" s="839" t="n"/>
      <c r="M370" s="770" t="n"/>
      <c r="N370" s="863" t="n">
        <v>0</v>
      </c>
      <c r="O370" s="757" t="n"/>
      <c r="P370" s="854" t="n"/>
      <c r="Q370" s="758" t="n"/>
      <c r="R370" s="755">
        <f>SUM(K370:Q370)</f>
        <v/>
      </c>
      <c r="S370" s="755">
        <f>J370*4225</f>
        <v/>
      </c>
    </row>
    <row r="371" customFormat="1" s="638">
      <c r="A371" s="356" t="inlineStr">
        <is>
          <t>스피아민트</t>
        </is>
      </c>
      <c r="B371" s="774" t="n"/>
      <c r="C371" s="218" t="n">
        <v>1</v>
      </c>
      <c r="D371" s="234" t="n"/>
      <c r="E371" s="234" t="n"/>
      <c r="F371" s="191" t="n"/>
      <c r="G371" s="195" t="n"/>
      <c r="H371" s="80" t="n"/>
      <c r="I371" s="114" t="n"/>
      <c r="J371" s="35">
        <f>SUM(B371:I371)</f>
        <v/>
      </c>
      <c r="K371" s="755" t="n">
        <v>10000</v>
      </c>
      <c r="L371" s="839" t="n"/>
      <c r="M371" s="770" t="n"/>
      <c r="N371" s="863" t="n">
        <v>0</v>
      </c>
      <c r="O371" s="757" t="n"/>
      <c r="P371" s="854" t="n"/>
      <c r="Q371" s="758" t="n"/>
      <c r="R371" s="755">
        <f>SUM(K371:Q371)</f>
        <v/>
      </c>
      <c r="S371" s="755">
        <f>J371*2652</f>
        <v/>
      </c>
    </row>
    <row r="372" customFormat="1" s="638">
      <c r="A372" s="356" t="inlineStr">
        <is>
          <t>시더우드</t>
        </is>
      </c>
      <c r="B372" s="774" t="n"/>
      <c r="C372" s="218" t="n">
        <v>1</v>
      </c>
      <c r="D372" s="234" t="n"/>
      <c r="E372" s="234" t="n"/>
      <c r="F372" s="191" t="n">
        <v>1</v>
      </c>
      <c r="G372" s="195" t="n"/>
      <c r="H372" s="80" t="n"/>
      <c r="I372" s="114" t="n"/>
      <c r="J372" s="35">
        <f>SUM(B372:I372)</f>
        <v/>
      </c>
      <c r="K372" s="755" t="n">
        <v>10000</v>
      </c>
      <c r="L372" s="839" t="n"/>
      <c r="M372" s="770" t="n"/>
      <c r="N372" s="863" t="n">
        <v>9000</v>
      </c>
      <c r="O372" s="757" t="n"/>
      <c r="P372" s="854" t="n"/>
      <c r="Q372" s="758" t="n"/>
      <c r="R372" s="755">
        <f>SUM(K372:Q372)</f>
        <v/>
      </c>
      <c r="S372" s="755">
        <f>J372*2410</f>
        <v/>
      </c>
    </row>
    <row r="373" customFormat="1" s="638">
      <c r="A373" s="356" t="inlineStr">
        <is>
          <t>시트로넬라</t>
        </is>
      </c>
      <c r="B373" s="774" t="n"/>
      <c r="C373" s="218" t="n"/>
      <c r="D373" s="234" t="n"/>
      <c r="E373" s="234" t="n"/>
      <c r="F373" s="191" t="n"/>
      <c r="G373" s="195" t="n"/>
      <c r="H373" s="80" t="n"/>
      <c r="I373" s="114" t="n"/>
      <c r="J373" s="35">
        <f>SUM(B373:I373)</f>
        <v/>
      </c>
      <c r="K373" s="755" t="n">
        <v>0</v>
      </c>
      <c r="L373" s="839" t="n"/>
      <c r="M373" s="770" t="n"/>
      <c r="N373" s="863" t="n">
        <v>0</v>
      </c>
      <c r="O373" s="757" t="n"/>
      <c r="P373" s="854" t="n"/>
      <c r="Q373" s="758" t="n"/>
      <c r="R373" s="755">
        <f>SUM(K373:Q373)</f>
        <v/>
      </c>
      <c r="S373" s="755">
        <f>J373*1820</f>
        <v/>
      </c>
    </row>
    <row r="374" customFormat="1" s="638">
      <c r="A374" s="354" t="inlineStr">
        <is>
          <t>싸이프러스</t>
        </is>
      </c>
      <c r="B374" s="774" t="n"/>
      <c r="C374" s="233" t="n"/>
      <c r="D374" s="234" t="n"/>
      <c r="E374" s="234" t="n"/>
      <c r="F374" s="230" t="n"/>
      <c r="G374" s="345" t="n"/>
      <c r="H374" s="80" t="n"/>
      <c r="I374" s="114" t="n"/>
      <c r="J374" s="35">
        <f>SUM(B374:I374)</f>
        <v/>
      </c>
      <c r="K374" s="755" t="n">
        <v>0</v>
      </c>
      <c r="L374" s="839" t="n"/>
      <c r="M374" s="770" t="n"/>
      <c r="N374" s="863" t="n">
        <v>0</v>
      </c>
      <c r="O374" s="757" t="n"/>
      <c r="P374" s="854" t="n"/>
      <c r="Q374" s="758" t="n"/>
      <c r="R374" s="755">
        <f>SUM(K374:Q374)</f>
        <v/>
      </c>
      <c r="S374" s="755">
        <f>J374*4170</f>
        <v/>
      </c>
    </row>
    <row r="375" customFormat="1" s="638">
      <c r="A375" s="354" t="inlineStr">
        <is>
          <t>아가우드</t>
        </is>
      </c>
      <c r="B375" s="774" t="n"/>
      <c r="C375" s="233" t="n"/>
      <c r="D375" s="234" t="n"/>
      <c r="E375" s="234" t="n"/>
      <c r="F375" s="230" t="n"/>
      <c r="G375" s="345" t="n"/>
      <c r="H375" s="80" t="n"/>
      <c r="I375" s="114" t="n"/>
      <c r="J375" s="35">
        <f>SUM(B375:I375)</f>
        <v/>
      </c>
      <c r="K375" s="755">
        <f>C375*125000</f>
        <v/>
      </c>
      <c r="L375" s="839" t="n"/>
      <c r="M375" s="770" t="n"/>
      <c r="N375" s="863">
        <f>F375*113000</f>
        <v/>
      </c>
      <c r="O375" s="757" t="n"/>
      <c r="P375" s="854" t="n"/>
      <c r="Q375" s="758" t="n"/>
      <c r="R375" s="755">
        <f>SUM(K375:Q375)</f>
        <v/>
      </c>
      <c r="S375" s="755">
        <f>J375*9020</f>
        <v/>
      </c>
    </row>
    <row r="376" customFormat="1" s="638">
      <c r="A376" s="354" t="inlineStr">
        <is>
          <t>안젤리카</t>
        </is>
      </c>
      <c r="B376" s="774" t="n"/>
      <c r="C376" s="233" t="n"/>
      <c r="D376" s="234" t="n"/>
      <c r="E376" s="234" t="n"/>
      <c r="F376" s="230" t="n"/>
      <c r="G376" s="345" t="n"/>
      <c r="H376" s="80" t="n"/>
      <c r="I376" s="114" t="n"/>
      <c r="J376" s="35">
        <f>SUM(B376:I376)</f>
        <v/>
      </c>
      <c r="K376" s="755">
        <f>C376*110000</f>
        <v/>
      </c>
      <c r="L376" s="839" t="n"/>
      <c r="M376" s="770" t="n"/>
      <c r="N376" s="863">
        <f>F376*99000</f>
        <v/>
      </c>
      <c r="O376" s="757" t="n"/>
      <c r="P376" s="854" t="n"/>
      <c r="Q376" s="758" t="n"/>
      <c r="R376" s="755">
        <f>SUM(K376:Q376)</f>
        <v/>
      </c>
      <c r="S376" s="755">
        <f>J376*5930</f>
        <v/>
      </c>
    </row>
    <row r="377" customFormat="1" s="638">
      <c r="A377" s="356" t="inlineStr">
        <is>
          <t>야로우</t>
        </is>
      </c>
      <c r="B377" s="774" t="n"/>
      <c r="C377" s="218" t="n"/>
      <c r="D377" s="234" t="n"/>
      <c r="E377" s="234" t="n"/>
      <c r="F377" s="191" t="n"/>
      <c r="G377" s="195" t="n"/>
      <c r="H377" s="80" t="n"/>
      <c r="I377" s="114" t="n"/>
      <c r="J377" s="35">
        <f>SUM(B377:I377)</f>
        <v/>
      </c>
      <c r="K377" s="755" t="n">
        <v>0</v>
      </c>
      <c r="L377" s="839" t="n"/>
      <c r="M377" s="770" t="n"/>
      <c r="N377" s="863" t="n">
        <v>0</v>
      </c>
      <c r="O377" s="757" t="n"/>
      <c r="P377" s="854" t="n"/>
      <c r="Q377" s="758" t="n"/>
      <c r="R377" s="755">
        <f>SUM(K377:Q377)</f>
        <v/>
      </c>
      <c r="S377" s="755">
        <f>J377*17940</f>
        <v/>
      </c>
    </row>
    <row r="378" customFormat="1" s="638">
      <c r="A378" s="356" t="inlineStr">
        <is>
          <t>오레가노(60%)</t>
        </is>
      </c>
      <c r="B378" s="774" t="n"/>
      <c r="C378" s="218" t="n"/>
      <c r="D378" s="234" t="n"/>
      <c r="E378" s="234" t="n"/>
      <c r="F378" s="191" t="n"/>
      <c r="G378" s="195" t="n"/>
      <c r="H378" s="80" t="n"/>
      <c r="I378" s="114" t="n"/>
      <c r="J378" s="35">
        <f>SUM(B378:I378)</f>
        <v/>
      </c>
      <c r="K378" s="755" t="n">
        <v>0</v>
      </c>
      <c r="L378" s="839" t="n"/>
      <c r="M378" s="770" t="n"/>
      <c r="N378" s="863" t="n">
        <v>0</v>
      </c>
      <c r="O378" s="757" t="n"/>
      <c r="P378" s="854" t="n"/>
      <c r="Q378" s="758" t="n"/>
      <c r="R378" s="755">
        <f>SUM(K378:Q378)</f>
        <v/>
      </c>
      <c r="S378" s="755">
        <f>J378*2110</f>
        <v/>
      </c>
    </row>
    <row r="379" customFormat="1" s="638">
      <c r="A379" s="354" t="inlineStr">
        <is>
          <t>오렌지스윗</t>
        </is>
      </c>
      <c r="B379" s="774" t="n"/>
      <c r="C379" s="233" t="n">
        <v>4</v>
      </c>
      <c r="D379" s="234" t="n"/>
      <c r="E379" s="234" t="n"/>
      <c r="F379" s="230" t="n"/>
      <c r="G379" s="345" t="n"/>
      <c r="H379" s="80" t="n"/>
      <c r="I379" s="114" t="n"/>
      <c r="J379" s="35">
        <f>SUM(B379:I379)</f>
        <v/>
      </c>
      <c r="K379" s="755" t="n">
        <v>24000</v>
      </c>
      <c r="L379" s="839" t="n"/>
      <c r="M379" s="770" t="n"/>
      <c r="N379" s="863" t="n">
        <v>0</v>
      </c>
      <c r="O379" s="757" t="n"/>
      <c r="P379" s="854" t="n"/>
      <c r="Q379" s="758" t="n"/>
      <c r="R379" s="755">
        <f>SUM(K379:Q379)</f>
        <v/>
      </c>
      <c r="S379" s="755">
        <f>J379*1728</f>
        <v/>
      </c>
    </row>
    <row r="380" customFormat="1" s="638">
      <c r="A380" s="354" t="inlineStr">
        <is>
          <t>유즈</t>
        </is>
      </c>
      <c r="B380" s="774" t="n"/>
      <c r="C380" s="233" t="n"/>
      <c r="D380" s="234" t="n"/>
      <c r="E380" s="234" t="n"/>
      <c r="F380" s="230" t="n"/>
      <c r="G380" s="345" t="n"/>
      <c r="H380" s="80" t="n"/>
      <c r="I380" s="114" t="n"/>
      <c r="J380" s="35">
        <f>SUM(B380:I380)</f>
        <v/>
      </c>
      <c r="K380" s="755">
        <f>C380*17000</f>
        <v/>
      </c>
      <c r="L380" s="839" t="n"/>
      <c r="M380" s="770" t="n"/>
      <c r="N380" s="863">
        <f>F380*15000</f>
        <v/>
      </c>
      <c r="O380" s="757" t="n"/>
      <c r="P380" s="854" t="n"/>
      <c r="Q380" s="758" t="n"/>
      <c r="R380" s="755">
        <f>SUM(K380:Q380)</f>
        <v/>
      </c>
      <c r="S380" s="755">
        <f>J380*2620</f>
        <v/>
      </c>
    </row>
    <row r="381" customFormat="1" s="638">
      <c r="A381" s="354" t="inlineStr">
        <is>
          <t>유칼리투스(블루마레)</t>
        </is>
      </c>
      <c r="B381" s="774" t="n"/>
      <c r="C381" s="233" t="n">
        <v>2</v>
      </c>
      <c r="D381" s="234" t="n"/>
      <c r="E381" s="234" t="n"/>
      <c r="F381" s="230" t="n"/>
      <c r="G381" s="345" t="n"/>
      <c r="H381" s="80" t="n"/>
      <c r="I381" s="114" t="n"/>
      <c r="J381" s="35">
        <f>SUM(B381:I381)</f>
        <v/>
      </c>
      <c r="K381" s="755" t="n">
        <v>24000</v>
      </c>
      <c r="L381" s="839" t="n"/>
      <c r="M381" s="770" t="n"/>
      <c r="N381" s="863" t="n">
        <v>0</v>
      </c>
      <c r="O381" s="757" t="n"/>
      <c r="P381" s="854" t="n"/>
      <c r="Q381" s="758" t="n"/>
      <c r="R381" s="755">
        <f>SUM(K381:Q381)</f>
        <v/>
      </c>
      <c r="S381" s="755">
        <f>J381*1996</f>
        <v/>
      </c>
    </row>
    <row r="382" customFormat="1" s="638">
      <c r="A382" s="354" t="inlineStr">
        <is>
          <t>윈터그린</t>
        </is>
      </c>
      <c r="B382" s="774" t="n"/>
      <c r="C382" s="233" t="n"/>
      <c r="D382" s="234" t="n"/>
      <c r="E382" s="234" t="n"/>
      <c r="F382" s="230" t="n"/>
      <c r="G382" s="345" t="n"/>
      <c r="H382" s="80" t="n"/>
      <c r="I382" s="114" t="n"/>
      <c r="J382" s="35">
        <f>SUM(B382:I382)</f>
        <v/>
      </c>
      <c r="K382" s="755" t="n">
        <v>0</v>
      </c>
      <c r="L382" s="839" t="n"/>
      <c r="M382" s="770" t="n"/>
      <c r="N382" s="863" t="n">
        <v>0</v>
      </c>
      <c r="O382" s="757" t="n"/>
      <c r="P382" s="854" t="n"/>
      <c r="Q382" s="758" t="n"/>
      <c r="R382" s="755">
        <f>SUM(K382:Q382)</f>
        <v/>
      </c>
      <c r="S382" s="755">
        <f>J382*2080</f>
        <v/>
      </c>
    </row>
    <row r="383" customFormat="1" s="638">
      <c r="A383" s="356" t="inlineStr">
        <is>
          <t>일랑일랑</t>
        </is>
      </c>
      <c r="B383" s="774" t="n"/>
      <c r="C383" s="218" t="n">
        <v>1</v>
      </c>
      <c r="D383" s="33" t="n"/>
      <c r="E383" s="33" t="n"/>
      <c r="F383" s="191" t="n">
        <v>1</v>
      </c>
      <c r="G383" s="195" t="n"/>
      <c r="H383" s="80" t="n"/>
      <c r="I383" s="114" t="n"/>
      <c r="J383" s="35">
        <f>SUM(B383:I383)</f>
        <v/>
      </c>
      <c r="K383" s="755" t="n">
        <v>27000</v>
      </c>
      <c r="L383" s="839" t="n"/>
      <c r="M383" s="770" t="n"/>
      <c r="N383" s="863" t="n">
        <v>24000</v>
      </c>
      <c r="O383" s="757" t="n"/>
      <c r="P383" s="854" t="n"/>
      <c r="Q383" s="758" t="n"/>
      <c r="R383" s="755">
        <f>SUM(K383:Q383)</f>
        <v/>
      </c>
      <c r="S383" s="755">
        <f>J383*5556</f>
        <v/>
      </c>
    </row>
    <row r="384" customFormat="1" s="638">
      <c r="A384" s="356" t="inlineStr">
        <is>
          <t>자스민(sambac)</t>
        </is>
      </c>
      <c r="B384" s="774" t="n"/>
      <c r="C384" s="218" t="n">
        <v>1</v>
      </c>
      <c r="D384" s="234" t="n"/>
      <c r="E384" s="234" t="n"/>
      <c r="F384" s="191" t="n"/>
      <c r="G384" s="195" t="n"/>
      <c r="H384" s="80" t="n"/>
      <c r="I384" s="114" t="n"/>
      <c r="J384" s="35">
        <f>SUM(B384:I384)</f>
        <v/>
      </c>
      <c r="K384" s="755" t="n">
        <v>27000</v>
      </c>
      <c r="L384" s="839" t="n"/>
      <c r="M384" s="770" t="n"/>
      <c r="N384" s="863" t="n">
        <v>0</v>
      </c>
      <c r="O384" s="757" t="n"/>
      <c r="P384" s="854" t="n"/>
      <c r="Q384" s="758" t="n"/>
      <c r="R384" s="755">
        <f>SUM(K384:Q384)</f>
        <v/>
      </c>
      <c r="S384" s="755">
        <f>J384*5480</f>
        <v/>
      </c>
    </row>
    <row r="385" customFormat="1" s="638">
      <c r="A385" s="354" t="inlineStr">
        <is>
          <t>제라늄오일</t>
        </is>
      </c>
      <c r="B385" s="774" t="n"/>
      <c r="C385" s="233" t="n"/>
      <c r="D385" s="234" t="n"/>
      <c r="E385" s="234" t="n"/>
      <c r="F385" s="230" t="n"/>
      <c r="G385" s="345" t="n"/>
      <c r="H385" s="80" t="n"/>
      <c r="I385" s="114" t="n"/>
      <c r="J385" s="35">
        <f>SUM(B385:I385)</f>
        <v/>
      </c>
      <c r="K385" s="755" t="n">
        <v>0</v>
      </c>
      <c r="L385" s="839" t="n"/>
      <c r="M385" s="770" t="n"/>
      <c r="N385" s="863" t="n">
        <v>0</v>
      </c>
      <c r="O385" s="757" t="n"/>
      <c r="P385" s="854" t="n"/>
      <c r="Q385" s="758" t="n"/>
      <c r="R385" s="755">
        <f>SUM(K385:Q385)</f>
        <v/>
      </c>
      <c r="S385" s="755">
        <f>J385*6700</f>
        <v/>
      </c>
    </row>
    <row r="386" customFormat="1" s="638">
      <c r="A386" s="356" t="inlineStr">
        <is>
          <t>주니퍼베리(두송열매)</t>
        </is>
      </c>
      <c r="B386" s="774" t="n"/>
      <c r="C386" s="218" t="n"/>
      <c r="D386" s="234" t="n"/>
      <c r="E386" s="234" t="n"/>
      <c r="F386" s="191" t="n"/>
      <c r="G386" s="195" t="n"/>
      <c r="H386" s="80" t="n"/>
      <c r="I386" s="114" t="n"/>
      <c r="J386" s="35">
        <f>SUM(B386:I386)</f>
        <v/>
      </c>
      <c r="K386" s="755" t="n">
        <v>0</v>
      </c>
      <c r="L386" s="839" t="n"/>
      <c r="M386" s="770" t="n"/>
      <c r="N386" s="863" t="n">
        <v>0</v>
      </c>
      <c r="O386" s="757" t="n"/>
      <c r="P386" s="854" t="n"/>
      <c r="Q386" s="758" t="n"/>
      <c r="R386" s="755">
        <f>SUM(K386:Q386)</f>
        <v/>
      </c>
      <c r="S386" s="755">
        <f>J386*4225</f>
        <v/>
      </c>
    </row>
    <row r="387" customFormat="1" s="638">
      <c r="A387" s="356" t="inlineStr">
        <is>
          <t>진저</t>
        </is>
      </c>
      <c r="B387" s="774" t="n"/>
      <c r="C387" s="218" t="n"/>
      <c r="D387" s="234" t="n"/>
      <c r="E387" s="234" t="n"/>
      <c r="F387" s="191" t="n"/>
      <c r="G387" s="195" t="n"/>
      <c r="H387" s="80" t="n"/>
      <c r="I387" s="114" t="n"/>
      <c r="J387" s="35">
        <f>SUM(B387:I387)</f>
        <v/>
      </c>
      <c r="K387" s="755" t="n">
        <v>0</v>
      </c>
      <c r="L387" s="839" t="n"/>
      <c r="M387" s="770" t="n"/>
      <c r="N387" s="863" t="n">
        <v>0</v>
      </c>
      <c r="O387" s="757" t="n"/>
      <c r="P387" s="854" t="n"/>
      <c r="Q387" s="758" t="n"/>
      <c r="R387" s="755">
        <f>SUM(K387:Q387)</f>
        <v/>
      </c>
      <c r="S387" s="755">
        <f>J387*5380</f>
        <v/>
      </c>
    </row>
    <row r="388" customFormat="1" s="638">
      <c r="A388" s="356" t="inlineStr">
        <is>
          <t>카누카</t>
        </is>
      </c>
      <c r="B388" s="774" t="n"/>
      <c r="C388" s="218" t="n"/>
      <c r="D388" s="234" t="n"/>
      <c r="E388" s="234" t="n"/>
      <c r="F388" s="191" t="n"/>
      <c r="G388" s="195" t="n"/>
      <c r="H388" s="80" t="n"/>
      <c r="I388" s="114" t="n"/>
      <c r="J388" s="35">
        <f>SUM(B388:I388)</f>
        <v/>
      </c>
      <c r="K388" s="755">
        <f>C388*23000</f>
        <v/>
      </c>
      <c r="L388" s="839" t="n"/>
      <c r="M388" s="770" t="n"/>
      <c r="N388" s="863">
        <f>F388*21000</f>
        <v/>
      </c>
      <c r="O388" s="757" t="n"/>
      <c r="P388" s="854" t="n"/>
      <c r="Q388" s="758" t="n"/>
      <c r="R388" s="755">
        <f>SUM(K388:Q388)</f>
        <v/>
      </c>
      <c r="S388" s="755">
        <f>J388*3220</f>
        <v/>
      </c>
    </row>
    <row r="389" customFormat="1" s="638">
      <c r="A389" s="356" t="inlineStr">
        <is>
          <t>카다멈</t>
        </is>
      </c>
      <c r="B389" s="774" t="n"/>
      <c r="C389" s="218" t="n"/>
      <c r="D389" s="234" t="n"/>
      <c r="E389" s="234" t="n"/>
      <c r="F389" s="191" t="n"/>
      <c r="G389" s="195" t="n"/>
      <c r="H389" s="80" t="n"/>
      <c r="I389" s="114" t="n"/>
      <c r="J389" s="35">
        <f>SUM(B389:I389)</f>
        <v/>
      </c>
      <c r="K389" s="755">
        <f>C389*29000</f>
        <v/>
      </c>
      <c r="L389" s="839" t="n"/>
      <c r="M389" s="770" t="n"/>
      <c r="N389" s="863">
        <f>F389*26000</f>
        <v/>
      </c>
      <c r="O389" s="757" t="n"/>
      <c r="P389" s="854" t="n"/>
      <c r="Q389" s="758" t="n"/>
      <c r="R389" s="755">
        <f>SUM(K389:Q389)</f>
        <v/>
      </c>
      <c r="S389" s="755">
        <f>J389*5340</f>
        <v/>
      </c>
    </row>
    <row r="390" customFormat="1" s="638">
      <c r="A390" s="356" t="inlineStr">
        <is>
          <t>코파이바발삼</t>
        </is>
      </c>
      <c r="B390" s="774" t="n"/>
      <c r="C390" s="218" t="n"/>
      <c r="D390" s="234" t="n"/>
      <c r="E390" s="234" t="n"/>
      <c r="F390" s="191" t="n"/>
      <c r="G390" s="195" t="n"/>
      <c r="H390" s="80" t="n"/>
      <c r="I390" s="114" t="n"/>
      <c r="J390" s="35">
        <f>SUM(B390:I390)</f>
        <v/>
      </c>
      <c r="K390" s="755" t="n">
        <v>0</v>
      </c>
      <c r="L390" s="839" t="n"/>
      <c r="M390" s="770" t="n"/>
      <c r="N390" s="863" t="n">
        <v>0</v>
      </c>
      <c r="O390" s="757" t="n"/>
      <c r="P390" s="854" t="n"/>
      <c r="Q390" s="758" t="n"/>
      <c r="R390" s="755">
        <f>SUM(K390:Q390)</f>
        <v/>
      </c>
      <c r="S390" s="755">
        <f>J390*5600</f>
        <v/>
      </c>
    </row>
    <row r="391" customFormat="1" s="638">
      <c r="A391" s="356" t="inlineStr">
        <is>
          <t>캐롯시드</t>
        </is>
      </c>
      <c r="B391" s="774" t="n"/>
      <c r="C391" s="218" t="n"/>
      <c r="D391" s="234" t="n"/>
      <c r="E391" s="234" t="n"/>
      <c r="F391" s="191" t="n"/>
      <c r="G391" s="195" t="n"/>
      <c r="H391" s="80" t="n"/>
      <c r="I391" s="114" t="n"/>
      <c r="J391" s="35">
        <f>SUM(B391:I391)</f>
        <v/>
      </c>
      <c r="K391" s="755" t="n">
        <v>0</v>
      </c>
      <c r="L391" s="839" t="n"/>
      <c r="M391" s="770" t="n"/>
      <c r="N391" s="863" t="n">
        <v>0</v>
      </c>
      <c r="O391" s="757" t="n"/>
      <c r="P391" s="854" t="n"/>
      <c r="Q391" s="758" t="n"/>
      <c r="R391" s="755">
        <f>SUM(K391:Q391)</f>
        <v/>
      </c>
      <c r="S391" s="755">
        <f>J391*2570</f>
        <v/>
      </c>
    </row>
    <row r="392" customFormat="1" s="638">
      <c r="A392" s="356" t="inlineStr">
        <is>
          <t>캐시플라워</t>
        </is>
      </c>
      <c r="B392" s="774" t="n"/>
      <c r="C392" s="218" t="n"/>
      <c r="D392" s="234" t="n"/>
      <c r="E392" s="234" t="n"/>
      <c r="F392" s="191" t="n"/>
      <c r="G392" s="195" t="n"/>
      <c r="H392" s="80" t="n"/>
      <c r="I392" s="114" t="n"/>
      <c r="J392" s="35">
        <f>SUM(B392:I392)</f>
        <v/>
      </c>
      <c r="K392" s="755">
        <f>C392*23000</f>
        <v/>
      </c>
      <c r="L392" s="839" t="n"/>
      <c r="M392" s="770" t="n"/>
      <c r="N392" s="863">
        <f>F392*21000</f>
        <v/>
      </c>
      <c r="O392" s="757" t="n"/>
      <c r="P392" s="854" t="n"/>
      <c r="Q392" s="758" t="n"/>
      <c r="R392" s="755">
        <f>SUM(K392:Q392)</f>
        <v/>
      </c>
      <c r="S392" s="755">
        <f>J392*3330</f>
        <v/>
      </c>
    </row>
    <row r="393" customFormat="1" s="638">
      <c r="A393" s="356" t="inlineStr">
        <is>
          <t>캠퍼</t>
        </is>
      </c>
      <c r="B393" s="774" t="n"/>
      <c r="C393" s="218" t="n"/>
      <c r="D393" s="234" t="n"/>
      <c r="E393" s="234" t="n"/>
      <c r="F393" s="191" t="n"/>
      <c r="G393" s="195" t="n"/>
      <c r="H393" s="80" t="n"/>
      <c r="I393" s="114" t="n"/>
      <c r="J393" s="35">
        <f>SUM(B393:I393)</f>
        <v/>
      </c>
      <c r="K393" s="755">
        <f>C393*16000</f>
        <v/>
      </c>
      <c r="L393" s="839" t="n"/>
      <c r="M393" s="770" t="n"/>
      <c r="N393" s="863">
        <f>F393*14000</f>
        <v/>
      </c>
      <c r="O393" s="757" t="n"/>
      <c r="P393" s="854" t="n"/>
      <c r="Q393" s="758" t="n"/>
      <c r="R393" s="755">
        <f>SUM(K393:Q393)</f>
        <v/>
      </c>
      <c r="S393" s="755">
        <f>J393*2090</f>
        <v/>
      </c>
    </row>
    <row r="394" customFormat="1" s="638">
      <c r="A394" s="356" t="inlineStr">
        <is>
          <t>코리안더</t>
        </is>
      </c>
      <c r="B394" s="774" t="n"/>
      <c r="C394" s="218" t="n"/>
      <c r="D394" s="234" t="n"/>
      <c r="E394" s="234" t="n"/>
      <c r="F394" s="191" t="n"/>
      <c r="G394" s="195" t="n"/>
      <c r="H394" s="80" t="n"/>
      <c r="I394" s="114" t="n"/>
      <c r="J394" s="35">
        <f>SUM(B394:I394)</f>
        <v/>
      </c>
      <c r="K394" s="755">
        <f>C394*23000</f>
        <v/>
      </c>
      <c r="L394" s="839" t="n"/>
      <c r="M394" s="770" t="n"/>
      <c r="N394" s="863">
        <f>F394*21000</f>
        <v/>
      </c>
      <c r="O394" s="757" t="n"/>
      <c r="P394" s="854" t="n"/>
      <c r="Q394" s="758" t="n"/>
      <c r="R394" s="755">
        <f>SUM(K394:Q394)</f>
        <v/>
      </c>
      <c r="S394" s="755">
        <f>J394*3170</f>
        <v/>
      </c>
    </row>
    <row r="395" customFormat="1" s="638">
      <c r="A395" s="356" t="inlineStr">
        <is>
          <t>클라리세이지</t>
        </is>
      </c>
      <c r="B395" s="774" t="n"/>
      <c r="C395" s="218" t="n"/>
      <c r="D395" s="234" t="n"/>
      <c r="E395" s="234" t="n"/>
      <c r="F395" s="191" t="n"/>
      <c r="G395" s="195" t="n"/>
      <c r="H395" s="80" t="n"/>
      <c r="I395" s="114" t="n"/>
      <c r="J395" s="35">
        <f>SUM(B395:I395)</f>
        <v/>
      </c>
      <c r="K395" s="755" t="n">
        <v>0</v>
      </c>
      <c r="L395" s="839" t="n"/>
      <c r="M395" s="770" t="n"/>
      <c r="N395" s="863" t="n">
        <v>0</v>
      </c>
      <c r="O395" s="757" t="n"/>
      <c r="P395" s="854" t="n"/>
      <c r="Q395" s="758" t="n"/>
      <c r="R395" s="755">
        <f>SUM(K395:Q395)</f>
        <v/>
      </c>
      <c r="S395" s="755">
        <f>J395*4720</f>
        <v/>
      </c>
    </row>
    <row r="396" customFormat="1" s="638">
      <c r="A396" s="356" t="inlineStr">
        <is>
          <t>클로브리프</t>
        </is>
      </c>
      <c r="B396" s="774" t="n"/>
      <c r="C396" s="218" t="n"/>
      <c r="D396" s="234" t="n"/>
      <c r="E396" s="234" t="n"/>
      <c r="F396" s="191" t="n"/>
      <c r="G396" s="195" t="n"/>
      <c r="H396" s="80" t="n"/>
      <c r="I396" s="114" t="n"/>
      <c r="J396" s="35">
        <f>SUM(B396:I396)</f>
        <v/>
      </c>
      <c r="K396" s="755" t="n">
        <v>0</v>
      </c>
      <c r="L396" s="839" t="n"/>
      <c r="M396" s="770" t="n"/>
      <c r="N396" s="863" t="n">
        <v>0</v>
      </c>
      <c r="O396" s="757" t="n"/>
      <c r="P396" s="854" t="n"/>
      <c r="Q396" s="758" t="n"/>
      <c r="R396" s="755">
        <f>SUM(K396:Q396)</f>
        <v/>
      </c>
      <c r="S396" s="755">
        <f>J396*3048</f>
        <v/>
      </c>
    </row>
    <row r="397" customFormat="1" s="638">
      <c r="A397" s="356" t="inlineStr">
        <is>
          <t>타임</t>
        </is>
      </c>
      <c r="B397" s="774" t="n"/>
      <c r="C397" s="218" t="n"/>
      <c r="D397" s="234" t="n"/>
      <c r="E397" s="234" t="n"/>
      <c r="F397" s="191" t="n"/>
      <c r="G397" s="195" t="n"/>
      <c r="H397" s="80" t="n"/>
      <c r="I397" s="114" t="n"/>
      <c r="J397" s="35">
        <f>SUM(B397:I397)</f>
        <v/>
      </c>
      <c r="K397" s="755" t="n">
        <v>0</v>
      </c>
      <c r="L397" s="839" t="n"/>
      <c r="M397" s="770" t="n"/>
      <c r="N397" s="863" t="n">
        <v>0</v>
      </c>
      <c r="O397" s="757" t="n"/>
      <c r="P397" s="854" t="n"/>
      <c r="Q397" s="758" t="n"/>
      <c r="R397" s="755">
        <f>SUM(K397:Q397)</f>
        <v/>
      </c>
      <c r="S397" s="755">
        <f>J397*2740</f>
        <v/>
      </c>
    </row>
    <row r="398" customFormat="1" s="638">
      <c r="A398" s="356" t="inlineStr">
        <is>
          <t>투메릭</t>
        </is>
      </c>
      <c r="B398" s="774" t="n"/>
      <c r="C398" s="218" t="n"/>
      <c r="D398" s="234" t="n"/>
      <c r="E398" s="234" t="n"/>
      <c r="F398" s="191" t="n"/>
      <c r="G398" s="195" t="n"/>
      <c r="H398" s="80" t="n"/>
      <c r="I398" s="114" t="n"/>
      <c r="J398" s="35">
        <f>SUM(B398:I398)</f>
        <v/>
      </c>
      <c r="K398" s="755">
        <f>C398*16000</f>
        <v/>
      </c>
      <c r="L398" s="839" t="n"/>
      <c r="M398" s="770" t="n"/>
      <c r="N398" s="863">
        <f>F398*14000</f>
        <v/>
      </c>
      <c r="O398" s="757" t="n"/>
      <c r="P398" s="854" t="n"/>
      <c r="Q398" s="758" t="n"/>
      <c r="R398" s="755">
        <f>SUM(K398:Q398)</f>
        <v/>
      </c>
      <c r="S398" s="755">
        <f>J398*2160</f>
        <v/>
      </c>
    </row>
    <row r="399" customFormat="1" s="638">
      <c r="A399" s="354" t="inlineStr">
        <is>
          <t>티트리프리미엄</t>
        </is>
      </c>
      <c r="B399" s="774" t="n"/>
      <c r="C399" s="233" t="n"/>
      <c r="D399" s="234" t="n"/>
      <c r="E399" s="234" t="n"/>
      <c r="F399" s="230" t="n">
        <v>1</v>
      </c>
      <c r="G399" s="345" t="n"/>
      <c r="H399" s="80" t="n"/>
      <c r="I399" s="114" t="n"/>
      <c r="J399" s="35">
        <f>SUM(B399:I399)</f>
        <v/>
      </c>
      <c r="K399" s="755" t="n">
        <v>0</v>
      </c>
      <c r="L399" s="839" t="n"/>
      <c r="M399" s="770" t="n"/>
      <c r="N399" s="863">
        <f>F399*20000</f>
        <v/>
      </c>
      <c r="O399" s="757" t="n"/>
      <c r="P399" s="854" t="n"/>
      <c r="Q399" s="758" t="n"/>
      <c r="R399" s="755">
        <f>SUM(K399:Q399)</f>
        <v/>
      </c>
      <c r="S399" s="755">
        <f>J399*2060</f>
        <v/>
      </c>
    </row>
    <row r="400" customFormat="1" s="638">
      <c r="A400" s="356" t="inlineStr">
        <is>
          <t>파인</t>
        </is>
      </c>
      <c r="B400" s="774" t="n"/>
      <c r="C400" s="218" t="n"/>
      <c r="D400" s="234" t="n"/>
      <c r="E400" s="234" t="n"/>
      <c r="F400" s="191" t="n"/>
      <c r="G400" s="195" t="n"/>
      <c r="H400" s="80" t="n"/>
      <c r="I400" s="114" t="n"/>
      <c r="J400" s="35">
        <f>SUM(B400:I400)</f>
        <v/>
      </c>
      <c r="K400" s="755" t="n">
        <v>0</v>
      </c>
      <c r="L400" s="839" t="n"/>
      <c r="M400" s="770" t="n"/>
      <c r="N400" s="863" t="n">
        <v>0</v>
      </c>
      <c r="O400" s="757" t="n"/>
      <c r="P400" s="854" t="n"/>
      <c r="Q400" s="758" t="n"/>
      <c r="R400" s="755">
        <f>SUM(K400:Q400)</f>
        <v/>
      </c>
      <c r="S400" s="755">
        <f>J400*3730</f>
        <v/>
      </c>
    </row>
    <row r="401" customFormat="1" s="638">
      <c r="A401" s="356" t="inlineStr">
        <is>
          <t>팔마로사</t>
        </is>
      </c>
      <c r="B401" s="774" t="n"/>
      <c r="C401" s="218" t="n"/>
      <c r="D401" s="234" t="n"/>
      <c r="E401" s="234" t="n"/>
      <c r="F401" s="191" t="n"/>
      <c r="G401" s="195" t="n"/>
      <c r="H401" s="80" t="n"/>
      <c r="I401" s="114" t="n"/>
      <c r="J401" s="35">
        <f>SUM(B401:I401)</f>
        <v/>
      </c>
      <c r="K401" s="755" t="n">
        <v>0</v>
      </c>
      <c r="L401" s="839" t="n"/>
      <c r="M401" s="770" t="n"/>
      <c r="N401" s="863" t="n">
        <v>0</v>
      </c>
      <c r="O401" s="757" t="n"/>
      <c r="P401" s="854" t="n"/>
      <c r="Q401" s="758" t="n"/>
      <c r="R401" s="755">
        <f>SUM(K401:Q401)</f>
        <v/>
      </c>
      <c r="S401" s="755">
        <f>J401*2360</f>
        <v/>
      </c>
    </row>
    <row r="402" customFormat="1" s="638">
      <c r="A402" s="354" t="inlineStr">
        <is>
          <t>페퍼민트</t>
        </is>
      </c>
      <c r="B402" s="774" t="n"/>
      <c r="C402" s="233" t="n">
        <v>4</v>
      </c>
      <c r="D402" s="234" t="n"/>
      <c r="E402" s="234" t="n"/>
      <c r="F402" s="230" t="n">
        <v>3</v>
      </c>
      <c r="G402" s="345" t="n"/>
      <c r="H402" s="80" t="n"/>
      <c r="I402" s="114" t="n"/>
      <c r="J402" s="35">
        <f>SUM(B402:I402)</f>
        <v/>
      </c>
      <c r="K402" s="755" t="n">
        <v>40000</v>
      </c>
      <c r="L402" s="839" t="n"/>
      <c r="M402" s="770" t="n"/>
      <c r="N402" s="863" t="n">
        <v>27000</v>
      </c>
      <c r="O402" s="757" t="n"/>
      <c r="P402" s="854" t="n"/>
      <c r="Q402" s="758" t="n"/>
      <c r="R402" s="755">
        <f>SUM(K402:Q402)</f>
        <v/>
      </c>
      <c r="S402" s="755">
        <f>J402*1790</f>
        <v/>
      </c>
    </row>
    <row r="403" customFormat="1" s="638">
      <c r="A403" s="356" t="inlineStr">
        <is>
          <t>페티그레인</t>
        </is>
      </c>
      <c r="B403" s="774" t="n"/>
      <c r="C403" s="218" t="n"/>
      <c r="D403" s="234" t="n"/>
      <c r="E403" s="234" t="n"/>
      <c r="F403" s="191" t="n"/>
      <c r="G403" s="195" t="n"/>
      <c r="H403" s="80" t="n"/>
      <c r="I403" s="114" t="n"/>
      <c r="J403" s="35">
        <f>SUM(B403:I403)</f>
        <v/>
      </c>
      <c r="K403" s="755" t="n">
        <v>0</v>
      </c>
      <c r="L403" s="839" t="n"/>
      <c r="M403" s="770" t="n"/>
      <c r="N403" s="863" t="n">
        <v>0</v>
      </c>
      <c r="O403" s="757" t="n"/>
      <c r="P403" s="854" t="n"/>
      <c r="Q403" s="758" t="n"/>
      <c r="R403" s="755">
        <f>SUM(K403:Q403)</f>
        <v/>
      </c>
      <c r="S403" s="755">
        <f>J403*4060</f>
        <v/>
      </c>
    </row>
    <row r="404" customFormat="1" s="638">
      <c r="A404" s="356" t="inlineStr">
        <is>
          <t>패츌리</t>
        </is>
      </c>
      <c r="B404" s="774" t="n"/>
      <c r="C404" s="218" t="n"/>
      <c r="D404" s="234" t="n"/>
      <c r="E404" s="234" t="n"/>
      <c r="F404" s="191" t="n"/>
      <c r="G404" s="195" t="n"/>
      <c r="H404" s="80" t="n"/>
      <c r="I404" s="114" t="n"/>
      <c r="J404" s="35">
        <f>SUM(B404:I404)</f>
        <v/>
      </c>
      <c r="K404" s="755" t="n">
        <v>0</v>
      </c>
      <c r="L404" s="839" t="n"/>
      <c r="M404" s="770" t="n"/>
      <c r="N404" s="863" t="n">
        <v>0</v>
      </c>
      <c r="O404" s="757" t="n"/>
      <c r="P404" s="854" t="n"/>
      <c r="Q404" s="758" t="n"/>
      <c r="R404" s="755">
        <f>SUM(K404:Q404)</f>
        <v/>
      </c>
      <c r="S404" s="755">
        <f>J404*7690</f>
        <v/>
      </c>
    </row>
    <row r="405" customFormat="1" s="638">
      <c r="A405" s="356" t="inlineStr">
        <is>
          <t>펜넬</t>
        </is>
      </c>
      <c r="B405" s="774" t="n"/>
      <c r="C405" s="218" t="n"/>
      <c r="D405" s="234" t="n"/>
      <c r="E405" s="234" t="n"/>
      <c r="F405" s="191" t="n"/>
      <c r="G405" s="195" t="n"/>
      <c r="H405" s="80" t="n"/>
      <c r="I405" s="114" t="n"/>
      <c r="J405" s="35">
        <f>SUM(B405:I405)</f>
        <v/>
      </c>
      <c r="K405" s="755" t="n">
        <v>0</v>
      </c>
      <c r="L405" s="839" t="n"/>
      <c r="M405" s="770" t="n"/>
      <c r="N405" s="863" t="n">
        <v>0</v>
      </c>
      <c r="O405" s="757" t="n"/>
      <c r="P405" s="854" t="n"/>
      <c r="Q405" s="758" t="n"/>
      <c r="R405" s="755">
        <f>SUM(K405:Q405)</f>
        <v/>
      </c>
      <c r="S405" s="755">
        <f>J405*3730</f>
        <v/>
      </c>
    </row>
    <row r="406" customFormat="1" s="638">
      <c r="A406" s="356" t="inlineStr">
        <is>
          <t>프랑킨센스(유향나무)</t>
        </is>
      </c>
      <c r="B406" s="774" t="n"/>
      <c r="C406" s="233" t="n">
        <v>1</v>
      </c>
      <c r="D406" s="234" t="n"/>
      <c r="E406" s="234" t="n"/>
      <c r="F406" s="230" t="n"/>
      <c r="G406" s="345" t="n"/>
      <c r="H406" s="80" t="n"/>
      <c r="I406" s="114" t="n"/>
      <c r="J406" s="35">
        <f>SUM(B406:I406)</f>
        <v/>
      </c>
      <c r="K406" s="755" t="n">
        <v>24000</v>
      </c>
      <c r="L406" s="839" t="n"/>
      <c r="M406" s="770" t="n"/>
      <c r="N406" s="863" t="n">
        <v>0</v>
      </c>
      <c r="O406" s="757" t="n"/>
      <c r="P406" s="854" t="n"/>
      <c r="Q406" s="758" t="n"/>
      <c r="R406" s="755">
        <f>SUM(K406:Q406)</f>
        <v/>
      </c>
      <c r="S406" s="755">
        <f>J406*5160</f>
        <v/>
      </c>
    </row>
    <row r="407" customFormat="1" s="638">
      <c r="A407" s="356" t="inlineStr">
        <is>
          <t>헬리크리섬</t>
        </is>
      </c>
      <c r="B407" s="774" t="n"/>
      <c r="C407" s="233" t="n"/>
      <c r="D407" s="234" t="n"/>
      <c r="E407" s="234" t="n"/>
      <c r="F407" s="230" t="n"/>
      <c r="G407" s="345" t="n"/>
      <c r="H407" s="80" t="n"/>
      <c r="I407" s="114" t="n"/>
      <c r="J407" s="35">
        <f>SUM(B407:I407)</f>
        <v/>
      </c>
      <c r="K407" s="755">
        <f>C407*125000</f>
        <v/>
      </c>
      <c r="L407" s="839" t="n"/>
      <c r="M407" s="770" t="n"/>
      <c r="N407" s="863">
        <f>F407*113000</f>
        <v/>
      </c>
      <c r="O407" s="757" t="n"/>
      <c r="P407" s="854" t="n"/>
      <c r="Q407" s="758" t="n"/>
      <c r="R407" s="755">
        <f>SUM(K407:Q407)</f>
        <v/>
      </c>
      <c r="S407" s="755">
        <f>J407*3640</f>
        <v/>
      </c>
    </row>
    <row r="408" customFormat="1" s="638">
      <c r="A408" s="356" t="inlineStr">
        <is>
          <t>히솝</t>
        </is>
      </c>
      <c r="B408" s="774" t="n"/>
      <c r="C408" s="233" t="n"/>
      <c r="D408" s="234" t="n"/>
      <c r="E408" s="234" t="n"/>
      <c r="F408" s="230" t="n"/>
      <c r="G408" s="345" t="n"/>
      <c r="H408" s="80" t="n"/>
      <c r="I408" s="114" t="n"/>
      <c r="J408" s="35">
        <f>SUM(B408:I408)</f>
        <v/>
      </c>
      <c r="K408" s="755">
        <f>C408*23000</f>
        <v/>
      </c>
      <c r="L408" s="839" t="n"/>
      <c r="M408" s="770" t="n"/>
      <c r="N408" s="863">
        <f>F408*21000</f>
        <v/>
      </c>
      <c r="O408" s="757" t="n"/>
      <c r="P408" s="854" t="n"/>
      <c r="Q408" s="758" t="n"/>
      <c r="R408" s="755">
        <f>SUM(K408:Q408)</f>
        <v/>
      </c>
      <c r="S408" s="755">
        <f>J408*3220</f>
        <v/>
      </c>
    </row>
    <row r="409" customFormat="1" s="638">
      <c r="A409" s="356" t="inlineStr">
        <is>
          <t>히노키</t>
        </is>
      </c>
      <c r="B409" s="774" t="n"/>
      <c r="C409" s="35" t="n"/>
      <c r="D409" s="234" t="n"/>
      <c r="E409" s="234" t="n"/>
      <c r="F409" s="191" t="n"/>
      <c r="G409" s="195" t="n"/>
      <c r="H409" s="80" t="n"/>
      <c r="I409" s="114" t="n"/>
      <c r="J409" s="35">
        <f>SUM(B409:I409)</f>
        <v/>
      </c>
      <c r="K409" s="755" t="n">
        <v>0</v>
      </c>
      <c r="L409" s="839" t="n"/>
      <c r="M409" s="770" t="n"/>
      <c r="N409" s="863" t="n">
        <v>0</v>
      </c>
      <c r="O409" s="757" t="n"/>
      <c r="P409" s="854" t="n"/>
      <c r="Q409" s="758" t="n"/>
      <c r="R409" s="755">
        <f>SUM(K409:Q409)</f>
        <v/>
      </c>
      <c r="S409" s="755">
        <f>J409*8130</f>
        <v/>
      </c>
    </row>
    <row r="410" customFormat="1" s="638">
      <c r="A410" s="356" t="inlineStr">
        <is>
          <t xml:space="preserve"> 발삼전나무오가닉</t>
        </is>
      </c>
      <c r="B410" s="774" t="n"/>
      <c r="C410" s="35" t="n"/>
      <c r="D410" s="234" t="n"/>
      <c r="E410" s="234" t="n"/>
      <c r="F410" s="191" t="n"/>
      <c r="G410" s="195" t="n"/>
      <c r="H410" s="80" t="n"/>
      <c r="I410" s="114" t="n"/>
      <c r="J410" s="35">
        <f>SUM(B410:I410)</f>
        <v/>
      </c>
      <c r="K410" s="755" t="n">
        <v>0</v>
      </c>
      <c r="L410" s="839" t="n"/>
      <c r="M410" s="770" t="n"/>
      <c r="N410" s="863" t="n">
        <v>0</v>
      </c>
      <c r="O410" s="757" t="n"/>
      <c r="P410" s="854" t="n"/>
      <c r="Q410" s="758" t="n"/>
      <c r="R410" s="755">
        <f>SUM(K410:Q410)</f>
        <v/>
      </c>
      <c r="S410" s="755">
        <f>J410*2960</f>
        <v/>
      </c>
    </row>
    <row r="411" customFormat="1" s="638">
      <c r="A411" s="356" t="inlineStr">
        <is>
          <t>잭파인에스엠오가닉</t>
        </is>
      </c>
      <c r="B411" s="774" t="n"/>
      <c r="C411" s="35" t="n"/>
      <c r="D411" s="234" t="n"/>
      <c r="E411" s="234" t="n"/>
      <c r="F411" s="191" t="n"/>
      <c r="G411" s="195" t="n"/>
      <c r="H411" s="80" t="n"/>
      <c r="I411" s="114" t="n"/>
      <c r="J411" s="35">
        <f>SUM(B411:I411)</f>
        <v/>
      </c>
      <c r="K411" s="755" t="n">
        <v>0</v>
      </c>
      <c r="L411" s="839" t="n"/>
      <c r="M411" s="770" t="n"/>
      <c r="N411" s="863" t="n">
        <v>0</v>
      </c>
      <c r="O411" s="757" t="n"/>
      <c r="P411" s="854" t="n"/>
      <c r="Q411" s="758" t="n"/>
      <c r="R411" s="755">
        <f>SUM(K411:Q411)</f>
        <v/>
      </c>
      <c r="S411" s="755">
        <f>J411*4270</f>
        <v/>
      </c>
    </row>
    <row r="412" customFormat="1" s="638">
      <c r="A412" s="356" t="inlineStr">
        <is>
          <t>(W)가문비나무오가닉</t>
        </is>
      </c>
      <c r="B412" s="774" t="n"/>
      <c r="C412" s="35" t="n"/>
      <c r="D412" s="234" t="n"/>
      <c r="E412" s="234" t="n"/>
      <c r="F412" s="191" t="n"/>
      <c r="G412" s="195" t="n"/>
      <c r="H412" s="80" t="n"/>
      <c r="I412" s="114" t="n"/>
      <c r="J412" s="35">
        <f>SUM(B412:I412)</f>
        <v/>
      </c>
      <c r="K412" s="755" t="n">
        <v>0</v>
      </c>
      <c r="L412" s="839" t="n"/>
      <c r="M412" s="770" t="n"/>
      <c r="N412" s="863" t="n">
        <v>0</v>
      </c>
      <c r="O412" s="757" t="n"/>
      <c r="P412" s="854" t="n"/>
      <c r="Q412" s="758" t="n"/>
      <c r="R412" s="755">
        <f>SUM(K412:Q412)</f>
        <v/>
      </c>
      <c r="S412" s="755">
        <f>J412*5610</f>
        <v/>
      </c>
    </row>
    <row r="413" customFormat="1" s="638">
      <c r="A413" s="356" t="inlineStr">
        <is>
          <t>타마락낙엽송오가닉</t>
        </is>
      </c>
      <c r="B413" s="774" t="n"/>
      <c r="C413" s="35" t="n"/>
      <c r="D413" s="234" t="n"/>
      <c r="E413" s="234" t="n"/>
      <c r="F413" s="191" t="n"/>
      <c r="G413" s="195" t="n"/>
      <c r="H413" s="80" t="n"/>
      <c r="I413" s="114" t="n"/>
      <c r="J413" s="35">
        <f>SUM(B413:I413)</f>
        <v/>
      </c>
      <c r="K413" s="755" t="n">
        <v>0</v>
      </c>
      <c r="L413" s="839" t="n"/>
      <c r="M413" s="770" t="n"/>
      <c r="N413" s="863" t="n">
        <v>0</v>
      </c>
      <c r="O413" s="757" t="n"/>
      <c r="P413" s="854" t="n"/>
      <c r="Q413" s="758" t="n"/>
      <c r="R413" s="755">
        <f>SUM(K413:Q413)</f>
        <v/>
      </c>
      <c r="S413" s="755">
        <f>J413*7310</f>
        <v/>
      </c>
    </row>
    <row r="414" customFormat="1" s="638">
      <c r="A414" s="356" t="inlineStr">
        <is>
          <t>동백삼나무잎</t>
        </is>
      </c>
      <c r="B414" s="774" t="n"/>
      <c r="C414" s="35" t="n"/>
      <c r="D414" s="234" t="n"/>
      <c r="E414" s="234" t="n"/>
      <c r="F414" s="191" t="n"/>
      <c r="G414" s="195" t="n"/>
      <c r="H414" s="80" t="n"/>
      <c r="I414" s="114" t="n"/>
      <c r="J414" s="35">
        <f>SUM(B414:I414)</f>
        <v/>
      </c>
      <c r="K414" s="755" t="n">
        <v>0</v>
      </c>
      <c r="L414" s="839" t="n"/>
      <c r="M414" s="770" t="n"/>
      <c r="N414" s="863" t="n">
        <v>0</v>
      </c>
      <c r="O414" s="757" t="n"/>
      <c r="P414" s="854" t="n"/>
      <c r="Q414" s="758" t="n"/>
      <c r="R414" s="755">
        <f>SUM(K414:Q414)</f>
        <v/>
      </c>
      <c r="S414" s="755">
        <f>J414*3980</f>
        <v/>
      </c>
    </row>
    <row r="415" customFormat="1" s="638">
      <c r="A415" s="356" t="inlineStr">
        <is>
          <t>노르웨이소나무</t>
        </is>
      </c>
      <c r="B415" s="775" t="n"/>
      <c r="C415" s="35" t="n"/>
      <c r="D415" s="234" t="n"/>
      <c r="E415" s="234" t="n"/>
      <c r="F415" s="191" t="n"/>
      <c r="G415" s="195" t="n"/>
      <c r="H415" s="80" t="n"/>
      <c r="I415" s="114" t="n"/>
      <c r="J415" s="35">
        <f>SUM(B415:I415)</f>
        <v/>
      </c>
      <c r="K415" s="755" t="n">
        <v>0</v>
      </c>
      <c r="L415" s="839" t="n"/>
      <c r="M415" s="770" t="n"/>
      <c r="N415" s="863" t="n">
        <v>0</v>
      </c>
      <c r="O415" s="757" t="n"/>
      <c r="P415" s="854" t="n"/>
      <c r="Q415" s="758" t="n"/>
      <c r="R415" s="755">
        <f>SUM(K415:Q415)</f>
        <v/>
      </c>
      <c r="S415" s="755">
        <f>J415*3920</f>
        <v/>
      </c>
    </row>
    <row r="416" customFormat="1" s="638">
      <c r="A416" s="356" t="n"/>
      <c r="B416" s="417" t="n"/>
      <c r="C416" s="35" t="n"/>
      <c r="D416" s="234" t="n"/>
      <c r="E416" s="234" t="n"/>
      <c r="F416" s="191" t="n"/>
      <c r="G416" s="195" t="n"/>
      <c r="H416" s="80" t="n"/>
      <c r="I416" s="114" t="n"/>
      <c r="J416" s="35" t="n"/>
      <c r="K416" s="755" t="n"/>
      <c r="L416" s="839" t="n"/>
      <c r="M416" s="770" t="n"/>
      <c r="N416" s="863" t="n"/>
      <c r="O416" s="757" t="n"/>
      <c r="P416" s="854" t="n"/>
      <c r="Q416" s="758" t="n"/>
      <c r="R416" s="755" t="n"/>
      <c r="S416" s="755" t="n"/>
    </row>
    <row r="417" customFormat="1" s="74">
      <c r="A417" s="504" t="inlineStr">
        <is>
          <t>10ml 합계</t>
        </is>
      </c>
      <c r="B417" s="503" t="n"/>
      <c r="C417" s="450">
        <f>SUM(C346:C416)</f>
        <v/>
      </c>
      <c r="D417" s="450">
        <f>SUM(D346:D416)</f>
        <v/>
      </c>
      <c r="E417" s="450">
        <f>SUM(E346:E416)</f>
        <v/>
      </c>
      <c r="F417" s="450">
        <f>SUM(F346:F416)</f>
        <v/>
      </c>
      <c r="G417" s="450">
        <f>SUM(G346:G416)</f>
        <v/>
      </c>
      <c r="H417" s="450">
        <f>SUM(H346:H416)</f>
        <v/>
      </c>
      <c r="I417" s="450">
        <f>SUM(I346:I416)</f>
        <v/>
      </c>
      <c r="J417" s="450">
        <f>SUM(J346:J416)</f>
        <v/>
      </c>
      <c r="K417" s="886">
        <f>SUM(K343:K416)</f>
        <v/>
      </c>
      <c r="L417" s="886">
        <f>SUM(L343:L416)</f>
        <v/>
      </c>
      <c r="M417" s="886">
        <f>SUM(M343:M416)</f>
        <v/>
      </c>
      <c r="N417" s="887">
        <f>SUM(N343:N416)</f>
        <v/>
      </c>
      <c r="O417" s="886">
        <f>SUM(O343:O416)</f>
        <v/>
      </c>
      <c r="P417" s="886">
        <f>SUM(P343:P416)</f>
        <v/>
      </c>
      <c r="Q417" s="886">
        <f>SUM(Q343:Q416)</f>
        <v/>
      </c>
      <c r="R417" s="886">
        <f>SUM(K417:Q417)</f>
        <v/>
      </c>
      <c r="S417" s="886">
        <f>SUM(S343:S416)</f>
        <v/>
      </c>
    </row>
    <row r="418" customFormat="1" s="245">
      <c r="A418" s="570" t="inlineStr">
        <is>
          <t>갈바넘</t>
        </is>
      </c>
      <c r="B418" s="571" t="n"/>
      <c r="C418" s="237" t="n"/>
      <c r="D418" s="237" t="n"/>
      <c r="E418" s="237" t="n"/>
      <c r="F418" s="237" t="n"/>
      <c r="G418" s="237" t="n"/>
      <c r="H418" s="237" t="n"/>
      <c r="I418" s="237" t="n"/>
      <c r="J418" s="35">
        <f>SUM(B418:I418)</f>
        <v/>
      </c>
      <c r="K418" s="810">
        <f>C418*480000</f>
        <v/>
      </c>
      <c r="L418" s="810" t="n"/>
      <c r="M418" s="810" t="n"/>
      <c r="N418" s="813">
        <f>F418*432000</f>
        <v/>
      </c>
      <c r="O418" s="810" t="n"/>
      <c r="P418" s="810" t="n"/>
      <c r="Q418" s="810" t="n"/>
      <c r="R418" s="755">
        <f>SUM(K418:Q418)</f>
        <v/>
      </c>
      <c r="S418" s="810">
        <f>J418*40100</f>
        <v/>
      </c>
    </row>
    <row r="419" ht="16.5" customFormat="1" customHeight="1" s="638">
      <c r="A419" s="356" t="inlineStr">
        <is>
          <t>그레이프루잇</t>
        </is>
      </c>
      <c r="B419" s="547" t="inlineStr">
        <is>
          <t xml:space="preserve">자디니아로마에센셜오일100ml   P0000BID  /  P0000BKF    /  P0000BME   /  P0000BMD   </t>
        </is>
      </c>
      <c r="C419" s="237" t="n"/>
      <c r="D419" s="234" t="n"/>
      <c r="E419" s="234" t="n"/>
      <c r="F419" s="230" t="n"/>
      <c r="G419" s="345" t="n"/>
      <c r="H419" s="80" t="n"/>
      <c r="I419" s="114" t="n"/>
      <c r="J419" s="35">
        <f>SUM(B419:I419)</f>
        <v/>
      </c>
      <c r="K419" s="755" t="n">
        <v>0</v>
      </c>
      <c r="L419" s="839" t="n"/>
      <c r="M419" s="770" t="n"/>
      <c r="N419" s="863" t="n">
        <v>0</v>
      </c>
      <c r="O419" s="757" t="n"/>
      <c r="P419" s="854" t="n"/>
      <c r="Q419" s="758" t="n"/>
      <c r="R419" s="755">
        <f>SUM(K419:Q419)</f>
        <v/>
      </c>
      <c r="S419" s="755">
        <f>J419*18000</f>
        <v/>
      </c>
    </row>
    <row r="420" ht="16.5" customFormat="1" customHeight="1" s="638">
      <c r="A420" s="356" t="inlineStr">
        <is>
          <t>넛맥</t>
        </is>
      </c>
      <c r="B420" s="774" t="n"/>
      <c r="C420" s="237" t="n"/>
      <c r="D420" s="234" t="n"/>
      <c r="E420" s="234" t="n"/>
      <c r="F420" s="230" t="n"/>
      <c r="G420" s="345" t="n"/>
      <c r="H420" s="80" t="n"/>
      <c r="I420" s="114" t="n"/>
      <c r="J420" s="35">
        <f>SUM(B420:I420)</f>
        <v/>
      </c>
      <c r="K420" s="755">
        <f>C420*136000</f>
        <v/>
      </c>
      <c r="L420" s="839" t="n"/>
      <c r="M420" s="770" t="n"/>
      <c r="N420" s="863">
        <f>F420*122000</f>
        <v/>
      </c>
      <c r="O420" s="757" t="n"/>
      <c r="P420" s="854" t="n"/>
      <c r="Q420" s="758" t="n"/>
      <c r="R420" s="755">
        <f>SUM(K420:Q420)</f>
        <v/>
      </c>
      <c r="S420" s="755">
        <f>J420*16200</f>
        <v/>
      </c>
    </row>
    <row r="421" customFormat="1" s="638">
      <c r="A421" s="356" t="inlineStr">
        <is>
          <t xml:space="preserve">네롤리 </t>
        </is>
      </c>
      <c r="B421" s="774" t="n"/>
      <c r="C421" s="237" t="n"/>
      <c r="D421" s="234" t="n"/>
      <c r="E421" s="234" t="n"/>
      <c r="F421" s="230" t="n"/>
      <c r="G421" s="345" t="n"/>
      <c r="H421" s="80" t="n"/>
      <c r="I421" s="114" t="n"/>
      <c r="J421" s="35">
        <f>SUM(B421:I421)</f>
        <v/>
      </c>
      <c r="K421" s="755" t="n">
        <v>0</v>
      </c>
      <c r="L421" s="839" t="n"/>
      <c r="M421" s="770" t="n"/>
      <c r="N421" s="863" t="n">
        <v>0</v>
      </c>
      <c r="O421" s="757" t="n"/>
      <c r="P421" s="854" t="n"/>
      <c r="Q421" s="758" t="n"/>
      <c r="R421" s="755">
        <f>SUM(K421:Q421)</f>
        <v/>
      </c>
      <c r="S421" s="755">
        <f>J421*18200</f>
        <v/>
      </c>
    </row>
    <row r="422" customFormat="1" s="638">
      <c r="A422" s="356" t="inlineStr">
        <is>
          <t>딜시드</t>
        </is>
      </c>
      <c r="B422" s="774" t="n"/>
      <c r="C422" s="237" t="n"/>
      <c r="D422" s="234" t="n"/>
      <c r="E422" s="234" t="n"/>
      <c r="F422" s="230" t="n"/>
      <c r="G422" s="345" t="n"/>
      <c r="H422" s="80" t="n"/>
      <c r="I422" s="114" t="n"/>
      <c r="J422" s="35">
        <f>SUM(B422:I422)</f>
        <v/>
      </c>
      <c r="K422" s="755">
        <f>C422*128000</f>
        <v/>
      </c>
      <c r="L422" s="839" t="n"/>
      <c r="M422" s="770" t="n"/>
      <c r="N422" s="863">
        <f>F422*115000</f>
        <v/>
      </c>
      <c r="O422" s="757" t="n"/>
      <c r="P422" s="854" t="n"/>
      <c r="Q422" s="758" t="n"/>
      <c r="R422" s="755">
        <f>SUM(K422:Q422)</f>
        <v/>
      </c>
      <c r="S422" s="755">
        <f>J422*13300</f>
        <v/>
      </c>
    </row>
    <row r="423" customFormat="1" s="638">
      <c r="A423" s="354" t="inlineStr">
        <is>
          <t>라벤다(불가리아)</t>
        </is>
      </c>
      <c r="B423" s="774" t="n"/>
      <c r="C423" s="237" t="n"/>
      <c r="D423" s="242" t="n"/>
      <c r="E423" s="234" t="n"/>
      <c r="F423" s="230" t="n">
        <v>2</v>
      </c>
      <c r="G423" s="345" t="n"/>
      <c r="H423" s="80" t="n"/>
      <c r="I423" s="114" t="n"/>
      <c r="J423" s="35">
        <f>SUM(B423:I423)</f>
        <v/>
      </c>
      <c r="K423" s="755" t="n">
        <v>0</v>
      </c>
      <c r="L423" s="839" t="n"/>
      <c r="M423" s="770" t="n"/>
      <c r="N423" s="863" t="n">
        <v>158000</v>
      </c>
      <c r="O423" s="757" t="n"/>
      <c r="P423" s="854" t="n"/>
      <c r="Q423" s="758" t="n"/>
      <c r="R423" s="755">
        <f>SUM(K423:Q423)</f>
        <v/>
      </c>
      <c r="S423" s="755">
        <f>J423*13900</f>
        <v/>
      </c>
    </row>
    <row r="424" customFormat="1" s="638">
      <c r="A424" s="354" t="inlineStr">
        <is>
          <t>라임</t>
        </is>
      </c>
      <c r="B424" s="774" t="n"/>
      <c r="C424" s="237" t="n"/>
      <c r="D424" s="234" t="n"/>
      <c r="E424" s="234" t="n"/>
      <c r="F424" s="230" t="n"/>
      <c r="G424" s="345" t="n"/>
      <c r="H424" s="80" t="n"/>
      <c r="I424" s="114" t="n"/>
      <c r="J424" s="35">
        <f>SUM(B424:I424)</f>
        <v/>
      </c>
      <c r="K424" s="755" t="n">
        <v>0</v>
      </c>
      <c r="L424" s="839" t="n"/>
      <c r="M424" s="770" t="n"/>
      <c r="N424" s="863" t="n">
        <v>0</v>
      </c>
      <c r="O424" s="757" t="n"/>
      <c r="P424" s="854" t="n"/>
      <c r="Q424" s="758" t="n"/>
      <c r="R424" s="755">
        <f>SUM(K424:Q424)</f>
        <v/>
      </c>
      <c r="S424" s="755">
        <f>J424*16900</f>
        <v/>
      </c>
    </row>
    <row r="425" customFormat="1" s="638">
      <c r="A425" s="354" t="inlineStr">
        <is>
          <t>레몬오일</t>
        </is>
      </c>
      <c r="B425" s="774" t="n"/>
      <c r="C425" s="237" t="n"/>
      <c r="D425" s="234" t="n"/>
      <c r="E425" s="234" t="n"/>
      <c r="F425" s="230" t="n">
        <v>1</v>
      </c>
      <c r="G425" s="345" t="n"/>
      <c r="H425" s="80" t="n"/>
      <c r="I425" s="114" t="n"/>
      <c r="J425" s="35">
        <f>SUM(B425:I425)</f>
        <v/>
      </c>
      <c r="K425" s="755" t="n">
        <v>0</v>
      </c>
      <c r="L425" s="839" t="n"/>
      <c r="M425" s="770" t="n"/>
      <c r="N425" s="863" t="n">
        <v>41000</v>
      </c>
      <c r="O425" s="757" t="n"/>
      <c r="P425" s="854" t="n"/>
      <c r="Q425" s="758" t="n"/>
      <c r="R425" s="755">
        <f>SUM(K425:Q425)</f>
        <v/>
      </c>
      <c r="S425" s="755">
        <f>J425*12500</f>
        <v/>
      </c>
    </row>
    <row r="426" customFormat="1" s="638">
      <c r="A426" s="354" t="inlineStr">
        <is>
          <t>레몬그라스오일</t>
        </is>
      </c>
      <c r="B426" s="774" t="n"/>
      <c r="C426" s="237" t="n"/>
      <c r="D426" s="234" t="n"/>
      <c r="E426" s="234" t="n"/>
      <c r="F426" s="230" t="n">
        <v>1</v>
      </c>
      <c r="G426" s="345" t="n"/>
      <c r="H426" s="80" t="n"/>
      <c r="I426" s="114" t="n"/>
      <c r="J426" s="35">
        <f>SUM(B426:I426)</f>
        <v/>
      </c>
      <c r="K426" s="755" t="n">
        <v>0</v>
      </c>
      <c r="L426" s="839" t="n"/>
      <c r="M426" s="770" t="n"/>
      <c r="N426" s="863" t="n">
        <v>49000</v>
      </c>
      <c r="O426" s="757" t="n"/>
      <c r="P426" s="854" t="n"/>
      <c r="Q426" s="758" t="n"/>
      <c r="R426" s="755">
        <f>SUM(K426:Q426)</f>
        <v/>
      </c>
      <c r="S426" s="755">
        <f>J426*8700</f>
        <v/>
      </c>
    </row>
    <row r="427" customFormat="1" s="638">
      <c r="A427" s="355" t="inlineStr">
        <is>
          <t>로즈마리오일</t>
        </is>
      </c>
      <c r="B427" s="774" t="n"/>
      <c r="C427" s="237" t="n"/>
      <c r="D427" s="242" t="n"/>
      <c r="E427" s="234" t="n"/>
      <c r="F427" s="230" t="n"/>
      <c r="G427" s="345" t="n"/>
      <c r="H427" s="80" t="n"/>
      <c r="I427" s="114" t="n"/>
      <c r="J427" s="35">
        <f>SUM(B427:I427)</f>
        <v/>
      </c>
      <c r="K427" s="755">
        <f>C427*146000</f>
        <v/>
      </c>
      <c r="L427" s="839" t="n"/>
      <c r="M427" s="770" t="n"/>
      <c r="N427" s="863">
        <f>F427*131000</f>
        <v/>
      </c>
      <c r="O427" s="757" t="n"/>
      <c r="P427" s="854" t="n"/>
      <c r="Q427" s="758" t="n"/>
      <c r="R427" s="755">
        <f>SUM(K427:Q427)</f>
        <v/>
      </c>
      <c r="S427" s="755">
        <f>J427*38900</f>
        <v/>
      </c>
    </row>
    <row r="428" customFormat="1" s="638">
      <c r="A428" s="354" t="inlineStr">
        <is>
          <t>로즈제라늄</t>
        </is>
      </c>
      <c r="B428" s="774" t="n"/>
      <c r="C428" s="237" t="n"/>
      <c r="D428" s="242" t="n"/>
      <c r="E428" s="234" t="n"/>
      <c r="F428" s="230" t="n"/>
      <c r="G428" s="345" t="n"/>
      <c r="H428" s="80" t="n"/>
      <c r="I428" s="114" t="n"/>
      <c r="J428" s="35">
        <f>SUM(B428:I428)</f>
        <v/>
      </c>
      <c r="K428" s="755" t="n">
        <v>0</v>
      </c>
      <c r="L428" s="839" t="n"/>
      <c r="M428" s="770" t="n"/>
      <c r="N428" s="863" t="n">
        <v>0</v>
      </c>
      <c r="O428" s="757" t="n"/>
      <c r="P428" s="854" t="n"/>
      <c r="Q428" s="758" t="n"/>
      <c r="R428" s="755">
        <f>SUM(K428:Q428)</f>
        <v/>
      </c>
      <c r="S428" s="755">
        <f>J428*14200</f>
        <v/>
      </c>
    </row>
    <row r="429" customFormat="1" s="638">
      <c r="A429" s="354" t="inlineStr">
        <is>
          <t>로만캐모마일(오가닉)</t>
        </is>
      </c>
      <c r="B429" s="774" t="n"/>
      <c r="C429" s="237" t="n"/>
      <c r="D429" s="234" t="n"/>
      <c r="E429" s="234" t="n"/>
      <c r="F429" s="230" t="n"/>
      <c r="G429" s="345" t="n"/>
      <c r="H429" s="80" t="n"/>
      <c r="I429" s="114" t="n"/>
      <c r="J429" s="35">
        <f>SUM(B429:I429)</f>
        <v/>
      </c>
      <c r="K429" s="755" t="n">
        <v>0</v>
      </c>
      <c r="L429" s="839" t="n"/>
      <c r="M429" s="770" t="n"/>
      <c r="N429" s="863" t="n">
        <v>0</v>
      </c>
      <c r="O429" s="757" t="n"/>
      <c r="P429" s="854" t="n"/>
      <c r="Q429" s="758" t="n"/>
      <c r="R429" s="755">
        <f>SUM(K429:Q429)</f>
        <v/>
      </c>
      <c r="S429" s="755">
        <f>J429*276500</f>
        <v/>
      </c>
    </row>
    <row r="430" customFormat="1" s="638">
      <c r="A430" s="354" t="inlineStr">
        <is>
          <t>루</t>
        </is>
      </c>
      <c r="B430" s="774" t="n"/>
      <c r="C430" s="237" t="n"/>
      <c r="D430" s="234" t="n"/>
      <c r="E430" s="234" t="n"/>
      <c r="F430" s="230" t="n"/>
      <c r="G430" s="345" t="n"/>
      <c r="H430" s="80" t="n"/>
      <c r="I430" s="114" t="n"/>
      <c r="J430" s="35">
        <f>SUM(B430:I430)</f>
        <v/>
      </c>
      <c r="K430" s="755">
        <f>C430*184000</f>
        <v/>
      </c>
      <c r="L430" s="839" t="n"/>
      <c r="M430" s="770" t="n"/>
      <c r="N430" s="863">
        <f>F430*166000</f>
        <v/>
      </c>
      <c r="O430" s="757" t="n"/>
      <c r="P430" s="854" t="n"/>
      <c r="Q430" s="758" t="n"/>
      <c r="R430" s="755">
        <f>SUM(K430:Q430)</f>
        <v/>
      </c>
      <c r="S430" s="755">
        <f>J430*21200</f>
        <v/>
      </c>
    </row>
    <row r="431" customFormat="1" s="638">
      <c r="A431" s="356" t="inlineStr">
        <is>
          <t>마조람</t>
        </is>
      </c>
      <c r="B431" s="774" t="n"/>
      <c r="C431" s="35" t="n"/>
      <c r="D431" s="234" t="n"/>
      <c r="E431" s="234" t="n"/>
      <c r="F431" s="191" t="n"/>
      <c r="G431" s="195" t="n"/>
      <c r="H431" s="80" t="n"/>
      <c r="I431" s="114" t="n"/>
      <c r="J431" s="35">
        <f>SUM(B431:I431)</f>
        <v/>
      </c>
      <c r="K431" s="755" t="n">
        <v>0</v>
      </c>
      <c r="L431" s="839" t="n"/>
      <c r="M431" s="770" t="n"/>
      <c r="N431" s="863" t="n">
        <v>0</v>
      </c>
      <c r="O431" s="757" t="n"/>
      <c r="P431" s="854" t="n"/>
      <c r="Q431" s="758" t="n"/>
      <c r="R431" s="755">
        <f>SUM(K431:Q431)</f>
        <v/>
      </c>
      <c r="S431" s="755">
        <f>J431*46600</f>
        <v/>
      </c>
    </row>
    <row r="432" customFormat="1" s="638">
      <c r="A432" s="356" t="inlineStr">
        <is>
          <t>만다린</t>
        </is>
      </c>
      <c r="B432" s="774" t="n"/>
      <c r="C432" s="35" t="n"/>
      <c r="D432" s="234" t="n"/>
      <c r="E432" s="234" t="n"/>
      <c r="F432" s="191" t="n"/>
      <c r="G432" s="195" t="n"/>
      <c r="H432" s="80" t="n"/>
      <c r="I432" s="114" t="n"/>
      <c r="J432" s="35">
        <f>SUM(B432:I432)</f>
        <v/>
      </c>
      <c r="K432" s="755" t="n">
        <v>0</v>
      </c>
      <c r="L432" s="839" t="n"/>
      <c r="M432" s="770" t="n"/>
      <c r="N432" s="863" t="n">
        <v>0</v>
      </c>
      <c r="O432" s="757" t="n"/>
      <c r="P432" s="854" t="n"/>
      <c r="Q432" s="758" t="n"/>
      <c r="R432" s="755">
        <f>SUM(K432:Q432)</f>
        <v/>
      </c>
      <c r="S432" s="755">
        <f>J432*31200</f>
        <v/>
      </c>
    </row>
    <row r="433" customFormat="1" s="638">
      <c r="A433" s="356" t="inlineStr">
        <is>
          <t>머그워트(쑥)</t>
        </is>
      </c>
      <c r="B433" s="774" t="n"/>
      <c r="C433" s="35" t="n"/>
      <c r="D433" s="234" t="n"/>
      <c r="E433" s="234" t="n"/>
      <c r="F433" s="191" t="n"/>
      <c r="G433" s="195" t="n"/>
      <c r="H433" s="80" t="n"/>
      <c r="I433" s="114" t="n"/>
      <c r="J433" s="35">
        <f>SUM(B433:I433)</f>
        <v/>
      </c>
      <c r="K433" s="755" t="n">
        <v>0</v>
      </c>
      <c r="L433" s="839" t="n"/>
      <c r="M433" s="770" t="n"/>
      <c r="N433" s="863" t="n">
        <v>0</v>
      </c>
      <c r="O433" s="757" t="n"/>
      <c r="P433" s="854" t="n"/>
      <c r="Q433" s="758" t="n"/>
      <c r="R433" s="755">
        <f>SUM(K433:Q433)</f>
        <v/>
      </c>
      <c r="S433" s="755">
        <f>J433*75200</f>
        <v/>
      </c>
    </row>
    <row r="434" customFormat="1" s="638">
      <c r="A434" s="356" t="inlineStr">
        <is>
          <t>머틀</t>
        </is>
      </c>
      <c r="B434" s="774" t="n"/>
      <c r="C434" s="35" t="n"/>
      <c r="D434" s="234" t="n"/>
      <c r="E434" s="234" t="n"/>
      <c r="F434" s="191" t="n"/>
      <c r="G434" s="195" t="n"/>
      <c r="H434" s="80" t="n"/>
      <c r="I434" s="114" t="n"/>
      <c r="J434" s="35">
        <f>SUM(B434:I434)</f>
        <v/>
      </c>
      <c r="K434" s="755" t="n">
        <v>0</v>
      </c>
      <c r="L434" s="839" t="n"/>
      <c r="M434" s="770" t="n"/>
      <c r="N434" s="863" t="n">
        <v>0</v>
      </c>
      <c r="O434" s="757" t="n"/>
      <c r="P434" s="854" t="n"/>
      <c r="Q434" s="758" t="n"/>
      <c r="R434" s="755">
        <f>SUM(K434:Q434)</f>
        <v/>
      </c>
      <c r="S434" s="755">
        <f>J434*12100</f>
        <v/>
      </c>
    </row>
    <row r="435" customFormat="1" s="638">
      <c r="A435" s="354" t="inlineStr">
        <is>
          <t>멜리사오일</t>
        </is>
      </c>
      <c r="B435" s="774" t="n"/>
      <c r="C435" s="237" t="n"/>
      <c r="D435" s="242" t="n"/>
      <c r="E435" s="234" t="n"/>
      <c r="F435" s="230" t="n"/>
      <c r="G435" s="345" t="n"/>
      <c r="H435" s="80" t="n"/>
      <c r="I435" s="114" t="n"/>
      <c r="J435" s="35">
        <f>SUM(B435:I435)</f>
        <v/>
      </c>
      <c r="K435" s="755" t="n">
        <v>0</v>
      </c>
      <c r="L435" s="839" t="n"/>
      <c r="M435" s="770" t="n"/>
      <c r="N435" s="863" t="n">
        <v>0</v>
      </c>
      <c r="O435" s="757" t="n"/>
      <c r="P435" s="854" t="n"/>
      <c r="Q435" s="758" t="n"/>
      <c r="R435" s="755">
        <f>SUM(K435:Q435)</f>
        <v/>
      </c>
      <c r="S435" s="755">
        <f>J435*158660</f>
        <v/>
      </c>
    </row>
    <row r="436" customFormat="1" s="638">
      <c r="A436" s="356" t="inlineStr">
        <is>
          <t>미르오일</t>
        </is>
      </c>
      <c r="B436" s="774" t="n"/>
      <c r="C436" s="35" t="n"/>
      <c r="D436" s="234" t="n"/>
      <c r="E436" s="234" t="n"/>
      <c r="F436" s="191" t="n"/>
      <c r="G436" s="195" t="n"/>
      <c r="H436" s="80" t="n"/>
      <c r="I436" s="114" t="n"/>
      <c r="J436" s="35">
        <f>SUM(B436:I436)</f>
        <v/>
      </c>
      <c r="K436" s="755" t="n">
        <v>0</v>
      </c>
      <c r="L436" s="839" t="n"/>
      <c r="M436" s="770" t="n"/>
      <c r="N436" s="863" t="n">
        <v>0</v>
      </c>
      <c r="O436" s="757" t="n"/>
      <c r="P436" s="854" t="n"/>
      <c r="Q436" s="758" t="n"/>
      <c r="R436" s="755">
        <f>SUM(K436:Q436)</f>
        <v/>
      </c>
      <c r="S436" s="755">
        <f>J436*14200</f>
        <v/>
      </c>
    </row>
    <row r="437" customFormat="1" s="638">
      <c r="A437" s="356" t="inlineStr">
        <is>
          <t>바질</t>
        </is>
      </c>
      <c r="B437" s="774" t="n"/>
      <c r="C437" s="35" t="n"/>
      <c r="D437" s="234" t="n"/>
      <c r="E437" s="234" t="n"/>
      <c r="F437" s="191" t="n"/>
      <c r="G437" s="195" t="n"/>
      <c r="H437" s="80" t="n"/>
      <c r="I437" s="114" t="n"/>
      <c r="J437" s="35">
        <f>SUM(B437:I437)</f>
        <v/>
      </c>
      <c r="K437" s="755" t="n">
        <v>0</v>
      </c>
      <c r="L437" s="839" t="n"/>
      <c r="M437" s="770" t="n"/>
      <c r="N437" s="863" t="n">
        <v>0</v>
      </c>
      <c r="O437" s="757" t="n"/>
      <c r="P437" s="854" t="n"/>
      <c r="Q437" s="758" t="n"/>
      <c r="R437" s="755">
        <f>SUM(K437:Q437)</f>
        <v/>
      </c>
      <c r="S437" s="755">
        <f>J437*11100</f>
        <v/>
      </c>
    </row>
    <row r="438" customFormat="1" s="638">
      <c r="A438" s="356" t="inlineStr">
        <is>
          <t>버치스윗</t>
        </is>
      </c>
      <c r="B438" s="774" t="n"/>
      <c r="C438" s="35" t="n"/>
      <c r="D438" s="234" t="n"/>
      <c r="E438" s="234" t="n"/>
      <c r="F438" s="191" t="n"/>
      <c r="G438" s="195" t="n"/>
      <c r="H438" s="80" t="n"/>
      <c r="I438" s="114" t="n"/>
      <c r="J438" s="35">
        <f>SUM(B438:I438)</f>
        <v/>
      </c>
      <c r="K438" s="755">
        <f>C438*184000</f>
        <v/>
      </c>
      <c r="L438" s="839" t="n"/>
      <c r="M438" s="770" t="n"/>
      <c r="N438" s="863">
        <f>F438*166000</f>
        <v/>
      </c>
      <c r="O438" s="757" t="n"/>
      <c r="P438" s="854" t="n"/>
      <c r="Q438" s="758" t="n"/>
      <c r="R438" s="755">
        <f>SUM(K438:Q438)</f>
        <v/>
      </c>
      <c r="S438" s="755">
        <f>J438*14900</f>
        <v/>
      </c>
    </row>
    <row r="439" customFormat="1" s="638">
      <c r="A439" s="354" t="inlineStr">
        <is>
          <t>베르가모트</t>
        </is>
      </c>
      <c r="B439" s="774" t="n"/>
      <c r="C439" s="237" t="n"/>
      <c r="D439" s="234" t="n"/>
      <c r="E439" s="234" t="n"/>
      <c r="F439" s="230" t="n"/>
      <c r="G439" s="345" t="n"/>
      <c r="H439" s="80" t="n"/>
      <c r="I439" s="114" t="n"/>
      <c r="J439" s="35">
        <f>SUM(B439:I439)</f>
        <v/>
      </c>
      <c r="K439" s="755" t="n">
        <v>0</v>
      </c>
      <c r="L439" s="839" t="n"/>
      <c r="M439" s="770" t="n"/>
      <c r="N439" s="863" t="n">
        <v>0</v>
      </c>
      <c r="O439" s="757" t="n"/>
      <c r="P439" s="854" t="n"/>
      <c r="Q439" s="758" t="n"/>
      <c r="R439" s="755">
        <f>SUM(K439:Q439)</f>
        <v/>
      </c>
      <c r="S439" s="755">
        <f>J439*6400</f>
        <v/>
      </c>
    </row>
    <row r="440" customFormat="1" s="638">
      <c r="A440" s="356" t="inlineStr">
        <is>
          <t>베티버오일</t>
        </is>
      </c>
      <c r="B440" s="774" t="n"/>
      <c r="C440" s="35" t="n"/>
      <c r="D440" s="234" t="n"/>
      <c r="E440" s="234" t="n"/>
      <c r="F440" s="191" t="n"/>
      <c r="G440" s="195" t="n"/>
      <c r="H440" s="80" t="n"/>
      <c r="I440" s="114" t="n"/>
      <c r="J440" s="35">
        <f>SUM(B440:I440)</f>
        <v/>
      </c>
      <c r="K440" s="755" t="n">
        <v>0</v>
      </c>
      <c r="L440" s="839" t="n"/>
      <c r="M440" s="770" t="n"/>
      <c r="N440" s="863" t="n">
        <v>0</v>
      </c>
      <c r="O440" s="757" t="n"/>
      <c r="P440" s="854" t="n"/>
      <c r="Q440" s="758" t="n"/>
      <c r="R440" s="755">
        <f>SUM(K440:Q440)</f>
        <v/>
      </c>
      <c r="S440" s="755">
        <f>J440*99400</f>
        <v/>
      </c>
    </row>
    <row r="441" customFormat="1" s="638">
      <c r="A441" s="356" t="inlineStr">
        <is>
          <t>벤조인</t>
        </is>
      </c>
      <c r="B441" s="774" t="n"/>
      <c r="C441" s="35" t="n"/>
      <c r="D441" s="234" t="n"/>
      <c r="E441" s="234" t="n"/>
      <c r="F441" s="191" t="n"/>
      <c r="G441" s="195" t="n"/>
      <c r="H441" s="80" t="n"/>
      <c r="I441" s="114" t="n"/>
      <c r="J441" s="35">
        <f>SUM(B441:I441)</f>
        <v/>
      </c>
      <c r="K441" s="755" t="n">
        <v>0</v>
      </c>
      <c r="L441" s="839" t="n"/>
      <c r="M441" s="770" t="n"/>
      <c r="N441" s="863" t="n">
        <v>0</v>
      </c>
      <c r="O441" s="757" t="n"/>
      <c r="P441" s="854" t="n"/>
      <c r="Q441" s="758" t="n"/>
      <c r="R441" s="755">
        <f>SUM(K441:Q441)</f>
        <v/>
      </c>
      <c r="S441" s="755">
        <f>J441*11300</f>
        <v/>
      </c>
    </row>
    <row r="442" customFormat="1" s="638">
      <c r="A442" s="356" t="inlineStr">
        <is>
          <t>블렉페퍼오일</t>
        </is>
      </c>
      <c r="B442" s="774" t="n"/>
      <c r="C442" s="35" t="n"/>
      <c r="D442" s="234" t="n"/>
      <c r="E442" s="234" t="n"/>
      <c r="F442" s="191" t="n"/>
      <c r="G442" s="195" t="n"/>
      <c r="H442" s="80" t="n"/>
      <c r="I442" s="114" t="n"/>
      <c r="J442" s="35">
        <f>SUM(B442:I442)</f>
        <v/>
      </c>
      <c r="K442" s="755" t="n">
        <v>0</v>
      </c>
      <c r="L442" s="839" t="n"/>
      <c r="M442" s="770" t="n"/>
      <c r="N442" s="863" t="n">
        <v>0</v>
      </c>
      <c r="O442" s="757" t="n"/>
      <c r="P442" s="854" t="n"/>
      <c r="Q442" s="758" t="n"/>
      <c r="R442" s="755">
        <f>SUM(K442:Q442)</f>
        <v/>
      </c>
      <c r="S442" s="755">
        <f>J442*67500</f>
        <v/>
      </c>
    </row>
    <row r="443" customFormat="1" s="638">
      <c r="A443" s="354" t="inlineStr">
        <is>
          <t>샌달우드오일</t>
        </is>
      </c>
      <c r="B443" s="774" t="n"/>
      <c r="C443" s="237" t="n"/>
      <c r="D443" s="234" t="n"/>
      <c r="E443" s="234" t="n"/>
      <c r="F443" s="230" t="n"/>
      <c r="G443" s="345" t="n"/>
      <c r="H443" s="80" t="n"/>
      <c r="I443" s="114" t="n"/>
      <c r="J443" s="35">
        <f>SUM(B443:I443)</f>
        <v/>
      </c>
      <c r="K443" s="755" t="n">
        <v>0</v>
      </c>
      <c r="L443" s="839" t="n"/>
      <c r="M443" s="770" t="n"/>
      <c r="N443" s="863" t="n">
        <v>0</v>
      </c>
      <c r="O443" s="757" t="n"/>
      <c r="P443" s="854" t="n"/>
      <c r="Q443" s="758" t="n"/>
      <c r="R443" s="755">
        <f>SUM(K443:Q443)</f>
        <v/>
      </c>
      <c r="S443" s="755">
        <f>J443*31750</f>
        <v/>
      </c>
    </row>
    <row r="444" customFormat="1" s="638">
      <c r="A444" s="356" t="inlineStr">
        <is>
          <t>스피아민트</t>
        </is>
      </c>
      <c r="B444" s="774" t="n"/>
      <c r="C444" s="35" t="n"/>
      <c r="D444" s="234" t="n"/>
      <c r="E444" s="234" t="n"/>
      <c r="F444" s="191" t="n"/>
      <c r="G444" s="195" t="n"/>
      <c r="H444" s="80" t="n"/>
      <c r="I444" s="114" t="n"/>
      <c r="J444" s="35">
        <f>SUM(B444:I444)</f>
        <v/>
      </c>
      <c r="K444" s="755" t="n">
        <v>0</v>
      </c>
      <c r="L444" s="839" t="n"/>
      <c r="M444" s="770" t="n"/>
      <c r="N444" s="863" t="n">
        <v>0</v>
      </c>
      <c r="O444" s="757" t="n"/>
      <c r="P444" s="854" t="n"/>
      <c r="Q444" s="758" t="n"/>
      <c r="R444" s="755">
        <f>SUM(K444:Q444)</f>
        <v/>
      </c>
      <c r="S444" s="755">
        <f>J444*16020</f>
        <v/>
      </c>
    </row>
    <row r="445" customFormat="1" s="638">
      <c r="A445" s="356" t="inlineStr">
        <is>
          <t>시더우드</t>
        </is>
      </c>
      <c r="B445" s="774" t="n"/>
      <c r="C445" s="35" t="n"/>
      <c r="D445" s="234" t="n"/>
      <c r="E445" s="234" t="n"/>
      <c r="F445" s="191" t="n"/>
      <c r="G445" s="195" t="n"/>
      <c r="H445" s="80" t="n"/>
      <c r="I445" s="114" t="n"/>
      <c r="J445" s="35">
        <f>SUM(B445:I445)</f>
        <v/>
      </c>
      <c r="K445" s="755" t="n">
        <v>0</v>
      </c>
      <c r="L445" s="839" t="n"/>
      <c r="M445" s="770" t="n"/>
      <c r="N445" s="863" t="n">
        <v>0</v>
      </c>
      <c r="O445" s="757" t="n"/>
      <c r="P445" s="854" t="n"/>
      <c r="Q445" s="758" t="n"/>
      <c r="R445" s="755">
        <f>SUM(K445:Q445)</f>
        <v/>
      </c>
      <c r="S445" s="755">
        <f>J445*13600</f>
        <v/>
      </c>
    </row>
    <row r="446" customFormat="1" s="638">
      <c r="A446" s="356" t="inlineStr">
        <is>
          <t>시트로넬라</t>
        </is>
      </c>
      <c r="B446" s="774" t="n"/>
      <c r="C446" s="35" t="n"/>
      <c r="D446" s="234" t="n"/>
      <c r="E446" s="234" t="n"/>
      <c r="F446" s="191" t="n"/>
      <c r="G446" s="195" t="n"/>
      <c r="H446" s="80" t="n"/>
      <c r="I446" s="114" t="n"/>
      <c r="J446" s="35">
        <f>SUM(B446:I446)</f>
        <v/>
      </c>
      <c r="K446" s="755" t="n">
        <v>0</v>
      </c>
      <c r="L446" s="839" t="n"/>
      <c r="M446" s="770" t="n"/>
      <c r="N446" s="863" t="n">
        <v>0</v>
      </c>
      <c r="O446" s="757" t="n"/>
      <c r="P446" s="854" t="n"/>
      <c r="Q446" s="758" t="n"/>
      <c r="R446" s="755">
        <f>SUM(K446:Q446)</f>
        <v/>
      </c>
      <c r="S446" s="755">
        <f>J446*13600</f>
        <v/>
      </c>
    </row>
    <row r="447" customFormat="1" s="638">
      <c r="A447" s="354" t="inlineStr">
        <is>
          <t>싸이프러스</t>
        </is>
      </c>
      <c r="B447" s="774" t="n"/>
      <c r="C447" s="237" t="n"/>
      <c r="D447" s="234" t="n"/>
      <c r="E447" s="234" t="n"/>
      <c r="F447" s="230" t="n"/>
      <c r="G447" s="345" t="n"/>
      <c r="H447" s="80" t="n"/>
      <c r="I447" s="114" t="n"/>
      <c r="J447" s="35">
        <f>SUM(B447:I447)</f>
        <v/>
      </c>
      <c r="K447" s="755" t="n">
        <v>0</v>
      </c>
      <c r="L447" s="839" t="n"/>
      <c r="M447" s="770" t="n"/>
      <c r="N447" s="863" t="n">
        <v>0</v>
      </c>
      <c r="O447" s="757" t="n"/>
      <c r="P447" s="854" t="n"/>
      <c r="Q447" s="758" t="n"/>
      <c r="R447" s="755">
        <f>SUM(K447:Q447)</f>
        <v/>
      </c>
      <c r="S447" s="755">
        <f>J447*31200</f>
        <v/>
      </c>
    </row>
    <row r="448" customFormat="1" s="638">
      <c r="A448" s="354" t="inlineStr">
        <is>
          <t>안젤리카</t>
        </is>
      </c>
      <c r="B448" s="774" t="n"/>
      <c r="C448" s="237" t="n"/>
      <c r="D448" s="234" t="n"/>
      <c r="E448" s="234" t="n"/>
      <c r="F448" s="230" t="n"/>
      <c r="G448" s="345" t="n"/>
      <c r="H448" s="80" t="n"/>
      <c r="I448" s="114" t="n"/>
      <c r="J448" s="35">
        <f>SUM(B448:I448)</f>
        <v/>
      </c>
      <c r="K448" s="755">
        <f>C448*880000</f>
        <v/>
      </c>
      <c r="L448" s="839" t="n"/>
      <c r="M448" s="770" t="n"/>
      <c r="N448" s="863">
        <f>F448*792000</f>
        <v/>
      </c>
      <c r="O448" s="757" t="n"/>
      <c r="P448" s="854" t="n"/>
      <c r="Q448" s="758" t="n"/>
      <c r="R448" s="755">
        <f>SUM(K448:Q448)</f>
        <v/>
      </c>
      <c r="S448" s="755">
        <f>J448*48800</f>
        <v/>
      </c>
    </row>
    <row r="449" customFormat="1" s="638">
      <c r="A449" s="354" t="inlineStr">
        <is>
          <t>아가우드</t>
        </is>
      </c>
      <c r="B449" s="774" t="n"/>
      <c r="C449" s="237" t="n"/>
      <c r="D449" s="234" t="n"/>
      <c r="E449" s="234" t="n"/>
      <c r="F449" s="230" t="n"/>
      <c r="G449" s="345" t="n"/>
      <c r="H449" s="80" t="n"/>
      <c r="I449" s="114" t="n"/>
      <c r="J449" s="35">
        <f>SUM(B449:I449)</f>
        <v/>
      </c>
      <c r="K449" s="755">
        <f>C449*1000000</f>
        <v/>
      </c>
      <c r="L449" s="839" t="n"/>
      <c r="M449" s="770" t="n"/>
      <c r="N449" s="863">
        <f>F449*900000</f>
        <v/>
      </c>
      <c r="O449" s="757" t="n"/>
      <c r="P449" s="854" t="n"/>
      <c r="Q449" s="758" t="n"/>
      <c r="R449" s="755">
        <f>SUM(K449:Q449)</f>
        <v/>
      </c>
      <c r="S449" s="755">
        <f>J449*79700</f>
        <v/>
      </c>
    </row>
    <row r="450" customFormat="1" s="638">
      <c r="A450" s="356" t="inlineStr">
        <is>
          <t>야로우</t>
        </is>
      </c>
      <c r="B450" s="774" t="n"/>
      <c r="C450" s="35" t="n"/>
      <c r="D450" s="234" t="n"/>
      <c r="E450" s="234" t="n"/>
      <c r="F450" s="191" t="n"/>
      <c r="G450" s="195" t="n"/>
      <c r="H450" s="80" t="n"/>
      <c r="I450" s="114" t="n"/>
      <c r="J450" s="35">
        <f>SUM(B450:I450)</f>
        <v/>
      </c>
      <c r="K450" s="755" t="n">
        <v>0</v>
      </c>
      <c r="L450" s="839" t="n"/>
      <c r="M450" s="770" t="n"/>
      <c r="N450" s="863" t="n">
        <v>0</v>
      </c>
      <c r="O450" s="757" t="n"/>
      <c r="P450" s="854" t="n"/>
      <c r="Q450" s="758" t="n"/>
      <c r="R450" s="755">
        <f>SUM(K450:Q450)</f>
        <v/>
      </c>
      <c r="S450" s="755">
        <f>J450*168900</f>
        <v/>
      </c>
    </row>
    <row r="451" customFormat="1" s="638">
      <c r="A451" s="356" t="inlineStr">
        <is>
          <t>오레가노(60%)</t>
        </is>
      </c>
      <c r="B451" s="774" t="n"/>
      <c r="C451" s="35" t="n"/>
      <c r="D451" s="234" t="n"/>
      <c r="E451" s="234" t="n"/>
      <c r="F451" s="191" t="n"/>
      <c r="G451" s="195" t="n"/>
      <c r="H451" s="80" t="n"/>
      <c r="I451" s="114" t="n"/>
      <c r="J451" s="35">
        <f>SUM(B451:I451)</f>
        <v/>
      </c>
      <c r="K451" s="755" t="n">
        <v>0</v>
      </c>
      <c r="L451" s="839" t="n"/>
      <c r="M451" s="770" t="n"/>
      <c r="N451" s="863" t="n">
        <v>0</v>
      </c>
      <c r="O451" s="757" t="n"/>
      <c r="P451" s="854" t="n"/>
      <c r="Q451" s="758" t="n"/>
      <c r="R451" s="755">
        <f>SUM(K451:Q451)</f>
        <v/>
      </c>
      <c r="S451" s="755">
        <f>J451*10600</f>
        <v/>
      </c>
    </row>
    <row r="452" customFormat="1" s="638">
      <c r="A452" s="354" t="inlineStr">
        <is>
          <t>오렌지스윗</t>
        </is>
      </c>
      <c r="B452" s="774" t="n"/>
      <c r="C452" s="237" t="n"/>
      <c r="D452" s="234" t="n"/>
      <c r="E452" s="234" t="n"/>
      <c r="F452" s="230" t="n"/>
      <c r="G452" s="345" t="n"/>
      <c r="H452" s="80" t="n"/>
      <c r="I452" s="114" t="n"/>
      <c r="J452" s="35">
        <f>SUM(B452:I452)</f>
        <v/>
      </c>
      <c r="K452" s="755" t="n">
        <v>0</v>
      </c>
      <c r="L452" s="839" t="n"/>
      <c r="M452" s="770" t="n"/>
      <c r="N452" s="863" t="n">
        <v>0</v>
      </c>
      <c r="O452" s="757" t="n"/>
      <c r="P452" s="854" t="n"/>
      <c r="Q452" s="758" t="n"/>
      <c r="R452" s="755">
        <f>SUM(K452:Q452)</f>
        <v/>
      </c>
      <c r="S452" s="755">
        <f>J452*6780</f>
        <v/>
      </c>
    </row>
    <row r="453" customFormat="1" s="638">
      <c r="A453" s="354" t="inlineStr">
        <is>
          <t>유즈</t>
        </is>
      </c>
      <c r="B453" s="774" t="n"/>
      <c r="C453" s="237" t="n"/>
      <c r="D453" s="234" t="n"/>
      <c r="E453" s="234" t="n"/>
      <c r="F453" s="230" t="n"/>
      <c r="G453" s="345" t="n"/>
      <c r="H453" s="80" t="n"/>
      <c r="I453" s="114" t="n"/>
      <c r="J453" s="35">
        <f>SUM(B453:I453)</f>
        <v/>
      </c>
      <c r="K453" s="755">
        <f>C453*136000</f>
        <v/>
      </c>
      <c r="L453" s="839" t="n"/>
      <c r="M453" s="770" t="n"/>
      <c r="N453" s="863">
        <f>F453*122000</f>
        <v/>
      </c>
      <c r="O453" s="757" t="n"/>
      <c r="P453" s="854" t="n"/>
      <c r="Q453" s="758" t="n"/>
      <c r="R453" s="755">
        <f>SUM(K453:Q453)</f>
        <v/>
      </c>
      <c r="S453" s="755">
        <f>J453*15700</f>
        <v/>
      </c>
    </row>
    <row r="454" customFormat="1" s="638">
      <c r="A454" s="354" t="inlineStr">
        <is>
          <t>유칼리투스(블루마레)</t>
        </is>
      </c>
      <c r="B454" s="774" t="n"/>
      <c r="C454" s="237" t="n"/>
      <c r="D454" s="234" t="n"/>
      <c r="E454" s="234" t="n"/>
      <c r="F454" s="230" t="n"/>
      <c r="G454" s="345" t="n"/>
      <c r="H454" s="80" t="n"/>
      <c r="I454" s="114" t="n"/>
      <c r="J454" s="35">
        <f>SUM(B454:I454)</f>
        <v/>
      </c>
      <c r="K454" s="755" t="n">
        <v>0</v>
      </c>
      <c r="L454" s="839" t="n"/>
      <c r="M454" s="770" t="n"/>
      <c r="N454" s="863" t="n">
        <v>0</v>
      </c>
      <c r="O454" s="757" t="n"/>
      <c r="P454" s="854" t="n"/>
      <c r="Q454" s="758" t="n"/>
      <c r="R454" s="755">
        <f>SUM(K454:Q454)</f>
        <v/>
      </c>
      <c r="S454" s="755">
        <f>J454*9459</f>
        <v/>
      </c>
    </row>
    <row r="455" customFormat="1" s="638">
      <c r="A455" s="354" t="inlineStr">
        <is>
          <t>윈터그린</t>
        </is>
      </c>
      <c r="B455" s="774" t="n"/>
      <c r="C455" s="237" t="n"/>
      <c r="D455" s="234" t="n"/>
      <c r="E455" s="234" t="n"/>
      <c r="F455" s="191" t="n"/>
      <c r="G455" s="195" t="n"/>
      <c r="H455" s="80" t="n"/>
      <c r="I455" s="114" t="n"/>
      <c r="J455" s="35">
        <f>SUM(B455:I455)</f>
        <v/>
      </c>
      <c r="K455" s="755" t="n">
        <v>0</v>
      </c>
      <c r="L455" s="839" t="n"/>
      <c r="M455" s="770" t="n"/>
      <c r="N455" s="863" t="n">
        <v>0</v>
      </c>
      <c r="O455" s="757" t="n"/>
      <c r="P455" s="854" t="n"/>
      <c r="Q455" s="758" t="n"/>
      <c r="R455" s="755">
        <f>SUM(K455:Q455)</f>
        <v/>
      </c>
      <c r="S455" s="755">
        <f>J455*13600</f>
        <v/>
      </c>
    </row>
    <row r="456" customFormat="1" s="638">
      <c r="A456" s="356" t="inlineStr">
        <is>
          <t>일랑일랑</t>
        </is>
      </c>
      <c r="B456" s="774" t="n"/>
      <c r="C456" s="35" t="n"/>
      <c r="D456" s="33" t="n"/>
      <c r="E456" s="33" t="n"/>
      <c r="F456" s="191" t="n"/>
      <c r="G456" s="195" t="n"/>
      <c r="H456" s="80" t="n"/>
      <c r="I456" s="114" t="n"/>
      <c r="J456" s="35">
        <f>SUM(B456:I456)</f>
        <v/>
      </c>
      <c r="K456" s="755" t="n">
        <v>0</v>
      </c>
      <c r="L456" s="839" t="n"/>
      <c r="M456" s="770" t="n"/>
      <c r="N456" s="863" t="n">
        <v>0</v>
      </c>
      <c r="O456" s="757" t="n"/>
      <c r="P456" s="854" t="n"/>
      <c r="Q456" s="758" t="n"/>
      <c r="R456" s="755">
        <f>SUM(K456:Q456)</f>
        <v/>
      </c>
      <c r="S456" s="755">
        <f>J456*45060</f>
        <v/>
      </c>
    </row>
    <row r="457" customFormat="1" s="638">
      <c r="A457" s="356" t="inlineStr">
        <is>
          <t>자스민(sambac)</t>
        </is>
      </c>
      <c r="B457" s="774" t="n"/>
      <c r="C457" s="35" t="n"/>
      <c r="D457" s="234" t="n"/>
      <c r="E457" s="234" t="n"/>
      <c r="F457" s="191" t="n">
        <v>1</v>
      </c>
      <c r="G457" s="195" t="n"/>
      <c r="H457" s="80" t="n"/>
      <c r="I457" s="114" t="n"/>
      <c r="J457" s="35">
        <f>SUM(B457:I457)</f>
        <v/>
      </c>
      <c r="K457" s="755" t="n">
        <v>0</v>
      </c>
      <c r="L457" s="839" t="n"/>
      <c r="M457" s="770" t="n"/>
      <c r="N457" s="863" t="n">
        <v>162000</v>
      </c>
      <c r="O457" s="757" t="n"/>
      <c r="P457" s="854" t="n"/>
      <c r="Q457" s="758" t="n"/>
      <c r="R457" s="755">
        <f>SUM(K457:Q457)</f>
        <v/>
      </c>
      <c r="S457" s="755">
        <f>J457*44300</f>
        <v/>
      </c>
    </row>
    <row r="458" customFormat="1" s="638">
      <c r="A458" s="354" t="inlineStr">
        <is>
          <t>제라늄오일</t>
        </is>
      </c>
      <c r="B458" s="774" t="n"/>
      <c r="C458" s="237" t="n"/>
      <c r="D458" s="234" t="n"/>
      <c r="E458" s="234" t="n"/>
      <c r="F458" s="230" t="n">
        <v>1</v>
      </c>
      <c r="G458" s="345" t="n"/>
      <c r="H458" s="80" t="n"/>
      <c r="I458" s="114" t="n"/>
      <c r="J458" s="35">
        <f>SUM(B458:I458)</f>
        <v/>
      </c>
      <c r="K458" s="755" t="n">
        <v>0</v>
      </c>
      <c r="L458" s="839" t="n"/>
      <c r="M458" s="770" t="n"/>
      <c r="N458" s="863" t="n">
        <v>151000</v>
      </c>
      <c r="O458" s="757" t="n"/>
      <c r="P458" s="854" t="n"/>
      <c r="Q458" s="758" t="n"/>
      <c r="R458" s="755">
        <f>SUM(K458:Q458)</f>
        <v/>
      </c>
      <c r="S458" s="755">
        <f>J458*56500</f>
        <v/>
      </c>
    </row>
    <row r="459" customFormat="1" s="638">
      <c r="A459" s="356" t="inlineStr">
        <is>
          <t>주니퍼베리(두송열매)</t>
        </is>
      </c>
      <c r="B459" s="774" t="n"/>
      <c r="C459" s="35" t="n"/>
      <c r="D459" s="234" t="n"/>
      <c r="E459" s="234" t="n"/>
      <c r="F459" s="191" t="n"/>
      <c r="G459" s="195" t="n"/>
      <c r="H459" s="80" t="n"/>
      <c r="I459" s="114" t="n"/>
      <c r="J459" s="35">
        <f>SUM(B459:I459)</f>
        <v/>
      </c>
      <c r="K459" s="755" t="n">
        <v>0</v>
      </c>
      <c r="L459" s="839" t="n"/>
      <c r="M459" s="770" t="n"/>
      <c r="N459" s="863" t="n">
        <v>0</v>
      </c>
      <c r="O459" s="757" t="n"/>
      <c r="P459" s="854" t="n"/>
      <c r="Q459" s="758" t="n"/>
      <c r="R459" s="755">
        <f>SUM(K459:Q459)</f>
        <v/>
      </c>
      <c r="S459" s="755">
        <f>J459*31750</f>
        <v/>
      </c>
    </row>
    <row r="460" customFormat="1" s="638">
      <c r="A460" s="356" t="inlineStr">
        <is>
          <t>진저</t>
        </is>
      </c>
      <c r="B460" s="774" t="n"/>
      <c r="C460" s="35" t="n"/>
      <c r="D460" s="234" t="n"/>
      <c r="E460" s="234" t="n"/>
      <c r="F460" s="191" t="n"/>
      <c r="G460" s="195" t="n"/>
      <c r="H460" s="80" t="n"/>
      <c r="I460" s="114" t="n"/>
      <c r="J460" s="35">
        <f>SUM(B460:I460)</f>
        <v/>
      </c>
      <c r="K460" s="755" t="n">
        <v>0</v>
      </c>
      <c r="L460" s="839" t="n"/>
      <c r="M460" s="770" t="n"/>
      <c r="N460" s="863" t="n">
        <v>0</v>
      </c>
      <c r="O460" s="757" t="n"/>
      <c r="P460" s="854" t="n"/>
      <c r="Q460" s="758" t="n"/>
      <c r="R460" s="755">
        <f>SUM(K460:Q460)</f>
        <v/>
      </c>
      <c r="S460" s="755">
        <f>J460*43300</f>
        <v/>
      </c>
    </row>
    <row r="461" customFormat="1" s="638">
      <c r="A461" s="356" t="inlineStr">
        <is>
          <t>카누카</t>
        </is>
      </c>
      <c r="B461" s="774" t="n"/>
      <c r="C461" s="35" t="n"/>
      <c r="D461" s="234" t="n"/>
      <c r="E461" s="234" t="n"/>
      <c r="F461" s="191" t="n"/>
      <c r="G461" s="195" t="n"/>
      <c r="H461" s="80" t="n"/>
      <c r="I461" s="114" t="n"/>
      <c r="J461" s="35">
        <f>SUM(B461:I461)</f>
        <v/>
      </c>
      <c r="K461" s="755">
        <f>C461*184000</f>
        <v/>
      </c>
      <c r="L461" s="839" t="n"/>
      <c r="M461" s="770" t="n"/>
      <c r="N461" s="863">
        <f>F461*166000</f>
        <v/>
      </c>
      <c r="O461" s="757" t="n"/>
      <c r="P461" s="854" t="n"/>
      <c r="Q461" s="758" t="n"/>
      <c r="R461" s="755">
        <f>SUM(K461:Q461)</f>
        <v/>
      </c>
      <c r="S461" s="755">
        <f>J461*21700</f>
        <v/>
      </c>
    </row>
    <row r="462" customFormat="1" s="638">
      <c r="A462" s="356" t="inlineStr">
        <is>
          <t>카다멈</t>
        </is>
      </c>
      <c r="B462" s="774" t="n"/>
      <c r="C462" s="35" t="n"/>
      <c r="D462" s="234" t="n"/>
      <c r="E462" s="234" t="n"/>
      <c r="F462" s="191" t="n"/>
      <c r="G462" s="195" t="n"/>
      <c r="H462" s="80" t="n"/>
      <c r="I462" s="114" t="n"/>
      <c r="J462" s="35">
        <f>SUM(B462:I462)</f>
        <v/>
      </c>
      <c r="K462" s="755">
        <f>C462*228000</f>
        <v/>
      </c>
      <c r="L462" s="839" t="n"/>
      <c r="M462" s="770" t="n"/>
      <c r="N462" s="863">
        <f>F462*205000</f>
        <v/>
      </c>
      <c r="O462" s="757" t="n"/>
      <c r="P462" s="854" t="n"/>
      <c r="Q462" s="758" t="n"/>
      <c r="R462" s="755">
        <f>SUM(K462:Q462)</f>
        <v/>
      </c>
      <c r="S462" s="755">
        <f>J462*42900</f>
        <v/>
      </c>
    </row>
    <row r="463" customFormat="1" s="638">
      <c r="A463" s="356" t="inlineStr">
        <is>
          <t>코리안더리프</t>
        </is>
      </c>
      <c r="B463" s="774" t="n"/>
      <c r="C463" s="35" t="n"/>
      <c r="D463" s="234" t="n"/>
      <c r="E463" s="234" t="n"/>
      <c r="F463" s="191" t="n"/>
      <c r="G463" s="195" t="n"/>
      <c r="H463" s="80" t="n"/>
      <c r="I463" s="114" t="n"/>
      <c r="J463" s="35">
        <f>SUM(B463:I463)</f>
        <v/>
      </c>
      <c r="K463" s="755">
        <f>C463*184000</f>
        <v/>
      </c>
      <c r="L463" s="839" t="n"/>
      <c r="M463" s="770" t="n"/>
      <c r="N463" s="863">
        <f>F463*166000</f>
        <v/>
      </c>
      <c r="O463" s="757" t="n"/>
      <c r="P463" s="854" t="n"/>
      <c r="Q463" s="758" t="n"/>
      <c r="R463" s="755">
        <f>SUM(K463:Q463)</f>
        <v/>
      </c>
      <c r="S463" s="755">
        <f>J463*21200</f>
        <v/>
      </c>
    </row>
    <row r="464" customFormat="1" s="638">
      <c r="A464" s="356" t="inlineStr">
        <is>
          <t>코파이바발삼</t>
        </is>
      </c>
      <c r="B464" s="774" t="n"/>
      <c r="C464" s="35" t="n"/>
      <c r="D464" s="234" t="n"/>
      <c r="E464" s="234" t="n"/>
      <c r="F464" s="191" t="n"/>
      <c r="G464" s="195" t="n"/>
      <c r="H464" s="80" t="n"/>
      <c r="I464" s="114" t="n"/>
      <c r="J464" s="35">
        <f>SUM(B464:I464)</f>
        <v/>
      </c>
      <c r="K464" s="755" t="n">
        <v>0</v>
      </c>
      <c r="L464" s="839" t="n"/>
      <c r="M464" s="770" t="n"/>
      <c r="N464" s="863" t="n">
        <v>0</v>
      </c>
      <c r="O464" s="757" t="n"/>
      <c r="P464" s="854" t="n"/>
      <c r="Q464" s="758" t="n"/>
      <c r="R464" s="755">
        <f>SUM(K464:Q464)</f>
        <v/>
      </c>
      <c r="S464" s="755">
        <f>J464*45500</f>
        <v/>
      </c>
    </row>
    <row r="465" customFormat="1" s="638">
      <c r="A465" s="356" t="inlineStr">
        <is>
          <t>캐롯시드</t>
        </is>
      </c>
      <c r="B465" s="774" t="n"/>
      <c r="C465" s="35" t="n"/>
      <c r="D465" s="234" t="n"/>
      <c r="E465" s="234" t="n"/>
      <c r="F465" s="191" t="n"/>
      <c r="G465" s="195" t="n"/>
      <c r="H465" s="80" t="n"/>
      <c r="I465" s="114" t="n"/>
      <c r="J465" s="35">
        <f>SUM(B465:I465)</f>
        <v/>
      </c>
      <c r="K465" s="755" t="n">
        <v>0</v>
      </c>
      <c r="L465" s="839" t="n"/>
      <c r="M465" s="770" t="n"/>
      <c r="N465" s="863" t="n">
        <v>0</v>
      </c>
      <c r="O465" s="757" t="n"/>
      <c r="P465" s="854" t="n"/>
      <c r="Q465" s="758" t="n"/>
      <c r="R465" s="755">
        <f>SUM(K465:Q465)</f>
        <v/>
      </c>
      <c r="S465" s="755">
        <f>J465*15200</f>
        <v/>
      </c>
    </row>
    <row r="466" customFormat="1" s="638">
      <c r="A466" s="356" t="inlineStr">
        <is>
          <t>캐시플라워</t>
        </is>
      </c>
      <c r="B466" s="774" t="n"/>
      <c r="C466" s="35" t="n"/>
      <c r="D466" s="234" t="n"/>
      <c r="E466" s="234" t="n"/>
      <c r="F466" s="191" t="n"/>
      <c r="G466" s="195" t="n"/>
      <c r="H466" s="80" t="n"/>
      <c r="I466" s="114" t="n"/>
      <c r="J466" s="35">
        <f>SUM(B466:I466)</f>
        <v/>
      </c>
      <c r="K466" s="755">
        <f>C466*184000</f>
        <v/>
      </c>
      <c r="L466" s="839" t="n"/>
      <c r="M466" s="770" t="n"/>
      <c r="N466" s="863">
        <f>F466*166000</f>
        <v/>
      </c>
      <c r="O466" s="757" t="n"/>
      <c r="P466" s="854" t="n"/>
      <c r="Q466" s="758" t="n"/>
      <c r="R466" s="755">
        <f>SUM(K466:Q466)</f>
        <v/>
      </c>
      <c r="S466" s="755">
        <f>J466*22800</f>
        <v/>
      </c>
    </row>
    <row r="467" customFormat="1" s="638">
      <c r="A467" s="356" t="inlineStr">
        <is>
          <t>캠퍼</t>
        </is>
      </c>
      <c r="B467" s="774" t="n"/>
      <c r="C467" s="35" t="n"/>
      <c r="D467" s="234" t="n"/>
      <c r="E467" s="234" t="n"/>
      <c r="F467" s="191" t="n"/>
      <c r="G467" s="195" t="n"/>
      <c r="H467" s="80" t="n"/>
      <c r="I467" s="114" t="n"/>
      <c r="J467" s="35">
        <f>SUM(B467:I467)</f>
        <v/>
      </c>
      <c r="K467" s="755">
        <f>C467*128000</f>
        <v/>
      </c>
      <c r="L467" s="839" t="n"/>
      <c r="M467" s="770" t="n"/>
      <c r="N467" s="863">
        <f>F467*115000</f>
        <v/>
      </c>
      <c r="O467" s="757" t="n"/>
      <c r="P467" s="854" t="n"/>
      <c r="Q467" s="758" t="n"/>
      <c r="R467" s="755">
        <f>SUM(K467:Q467)</f>
        <v/>
      </c>
      <c r="S467" s="755">
        <f>J467*10400</f>
        <v/>
      </c>
    </row>
    <row r="468" customFormat="1" s="638">
      <c r="A468" s="356" t="inlineStr">
        <is>
          <t>클라리세이지</t>
        </is>
      </c>
      <c r="B468" s="774" t="n"/>
      <c r="C468" s="35" t="n"/>
      <c r="D468" s="234" t="n"/>
      <c r="E468" s="234" t="n"/>
      <c r="F468" s="191" t="n"/>
      <c r="G468" s="195" t="n"/>
      <c r="H468" s="80" t="n"/>
      <c r="I468" s="114" t="n"/>
      <c r="J468" s="35">
        <f>SUM(B468:I468)</f>
        <v/>
      </c>
      <c r="K468" s="755" t="n">
        <v>0</v>
      </c>
      <c r="L468" s="839" t="n"/>
      <c r="M468" s="770" t="n"/>
      <c r="N468" s="863" t="n">
        <v>0</v>
      </c>
      <c r="O468" s="757" t="n"/>
      <c r="P468" s="854" t="n"/>
      <c r="Q468" s="758" t="n"/>
      <c r="R468" s="755">
        <f>SUM(K468:Q468)</f>
        <v/>
      </c>
      <c r="S468" s="755">
        <f>J468*36700</f>
        <v/>
      </c>
    </row>
    <row r="469" customFormat="1" s="638">
      <c r="A469" s="356" t="inlineStr">
        <is>
          <t>클로브리프</t>
        </is>
      </c>
      <c r="B469" s="774" t="n"/>
      <c r="C469" s="35" t="n"/>
      <c r="D469" s="234" t="n"/>
      <c r="E469" s="234" t="n"/>
      <c r="F469" s="191" t="n"/>
      <c r="G469" s="195" t="n"/>
      <c r="H469" s="80" t="n"/>
      <c r="I469" s="114" t="n"/>
      <c r="J469" s="35">
        <f>SUM(B469:I469)</f>
        <v/>
      </c>
      <c r="K469" s="755" t="n">
        <v>0</v>
      </c>
      <c r="L469" s="839" t="n"/>
      <c r="M469" s="770" t="n"/>
      <c r="N469" s="863" t="n">
        <v>0</v>
      </c>
      <c r="O469" s="757" t="n"/>
      <c r="P469" s="854" t="n"/>
      <c r="Q469" s="758" t="n"/>
      <c r="R469" s="755">
        <f>SUM(K469:Q469)</f>
        <v/>
      </c>
      <c r="S469" s="755">
        <f>J469*19980</f>
        <v/>
      </c>
    </row>
    <row r="470" customFormat="1" s="638">
      <c r="A470" s="356" t="inlineStr">
        <is>
          <t>타임</t>
        </is>
      </c>
      <c r="B470" s="774" t="n"/>
      <c r="C470" s="35" t="n"/>
      <c r="D470" s="234" t="n"/>
      <c r="E470" s="234" t="n"/>
      <c r="F470" s="191" t="n"/>
      <c r="G470" s="195" t="n"/>
      <c r="H470" s="80" t="n"/>
      <c r="I470" s="114" t="n"/>
      <c r="J470" s="35">
        <f>SUM(B470:I470)</f>
        <v/>
      </c>
      <c r="K470" s="755" t="n">
        <v>0</v>
      </c>
      <c r="L470" s="839" t="n"/>
      <c r="M470" s="770" t="n"/>
      <c r="N470" s="863" t="n">
        <v>0</v>
      </c>
      <c r="O470" s="757" t="n"/>
      <c r="P470" s="854" t="n"/>
      <c r="Q470" s="758" t="n"/>
      <c r="R470" s="755">
        <f>SUM(K470:Q470)</f>
        <v/>
      </c>
      <c r="S470" s="755">
        <f>J470*16900</f>
        <v/>
      </c>
    </row>
    <row r="471" customFormat="1" s="638">
      <c r="A471" s="356" t="inlineStr">
        <is>
          <t>투메릭</t>
        </is>
      </c>
      <c r="B471" s="774" t="n"/>
      <c r="C471" s="35" t="n"/>
      <c r="D471" s="234" t="n"/>
      <c r="E471" s="234" t="n"/>
      <c r="F471" s="191" t="n"/>
      <c r="G471" s="195" t="n"/>
      <c r="H471" s="80" t="n"/>
      <c r="I471" s="114" t="n"/>
      <c r="J471" s="35">
        <f>SUM(B471:I471)</f>
        <v/>
      </c>
      <c r="K471" s="755">
        <f>C471*128000</f>
        <v/>
      </c>
      <c r="L471" s="839" t="n"/>
      <c r="M471" s="770" t="n"/>
      <c r="N471" s="863">
        <f>F471*115000</f>
        <v/>
      </c>
      <c r="O471" s="757" t="n"/>
      <c r="P471" s="854" t="n"/>
      <c r="Q471" s="758" t="n"/>
      <c r="R471" s="755">
        <f>SUM(K471:Q471)</f>
        <v/>
      </c>
      <c r="S471" s="755">
        <f>J471*11100</f>
        <v/>
      </c>
    </row>
    <row r="472" customFormat="1" s="638">
      <c r="A472" s="354" t="inlineStr">
        <is>
          <t>티트리프리미엄</t>
        </is>
      </c>
      <c r="B472" s="774" t="n"/>
      <c r="C472" s="237" t="n"/>
      <c r="D472" s="234" t="n"/>
      <c r="E472" s="234" t="n"/>
      <c r="F472" s="230" t="n"/>
      <c r="G472" s="345" t="n"/>
      <c r="H472" s="80" t="n"/>
      <c r="I472" s="114" t="n"/>
      <c r="J472" s="35">
        <f>SUM(B472:I472)</f>
        <v/>
      </c>
      <c r="K472" s="755" t="n">
        <v>0</v>
      </c>
      <c r="L472" s="839" t="n"/>
      <c r="M472" s="770" t="n"/>
      <c r="N472" s="863" t="n">
        <v>0</v>
      </c>
      <c r="O472" s="757" t="n"/>
      <c r="P472" s="854" t="n"/>
      <c r="Q472" s="758" t="n"/>
      <c r="R472" s="755">
        <f>SUM(K472:Q472)</f>
        <v/>
      </c>
      <c r="S472" s="755">
        <f>J472*10100</f>
        <v/>
      </c>
    </row>
    <row r="473" customFormat="1" s="638">
      <c r="A473" s="356" t="inlineStr">
        <is>
          <t>파인</t>
        </is>
      </c>
      <c r="B473" s="774" t="n"/>
      <c r="C473" s="35" t="n"/>
      <c r="D473" s="234" t="n"/>
      <c r="E473" s="234" t="n"/>
      <c r="F473" s="191" t="n"/>
      <c r="G473" s="195" t="n"/>
      <c r="H473" s="80" t="n"/>
      <c r="I473" s="114" t="n"/>
      <c r="J473" s="35">
        <f>SUM(B473:I473)</f>
        <v/>
      </c>
      <c r="K473" s="755" t="n">
        <v>0</v>
      </c>
      <c r="L473" s="839" t="n"/>
      <c r="M473" s="770" t="n"/>
      <c r="N473" s="863" t="n">
        <v>0</v>
      </c>
      <c r="O473" s="757" t="n"/>
      <c r="P473" s="854" t="n"/>
      <c r="Q473" s="758" t="n"/>
      <c r="R473" s="755">
        <f>SUM(K473:Q473)</f>
        <v/>
      </c>
      <c r="S473" s="755">
        <f>J473*26800</f>
        <v/>
      </c>
    </row>
    <row r="474" customFormat="1" s="638">
      <c r="A474" s="356" t="inlineStr">
        <is>
          <t>팔마로사</t>
        </is>
      </c>
      <c r="B474" s="774" t="n"/>
      <c r="C474" s="35" t="n"/>
      <c r="D474" s="234" t="n"/>
      <c r="E474" s="234" t="n"/>
      <c r="F474" s="191" t="n"/>
      <c r="G474" s="195" t="n"/>
      <c r="H474" s="80" t="n"/>
      <c r="I474" s="114" t="n"/>
      <c r="J474" s="35">
        <f>SUM(B474:I474)</f>
        <v/>
      </c>
      <c r="K474" s="755" t="n">
        <v>0</v>
      </c>
      <c r="L474" s="839" t="n"/>
      <c r="M474" s="770" t="n"/>
      <c r="N474" s="863" t="n">
        <v>0</v>
      </c>
      <c r="O474" s="757" t="n"/>
      <c r="P474" s="854" t="n"/>
      <c r="Q474" s="758" t="n"/>
      <c r="R474" s="755">
        <f>SUM(K474:Q474)</f>
        <v/>
      </c>
      <c r="S474" s="755">
        <f>J474*13100</f>
        <v/>
      </c>
    </row>
    <row r="475" customFormat="1" s="638">
      <c r="A475" s="354" t="inlineStr">
        <is>
          <t>페퍼민트</t>
        </is>
      </c>
      <c r="B475" s="774" t="n"/>
      <c r="C475" s="237" t="n"/>
      <c r="D475" s="234" t="n"/>
      <c r="E475" s="234" t="n"/>
      <c r="F475" s="230" t="n"/>
      <c r="G475" s="345" t="n"/>
      <c r="H475" s="80" t="n"/>
      <c r="I475" s="114" t="n"/>
      <c r="J475" s="35">
        <f>SUM(B475:I475)</f>
        <v/>
      </c>
      <c r="K475" s="755" t="n">
        <v>0</v>
      </c>
      <c r="L475" s="839" t="n"/>
      <c r="M475" s="770" t="n"/>
      <c r="N475" s="863">
        <f>F475*40000</f>
        <v/>
      </c>
      <c r="O475" s="757" t="n"/>
      <c r="P475" s="854" t="n"/>
      <c r="Q475" s="758" t="n"/>
      <c r="R475" s="755">
        <f>SUM(K475:Q475)</f>
        <v/>
      </c>
      <c r="S475" s="755">
        <f>J475*7400</f>
        <v/>
      </c>
    </row>
    <row r="476" customFormat="1" s="638">
      <c r="A476" s="356" t="inlineStr">
        <is>
          <t>페티그레인</t>
        </is>
      </c>
      <c r="B476" s="774" t="n"/>
      <c r="C476" s="35" t="n"/>
      <c r="D476" s="234" t="n"/>
      <c r="E476" s="234" t="n"/>
      <c r="F476" s="191" t="n"/>
      <c r="G476" s="195" t="n"/>
      <c r="H476" s="80" t="n"/>
      <c r="I476" s="114" t="n"/>
      <c r="J476" s="35">
        <f>SUM(B476:I476)</f>
        <v/>
      </c>
      <c r="K476" s="755" t="n">
        <v>0</v>
      </c>
      <c r="L476" s="839" t="n"/>
      <c r="M476" s="770" t="n"/>
      <c r="N476" s="863" t="n">
        <v>0</v>
      </c>
      <c r="O476" s="757" t="n"/>
      <c r="P476" s="854" t="n"/>
      <c r="Q476" s="758" t="n"/>
      <c r="R476" s="755">
        <f>SUM(K476:Q476)</f>
        <v/>
      </c>
      <c r="S476" s="755">
        <f>J476*30100</f>
        <v/>
      </c>
    </row>
    <row r="477" customFormat="1" s="638">
      <c r="A477" s="356" t="inlineStr">
        <is>
          <t>패츌리</t>
        </is>
      </c>
      <c r="B477" s="774" t="n"/>
      <c r="C477" s="35" t="n"/>
      <c r="D477" s="234" t="n"/>
      <c r="E477" s="234" t="n"/>
      <c r="F477" s="191" t="n"/>
      <c r="G477" s="195" t="n"/>
      <c r="H477" s="80" t="n"/>
      <c r="I477" s="114" t="n"/>
      <c r="J477" s="35">
        <f>SUM(B477:I477)</f>
        <v/>
      </c>
      <c r="K477" s="755" t="n">
        <v>0</v>
      </c>
      <c r="L477" s="839" t="n"/>
      <c r="M477" s="770" t="n"/>
      <c r="N477" s="863" t="n">
        <v>0</v>
      </c>
      <c r="O477" s="757" t="n"/>
      <c r="P477" s="854" t="n"/>
      <c r="Q477" s="758" t="n"/>
      <c r="R477" s="755">
        <f>SUM(K477:Q477)</f>
        <v/>
      </c>
      <c r="S477" s="755">
        <f>J477*66400</f>
        <v/>
      </c>
    </row>
    <row r="478" customFormat="1" s="638">
      <c r="A478" s="356" t="inlineStr">
        <is>
          <t>펜넬</t>
        </is>
      </c>
      <c r="B478" s="774" t="n"/>
      <c r="C478" s="35" t="n"/>
      <c r="D478" s="234" t="n"/>
      <c r="E478" s="234" t="n"/>
      <c r="F478" s="191" t="n"/>
      <c r="G478" s="195" t="n"/>
      <c r="H478" s="80" t="n"/>
      <c r="I478" s="114" t="n"/>
      <c r="J478" s="35">
        <f>SUM(B478:I478)</f>
        <v/>
      </c>
      <c r="K478" s="755" t="n">
        <v>0</v>
      </c>
      <c r="L478" s="839" t="n"/>
      <c r="M478" s="770" t="n"/>
      <c r="N478" s="863" t="n">
        <v>0</v>
      </c>
      <c r="O478" s="757" t="n"/>
      <c r="P478" s="854" t="n"/>
      <c r="Q478" s="758" t="n"/>
      <c r="R478" s="755">
        <f>SUM(K478:Q478)</f>
        <v/>
      </c>
      <c r="S478" s="755">
        <f>J478*26800</f>
        <v/>
      </c>
    </row>
    <row r="479" customFormat="1" s="638">
      <c r="A479" s="356" t="inlineStr">
        <is>
          <t>프랑킨센스(유향나무)</t>
        </is>
      </c>
      <c r="B479" s="774" t="n"/>
      <c r="C479" s="237" t="n"/>
      <c r="D479" s="234" t="n"/>
      <c r="E479" s="234" t="n"/>
      <c r="F479" s="230" t="n"/>
      <c r="G479" s="345" t="n"/>
      <c r="H479" s="80" t="n"/>
      <c r="I479" s="114" t="n"/>
      <c r="J479" s="35">
        <f>SUM(B479:I479)</f>
        <v/>
      </c>
      <c r="K479" s="755" t="n">
        <v>0</v>
      </c>
      <c r="L479" s="839" t="n"/>
      <c r="M479" s="770" t="n"/>
      <c r="N479" s="863" t="n">
        <v>0</v>
      </c>
      <c r="O479" s="757" t="n"/>
      <c r="P479" s="854" t="n"/>
      <c r="Q479" s="758" t="n"/>
      <c r="R479" s="755">
        <f>SUM(K479:Q479)</f>
        <v/>
      </c>
      <c r="S479" s="755">
        <f>J479*41100</f>
        <v/>
      </c>
    </row>
    <row r="480" customFormat="1" s="638">
      <c r="A480" s="356" t="inlineStr">
        <is>
          <t>헬리크리섬</t>
        </is>
      </c>
      <c r="B480" s="774" t="n"/>
      <c r="C480" s="237" t="n"/>
      <c r="D480" s="234" t="n"/>
      <c r="E480" s="234" t="n"/>
      <c r="F480" s="230" t="n"/>
      <c r="G480" s="345" t="n"/>
      <c r="H480" s="80" t="n"/>
      <c r="I480" s="114" t="n"/>
      <c r="J480" s="35">
        <f>SUM(B480:I480)</f>
        <v/>
      </c>
      <c r="K480" s="755">
        <f>C480*1000000</f>
        <v/>
      </c>
      <c r="L480" s="839" t="n"/>
      <c r="M480" s="770" t="n"/>
      <c r="N480" s="863">
        <f>F480*900000</f>
        <v/>
      </c>
      <c r="O480" s="757" t="n"/>
      <c r="P480" s="854" t="n"/>
      <c r="Q480" s="758" t="n"/>
      <c r="R480" s="755">
        <f>SUM(K480:Q480)</f>
        <v/>
      </c>
      <c r="S480" s="755">
        <f>J480*25900</f>
        <v/>
      </c>
    </row>
    <row r="481" customFormat="1" s="638">
      <c r="A481" s="356" t="inlineStr">
        <is>
          <t>히노키</t>
        </is>
      </c>
      <c r="B481" s="774" t="n"/>
      <c r="C481" s="35" t="n"/>
      <c r="D481" s="234" t="n"/>
      <c r="E481" s="234" t="n"/>
      <c r="F481" s="191" t="n"/>
      <c r="G481" s="195" t="n"/>
      <c r="H481" s="80" t="n"/>
      <c r="I481" s="114" t="n"/>
      <c r="J481" s="35">
        <f>SUM(B481:I481)</f>
        <v/>
      </c>
      <c r="K481" s="755" t="n">
        <v>0</v>
      </c>
      <c r="L481" s="839" t="n"/>
      <c r="M481" s="770" t="n"/>
      <c r="N481" s="863" t="n">
        <v>0</v>
      </c>
      <c r="O481" s="757" t="n"/>
      <c r="P481" s="854" t="n"/>
      <c r="Q481" s="758" t="n"/>
      <c r="R481" s="755">
        <f>SUM(K481:Q481)</f>
        <v/>
      </c>
      <c r="S481" s="755">
        <f>J481*70800</f>
        <v/>
      </c>
    </row>
    <row r="482" customFormat="1" s="638">
      <c r="A482" s="356" t="inlineStr">
        <is>
          <t>히솝</t>
        </is>
      </c>
      <c r="B482" s="774" t="n"/>
      <c r="C482" s="35" t="n"/>
      <c r="D482" s="234" t="n"/>
      <c r="E482" s="234" t="n"/>
      <c r="F482" s="191" t="n"/>
      <c r="G482" s="195" t="n"/>
      <c r="H482" s="80" t="n"/>
      <c r="I482" s="114" t="n"/>
      <c r="J482" s="35">
        <f>SUM(B482:I482)</f>
        <v/>
      </c>
      <c r="K482" s="755">
        <f>C482*184000</f>
        <v/>
      </c>
      <c r="L482" s="839" t="n"/>
      <c r="M482" s="770" t="n"/>
      <c r="N482" s="863">
        <f>F482*166000</f>
        <v/>
      </c>
      <c r="O482" s="757" t="n"/>
      <c r="P482" s="854" t="n"/>
      <c r="Q482" s="758" t="n"/>
      <c r="R482" s="755">
        <f>SUM(K482:Q482)</f>
        <v/>
      </c>
      <c r="S482" s="755">
        <f>J482*21700</f>
        <v/>
      </c>
    </row>
    <row r="483" customFormat="1" s="638">
      <c r="A483" s="356" t="inlineStr">
        <is>
          <t xml:space="preserve"> 발삼전나무오가닉</t>
        </is>
      </c>
      <c r="B483" s="774" t="n"/>
      <c r="C483" s="35" t="n"/>
      <c r="D483" s="234" t="n"/>
      <c r="E483" s="234" t="n"/>
      <c r="F483" s="191" t="n"/>
      <c r="G483" s="195" t="n"/>
      <c r="H483" s="80" t="n"/>
      <c r="I483" s="114" t="n"/>
      <c r="J483" s="35">
        <f>SUM(B483:I483)</f>
        <v/>
      </c>
      <c r="K483" s="755" t="n">
        <v>0</v>
      </c>
      <c r="L483" s="839" t="n"/>
      <c r="M483" s="770" t="n"/>
      <c r="N483" s="863" t="n">
        <v>0</v>
      </c>
      <c r="O483" s="757" t="n"/>
      <c r="P483" s="854" t="n"/>
      <c r="Q483" s="758" t="n"/>
      <c r="R483" s="755">
        <f>SUM(K483:Q483)</f>
        <v/>
      </c>
      <c r="S483" s="755">
        <f>J483*19100</f>
        <v/>
      </c>
    </row>
    <row r="484" customFormat="1" s="638">
      <c r="A484" s="356" t="inlineStr">
        <is>
          <t>잭파인에스엠오가닉</t>
        </is>
      </c>
      <c r="B484" s="774" t="n"/>
      <c r="C484" s="35" t="n"/>
      <c r="D484" s="234" t="n"/>
      <c r="E484" s="234" t="n"/>
      <c r="F484" s="191" t="n"/>
      <c r="G484" s="195" t="n"/>
      <c r="H484" s="80" t="n"/>
      <c r="I484" s="114" t="n"/>
      <c r="J484" s="35">
        <f>SUM(B484:I484)</f>
        <v/>
      </c>
      <c r="K484" s="755" t="n">
        <v>0</v>
      </c>
      <c r="L484" s="839" t="n"/>
      <c r="M484" s="770" t="n"/>
      <c r="N484" s="863" t="n">
        <v>0</v>
      </c>
      <c r="O484" s="757" t="n"/>
      <c r="P484" s="854" t="n"/>
      <c r="Q484" s="758" t="n"/>
      <c r="R484" s="755">
        <f>SUM(K484:Q484)</f>
        <v/>
      </c>
      <c r="S484" s="755">
        <f>J484*32200</f>
        <v/>
      </c>
    </row>
    <row r="485" customFormat="1" s="638">
      <c r="A485" s="356" t="inlineStr">
        <is>
          <t>(W)가문비나무오가닉</t>
        </is>
      </c>
      <c r="B485" s="774" t="n"/>
      <c r="C485" s="35" t="n"/>
      <c r="D485" s="234" t="n"/>
      <c r="E485" s="234" t="n"/>
      <c r="F485" s="191" t="n"/>
      <c r="G485" s="195" t="n"/>
      <c r="H485" s="80" t="n"/>
      <c r="I485" s="114" t="n"/>
      <c r="J485" s="35">
        <f>SUM(B485:I485)</f>
        <v/>
      </c>
      <c r="K485" s="755" t="n">
        <v>0</v>
      </c>
      <c r="L485" s="839" t="n"/>
      <c r="M485" s="770" t="n"/>
      <c r="N485" s="863" t="n">
        <v>0</v>
      </c>
      <c r="O485" s="757" t="n"/>
      <c r="P485" s="854" t="n"/>
      <c r="Q485" s="758" t="n"/>
      <c r="R485" s="755">
        <f>SUM(K485:Q485)</f>
        <v/>
      </c>
      <c r="S485" s="755">
        <f>J485*45600</f>
        <v/>
      </c>
    </row>
    <row r="486" customFormat="1" s="638">
      <c r="A486" s="356" t="inlineStr">
        <is>
          <t>타마락낙엽송오가닉</t>
        </is>
      </c>
      <c r="B486" s="774" t="n"/>
      <c r="C486" s="35" t="n"/>
      <c r="D486" s="234" t="n"/>
      <c r="E486" s="234" t="n"/>
      <c r="F486" s="191" t="n"/>
      <c r="G486" s="195" t="n"/>
      <c r="H486" s="80" t="n"/>
      <c r="I486" s="114" t="n"/>
      <c r="J486" s="35">
        <f>SUM(B486:I486)</f>
        <v/>
      </c>
      <c r="K486" s="755" t="n">
        <v>0</v>
      </c>
      <c r="L486" s="839" t="n"/>
      <c r="M486" s="770" t="n"/>
      <c r="N486" s="863" t="n">
        <v>0</v>
      </c>
      <c r="O486" s="757" t="n"/>
      <c r="P486" s="854" t="n"/>
      <c r="Q486" s="758" t="n"/>
      <c r="R486" s="755">
        <f>SUM(K486:Q486)</f>
        <v/>
      </c>
      <c r="S486" s="755">
        <f>J486*62600</f>
        <v/>
      </c>
    </row>
    <row r="487" customFormat="1" s="638">
      <c r="A487" s="356" t="inlineStr">
        <is>
          <t>동백삼나무잎</t>
        </is>
      </c>
      <c r="B487" s="774" t="n"/>
      <c r="C487" s="35" t="n"/>
      <c r="D487" s="234" t="n"/>
      <c r="E487" s="234" t="n"/>
      <c r="F487" s="191" t="n"/>
      <c r="G487" s="195" t="n"/>
      <c r="H487" s="80" t="n"/>
      <c r="I487" s="114" t="n"/>
      <c r="J487" s="35">
        <f>SUM(B487:I487)</f>
        <v/>
      </c>
      <c r="K487" s="755" t="n">
        <v>0</v>
      </c>
      <c r="L487" s="839" t="n"/>
      <c r="M487" s="770" t="n"/>
      <c r="N487" s="863" t="n">
        <v>0</v>
      </c>
      <c r="O487" s="757" t="n"/>
      <c r="P487" s="854" t="n"/>
      <c r="Q487" s="758" t="n"/>
      <c r="R487" s="755">
        <f>SUM(K487:Q487)</f>
        <v/>
      </c>
      <c r="S487" s="755">
        <f>J487*29300</f>
        <v/>
      </c>
    </row>
    <row r="488" customFormat="1" s="638">
      <c r="A488" s="356" t="inlineStr">
        <is>
          <t>노르웨이소나무</t>
        </is>
      </c>
      <c r="B488" s="775" t="n"/>
      <c r="C488" s="35" t="n"/>
      <c r="D488" s="234" t="n"/>
      <c r="E488" s="234" t="n"/>
      <c r="F488" s="191" t="n"/>
      <c r="G488" s="195" t="n"/>
      <c r="H488" s="80" t="n"/>
      <c r="I488" s="114" t="n"/>
      <c r="J488" s="35">
        <f>SUM(B488:I488)</f>
        <v/>
      </c>
      <c r="K488" s="755" t="n">
        <v>0</v>
      </c>
      <c r="L488" s="839" t="n"/>
      <c r="M488" s="770" t="n"/>
      <c r="N488" s="863" t="n">
        <v>0</v>
      </c>
      <c r="O488" s="757" t="n"/>
      <c r="P488" s="854" t="n"/>
      <c r="Q488" s="758" t="n"/>
      <c r="R488" s="755">
        <f>SUM(K488:Q488)</f>
        <v/>
      </c>
      <c r="S488" s="755">
        <f>J488*28700</f>
        <v/>
      </c>
    </row>
    <row r="489" customFormat="1" s="638">
      <c r="A489" s="356" t="n"/>
      <c r="B489" s="697" t="n"/>
      <c r="C489" s="35" t="n"/>
      <c r="D489" s="234" t="n"/>
      <c r="E489" s="234" t="n"/>
      <c r="F489" s="191" t="n"/>
      <c r="G489" s="195" t="n"/>
      <c r="H489" s="80" t="n"/>
      <c r="I489" s="114" t="n"/>
      <c r="J489" s="35" t="n"/>
      <c r="K489" s="755" t="n"/>
      <c r="L489" s="839" t="n"/>
      <c r="M489" s="770" t="n"/>
      <c r="N489" s="863" t="n"/>
      <c r="O489" s="757" t="n"/>
      <c r="P489" s="854" t="n"/>
      <c r="Q489" s="758" t="n"/>
      <c r="R489" s="755" t="n"/>
      <c r="S489" s="755" t="n"/>
    </row>
    <row r="490" customFormat="1" s="74">
      <c r="A490" s="504" t="inlineStr">
        <is>
          <t>100ml합계</t>
        </is>
      </c>
      <c r="B490" s="506" t="n"/>
      <c r="C490" s="450">
        <f>SUM(C419:C489)</f>
        <v/>
      </c>
      <c r="D490" s="450">
        <f>SUM(D419:D489)</f>
        <v/>
      </c>
      <c r="E490" s="450">
        <f>SUM(E419:E489)</f>
        <v/>
      </c>
      <c r="F490" s="450">
        <f>SUM(F419:F489)</f>
        <v/>
      </c>
      <c r="G490" s="450">
        <f>SUM(G419:G489)</f>
        <v/>
      </c>
      <c r="H490" s="450">
        <f>SUM(H419:H489)</f>
        <v/>
      </c>
      <c r="I490" s="450">
        <f>SUM(I419:I489)</f>
        <v/>
      </c>
      <c r="J490" s="450">
        <f>SUM(J419:J489)</f>
        <v/>
      </c>
      <c r="K490" s="886">
        <f>SUM(K419:K489)</f>
        <v/>
      </c>
      <c r="L490" s="886">
        <f>SUM(L419:L489)</f>
        <v/>
      </c>
      <c r="M490" s="886">
        <f>SUM(M419:M489)</f>
        <v/>
      </c>
      <c r="N490" s="886">
        <f>SUM(N419:N489)</f>
        <v/>
      </c>
      <c r="O490" s="886">
        <f>SUM(O419:O489)</f>
        <v/>
      </c>
      <c r="P490" s="886">
        <f>SUM(P419:P489)</f>
        <v/>
      </c>
      <c r="Q490" s="886">
        <f>SUM(Q419:Q489)</f>
        <v/>
      </c>
      <c r="R490" s="886">
        <f>SUM(K490:Q490)</f>
        <v/>
      </c>
      <c r="S490" s="886">
        <f>SUM(S419:S489)</f>
        <v/>
      </c>
    </row>
    <row r="491" customFormat="1" s="638">
      <c r="A491" s="356" t="n"/>
      <c r="B491" s="505" t="n"/>
      <c r="C491" s="35" t="n"/>
      <c r="D491" s="234" t="n"/>
      <c r="E491" s="234" t="n"/>
      <c r="F491" s="191" t="n"/>
      <c r="G491" s="195" t="n"/>
      <c r="H491" s="80" t="n"/>
      <c r="I491" s="114" t="n"/>
      <c r="J491" s="35" t="n"/>
      <c r="K491" s="836" t="n"/>
      <c r="L491" s="839" t="n"/>
      <c r="M491" s="770" t="n"/>
      <c r="N491" s="771" t="n"/>
      <c r="O491" s="757" t="n"/>
      <c r="P491" s="854" t="n"/>
      <c r="Q491" s="758" t="n"/>
      <c r="R491" s="755" t="n"/>
      <c r="S491" s="755" t="n"/>
    </row>
    <row r="492" ht="16.5" customFormat="1" customHeight="1" s="638">
      <c r="A492" s="356" t="inlineStr">
        <is>
          <t>호호바골든1KG</t>
        </is>
      </c>
      <c r="B492" s="547" t="inlineStr">
        <is>
          <t>자디니캐리어오일1kg  P0000BJR  /  P0000BKG</t>
        </is>
      </c>
      <c r="C492" s="35" t="n"/>
      <c r="D492" s="234" t="n"/>
      <c r="E492" s="234" t="n"/>
      <c r="F492" s="191" t="n">
        <v>1</v>
      </c>
      <c r="G492" s="195" t="n"/>
      <c r="H492" s="80" t="n"/>
      <c r="I492" s="114" t="n"/>
      <c r="J492" s="35">
        <f>SUM(B492:I492)</f>
        <v/>
      </c>
      <c r="K492" s="836">
        <f>C492*156000</f>
        <v/>
      </c>
      <c r="L492" s="839" t="n"/>
      <c r="M492" s="770">
        <f>E492*156000</f>
        <v/>
      </c>
      <c r="N492" s="771">
        <f>F492*124800</f>
        <v/>
      </c>
      <c r="O492" s="757" t="n"/>
      <c r="P492" s="854" t="n"/>
      <c r="Q492" s="758" t="n"/>
      <c r="R492" s="755">
        <f>SUM(K492:Q492)</f>
        <v/>
      </c>
      <c r="S492" s="755">
        <f>J492*22320</f>
        <v/>
      </c>
    </row>
    <row r="493" customFormat="1" s="275">
      <c r="A493" s="356" t="inlineStr">
        <is>
          <t>썬플라워오일1KG</t>
        </is>
      </c>
      <c r="B493" s="774" t="n"/>
      <c r="C493" s="539" t="n">
        <v>1</v>
      </c>
      <c r="D493" s="233" t="n"/>
      <c r="E493" s="233" t="n"/>
      <c r="F493" s="218" t="n"/>
      <c r="G493" s="413" t="n"/>
      <c r="H493" s="413" t="n"/>
      <c r="I493" s="413" t="n"/>
      <c r="J493" s="218">
        <f>SUM(B493:I493)</f>
        <v/>
      </c>
      <c r="K493" s="836">
        <f>C493*44000</f>
        <v/>
      </c>
      <c r="L493" s="888" t="n"/>
      <c r="M493" s="770">
        <f>E493*44000</f>
        <v/>
      </c>
      <c r="N493" s="771">
        <f>F493*35200</f>
        <v/>
      </c>
      <c r="O493" s="888" t="n"/>
      <c r="P493" s="889" t="n"/>
      <c r="Q493" s="890" t="n"/>
      <c r="R493" s="755">
        <f>SUM(K493:Q493)</f>
        <v/>
      </c>
      <c r="S493" s="755">
        <f>J493*10230</f>
        <v/>
      </c>
    </row>
    <row r="494" customFormat="1" s="275">
      <c r="A494" s="356" t="inlineStr">
        <is>
          <t>포도씨오일1KG</t>
        </is>
      </c>
      <c r="B494" s="774" t="n"/>
      <c r="C494" s="539" t="n"/>
      <c r="D494" s="233" t="n"/>
      <c r="E494" s="233" t="n"/>
      <c r="F494" s="218" t="n"/>
      <c r="G494" s="413" t="n"/>
      <c r="H494" s="413" t="n"/>
      <c r="I494" s="413" t="n"/>
      <c r="J494" s="218">
        <f>SUM(B494:I494)</f>
        <v/>
      </c>
      <c r="K494" s="836">
        <f>C494*44000</f>
        <v/>
      </c>
      <c r="L494" s="888" t="n"/>
      <c r="M494" s="770">
        <f>E494*44000</f>
        <v/>
      </c>
      <c r="N494" s="771">
        <f>F494*35200</f>
        <v/>
      </c>
      <c r="O494" s="888" t="n"/>
      <c r="P494" s="889" t="n"/>
      <c r="Q494" s="890" t="n"/>
      <c r="R494" s="755">
        <f>SUM(K494:Q494)</f>
        <v/>
      </c>
      <c r="S494" s="755">
        <f>J494*10780</f>
        <v/>
      </c>
    </row>
    <row r="495" customFormat="1" s="275">
      <c r="A495" s="356" t="inlineStr">
        <is>
          <t>스윗아몬드오일1KG</t>
        </is>
      </c>
      <c r="B495" s="774" t="n"/>
      <c r="C495" s="218" t="n"/>
      <c r="D495" s="233" t="n"/>
      <c r="E495" s="234" t="n"/>
      <c r="F495" s="218" t="n"/>
      <c r="G495" s="413" t="n"/>
      <c r="H495" s="413" t="n"/>
      <c r="I495" s="413" t="n"/>
      <c r="J495" s="218">
        <f>SUM(B495:I495)</f>
        <v/>
      </c>
      <c r="K495" s="836">
        <f>C495*66000</f>
        <v/>
      </c>
      <c r="L495" s="888" t="n"/>
      <c r="M495" s="770">
        <f>E495*66000</f>
        <v/>
      </c>
      <c r="N495" s="771">
        <f>F495*52800</f>
        <v/>
      </c>
      <c r="O495" s="888" t="n"/>
      <c r="P495" s="889" t="n"/>
      <c r="Q495" s="890" t="n"/>
      <c r="R495" s="755">
        <f>SUM(K495:Q495)</f>
        <v/>
      </c>
      <c r="S495" s="755">
        <f>J495*14300</f>
        <v/>
      </c>
    </row>
    <row r="496" customFormat="1" s="412">
      <c r="A496" s="356" t="inlineStr">
        <is>
          <t>코코넛오일1KG</t>
        </is>
      </c>
      <c r="B496" s="775" t="n"/>
      <c r="C496" s="218" t="n"/>
      <c r="D496" s="233" t="n"/>
      <c r="E496" s="234" t="n"/>
      <c r="F496" s="191" t="n"/>
      <c r="G496" s="413" t="n"/>
      <c r="H496" s="413" t="n"/>
      <c r="I496" s="413" t="n"/>
      <c r="J496" s="218">
        <f>SUM(B496:I496)</f>
        <v/>
      </c>
      <c r="K496" s="836">
        <f>C496*36000</f>
        <v/>
      </c>
      <c r="L496" s="888" t="n"/>
      <c r="M496" s="770">
        <f>E496*36000</f>
        <v/>
      </c>
      <c r="N496" s="771">
        <f>F496*28800</f>
        <v/>
      </c>
      <c r="O496" s="888" t="n"/>
      <c r="P496" s="889" t="n"/>
      <c r="Q496" s="890" t="n"/>
      <c r="R496" s="755">
        <f>SUM(K496:Q496)</f>
        <v/>
      </c>
      <c r="S496" s="755">
        <f>J496*6600</f>
        <v/>
      </c>
    </row>
    <row r="497">
      <c r="A497" s="515" t="inlineStr">
        <is>
          <t>캐리어오일합계</t>
        </is>
      </c>
      <c r="B497" s="516" t="n"/>
      <c r="C497" s="541">
        <f>SUM(C492:C496)</f>
        <v/>
      </c>
      <c r="D497" s="541">
        <f>SUM(D492:D496)</f>
        <v/>
      </c>
      <c r="E497" s="541">
        <f>SUM(E492:E496)</f>
        <v/>
      </c>
      <c r="F497" s="541">
        <f>SUM(F492:F496)</f>
        <v/>
      </c>
      <c r="G497" s="541">
        <f>SUM(G492:G496)</f>
        <v/>
      </c>
      <c r="H497" s="541">
        <f>SUM(H492:H496)</f>
        <v/>
      </c>
      <c r="I497" s="541">
        <f>SUM(I492:I496)</f>
        <v/>
      </c>
      <c r="J497" s="541">
        <f>SUM(J492:J496)</f>
        <v/>
      </c>
      <c r="K497" s="891">
        <f>SUM(K491:K496)</f>
        <v/>
      </c>
      <c r="L497" s="891">
        <f>SUM(L491:L496)</f>
        <v/>
      </c>
      <c r="M497" s="891">
        <f>SUM(M491:M496)</f>
        <v/>
      </c>
      <c r="N497" s="891">
        <f>SUM(N491:N496)</f>
        <v/>
      </c>
      <c r="O497" s="891">
        <f>SUM(O491:O496)</f>
        <v/>
      </c>
      <c r="P497" s="891">
        <f>SUM(P491:P496)</f>
        <v/>
      </c>
      <c r="Q497" s="891">
        <f>SUM(Q491:Q496)</f>
        <v/>
      </c>
      <c r="R497" s="892">
        <f>SUM(K497:Q497)</f>
        <v/>
      </c>
      <c r="S497" s="893">
        <f>SUM(S491:S496)</f>
        <v/>
      </c>
    </row>
    <row r="498">
      <c r="A498" s="517" t="n"/>
      <c r="D498" s="142" t="n"/>
      <c r="E498" s="143" t="n"/>
      <c r="F498" s="691" t="n"/>
      <c r="G498" s="12" t="n"/>
      <c r="H498" s="691" t="n"/>
      <c r="I498" s="691" t="inlineStr">
        <is>
          <t>자디니아로마합계</t>
        </is>
      </c>
      <c r="K498" s="894">
        <f>K497+K490+K417</f>
        <v/>
      </c>
      <c r="L498" s="895" t="n"/>
      <c r="M498" s="896" t="n"/>
      <c r="N498" s="896" t="n"/>
      <c r="O498" s="896" t="n"/>
      <c r="P498" s="897" t="n"/>
      <c r="Q498" s="898" t="n"/>
      <c r="R498" s="894">
        <f>R497+R490+R417</f>
        <v/>
      </c>
      <c r="S498" s="899">
        <f>S497+S490+S417</f>
        <v/>
      </c>
    </row>
    <row r="499" customFormat="1" s="244">
      <c r="B499" s="245" t="n"/>
      <c r="C499" s="245" t="n"/>
      <c r="D499" s="514" t="n"/>
      <c r="E499" s="500" t="n"/>
      <c r="F499" s="501" t="n"/>
      <c r="G499" s="502" t="n"/>
      <c r="H499" s="491" t="n"/>
      <c r="I499" s="501" t="n"/>
      <c r="J499" s="501" t="n"/>
      <c r="K499" s="866" t="n"/>
      <c r="L499" s="866" t="n"/>
      <c r="M499" s="867" t="n"/>
      <c r="N499" s="867" t="n"/>
      <c r="O499" s="868" t="n"/>
      <c r="P499" s="869" t="n"/>
      <c r="Q499" s="870" t="n"/>
      <c r="R499" s="866" t="n"/>
      <c r="S499" s="871" t="n"/>
    </row>
    <row r="500" ht="17.25" customFormat="1" customHeight="1" s="638" thickBot="1">
      <c r="A500" s="0" t="inlineStr">
        <is>
          <t>고마쥐튜브</t>
        </is>
      </c>
      <c r="C500" s="628" t="n"/>
      <c r="F500" s="163" t="n"/>
      <c r="J500" s="164" t="n"/>
      <c r="K500" s="900" t="n"/>
      <c r="L500" s="900" t="n"/>
      <c r="M500" s="900" t="n"/>
      <c r="N500" s="900" t="n"/>
      <c r="O500" s="820" t="n"/>
      <c r="P500" s="900" t="n"/>
      <c r="Q500" s="900" t="n"/>
      <c r="R500" s="0" t="n"/>
    </row>
    <row r="501" customFormat="1" s="638">
      <c r="A501" s="0" t="inlineStr">
        <is>
          <t>히알공병</t>
        </is>
      </c>
      <c r="C501" s="628" t="n"/>
      <c r="F501" s="163" t="n"/>
      <c r="J501" s="141" t="n"/>
      <c r="K501" s="901" t="inlineStr">
        <is>
          <t>라이콘합계</t>
        </is>
      </c>
      <c r="L501" s="902" t="inlineStr">
        <is>
          <t>제모미인합계</t>
        </is>
      </c>
      <c r="M501" s="903" t="inlineStr">
        <is>
          <t>자디니아로마</t>
        </is>
      </c>
      <c r="N501" s="904" t="inlineStr">
        <is>
          <t>비품합계</t>
        </is>
      </c>
      <c r="O501" s="905" t="n"/>
      <c r="P501" s="906" t="inlineStr">
        <is>
          <t>총합계</t>
        </is>
      </c>
      <c r="Q501" s="907" t="n"/>
      <c r="R501" s="797" t="n"/>
      <c r="S501" s="0" t="n"/>
    </row>
    <row r="502" customFormat="1" s="638">
      <c r="A502" s="0" t="n"/>
      <c r="C502" s="628" t="n"/>
      <c r="F502" s="163" t="n"/>
      <c r="J502" s="141" t="inlineStr">
        <is>
          <t>매출</t>
        </is>
      </c>
      <c r="K502" s="908">
        <f>R24+R44+R60+R84+R101+R119+R126+R132+R140+R158</f>
        <v/>
      </c>
      <c r="L502" s="829">
        <f>R225+R235+R241+R249</f>
        <v/>
      </c>
      <c r="M502" s="796">
        <f>R498</f>
        <v/>
      </c>
      <c r="N502" s="909">
        <f>R262+R336</f>
        <v/>
      </c>
      <c r="O502" s="797" t="n"/>
      <c r="P502" s="910">
        <f>SUM(K502:O502)</f>
        <v/>
      </c>
      <c r="Q502" s="907" t="n"/>
      <c r="R502" s="797" t="n"/>
      <c r="S502" s="0" t="n"/>
    </row>
    <row r="503" ht="17.25" customFormat="1" customHeight="1" s="638" thickBot="1">
      <c r="A503" s="0" t="inlineStr">
        <is>
          <t>인그로운스프레이</t>
        </is>
      </c>
      <c r="C503" s="628" t="n"/>
      <c r="F503" s="163" t="n"/>
      <c r="J503" s="520" t="inlineStr">
        <is>
          <t>원가</t>
        </is>
      </c>
      <c r="K503" s="911">
        <f>S24+S44+S60+S84+S101+S119+S126+S132+S140+S158</f>
        <v/>
      </c>
      <c r="L503" s="912">
        <f>S225+S235+S241+S249</f>
        <v/>
      </c>
      <c r="M503" s="913">
        <f>S498</f>
        <v/>
      </c>
      <c r="N503" s="914">
        <f>S262+S336</f>
        <v/>
      </c>
      <c r="O503" s="915" t="n"/>
      <c r="P503" s="916">
        <f>SUM(K503:O503)</f>
        <v/>
      </c>
      <c r="Q503" s="907" t="n"/>
      <c r="R503" s="907" t="n"/>
      <c r="S503" s="0" t="n"/>
    </row>
    <row r="504" customFormat="1" s="638">
      <c r="A504" s="0" t="inlineStr">
        <is>
          <t>공병500ml</t>
        </is>
      </c>
      <c r="C504" s="628" t="n"/>
      <c r="F504" s="163" t="n"/>
      <c r="K504" s="755" t="n"/>
      <c r="L504" s="755" t="n"/>
      <c r="M504" s="756" t="n"/>
      <c r="N504" s="917" t="n"/>
      <c r="O504" s="837" t="inlineStr">
        <is>
          <t>도매매출</t>
        </is>
      </c>
      <c r="P504" s="918" t="inlineStr">
        <is>
          <t>원가</t>
        </is>
      </c>
      <c r="Q504" s="758" t="n"/>
      <c r="R504" s="756" t="n"/>
      <c r="S504" s="0" t="n"/>
    </row>
    <row r="505" customFormat="1" s="638">
      <c r="A505" s="0" t="n"/>
      <c r="C505" s="628" t="n"/>
      <c r="F505" s="163" t="n"/>
      <c r="K505" s="755" t="n"/>
      <c r="L505" s="755" t="n"/>
      <c r="M505" s="756" t="n"/>
      <c r="N505" s="917" t="inlineStr">
        <is>
          <t>라이콘</t>
        </is>
      </c>
      <c r="O505" s="838">
        <f>K502</f>
        <v/>
      </c>
      <c r="P505" s="919">
        <f>K503</f>
        <v/>
      </c>
      <c r="Q505" s="821" t="n"/>
      <c r="R505" s="786" t="n"/>
      <c r="S505" s="0" t="n"/>
    </row>
    <row r="506" customFormat="1" s="638">
      <c r="A506" s="0" t="inlineStr">
        <is>
          <t>샘플공병20ml</t>
        </is>
      </c>
      <c r="B506" s="144" t="n"/>
      <c r="C506" s="628" t="n"/>
      <c r="F506" s="163" t="n"/>
      <c r="H506" s="216" t="n"/>
      <c r="I506" s="216" t="n"/>
      <c r="J506" s="217" t="n"/>
      <c r="K506" s="755" t="n"/>
      <c r="L506" s="755" t="n"/>
      <c r="M506" s="756" t="n"/>
      <c r="N506" s="920" t="inlineStr">
        <is>
          <t>제모미인</t>
        </is>
      </c>
      <c r="O506" s="921">
        <f>L502</f>
        <v/>
      </c>
      <c r="P506" s="922">
        <f>L503</f>
        <v/>
      </c>
      <c r="Q506" s="923" t="n"/>
      <c r="R506" s="923" t="n"/>
      <c r="S506" s="0" t="n"/>
    </row>
    <row r="507" customFormat="1" s="638">
      <c r="A507" s="0" t="inlineStr">
        <is>
          <t>샘플튜브</t>
        </is>
      </c>
      <c r="C507" s="628" t="n"/>
      <c r="F507" s="163" t="n"/>
      <c r="K507" s="755" t="n"/>
      <c r="L507" s="755" t="n"/>
      <c r="M507" s="756" t="n"/>
      <c r="N507" s="924" t="inlineStr">
        <is>
          <t>비품</t>
        </is>
      </c>
      <c r="O507" s="888">
        <f>N502</f>
        <v/>
      </c>
      <c r="P507" s="925">
        <f>N503</f>
        <v/>
      </c>
      <c r="Q507" s="926" t="n"/>
      <c r="R507" s="926" t="n"/>
      <c r="S507" s="0" t="n"/>
    </row>
    <row r="508" customFormat="1" s="638">
      <c r="A508" s="0" t="inlineStr">
        <is>
          <t>MTS롤러</t>
        </is>
      </c>
      <c r="C508" s="628" t="n"/>
      <c r="F508" s="163" t="n"/>
      <c r="K508" s="755" t="n"/>
      <c r="L508" s="927" t="n"/>
      <c r="M508" s="756" t="n"/>
      <c r="N508" s="928" t="inlineStr">
        <is>
          <t>자디니아로마</t>
        </is>
      </c>
      <c r="O508" s="863">
        <f>M502</f>
        <v/>
      </c>
      <c r="P508" s="929">
        <f>M503</f>
        <v/>
      </c>
      <c r="Q508" s="863" t="n"/>
      <c r="R508" s="930" t="n"/>
      <c r="S508" s="0" t="n"/>
    </row>
    <row r="509" customFormat="1" s="638">
      <c r="A509" s="0" t="inlineStr">
        <is>
          <t>위생장갑(S)</t>
        </is>
      </c>
      <c r="C509" s="628" t="n"/>
      <c r="F509" s="213" t="n"/>
      <c r="G509" s="212" t="n"/>
      <c r="K509" s="755" t="n"/>
      <c r="L509" s="927" t="n"/>
      <c r="M509" s="756" t="n"/>
      <c r="N509" s="931" t="n"/>
      <c r="O509" s="932" t="n"/>
      <c r="P509" s="933" t="n"/>
      <c r="Q509" s="930" t="n"/>
      <c r="R509" s="934" t="n"/>
      <c r="S509" s="0" t="n"/>
    </row>
    <row r="510" customFormat="1" s="638">
      <c r="A510" s="0" t="inlineStr">
        <is>
          <t>위생장갑(M)</t>
        </is>
      </c>
      <c r="C510" s="628" t="n"/>
      <c r="F510" s="213" t="n"/>
      <c r="K510" s="755" t="n"/>
      <c r="L510" s="755" t="n"/>
      <c r="M510" s="756" t="n"/>
      <c r="N510" s="935" t="inlineStr">
        <is>
          <t>총합계</t>
        </is>
      </c>
      <c r="O510" s="936">
        <f>SUM(O505:O509)</f>
        <v/>
      </c>
      <c r="P510" s="937">
        <f>SUM(P505:P509)</f>
        <v/>
      </c>
      <c r="Q510" s="821" t="n"/>
      <c r="R510" s="756" t="n"/>
      <c r="S510" s="0" t="n"/>
    </row>
    <row r="511" customFormat="1" s="638">
      <c r="A511" s="0" t="inlineStr">
        <is>
          <t>라텍스장갑(S)</t>
        </is>
      </c>
      <c r="B511" s="572" t="n">
        <v>7</v>
      </c>
      <c r="C511" s="628" t="n"/>
      <c r="K511" s="756" t="n"/>
      <c r="L511" s="888" t="inlineStr">
        <is>
          <t>비품</t>
        </is>
      </c>
      <c r="M511" s="756" t="inlineStr">
        <is>
          <t>라이콘</t>
        </is>
      </c>
      <c r="N511" s="938" t="inlineStr">
        <is>
          <t>제모미인</t>
        </is>
      </c>
      <c r="O511" s="863" t="inlineStr">
        <is>
          <t>자디니아로마</t>
        </is>
      </c>
      <c r="P511" s="939" t="inlineStr">
        <is>
          <t>합계</t>
        </is>
      </c>
      <c r="Q511" s="828" t="inlineStr">
        <is>
          <t>아하</t>
        </is>
      </c>
      <c r="R511" s="638" t="inlineStr">
        <is>
          <t>카페24</t>
        </is>
      </c>
      <c r="S511" s="939" t="n"/>
    </row>
    <row r="512">
      <c r="A512" s="0" t="inlineStr">
        <is>
          <t>라텍스장갑(M)</t>
        </is>
      </c>
      <c r="B512" s="638" t="n">
        <v>1</v>
      </c>
      <c r="E512" s="270" t="n"/>
      <c r="K512" s="756" t="inlineStr">
        <is>
          <t>도매</t>
        </is>
      </c>
      <c r="L512" s="888" t="n">
        <v>12898360</v>
      </c>
      <c r="M512" s="756" t="n">
        <v>215502510</v>
      </c>
      <c r="N512" s="940" t="n">
        <v>29033370</v>
      </c>
      <c r="O512" s="863" t="n">
        <v>1280800</v>
      </c>
      <c r="P512" s="941">
        <f>SUM(L512:O512)</f>
        <v/>
      </c>
      <c r="Q512" s="755" t="n">
        <v>258712759</v>
      </c>
      <c r="R512" s="266" t="n"/>
      <c r="S512" s="941" t="n"/>
    </row>
    <row r="513">
      <c r="A513" s="0" t="inlineStr">
        <is>
          <t>제모미인스파츌라</t>
        </is>
      </c>
      <c r="K513" s="756" t="n"/>
      <c r="L513" s="888" t="n">
        <v>4661608</v>
      </c>
      <c r="M513" s="756" t="n">
        <v>101156822</v>
      </c>
      <c r="N513" s="940" t="n">
        <v>5888697</v>
      </c>
      <c r="O513" s="863" t="n">
        <v>311258</v>
      </c>
      <c r="P513" s="941">
        <f>SUM(L513:O513)</f>
        <v/>
      </c>
      <c r="Q513" s="755" t="n">
        <v>111947395</v>
      </c>
      <c r="R513" s="266" t="n"/>
      <c r="S513" s="941" t="n"/>
    </row>
    <row r="514">
      <c r="A514" s="0" t="inlineStr">
        <is>
          <t>종이화일</t>
        </is>
      </c>
      <c r="E514" s="728" t="n">
        <v>5</v>
      </c>
      <c r="K514" s="756" t="n"/>
      <c r="L514" s="888" t="n"/>
      <c r="N514" s="940" t="n"/>
      <c r="O514" s="863" t="n"/>
      <c r="P514" s="941">
        <f>SUM(L514:O514)</f>
        <v/>
      </c>
      <c r="Q514" s="755" t="n"/>
      <c r="R514" s="266" t="n"/>
      <c r="S514" s="941" t="n"/>
    </row>
    <row r="515">
      <c r="A515" s="0" t="inlineStr">
        <is>
          <t>원장유니폼(상)</t>
        </is>
      </c>
      <c r="E515" s="728" t="n">
        <v>2</v>
      </c>
      <c r="K515" s="756" t="n"/>
      <c r="L515" s="888" t="n"/>
      <c r="N515" s="940" t="n"/>
      <c r="O515" s="863" t="n"/>
      <c r="P515" s="941">
        <f>SUM(L515:O515)</f>
        <v/>
      </c>
      <c r="Q515" s="755" t="n"/>
      <c r="R515" s="266" t="n"/>
      <c r="S515" s="941" t="n"/>
    </row>
    <row r="516">
      <c r="A516" s="0" t="inlineStr">
        <is>
          <t>유니폼(하)</t>
        </is>
      </c>
      <c r="E516" s="728" t="n">
        <v>2</v>
      </c>
      <c r="K516" s="756" t="inlineStr">
        <is>
          <t>마스터</t>
        </is>
      </c>
      <c r="L516" s="888">
        <f>N502-L512-L514</f>
        <v/>
      </c>
      <c r="M516" s="756">
        <f>K502-M512-M514</f>
        <v/>
      </c>
      <c r="N516" s="940">
        <f>L502-N512-N514</f>
        <v/>
      </c>
      <c r="O516" s="863">
        <f>M502-O512-O514</f>
        <v/>
      </c>
      <c r="P516" s="941">
        <f>SUM(L516:O516)</f>
        <v/>
      </c>
      <c r="Q516" s="755" t="n">
        <v>48223881</v>
      </c>
      <c r="R516" s="266" t="n"/>
      <c r="S516" s="941" t="n"/>
    </row>
    <row r="517">
      <c r="A517" s="0" t="inlineStr">
        <is>
          <t>자디니스파명찰</t>
        </is>
      </c>
      <c r="E517" s="728" t="n">
        <v>10</v>
      </c>
      <c r="K517" s="756" t="n"/>
      <c r="L517" s="888">
        <f>N503-L513-L515</f>
        <v/>
      </c>
      <c r="M517" s="756">
        <f>K503-M513-M515</f>
        <v/>
      </c>
      <c r="N517" s="940">
        <f>L503-N513-N515</f>
        <v/>
      </c>
      <c r="O517" s="863">
        <f>M503-O513-O515</f>
        <v/>
      </c>
      <c r="P517" s="941">
        <f>SUM(L517:O517)</f>
        <v/>
      </c>
      <c r="Q517" s="755" t="n">
        <v>23822497</v>
      </c>
      <c r="R517" s="266" t="n"/>
      <c r="S517" s="941" t="n"/>
    </row>
    <row r="518">
      <c r="K518" s="756" t="n"/>
      <c r="L518" s="888" t="n"/>
      <c r="N518" s="940" t="n"/>
      <c r="O518" s="863" t="n"/>
      <c r="P518" s="941" t="n"/>
      <c r="Q518" s="755" t="n"/>
      <c r="R518" s="0" t="n"/>
      <c r="S518" s="941" t="n"/>
    </row>
    <row r="519">
      <c r="K519" s="756" t="inlineStr">
        <is>
          <t>매출합계</t>
        </is>
      </c>
      <c r="L519" s="888">
        <f>L512+L514+L516</f>
        <v/>
      </c>
      <c r="M519" s="756">
        <f>M512+M514+M516</f>
        <v/>
      </c>
      <c r="N519" s="921">
        <f>N512+N514+N516</f>
        <v/>
      </c>
      <c r="O519" s="863">
        <f>O512+O514+O516</f>
        <v/>
      </c>
      <c r="P519" s="941">
        <f>SUM(L519:O519)</f>
        <v/>
      </c>
      <c r="Q519" s="817">
        <f>Q512+Q514+Q516</f>
        <v/>
      </c>
      <c r="R519" s="817" t="n">
        <v>326183550</v>
      </c>
      <c r="S519" s="941" t="n"/>
    </row>
    <row r="520" customFormat="1" s="638">
      <c r="A520" s="0" t="n"/>
      <c r="C520" s="628" t="n"/>
      <c r="K520" s="756" t="inlineStr">
        <is>
          <t>원가합계</t>
        </is>
      </c>
      <c r="L520" s="888">
        <f>L513+L515+L517</f>
        <v/>
      </c>
      <c r="M520" s="756">
        <f>M513+M515+M517</f>
        <v/>
      </c>
      <c r="N520" s="921">
        <f>N513+N515+N517</f>
        <v/>
      </c>
      <c r="O520" s="863">
        <f>O513+O515+O517</f>
        <v/>
      </c>
      <c r="P520" s="941">
        <f>SUM(L520:O520)</f>
        <v/>
      </c>
      <c r="Q520" s="817">
        <f>Q513+Q515+Q517</f>
        <v/>
      </c>
      <c r="R520" s="267" t="n"/>
      <c r="S520" s="941" t="n"/>
    </row>
    <row r="522">
      <c r="R522" s="24" t="inlineStr">
        <is>
          <t>지사가매출</t>
        </is>
      </c>
      <c r="S522" s="756" t="n">
        <v>19343800</v>
      </c>
    </row>
    <row r="523">
      <c r="R523" s="349" t="inlineStr">
        <is>
          <t>온오프매장및중국</t>
        </is>
      </c>
      <c r="S523" s="756" t="n">
        <v>1001950</v>
      </c>
    </row>
    <row r="524" ht="25.5" customHeight="1" s="754">
      <c r="R524" s="349" t="inlineStr">
        <is>
          <t>오프라인주문(마스터)</t>
        </is>
      </c>
    </row>
    <row r="525">
      <c r="L525" s="926" t="inlineStr">
        <is>
          <t>비품</t>
        </is>
      </c>
      <c r="M525" s="756" t="inlineStr">
        <is>
          <t>라이콘</t>
        </is>
      </c>
      <c r="N525" s="923" t="inlineStr">
        <is>
          <t>제모미인</t>
        </is>
      </c>
      <c r="O525" s="863" t="inlineStr">
        <is>
          <t>아로마연구소</t>
        </is>
      </c>
      <c r="P525" s="758" t="inlineStr">
        <is>
          <t>합계</t>
        </is>
      </c>
      <c r="R525" s="349" t="inlineStr">
        <is>
          <t>오프라인주문(도매)</t>
        </is>
      </c>
    </row>
    <row r="526">
      <c r="K526" s="755" t="inlineStr">
        <is>
          <t>도매일반</t>
        </is>
      </c>
      <c r="L526" s="888" t="n">
        <v>11712200</v>
      </c>
      <c r="M526" s="756" t="n">
        <v>56558100</v>
      </c>
      <c r="N526" s="940" t="n">
        <v>22923290</v>
      </c>
      <c r="O526" s="863" t="n">
        <v>476000</v>
      </c>
      <c r="P526" s="755">
        <f>SUM(K526:O526)</f>
        <v/>
      </c>
      <c r="Q526" s="755" t="n"/>
      <c r="R526" s="68" t="inlineStr">
        <is>
          <t>온라인주문합계</t>
        </is>
      </c>
      <c r="S526" s="756">
        <f>P519+S522</f>
        <v/>
      </c>
    </row>
    <row r="527">
      <c r="L527" s="888" t="n">
        <v>4079156</v>
      </c>
      <c r="M527" s="756" t="n">
        <v>22167964</v>
      </c>
      <c r="N527" s="940" t="n">
        <v>4503951</v>
      </c>
      <c r="O527" s="863" t="n">
        <v>114442</v>
      </c>
      <c r="P527" s="755">
        <f>SUM(K527:O527)</f>
        <v/>
      </c>
      <c r="Q527" s="755" t="n"/>
      <c r="R527" s="68" t="inlineStr">
        <is>
          <t>온라인&amp;오프라인합</t>
        </is>
      </c>
      <c r="S527" s="756">
        <f>Q519+S522+S523+S524+S525</f>
        <v/>
      </c>
    </row>
    <row r="528">
      <c r="K528" s="755" t="inlineStr">
        <is>
          <t>도매할인</t>
        </is>
      </c>
      <c r="L528" s="888" t="n">
        <v>1186160</v>
      </c>
      <c r="M528" s="756" t="n">
        <v>158944410</v>
      </c>
      <c r="N528" s="921" t="n">
        <v>6110080</v>
      </c>
      <c r="O528" s="863" t="n">
        <v>804800</v>
      </c>
      <c r="P528" s="756">
        <f>SUM(K528:O528)</f>
        <v/>
      </c>
      <c r="Q528" s="756" t="n"/>
      <c r="R528" s="0" t="inlineStr">
        <is>
          <t>카페24&amp;엑셀차이</t>
        </is>
      </c>
      <c r="S528" s="756">
        <f>R519-S526</f>
        <v/>
      </c>
    </row>
    <row r="529">
      <c r="L529" s="888" t="n">
        <v>582452</v>
      </c>
      <c r="M529" s="756" t="n">
        <v>78988858</v>
      </c>
      <c r="N529" s="921" t="n">
        <v>1384746</v>
      </c>
      <c r="O529" s="863" t="n">
        <v>196816</v>
      </c>
      <c r="P529" s="756">
        <f>SUM(K529:O529)</f>
        <v/>
      </c>
      <c r="Q529" s="756" t="n"/>
      <c r="R529" s="942" t="n"/>
      <c r="S529" s="942" t="n"/>
    </row>
    <row r="530">
      <c r="L530" s="756" t="n"/>
      <c r="N530" s="757" t="n"/>
      <c r="O530" s="756" t="n"/>
      <c r="Q530" s="756" t="n"/>
    </row>
    <row r="531" customFormat="1" s="756">
      <c r="A531" s="0" t="n"/>
      <c r="B531" s="638" t="n"/>
      <c r="C531" s="628" t="n"/>
      <c r="D531" s="638" t="n"/>
      <c r="E531" s="638" t="n"/>
      <c r="F531" s="638" t="n"/>
      <c r="G531" s="638" t="n"/>
      <c r="H531" s="638" t="n"/>
      <c r="I531" s="638" t="n"/>
      <c r="J531" s="638" t="n"/>
      <c r="K531" s="755" t="n"/>
      <c r="L531" s="926">
        <f>L526+L528</f>
        <v/>
      </c>
      <c r="M531" s="756">
        <f>M526+M528</f>
        <v/>
      </c>
      <c r="N531" s="923">
        <f>N526+N528</f>
        <v/>
      </c>
      <c r="O531" s="757">
        <f>O526+O528</f>
        <v/>
      </c>
      <c r="P531" s="756">
        <f>SUM(K531:O531)</f>
        <v/>
      </c>
    </row>
    <row r="532" customFormat="1" s="756">
      <c r="A532" s="0" t="n"/>
      <c r="B532" s="638" t="n"/>
      <c r="C532" s="628" t="n"/>
      <c r="D532" s="638" t="n"/>
      <c r="E532" s="638" t="n"/>
      <c r="F532" s="638" t="n"/>
      <c r="G532" s="638" t="n"/>
      <c r="H532" s="638" t="n"/>
      <c r="I532" s="638" t="n"/>
      <c r="J532" s="638" t="n"/>
      <c r="K532" s="755" t="n"/>
      <c r="L532" s="926">
        <f>L527+L529</f>
        <v/>
      </c>
      <c r="M532" s="756">
        <f>M527+M529</f>
        <v/>
      </c>
      <c r="N532" s="923">
        <f>N527+N529</f>
        <v/>
      </c>
      <c r="O532" s="757">
        <f>O527+O529</f>
        <v/>
      </c>
      <c r="P532" s="756">
        <f>SUM(K532:O532)</f>
        <v/>
      </c>
    </row>
    <row r="534">
      <c r="R534" s="756" t="inlineStr">
        <is>
          <t xml:space="preserve"> </t>
        </is>
      </c>
    </row>
  </sheetData>
  <mergeCells count="37">
    <mergeCell ref="L86:M86"/>
    <mergeCell ref="L237:M237"/>
    <mergeCell ref="L135:M135"/>
    <mergeCell ref="L253:M253"/>
    <mergeCell ref="B285:B287"/>
    <mergeCell ref="D227:D229"/>
    <mergeCell ref="B13:B21"/>
    <mergeCell ref="B219:B220"/>
    <mergeCell ref="B328:B329"/>
    <mergeCell ref="L66:M66"/>
    <mergeCell ref="B282:B283"/>
    <mergeCell ref="L47:M47"/>
    <mergeCell ref="B222:B224"/>
    <mergeCell ref="B318:B319"/>
    <mergeCell ref="B176:B177"/>
    <mergeCell ref="L267:M267"/>
    <mergeCell ref="L121:M121"/>
    <mergeCell ref="L230:N230"/>
    <mergeCell ref="I498:J498"/>
    <mergeCell ref="B346:B415"/>
    <mergeCell ref="L127:M127"/>
    <mergeCell ref="B299:B302"/>
    <mergeCell ref="B492:B496"/>
    <mergeCell ref="B201:B202"/>
    <mergeCell ref="B217:B218"/>
    <mergeCell ref="B206:B207"/>
    <mergeCell ref="H84:I84"/>
    <mergeCell ref="B309:B310"/>
    <mergeCell ref="B321:B322"/>
    <mergeCell ref="L148:M148"/>
    <mergeCell ref="L105:M105"/>
    <mergeCell ref="L6:M6"/>
    <mergeCell ref="B268:B269"/>
    <mergeCell ref="B419:B488"/>
    <mergeCell ref="L169:M169"/>
    <mergeCell ref="B25:B28"/>
    <mergeCell ref="B312:B314"/>
  </mergeCells>
  <pageMargins left="0.7" right="0.7" top="0.75" bottom="0.75" header="0.511805555555555" footer="0.511805555555555"/>
  <pageSetup orientation="portrait" paperSize="9" firstPageNumber="0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G46"/>
  <sheetViews>
    <sheetView zoomScale="86" zoomScaleNormal="86" workbookViewId="0">
      <selection activeCell="A9" sqref="A9:XFD9"/>
    </sheetView>
  </sheetViews>
  <sheetFormatPr baseColWidth="8" defaultRowHeight="16.5"/>
  <cols>
    <col width="10.5" bestFit="1" customWidth="1" style="633" min="1" max="1"/>
    <col width="3.875" bestFit="1" customWidth="1" style="393" min="2" max="2"/>
    <col width="29.375" bestFit="1" customWidth="1" style="622" min="3" max="3"/>
    <col width="5.5" bestFit="1" customWidth="1" style="628" min="4" max="4"/>
    <col width="3.625" customWidth="1" style="628" min="5" max="21"/>
    <col width="3.625" customWidth="1" style="638" min="22" max="56"/>
    <col width="9.625" bestFit="1" customWidth="1" style="638" min="57" max="58"/>
    <col width="7.5" customWidth="1" style="638" min="59" max="59"/>
  </cols>
  <sheetData>
    <row r="1">
      <c r="BF1" s="637" t="n"/>
      <c r="BG1" s="638" t="n"/>
    </row>
    <row r="2" ht="12.75" customHeight="1" s="754">
      <c r="C2" s="623" t="n"/>
      <c r="BF2" s="630" t="n"/>
      <c r="BG2" s="638" t="n"/>
    </row>
    <row r="3" hidden="1" s="754">
      <c r="C3" s="624" t="n"/>
      <c r="D3" s="638" t="n"/>
      <c r="E3" s="638" t="n"/>
      <c r="F3" s="638" t="n"/>
      <c r="G3" s="638" t="n"/>
      <c r="H3" s="638" t="n"/>
      <c r="I3" s="638" t="n"/>
      <c r="J3" s="638" t="n"/>
      <c r="K3" s="638" t="n"/>
      <c r="L3" s="638" t="n"/>
      <c r="M3" s="638" t="n"/>
      <c r="N3" s="638" t="n"/>
      <c r="O3" s="638" t="n"/>
      <c r="P3" s="638" t="n"/>
      <c r="Q3" s="638" t="n"/>
      <c r="R3" s="638" t="n"/>
      <c r="S3" s="638" t="n"/>
      <c r="T3" s="638" t="n"/>
      <c r="U3" s="638" t="n"/>
      <c r="V3" s="9" t="n"/>
      <c r="W3" s="9" t="n"/>
      <c r="X3" s="9" t="n"/>
      <c r="Y3" s="9" t="n"/>
      <c r="Z3" s="9" t="n"/>
      <c r="AA3" s="9" t="n"/>
      <c r="AB3" s="9" t="n"/>
      <c r="AC3" s="10" t="n"/>
      <c r="AD3" s="10" t="n"/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  <c r="AT3" s="10" t="n"/>
      <c r="AU3" s="10" t="n"/>
      <c r="AV3" s="10" t="n"/>
      <c r="AW3" s="10" t="n"/>
      <c r="AX3" s="10" t="n"/>
      <c r="AY3" s="10" t="n"/>
      <c r="AZ3" s="10" t="n"/>
      <c r="BA3" s="10" t="n"/>
      <c r="BB3" s="10" t="n"/>
      <c r="BC3" s="10" t="n"/>
      <c r="BD3" s="10" t="n"/>
      <c r="BE3" s="10" t="n"/>
      <c r="BF3" s="630" t="n"/>
      <c r="BG3" s="639" t="n"/>
    </row>
    <row r="4" hidden="1" customFormat="1" s="185">
      <c r="A4" s="69" t="n"/>
      <c r="B4" s="658" t="n"/>
      <c r="C4" s="625" t="n"/>
      <c r="D4" s="627" t="n"/>
      <c r="E4" s="19" t="inlineStr">
        <is>
          <t>인증/마스터</t>
        </is>
      </c>
      <c r="F4" s="946" t="n"/>
      <c r="G4" s="946" t="n"/>
      <c r="H4" s="946" t="n"/>
      <c r="I4" s="946" t="n"/>
      <c r="J4" s="946" t="n"/>
      <c r="K4" s="946" t="n"/>
      <c r="L4" s="946" t="n"/>
      <c r="M4" s="946" t="n"/>
      <c r="N4" s="946" t="n"/>
      <c r="O4" s="946" t="n"/>
      <c r="P4" s="946" t="n"/>
      <c r="Q4" s="946" t="n"/>
      <c r="R4" s="946" t="n"/>
      <c r="S4" s="946" t="n"/>
      <c r="T4" s="946" t="n"/>
      <c r="U4" s="946" t="n"/>
      <c r="V4" s="946" t="n"/>
      <c r="W4" s="946" t="n"/>
      <c r="X4" s="946" t="n"/>
      <c r="Y4" s="946" t="n"/>
      <c r="Z4" s="946" t="n"/>
      <c r="AA4" s="946" t="n"/>
      <c r="AB4" s="946" t="n"/>
      <c r="AC4" s="947" t="n"/>
      <c r="AD4" s="728" t="n"/>
      <c r="AE4" s="728" t="n"/>
      <c r="AF4" s="728" t="n"/>
      <c r="AG4" s="728" t="n"/>
      <c r="AH4" s="728" t="n"/>
      <c r="AI4" s="728" t="n"/>
      <c r="AJ4" s="728" t="n"/>
      <c r="AK4" s="728" t="n"/>
      <c r="AL4" s="728" t="n"/>
      <c r="AM4" s="728" t="n"/>
      <c r="AN4" s="728" t="n"/>
      <c r="AO4" s="728" t="n"/>
      <c r="AP4" s="728" t="n"/>
      <c r="AQ4" s="728" t="n"/>
      <c r="AR4" s="728" t="n"/>
      <c r="AS4" s="728" t="n"/>
      <c r="AT4" s="728" t="n"/>
      <c r="AU4" s="728" t="n"/>
      <c r="AV4" s="728" t="n"/>
      <c r="AW4" s="728" t="n"/>
      <c r="AX4" s="728" t="n"/>
      <c r="AY4" s="728" t="n"/>
      <c r="AZ4" s="728" t="n"/>
      <c r="BA4" s="728" t="n"/>
      <c r="BB4" s="728" t="n"/>
      <c r="BC4" s="728" t="n"/>
      <c r="BD4" s="728" t="n"/>
      <c r="BE4" s="728" t="n"/>
      <c r="BF4" s="630" t="n"/>
      <c r="BG4" s="640" t="n"/>
    </row>
    <row r="5" ht="126" customHeight="1" s="754">
      <c r="D5" s="628" t="n"/>
      <c r="E5" s="948" t="n"/>
      <c r="AC5" s="949" t="n"/>
      <c r="AD5" s="728" t="n"/>
      <c r="AE5" s="728" t="n"/>
      <c r="AF5" s="728" t="n"/>
      <c r="AG5" s="728" t="n"/>
      <c r="AH5" s="728" t="n"/>
      <c r="AI5" s="728" t="n"/>
      <c r="AJ5" s="728" t="n"/>
      <c r="AK5" s="729" t="n"/>
      <c r="AL5" s="729" t="n"/>
      <c r="AM5" s="729" t="n"/>
      <c r="AN5" s="729" t="n"/>
      <c r="AO5" s="729" t="n"/>
      <c r="AP5" s="729" t="n"/>
      <c r="AQ5" s="729" t="n"/>
      <c r="AR5" s="729" t="n"/>
      <c r="AS5" s="729" t="n"/>
      <c r="AT5" s="729" t="n"/>
      <c r="AU5" s="729" t="n"/>
      <c r="AV5" s="729" t="n"/>
      <c r="AW5" s="729" t="n"/>
      <c r="AX5" s="729" t="n"/>
      <c r="AY5" s="729" t="n"/>
      <c r="AZ5" s="729" t="n"/>
      <c r="BA5" s="729" t="n"/>
      <c r="BB5" s="729" t="n"/>
      <c r="BC5" s="729" t="n"/>
      <c r="BD5" s="729" t="n"/>
      <c r="BE5" s="729" t="n"/>
      <c r="BF5" s="677" t="inlineStr">
        <is>
          <t>cafe24 판매수 1이 있으나 현재 500g/컵비즈/1kg L 행 중 대응 대상을 확정하지 못함. 작성자 확인 필요.</t>
        </is>
      </c>
      <c r="BG5" s="640" t="n"/>
    </row>
    <row r="6">
      <c r="D6" s="373" t="inlineStr">
        <is>
          <t>도매</t>
        </is>
      </c>
      <c r="E6" s="731" t="inlineStr">
        <is>
          <t>P00000QE</t>
        </is>
      </c>
      <c r="F6" s="765" t="n"/>
      <c r="G6" s="765" t="n"/>
      <c r="H6" s="765" t="n"/>
      <c r="I6" s="950" t="n"/>
      <c r="J6" s="731" t="inlineStr">
        <is>
          <t>P00000QD</t>
        </is>
      </c>
      <c r="K6" s="765" t="n"/>
      <c r="L6" s="765" t="n"/>
      <c r="M6" s="765" t="n"/>
      <c r="N6" s="765" t="n"/>
      <c r="O6" s="765" t="n"/>
      <c r="P6" s="765" t="n"/>
      <c r="Q6" s="765" t="n"/>
      <c r="R6" s="765" t="n"/>
      <c r="S6" s="765" t="n"/>
      <c r="T6" s="765" t="n"/>
      <c r="U6" s="765" t="n"/>
      <c r="V6" s="950" t="n"/>
      <c r="W6" s="731" t="inlineStr">
        <is>
          <t xml:space="preserve">P0000BLR </t>
        </is>
      </c>
      <c r="X6" s="765" t="n"/>
      <c r="Y6" s="765" t="n"/>
      <c r="Z6" s="765" t="n"/>
      <c r="AA6" s="765" t="n"/>
      <c r="AB6" s="765" t="n"/>
      <c r="AC6" s="950" t="n"/>
      <c r="AD6" s="703" t="inlineStr">
        <is>
          <t>P0000BLA</t>
        </is>
      </c>
      <c r="AE6" s="765" t="n"/>
      <c r="AF6" s="765" t="n"/>
      <c r="AG6" s="765" t="n"/>
      <c r="AH6" s="765" t="n"/>
      <c r="AI6" s="765" t="n"/>
      <c r="AJ6" s="950" t="n"/>
      <c r="AK6" s="951" t="inlineStr">
        <is>
          <t>P00000ZC</t>
        </is>
      </c>
      <c r="AL6" s="765" t="n"/>
      <c r="AM6" s="765" t="n"/>
      <c r="AN6" s="950" t="n"/>
      <c r="AO6" s="704" t="inlineStr">
        <is>
          <t>P00000YZ</t>
        </is>
      </c>
      <c r="AP6" s="765" t="n"/>
      <c r="AQ6" s="765" t="n"/>
      <c r="AR6" s="950" t="n"/>
      <c r="AS6" s="703" t="inlineStr">
        <is>
          <t>P00000VM</t>
        </is>
      </c>
      <c r="AT6" s="765" t="n"/>
      <c r="AU6" s="765" t="n"/>
      <c r="AV6" s="765" t="n"/>
      <c r="AW6" s="765" t="n"/>
      <c r="AX6" s="765" t="n"/>
      <c r="AY6" s="765" t="n"/>
      <c r="AZ6" s="765" t="n"/>
      <c r="BA6" s="765" t="n"/>
      <c r="BB6" s="765" t="n"/>
      <c r="BC6" s="765" t="n"/>
      <c r="BD6" s="950" t="n"/>
      <c r="BE6" s="704" t="inlineStr">
        <is>
          <t>P00000YS</t>
        </is>
      </c>
      <c r="BF6" s="952" t="inlineStr">
        <is>
          <t>P00000YU</t>
        </is>
      </c>
      <c r="BG6" s="640" t="n"/>
    </row>
    <row r="7" ht="60.75" customHeight="1" s="754">
      <c r="D7" s="774" t="n"/>
      <c r="E7" s="953" t="inlineStr">
        <is>
          <t>하드왁스500g 24개</t>
        </is>
      </c>
      <c r="F7" s="765" t="n"/>
      <c r="G7" s="765" t="n"/>
      <c r="H7" s="765" t="n"/>
      <c r="I7" s="950" t="n"/>
      <c r="J7" s="953" t="inlineStr">
        <is>
          <t>하드왁스15개</t>
        </is>
      </c>
      <c r="K7" s="765" t="n"/>
      <c r="L7" s="765" t="n"/>
      <c r="M7" s="765" t="n"/>
      <c r="N7" s="765" t="n"/>
      <c r="O7" s="765" t="n"/>
      <c r="P7" s="765" t="n"/>
      <c r="Q7" s="765" t="n"/>
      <c r="R7" s="765" t="n"/>
      <c r="S7" s="765" t="n"/>
      <c r="T7" s="765" t="n"/>
      <c r="U7" s="765" t="n"/>
      <c r="V7" s="950" t="n"/>
      <c r="W7" s="674" t="inlineStr">
        <is>
          <t>비즈 왁스 4종</t>
        </is>
      </c>
      <c r="X7" s="954" t="n"/>
      <c r="Y7" s="954" t="n"/>
      <c r="Z7" s="954" t="n"/>
      <c r="AA7" s="954" t="n"/>
      <c r="AB7" s="954" t="n"/>
      <c r="AC7" s="955" t="n"/>
      <c r="AD7" s="956" t="inlineStr">
        <is>
          <t>비즈 왁스 4종</t>
        </is>
      </c>
      <c r="AE7" s="765" t="n"/>
      <c r="AF7" s="765" t="n"/>
      <c r="AG7" s="765" t="n"/>
      <c r="AH7" s="765" t="n"/>
      <c r="AI7" s="765" t="n"/>
      <c r="AJ7" s="950" t="n"/>
      <c r="AK7" s="957" t="inlineStr">
        <is>
          <t>라이콘 컵 왁스 
비즈 110g 5개 이상 10% (로제트 / 라벤더 / 하이브리드 / 핑키니)</t>
        </is>
      </c>
      <c r="AL7" s="765" t="n"/>
      <c r="AM7" s="765" t="n"/>
      <c r="AN7" s="950" t="n"/>
      <c r="AO7" s="654" t="inlineStr">
        <is>
          <t>라이콘 컵 왁스 비즈 110g 세트 (로제트 / 라벤더 / 하이브리드 / 핑키니)</t>
        </is>
      </c>
      <c r="AP7" s="954" t="n"/>
      <c r="AQ7" s="954" t="n"/>
      <c r="AR7" s="955" t="n"/>
      <c r="AS7" s="701" t="inlineStr">
        <is>
          <t>[묶음할인 15%] 하드왁스 1Kg 5개이상</t>
        </is>
      </c>
      <c r="AT7" s="954" t="n"/>
      <c r="AU7" s="954" t="n"/>
      <c r="AV7" s="954" t="n"/>
      <c r="AW7" s="954" t="n"/>
      <c r="AX7" s="954" t="n"/>
      <c r="AY7" s="954" t="n"/>
      <c r="AZ7" s="954" t="n"/>
      <c r="BA7" s="954" t="n"/>
      <c r="BB7" s="954" t="n"/>
      <c r="BC7" s="954" t="n"/>
      <c r="BD7" s="954" t="n"/>
      <c r="BE7" s="654" t="inlineStr">
        <is>
          <t>제모미인 
페이스왁싱 
스타터 키트
20%할인</t>
        </is>
      </c>
      <c r="BF7" s="958" t="inlineStr">
        <is>
          <t>라이콘 바디왁싱 스타터 키트20%할인</t>
        </is>
      </c>
      <c r="BG7" s="640" t="n"/>
    </row>
    <row r="8">
      <c r="A8" s="652" t="inlineStr">
        <is>
          <t>하드왁스</t>
        </is>
      </c>
      <c r="B8" s="111" t="n"/>
      <c r="C8" s="652" t="n"/>
      <c r="D8" s="775" t="n"/>
      <c r="E8" s="657" t="inlineStr">
        <is>
          <t>G</t>
        </is>
      </c>
      <c r="F8" s="657" t="inlineStr">
        <is>
          <t>H</t>
        </is>
      </c>
      <c r="G8" s="657" t="inlineStr">
        <is>
          <t>I</t>
        </is>
      </c>
      <c r="H8" s="657" t="inlineStr">
        <is>
          <t>J</t>
        </is>
      </c>
      <c r="I8" s="657" t="inlineStr">
        <is>
          <t>K</t>
        </is>
      </c>
      <c r="J8" s="661" t="inlineStr">
        <is>
          <t>CI</t>
        </is>
      </c>
      <c r="K8" s="661" t="inlineStr">
        <is>
          <t>CJ</t>
        </is>
      </c>
      <c r="L8" s="661" t="inlineStr">
        <is>
          <t>CK</t>
        </is>
      </c>
      <c r="M8" s="661" t="inlineStr">
        <is>
          <t>CL</t>
        </is>
      </c>
      <c r="N8" s="661" t="inlineStr">
        <is>
          <t>CM</t>
        </is>
      </c>
      <c r="O8" s="661" t="inlineStr">
        <is>
          <t>CN</t>
        </is>
      </c>
      <c r="P8" s="661" t="inlineStr">
        <is>
          <t>CO</t>
        </is>
      </c>
      <c r="Q8" s="657" t="inlineStr">
        <is>
          <t>CP</t>
        </is>
      </c>
      <c r="R8" s="661" t="inlineStr">
        <is>
          <t>CQ</t>
        </is>
      </c>
      <c r="S8" s="661" t="inlineStr">
        <is>
          <t>CR</t>
        </is>
      </c>
      <c r="T8" s="661" t="inlineStr">
        <is>
          <t>CS</t>
        </is>
      </c>
      <c r="U8" s="661" t="inlineStr">
        <is>
          <t>CT</t>
        </is>
      </c>
      <c r="V8" s="661" t="inlineStr">
        <is>
          <t>CU</t>
        </is>
      </c>
      <c r="W8" s="636" t="inlineStr">
        <is>
          <t>Q</t>
        </is>
      </c>
      <c r="X8" s="636" t="inlineStr">
        <is>
          <t>R</t>
        </is>
      </c>
      <c r="Y8" s="636" t="inlineStr">
        <is>
          <t>S</t>
        </is>
      </c>
      <c r="Z8" s="636" t="inlineStr">
        <is>
          <t>T</t>
        </is>
      </c>
      <c r="AA8" s="636" t="inlineStr">
        <is>
          <t>U</t>
        </is>
      </c>
      <c r="AB8" s="636" t="inlineStr">
        <is>
          <t>V</t>
        </is>
      </c>
      <c r="AC8" s="636" t="inlineStr">
        <is>
          <t>W</t>
        </is>
      </c>
      <c r="AD8" s="674" t="inlineStr">
        <is>
          <t>J</t>
        </is>
      </c>
      <c r="AE8" s="674" t="inlineStr">
        <is>
          <t>K</t>
        </is>
      </c>
      <c r="AF8" s="674" t="inlineStr">
        <is>
          <t>L</t>
        </is>
      </c>
      <c r="AG8" s="674" t="inlineStr">
        <is>
          <t>M</t>
        </is>
      </c>
      <c r="AH8" s="674" t="inlineStr">
        <is>
          <t>N</t>
        </is>
      </c>
      <c r="AI8" s="674" t="inlineStr">
        <is>
          <t>O</t>
        </is>
      </c>
      <c r="AJ8" s="674" t="inlineStr">
        <is>
          <t>P</t>
        </is>
      </c>
      <c r="AK8" s="673" t="inlineStr">
        <is>
          <t>A</t>
        </is>
      </c>
      <c r="AL8" s="673" t="inlineStr">
        <is>
          <t>B</t>
        </is>
      </c>
      <c r="AM8" s="673" t="inlineStr">
        <is>
          <t>C</t>
        </is>
      </c>
      <c r="AN8" s="673" t="inlineStr">
        <is>
          <t>D</t>
        </is>
      </c>
      <c r="AO8" s="657" t="inlineStr">
        <is>
          <t>D</t>
        </is>
      </c>
      <c r="AP8" s="657" t="inlineStr">
        <is>
          <t>E</t>
        </is>
      </c>
      <c r="AQ8" s="657" t="inlineStr">
        <is>
          <t>H</t>
        </is>
      </c>
      <c r="AR8" s="657" t="inlineStr">
        <is>
          <t>I</t>
        </is>
      </c>
      <c r="AS8" s="657" t="inlineStr">
        <is>
          <t>CW</t>
        </is>
      </c>
      <c r="AT8" s="657" t="inlineStr">
        <is>
          <t xml:space="preserve">CX </t>
        </is>
      </c>
      <c r="AU8" s="657" t="inlineStr">
        <is>
          <t xml:space="preserve">CY </t>
        </is>
      </c>
      <c r="AV8" s="657" t="inlineStr">
        <is>
          <t xml:space="preserve">CZ </t>
        </is>
      </c>
      <c r="AW8" s="657" t="inlineStr">
        <is>
          <t xml:space="preserve">DA </t>
        </is>
      </c>
      <c r="AX8" s="657" t="inlineStr">
        <is>
          <t>DB</t>
        </is>
      </c>
      <c r="AY8" s="657" t="inlineStr">
        <is>
          <t>DC</t>
        </is>
      </c>
      <c r="AZ8" s="657" t="inlineStr">
        <is>
          <t>DD</t>
        </is>
      </c>
      <c r="BA8" s="657" t="inlineStr">
        <is>
          <t>DE</t>
        </is>
      </c>
      <c r="BB8" s="657" t="inlineStr">
        <is>
          <t>DF</t>
        </is>
      </c>
      <c r="BC8" s="657" t="inlineStr">
        <is>
          <t>DG</t>
        </is>
      </c>
      <c r="BD8" s="657" t="inlineStr">
        <is>
          <t>DH</t>
        </is>
      </c>
      <c r="BE8" s="704" t="inlineStr">
        <is>
          <t xml:space="preserve"> -</t>
        </is>
      </c>
      <c r="BF8" s="959" t="inlineStr">
        <is>
          <t xml:space="preserve"> -</t>
        </is>
      </c>
      <c r="BG8" s="656" t="n"/>
    </row>
    <row r="9">
      <c r="A9" s="738" t="inlineStr">
        <is>
          <t>U옵션 판매수</t>
        </is>
      </c>
      <c r="B9" s="739" t="n"/>
      <c r="C9" s="738" t="n"/>
      <c r="D9" s="740" t="inlineStr">
        <is>
          <t>-</t>
        </is>
      </c>
      <c r="E9" s="741" t="n">
        <v>0</v>
      </c>
      <c r="F9" s="741" t="n">
        <v>0</v>
      </c>
      <c r="G9" s="741" t="n">
        <v>0</v>
      </c>
      <c r="H9" s="741" t="n">
        <v>24</v>
      </c>
      <c r="I9" s="741" t="n">
        <v>0</v>
      </c>
      <c r="J9" s="742" t="n">
        <v>0</v>
      </c>
      <c r="K9" s="742" t="n">
        <v>11</v>
      </c>
      <c r="L9" s="742" t="n">
        <v>0</v>
      </c>
      <c r="M9" s="742" t="n">
        <v>0</v>
      </c>
      <c r="N9" s="742" t="n">
        <v>104</v>
      </c>
      <c r="O9" s="742" t="n">
        <v>9</v>
      </c>
      <c r="P9" s="742" t="n">
        <v>18</v>
      </c>
      <c r="Q9" s="741" t="n">
        <v>100</v>
      </c>
      <c r="R9" s="742" t="n">
        <v>50</v>
      </c>
      <c r="S9" s="742" t="n">
        <v>104</v>
      </c>
      <c r="T9" s="742" t="n">
        <v>93</v>
      </c>
      <c r="U9" s="742" t="n">
        <v>312</v>
      </c>
      <c r="V9" s="742" t="n">
        <v>153</v>
      </c>
      <c r="W9" s="743" t="n">
        <v>0</v>
      </c>
      <c r="X9" s="743" t="n">
        <v>0</v>
      </c>
      <c r="Y9" s="743" t="n">
        <v>1</v>
      </c>
      <c r="Z9" s="743" t="n">
        <v>2</v>
      </c>
      <c r="AA9" s="743" t="n">
        <v>0</v>
      </c>
      <c r="AB9" s="743" t="n">
        <v>0</v>
      </c>
      <c r="AC9" s="743" t="n">
        <v>3</v>
      </c>
      <c r="AD9" s="744" t="n">
        <v>0</v>
      </c>
      <c r="AE9" s="744" t="n">
        <v>0</v>
      </c>
      <c r="AF9" s="744" t="n">
        <v>0</v>
      </c>
      <c r="AG9" s="744" t="n">
        <v>0</v>
      </c>
      <c r="AH9" s="744" t="n">
        <v>0</v>
      </c>
      <c r="AI9" s="744" t="n">
        <v>0</v>
      </c>
      <c r="AJ9" s="744" t="n">
        <v>1</v>
      </c>
      <c r="AK9" s="745" t="n">
        <v>0</v>
      </c>
      <c r="AL9" s="745" t="n">
        <v>0</v>
      </c>
      <c r="AM9" s="745" t="n">
        <v>5</v>
      </c>
      <c r="AN9" s="745" t="n">
        <v>7</v>
      </c>
      <c r="AO9" s="741" t="n">
        <v>1</v>
      </c>
      <c r="AP9" s="741" t="n">
        <v>1</v>
      </c>
      <c r="AQ9" s="741" t="n">
        <v>0</v>
      </c>
      <c r="AR9" s="741" t="n">
        <v>0</v>
      </c>
      <c r="AS9" s="741" t="n">
        <v>773</v>
      </c>
      <c r="AT9" s="741" t="n">
        <v>217</v>
      </c>
      <c r="AU9" s="741" t="n">
        <v>0</v>
      </c>
      <c r="AV9" s="741" t="n">
        <v>46</v>
      </c>
      <c r="AW9" s="741" t="n">
        <v>0</v>
      </c>
      <c r="AX9" s="741" t="n">
        <v>670</v>
      </c>
      <c r="AY9" s="741" t="n">
        <v>43</v>
      </c>
      <c r="AZ9" s="741" t="n">
        <v>216</v>
      </c>
      <c r="BA9" s="741" t="n">
        <v>135</v>
      </c>
      <c r="BB9" s="741" t="n">
        <v>419</v>
      </c>
      <c r="BC9" s="741" t="n">
        <v>268</v>
      </c>
      <c r="BD9" s="741" t="n">
        <v>917</v>
      </c>
      <c r="BE9" s="746" t="n">
        <v>2</v>
      </c>
      <c r="BF9" s="959" t="n">
        <v>1</v>
      </c>
      <c r="BG9" s="747" t="inlineStr">
        <is>
          <t>합계</t>
        </is>
      </c>
    </row>
    <row r="10" ht="15" customHeight="1" s="754">
      <c r="A10" s="381" t="inlineStr">
        <is>
          <t>P00000HT</t>
        </is>
      </c>
      <c r="B10" s="657" t="inlineStr">
        <is>
          <t xml:space="preserve"> -</t>
        </is>
      </c>
      <c r="C10" s="641" t="inlineStr">
        <is>
          <t>라이코젯아이브로우500</t>
        </is>
      </c>
      <c r="D10" s="642" t="n">
        <v>75</v>
      </c>
      <c r="E10" s="642" t="n"/>
      <c r="F10" s="642" t="n"/>
      <c r="G10" s="642" t="n"/>
      <c r="H10" s="642" t="n"/>
      <c r="I10" s="642" t="n"/>
      <c r="J10" s="642" t="n"/>
      <c r="K10" s="642" t="n"/>
      <c r="L10" s="642" t="n"/>
      <c r="M10" s="642" t="n"/>
      <c r="N10" s="642" t="n"/>
      <c r="O10" s="642" t="n"/>
      <c r="P10" s="642" t="n"/>
      <c r="Q10" s="642" t="n"/>
      <c r="R10" s="642" t="n"/>
      <c r="S10" s="642" t="n"/>
      <c r="T10" s="642" t="n"/>
      <c r="U10" s="642" t="n"/>
      <c r="V10" s="404" t="n"/>
      <c r="W10" s="404" t="n"/>
      <c r="X10" s="404" t="n"/>
      <c r="Y10" s="404" t="n"/>
      <c r="Z10" s="404" t="n"/>
      <c r="AA10" s="404" t="n"/>
      <c r="AB10" s="404" t="n"/>
      <c r="AC10" s="396" t="n"/>
      <c r="AD10" s="396" t="n"/>
      <c r="AE10" s="396" t="n"/>
      <c r="AF10" s="396" t="n"/>
      <c r="AG10" s="396" t="n"/>
      <c r="AH10" s="396" t="n"/>
      <c r="AI10" s="396" t="n"/>
      <c r="AJ10" s="396" t="n"/>
      <c r="AK10" s="396" t="n"/>
      <c r="AL10" s="396" t="n"/>
      <c r="AM10" s="396" t="n"/>
      <c r="AN10" s="396" t="n"/>
      <c r="AO10" s="396" t="n"/>
      <c r="AP10" s="396" t="n"/>
      <c r="AQ10" s="396" t="n"/>
      <c r="AR10" s="396" t="n"/>
      <c r="AS10" s="396" t="n"/>
      <c r="AT10" s="396" t="n"/>
      <c r="AU10" s="396" t="n"/>
      <c r="AV10" s="396" t="n"/>
      <c r="AW10" s="396" t="n"/>
      <c r="AX10" s="396" t="n"/>
      <c r="AY10" s="396" t="n"/>
      <c r="AZ10" s="396" t="n"/>
      <c r="BA10" s="396" t="n"/>
      <c r="BB10" s="396" t="n"/>
      <c r="BC10" s="396" t="n"/>
      <c r="BD10" s="396" t="n"/>
      <c r="BE10" s="544" t="n">
        <v>2</v>
      </c>
      <c r="BF10" s="544" t="n"/>
      <c r="BG10" s="703">
        <f>SUM(D10:BF10)</f>
        <v/>
      </c>
    </row>
    <row r="11" ht="15" customHeight="1" s="754">
      <c r="A11" s="715" t="inlineStr">
        <is>
          <t>P00000BV</t>
        </is>
      </c>
      <c r="B11" s="657" t="inlineStr">
        <is>
          <t xml:space="preserve"> -</t>
        </is>
      </c>
      <c r="C11" s="641" t="inlineStr">
        <is>
          <t>라이코드림하이브리드500</t>
        </is>
      </c>
      <c r="D11" s="644" t="n">
        <v>5</v>
      </c>
      <c r="E11" s="644" t="n"/>
      <c r="F11" s="644" t="n"/>
      <c r="G11" s="644" t="n"/>
      <c r="H11" s="644" t="n"/>
      <c r="I11" s="644" t="n"/>
      <c r="J11" s="644" t="n"/>
      <c r="K11" s="644" t="n"/>
      <c r="L11" s="644" t="n"/>
      <c r="M11" s="644" t="n"/>
      <c r="N11" s="644" t="n"/>
      <c r="O11" s="644" t="n"/>
      <c r="P11" s="644" t="n"/>
      <c r="Q11" s="644" t="n"/>
      <c r="R11" s="644" t="n"/>
      <c r="S11" s="644" t="n"/>
      <c r="T11" s="644" t="n"/>
      <c r="U11" s="644" t="n"/>
      <c r="V11" s="404" t="n"/>
      <c r="W11" s="404" t="n"/>
      <c r="X11" s="404" t="n"/>
      <c r="Y11" s="404" t="n"/>
      <c r="Z11" s="404" t="n"/>
      <c r="AA11" s="404" t="n"/>
      <c r="AB11" s="404" t="n"/>
      <c r="AC11" s="396" t="n"/>
      <c r="AD11" s="396" t="n"/>
      <c r="AE11" s="396" t="n"/>
      <c r="AF11" s="396" t="n"/>
      <c r="AG11" s="396" t="n"/>
      <c r="AH11" s="396" t="n"/>
      <c r="AI11" s="396" t="n"/>
      <c r="AJ11" s="396" t="n"/>
      <c r="AK11" s="396" t="n"/>
      <c r="AL11" s="396" t="n"/>
      <c r="AM11" s="396" t="n"/>
      <c r="AN11" s="396" t="n"/>
      <c r="AO11" s="396" t="n"/>
      <c r="AP11" s="396" t="n"/>
      <c r="AQ11" s="396" t="n"/>
      <c r="AR11" s="396" t="n"/>
      <c r="AS11" s="396" t="n"/>
      <c r="AT11" s="396" t="n"/>
      <c r="AU11" s="396" t="n"/>
      <c r="AV11" s="396" t="n"/>
      <c r="AW11" s="396" t="n"/>
      <c r="AX11" s="396" t="n"/>
      <c r="AY11" s="396" t="n"/>
      <c r="AZ11" s="396" t="n"/>
      <c r="BA11" s="396" t="n"/>
      <c r="BB11" s="396" t="n"/>
      <c r="BC11" s="396" t="n"/>
      <c r="BD11" s="396" t="n"/>
      <c r="BE11" s="396" t="n"/>
      <c r="BF11" s="643" t="n"/>
      <c r="BG11" s="703">
        <f>SUM(D11:BF11)</f>
        <v/>
      </c>
    </row>
    <row r="12" ht="15" customHeight="1" s="754">
      <c r="A12" s="715" t="inlineStr">
        <is>
          <t>P00000CB</t>
        </is>
      </c>
      <c r="B12" s="657" t="inlineStr">
        <is>
          <t xml:space="preserve"> -</t>
        </is>
      </c>
      <c r="C12" s="641" t="inlineStr">
        <is>
          <t>라이코넥화이트500</t>
        </is>
      </c>
      <c r="D12" s="644" t="n">
        <v>5</v>
      </c>
      <c r="E12" s="644" t="n"/>
      <c r="F12" s="644" t="n"/>
      <c r="G12" s="644" t="n"/>
      <c r="H12" s="644" t="n"/>
      <c r="I12" s="644" t="n"/>
      <c r="J12" s="644" t="n"/>
      <c r="K12" s="644" t="n"/>
      <c r="L12" s="644" t="n"/>
      <c r="M12" s="644" t="n"/>
      <c r="N12" s="644" t="n"/>
      <c r="O12" s="644" t="n"/>
      <c r="P12" s="644" t="n"/>
      <c r="Q12" s="644" t="n"/>
      <c r="R12" s="644" t="n"/>
      <c r="S12" s="644" t="n"/>
      <c r="T12" s="644" t="n"/>
      <c r="U12" s="644" t="n"/>
      <c r="V12" s="404" t="n"/>
      <c r="W12" s="404" t="n"/>
      <c r="X12" s="404" t="n"/>
      <c r="Y12" s="404" t="n"/>
      <c r="Z12" s="404" t="n"/>
      <c r="AA12" s="404" t="n"/>
      <c r="AB12" s="404" t="n"/>
      <c r="AC12" s="396" t="n"/>
      <c r="AD12" s="396" t="n"/>
      <c r="AE12" s="396" t="n"/>
      <c r="AF12" s="396" t="n"/>
      <c r="AG12" s="396" t="n"/>
      <c r="AH12" s="396" t="n"/>
      <c r="AI12" s="396" t="n"/>
      <c r="AJ12" s="396" t="n"/>
      <c r="AK12" s="396" t="n"/>
      <c r="AL12" s="396" t="n"/>
      <c r="AM12" s="396" t="n"/>
      <c r="AN12" s="396" t="n"/>
      <c r="AO12" s="396" t="n"/>
      <c r="AP12" s="396" t="n"/>
      <c r="AQ12" s="396" t="n"/>
      <c r="AR12" s="396" t="n"/>
      <c r="AS12" s="396" t="n"/>
      <c r="AT12" s="396" t="n"/>
      <c r="AU12" s="396" t="n"/>
      <c r="AV12" s="396" t="n"/>
      <c r="AW12" s="396" t="n"/>
      <c r="AX12" s="396" t="n"/>
      <c r="AY12" s="396" t="n"/>
      <c r="AZ12" s="396" t="n"/>
      <c r="BA12" s="396" t="n"/>
      <c r="BB12" s="396" t="n"/>
      <c r="BC12" s="396" t="n"/>
      <c r="BD12" s="396" t="n"/>
      <c r="BE12" s="396" t="n"/>
      <c r="BF12" s="643" t="n"/>
      <c r="BG12" s="703">
        <f>SUM(D12:BF12)</f>
        <v/>
      </c>
    </row>
    <row r="13" ht="15" customHeight="1" s="754">
      <c r="A13" s="715" t="inlineStr">
        <is>
          <t>P00000BX</t>
        </is>
      </c>
      <c r="B13" s="657" t="inlineStr">
        <is>
          <t xml:space="preserve"> -</t>
        </is>
      </c>
      <c r="C13" s="641" t="inlineStr">
        <is>
          <t>라이코텍슈퍼베리500</t>
        </is>
      </c>
      <c r="D13" s="644" t="n"/>
      <c r="E13" s="396" t="n"/>
      <c r="F13" s="396" t="n"/>
      <c r="G13" s="396" t="n"/>
      <c r="H13" s="396" t="n">
        <v>24</v>
      </c>
      <c r="I13" s="396" t="n"/>
      <c r="J13" s="396" t="n"/>
      <c r="K13" s="396" t="n"/>
      <c r="L13" s="396" t="n"/>
      <c r="M13" s="396" t="n"/>
      <c r="N13" s="396" t="n"/>
      <c r="O13" s="396" t="n"/>
      <c r="P13" s="396" t="n"/>
      <c r="Q13" s="396" t="n"/>
      <c r="R13" s="396" t="n"/>
      <c r="S13" s="396" t="n"/>
      <c r="T13" s="396" t="n"/>
      <c r="U13" s="396" t="n"/>
      <c r="V13" s="404" t="n"/>
      <c r="W13" s="404" t="n"/>
      <c r="X13" s="404" t="n"/>
      <c r="Y13" s="404" t="n"/>
      <c r="Z13" s="404" t="n"/>
      <c r="AA13" s="404" t="n"/>
      <c r="AB13" s="404" t="n"/>
      <c r="AC13" s="396" t="n"/>
      <c r="AD13" s="396" t="n"/>
      <c r="AE13" s="396" t="n"/>
      <c r="AF13" s="396" t="n"/>
      <c r="AG13" s="396" t="n"/>
      <c r="AH13" s="396" t="n"/>
      <c r="AI13" s="396" t="n"/>
      <c r="AJ13" s="396" t="n"/>
      <c r="AK13" s="396" t="n"/>
      <c r="AL13" s="396" t="n"/>
      <c r="AM13" s="396" t="n"/>
      <c r="AN13" s="396" t="n"/>
      <c r="AO13" s="396" t="n"/>
      <c r="AP13" s="396" t="n"/>
      <c r="AQ13" s="396" t="n"/>
      <c r="AR13" s="396" t="n"/>
      <c r="AS13" s="396" t="n"/>
      <c r="AT13" s="396" t="n"/>
      <c r="AU13" s="396" t="n"/>
      <c r="AV13" s="396" t="n"/>
      <c r="AW13" s="396" t="n"/>
      <c r="AX13" s="396" t="n"/>
      <c r="AY13" s="396" t="n"/>
      <c r="AZ13" s="396" t="n"/>
      <c r="BA13" s="396" t="n"/>
      <c r="BB13" s="396" t="n"/>
      <c r="BC13" s="396" t="n"/>
      <c r="BD13" s="396" t="n"/>
      <c r="BE13" s="396" t="n"/>
      <c r="BF13" s="643" t="n"/>
      <c r="BG13" s="703">
        <f>SUM(D13:BF13)</f>
        <v/>
      </c>
    </row>
    <row r="14" ht="15" customHeight="1" s="754">
      <c r="A14" s="381" t="inlineStr">
        <is>
          <t>P00000XE</t>
        </is>
      </c>
      <c r="B14" s="657" t="inlineStr">
        <is>
          <t xml:space="preserve"> -</t>
        </is>
      </c>
      <c r="C14" s="641" t="inlineStr">
        <is>
          <t>맨니피코하이브리드500</t>
        </is>
      </c>
      <c r="D14" s="642" t="n">
        <v>6</v>
      </c>
      <c r="E14" s="642" t="n"/>
      <c r="F14" s="642" t="n"/>
      <c r="G14" s="642" t="n"/>
      <c r="H14" s="642" t="n"/>
      <c r="I14" s="642" t="n"/>
      <c r="J14" s="642" t="n"/>
      <c r="K14" s="642" t="n"/>
      <c r="L14" s="642" t="n"/>
      <c r="M14" s="642" t="n"/>
      <c r="N14" s="642" t="n"/>
      <c r="O14" s="642" t="n"/>
      <c r="P14" s="642" t="n"/>
      <c r="Q14" s="642" t="n"/>
      <c r="R14" s="642" t="n"/>
      <c r="S14" s="642" t="n"/>
      <c r="T14" s="642" t="n"/>
      <c r="U14" s="642" t="n"/>
      <c r="V14" s="645" t="n"/>
      <c r="W14" s="645" t="n"/>
      <c r="X14" s="645" t="n"/>
      <c r="Y14" s="645" t="n"/>
      <c r="Z14" s="645" t="n"/>
      <c r="AA14" s="645" t="n"/>
      <c r="AB14" s="645" t="n"/>
      <c r="AC14" s="646" t="n"/>
      <c r="AD14" s="646" t="n"/>
      <c r="AE14" s="646" t="n"/>
      <c r="AF14" s="646" t="n"/>
      <c r="AG14" s="646" t="n"/>
      <c r="AH14" s="646" t="n"/>
      <c r="AI14" s="646" t="n"/>
      <c r="AJ14" s="646" t="n"/>
      <c r="AK14" s="646" t="n"/>
      <c r="AL14" s="646" t="n"/>
      <c r="AM14" s="646" t="n"/>
      <c r="AN14" s="646" t="n"/>
      <c r="AO14" s="646" t="n"/>
      <c r="AP14" s="646" t="n"/>
      <c r="AQ14" s="646" t="n"/>
      <c r="AR14" s="646" t="n"/>
      <c r="AS14" s="646" t="n"/>
      <c r="AT14" s="646" t="n"/>
      <c r="AU14" s="646" t="n"/>
      <c r="AV14" s="646" t="n"/>
      <c r="AW14" s="646" t="n"/>
      <c r="AX14" s="646" t="n"/>
      <c r="AY14" s="646" t="n"/>
      <c r="AZ14" s="646" t="n"/>
      <c r="BA14" s="646" t="n"/>
      <c r="BB14" s="646" t="n"/>
      <c r="BC14" s="646" t="n"/>
      <c r="BD14" s="646" t="n"/>
      <c r="BE14" s="646" t="n"/>
      <c r="BF14" s="647" t="n"/>
      <c r="BG14" s="703">
        <f>SUM(D14:BF14)</f>
        <v/>
      </c>
    </row>
    <row r="15" ht="15" customHeight="1" s="754">
      <c r="A15" s="704" t="inlineStr">
        <is>
          <t>P0000BIF</t>
        </is>
      </c>
      <c r="B15" s="635" t="inlineStr">
        <is>
          <t>CI</t>
        </is>
      </c>
      <c r="C15" s="641" t="inlineStr">
        <is>
          <t>라이코젯라벤다비즈800</t>
        </is>
      </c>
      <c r="D15" s="642" t="n">
        <v>1</v>
      </c>
      <c r="E15" s="642" t="n"/>
      <c r="F15" s="642" t="n"/>
      <c r="G15" s="642" t="n"/>
      <c r="H15" s="642" t="n"/>
      <c r="I15" s="642" t="n"/>
      <c r="J15" s="642" t="n"/>
      <c r="K15" s="642" t="n"/>
      <c r="L15" s="642" t="n"/>
      <c r="M15" s="642" t="n"/>
      <c r="N15" s="642" t="n"/>
      <c r="O15" s="642" t="n"/>
      <c r="P15" s="642" t="n"/>
      <c r="Q15" s="642" t="n"/>
      <c r="R15" s="642" t="n"/>
      <c r="S15" s="642" t="n"/>
      <c r="T15" s="642" t="n"/>
      <c r="U15" s="642" t="n"/>
      <c r="V15" s="645" t="n"/>
      <c r="W15" s="645" t="n"/>
      <c r="X15" s="645" t="n"/>
      <c r="Y15" s="645" t="n"/>
      <c r="Z15" s="645" t="n"/>
      <c r="AA15" s="645" t="n"/>
      <c r="AB15" s="645" t="n"/>
      <c r="AC15" s="646" t="n"/>
      <c r="AD15" s="646" t="n"/>
      <c r="AE15" s="646" t="n"/>
      <c r="AF15" s="646" t="n"/>
      <c r="AG15" s="646" t="n"/>
      <c r="AH15" s="646" t="n"/>
      <c r="AI15" s="646" t="n"/>
      <c r="AJ15" s="646" t="n"/>
      <c r="AK15" s="646" t="n"/>
      <c r="AL15" s="646" t="n"/>
      <c r="AM15" s="646" t="n"/>
      <c r="AN15" s="646" t="n"/>
      <c r="AO15" s="646" t="n"/>
      <c r="AP15" s="646" t="n"/>
      <c r="AQ15" s="646" t="n"/>
      <c r="AR15" s="646" t="n"/>
      <c r="AS15" s="646" t="n"/>
      <c r="AT15" s="646" t="n"/>
      <c r="AU15" s="646" t="n"/>
      <c r="AV15" s="646" t="n"/>
      <c r="AW15" s="646" t="n"/>
      <c r="AX15" s="646" t="n"/>
      <c r="AY15" s="646" t="n"/>
      <c r="AZ15" s="646" t="n"/>
      <c r="BA15" s="646" t="n"/>
      <c r="BB15" s="646" t="n"/>
      <c r="BC15" s="646" t="n"/>
      <c r="BD15" s="646" t="n"/>
      <c r="BE15" s="646" t="n"/>
      <c r="BF15" s="648" t="n"/>
      <c r="BG15" s="703">
        <f>SUM(D15:BF15)</f>
        <v/>
      </c>
    </row>
    <row r="16" ht="15" customHeight="1" s="754">
      <c r="A16" s="774" t="n"/>
      <c r="B16" s="635" t="inlineStr">
        <is>
          <t>CJ</t>
        </is>
      </c>
      <c r="C16" s="641" t="inlineStr">
        <is>
          <t>로제트비즈800</t>
        </is>
      </c>
      <c r="D16" s="642" t="n">
        <v>3</v>
      </c>
      <c r="E16" s="642" t="n"/>
      <c r="F16" s="642" t="n"/>
      <c r="G16" s="642" t="n"/>
      <c r="H16" s="642" t="n"/>
      <c r="I16" s="642" t="n"/>
      <c r="J16" s="642" t="n"/>
      <c r="K16" s="642" t="n"/>
      <c r="L16" s="642" t="n"/>
      <c r="M16" s="642" t="n"/>
      <c r="N16" s="642" t="n"/>
      <c r="O16" s="642" t="n"/>
      <c r="P16" s="642" t="n"/>
      <c r="Q16" s="642" t="n"/>
      <c r="R16" s="642" t="n"/>
      <c r="S16" s="642" t="n"/>
      <c r="T16" s="642" t="n"/>
      <c r="U16" s="642" t="n"/>
      <c r="V16" s="645" t="n"/>
      <c r="W16" s="645" t="n"/>
      <c r="X16" s="645" t="n"/>
      <c r="Y16" s="645" t="n"/>
      <c r="Z16" s="645" t="n"/>
      <c r="AA16" s="645" t="n"/>
      <c r="AB16" s="645" t="n"/>
      <c r="AC16" s="646" t="n"/>
      <c r="AD16" s="646" t="n"/>
      <c r="AE16" s="646" t="n"/>
      <c r="AF16" s="646" t="n"/>
      <c r="AG16" s="646" t="n"/>
      <c r="AH16" s="646" t="n"/>
      <c r="AI16" s="646" t="n"/>
      <c r="AJ16" s="646" t="n"/>
      <c r="AK16" s="646" t="n"/>
      <c r="AL16" s="646" t="n"/>
      <c r="AM16" s="646" t="n"/>
      <c r="AN16" s="646" t="n"/>
      <c r="AO16" s="646" t="n"/>
      <c r="AP16" s="646" t="n"/>
      <c r="AQ16" s="646" t="n"/>
      <c r="AR16" s="646" t="n"/>
      <c r="AS16" s="646" t="n"/>
      <c r="AT16" s="646" t="n"/>
      <c r="AU16" s="646" t="n"/>
      <c r="AV16" s="646" t="n"/>
      <c r="AW16" s="646" t="n"/>
      <c r="AX16" s="646" t="n"/>
      <c r="AY16" s="646" t="n"/>
      <c r="AZ16" s="646" t="n"/>
      <c r="BA16" s="646" t="n"/>
      <c r="BB16" s="646" t="n"/>
      <c r="BC16" s="646" t="n"/>
      <c r="BD16" s="646" t="n"/>
      <c r="BE16" s="646" t="n"/>
      <c r="BF16" s="648" t="n"/>
      <c r="BG16" s="703">
        <f>SUM(D16:BF16)</f>
        <v/>
      </c>
    </row>
    <row r="17" ht="15" customHeight="1" s="754">
      <c r="A17" s="774" t="n"/>
      <c r="B17" s="635" t="inlineStr">
        <is>
          <t>CK</t>
        </is>
      </c>
      <c r="C17" s="641" t="inlineStr">
        <is>
          <t>핑키니하이브리드비즈800</t>
        </is>
      </c>
      <c r="D17" s="642" t="n">
        <v>8</v>
      </c>
      <c r="E17" s="642" t="n"/>
      <c r="F17" s="642" t="n"/>
      <c r="G17" s="642" t="n"/>
      <c r="H17" s="642" t="n"/>
      <c r="I17" s="642" t="n"/>
      <c r="J17" s="642" t="n"/>
      <c r="K17" s="642" t="n"/>
      <c r="L17" s="642" t="n"/>
      <c r="M17" s="642" t="n"/>
      <c r="N17" s="642" t="n"/>
      <c r="O17" s="642" t="n"/>
      <c r="P17" s="642" t="n"/>
      <c r="Q17" s="642" t="n"/>
      <c r="R17" s="642" t="n"/>
      <c r="S17" s="642" t="n"/>
      <c r="T17" s="642" t="n"/>
      <c r="U17" s="642" t="n"/>
      <c r="V17" s="645" t="n"/>
      <c r="W17" s="645" t="n"/>
      <c r="X17" s="645" t="n"/>
      <c r="Y17" s="645" t="n"/>
      <c r="Z17" s="645" t="n"/>
      <c r="AA17" s="645" t="n"/>
      <c r="AB17" s="645" t="n"/>
      <c r="AC17" s="646" t="n"/>
      <c r="AD17" s="646" t="n"/>
      <c r="AE17" s="646" t="n"/>
      <c r="AF17" s="646" t="n"/>
      <c r="AG17" s="646" t="n"/>
      <c r="AH17" s="646" t="n"/>
      <c r="AI17" s="646" t="n"/>
      <c r="AJ17" s="646" t="n"/>
      <c r="AK17" s="646" t="n"/>
      <c r="AL17" s="646" t="n"/>
      <c r="AM17" s="646" t="n"/>
      <c r="AN17" s="646" t="n"/>
      <c r="AO17" s="646" t="n"/>
      <c r="AP17" s="646" t="n"/>
      <c r="AQ17" s="646" t="n"/>
      <c r="AR17" s="646" t="n"/>
      <c r="AS17" s="646" t="n"/>
      <c r="AT17" s="646" t="n"/>
      <c r="AU17" s="646" t="n"/>
      <c r="AV17" s="646" t="n"/>
      <c r="AW17" s="646" t="n"/>
      <c r="AX17" s="646" t="n"/>
      <c r="AY17" s="646" t="n"/>
      <c r="AZ17" s="646" t="n"/>
      <c r="BA17" s="646" t="n"/>
      <c r="BB17" s="646" t="n"/>
      <c r="BC17" s="646" t="n"/>
      <c r="BD17" s="646" t="n"/>
      <c r="BE17" s="646" t="n"/>
      <c r="BF17" s="648" t="n"/>
      <c r="BG17" s="703">
        <f>SUM(D17:BF17)</f>
        <v/>
      </c>
    </row>
    <row r="18" ht="15" customHeight="1" s="754">
      <c r="A18" s="774" t="n"/>
      <c r="B18" s="395" t="inlineStr">
        <is>
          <t>CL</t>
        </is>
      </c>
      <c r="C18" s="641" t="inlineStr">
        <is>
          <t>라이코젯라벤다비즈5kg</t>
        </is>
      </c>
      <c r="D18" s="642" t="n">
        <v>1</v>
      </c>
      <c r="E18" s="642" t="n"/>
      <c r="F18" s="642" t="n"/>
      <c r="G18" s="642" t="n"/>
      <c r="H18" s="642" t="n"/>
      <c r="I18" s="642" t="n"/>
      <c r="J18" s="642" t="n"/>
      <c r="K18" s="642" t="n"/>
      <c r="L18" s="642" t="n"/>
      <c r="M18" s="642" t="n"/>
      <c r="N18" s="642" t="n"/>
      <c r="O18" s="642" t="n"/>
      <c r="P18" s="642" t="n"/>
      <c r="Q18" s="642" t="n"/>
      <c r="R18" s="642" t="n"/>
      <c r="S18" s="642" t="n"/>
      <c r="T18" s="642" t="n"/>
      <c r="U18" s="642" t="n"/>
      <c r="V18" s="645" t="n"/>
      <c r="W18" s="645" t="n"/>
      <c r="X18" s="645" t="n"/>
      <c r="Y18" s="645" t="n"/>
      <c r="Z18" s="646" t="n">
        <v>2</v>
      </c>
      <c r="AA18" s="645" t="n"/>
      <c r="AB18" s="646" t="n"/>
      <c r="AC18" s="646" t="n"/>
      <c r="AD18" s="646" t="n"/>
      <c r="AE18" s="646" t="n"/>
      <c r="AF18" s="646" t="n"/>
      <c r="AG18" s="646" t="n"/>
      <c r="AH18" s="646" t="n"/>
      <c r="AI18" s="646" t="n"/>
      <c r="AJ18" s="646" t="n"/>
      <c r="AK18" s="646" t="n"/>
      <c r="AL18" s="646" t="n"/>
      <c r="AM18" s="646" t="n"/>
      <c r="AN18" s="646" t="n"/>
      <c r="AO18" s="646" t="n"/>
      <c r="AP18" s="646" t="n"/>
      <c r="AQ18" s="646" t="n"/>
      <c r="AR18" s="646" t="n"/>
      <c r="AS18" s="646" t="n"/>
      <c r="AT18" s="646" t="n"/>
      <c r="AU18" s="646" t="n"/>
      <c r="AV18" s="646" t="n"/>
      <c r="AW18" s="646" t="n"/>
      <c r="AX18" s="646" t="n"/>
      <c r="AY18" s="646" t="n"/>
      <c r="AZ18" s="646" t="n"/>
      <c r="BA18" s="646" t="n"/>
      <c r="BB18" s="646" t="n"/>
      <c r="BC18" s="646" t="n"/>
      <c r="BD18" s="646" t="n"/>
      <c r="BE18" s="646" t="n"/>
      <c r="BF18" s="647" t="n"/>
      <c r="BG18" s="703">
        <f>SUM(D18:BF18)</f>
        <v/>
      </c>
    </row>
    <row r="19" ht="15" customHeight="1" s="754">
      <c r="A19" s="774" t="n"/>
      <c r="B19" s="395" t="inlineStr">
        <is>
          <t>CM</t>
        </is>
      </c>
      <c r="C19" s="641" t="inlineStr">
        <is>
          <t>로제트비즈5kg</t>
        </is>
      </c>
      <c r="D19" s="642" t="n">
        <v>2</v>
      </c>
      <c r="E19" s="642" t="n"/>
      <c r="F19" s="642" t="n"/>
      <c r="G19" s="642" t="n"/>
      <c r="H19" s="642" t="n"/>
      <c r="I19" s="642" t="n"/>
      <c r="J19" s="642" t="n"/>
      <c r="K19" s="642" t="n"/>
      <c r="L19" s="642" t="n"/>
      <c r="M19" s="642" t="n"/>
      <c r="N19" s="642" t="n"/>
      <c r="O19" s="642" t="n"/>
      <c r="P19" s="642" t="n"/>
      <c r="Q19" s="642" t="n"/>
      <c r="R19" s="642" t="n"/>
      <c r="S19" s="642" t="n"/>
      <c r="T19" s="642" t="n"/>
      <c r="U19" s="642" t="n"/>
      <c r="V19" s="645" t="n"/>
      <c r="W19" s="645" t="n"/>
      <c r="X19" s="645" t="n"/>
      <c r="Y19" s="645" t="n"/>
      <c r="Z19" s="645" t="n"/>
      <c r="AA19" s="645" t="n"/>
      <c r="AB19" s="645" t="n"/>
      <c r="AC19" s="646" t="n"/>
      <c r="AD19" s="646" t="n"/>
      <c r="AE19" s="646" t="n"/>
      <c r="AF19" s="646" t="n"/>
      <c r="AG19" s="646" t="n"/>
      <c r="AH19" s="646" t="n"/>
      <c r="AI19" s="646" t="n"/>
      <c r="AJ19" s="646" t="n"/>
      <c r="AK19" s="646" t="n"/>
      <c r="AL19" s="646" t="n"/>
      <c r="AM19" s="646" t="n"/>
      <c r="AN19" s="646" t="n"/>
      <c r="AO19" s="646" t="n"/>
      <c r="AP19" s="646" t="n"/>
      <c r="AQ19" s="646" t="n"/>
      <c r="AR19" s="646" t="n"/>
      <c r="AS19" s="646" t="n"/>
      <c r="AT19" s="646" t="n"/>
      <c r="AU19" s="646" t="n"/>
      <c r="AV19" s="646" t="n"/>
      <c r="AW19" s="646" t="n"/>
      <c r="AX19" s="646" t="n"/>
      <c r="AY19" s="646" t="n"/>
      <c r="AZ19" s="646" t="n"/>
      <c r="BA19" s="646" t="n"/>
      <c r="BB19" s="646" t="n"/>
      <c r="BC19" s="646" t="n"/>
      <c r="BD19" s="646" t="n"/>
      <c r="BE19" s="646" t="n"/>
      <c r="BF19" s="647" t="n"/>
      <c r="BG19" s="703">
        <f>SUM(D19:BF19)</f>
        <v/>
      </c>
    </row>
    <row r="20" ht="15" customHeight="1" s="754">
      <c r="A20" s="774" t="n"/>
      <c r="B20" s="395" t="inlineStr">
        <is>
          <t>CN</t>
        </is>
      </c>
      <c r="C20" s="641" t="inlineStr">
        <is>
          <t>라이코드림하이브리드비즈5kg</t>
        </is>
      </c>
      <c r="D20" s="642" t="n">
        <v>2</v>
      </c>
      <c r="E20" s="642" t="n"/>
      <c r="F20" s="642" t="n"/>
      <c r="G20" s="642" t="n"/>
      <c r="H20" s="642" t="n"/>
      <c r="I20" s="642" t="n"/>
      <c r="J20" s="642" t="n"/>
      <c r="K20" s="642" t="n"/>
      <c r="L20" s="642" t="n"/>
      <c r="M20" s="642" t="n"/>
      <c r="N20" s="642" t="n"/>
      <c r="O20" s="642" t="n"/>
      <c r="P20" s="642" t="n"/>
      <c r="Q20" s="642" t="n"/>
      <c r="R20" s="642" t="n"/>
      <c r="S20" s="642" t="n"/>
      <c r="T20" s="642" t="n"/>
      <c r="U20" s="642" t="n"/>
      <c r="V20" s="645" t="n"/>
      <c r="W20" s="645" t="n"/>
      <c r="X20" s="645" t="n"/>
      <c r="Y20" s="646" t="n">
        <v>1</v>
      </c>
      <c r="Z20" s="645" t="n"/>
      <c r="AA20" s="645" t="n"/>
      <c r="AB20" s="646" t="n"/>
      <c r="AC20" s="646" t="n"/>
      <c r="AD20" s="646" t="n"/>
      <c r="AE20" s="646" t="n"/>
      <c r="AF20" s="646" t="n"/>
      <c r="AG20" s="646" t="n"/>
      <c r="AH20" s="646" t="n"/>
      <c r="AI20" s="646" t="n"/>
      <c r="AJ20" s="646" t="n"/>
      <c r="AK20" s="646" t="n"/>
      <c r="AL20" s="646" t="n"/>
      <c r="AM20" s="646" t="n"/>
      <c r="AN20" s="646" t="n"/>
      <c r="AO20" s="646" t="n"/>
      <c r="AP20" s="646" t="n"/>
      <c r="AQ20" s="646" t="n"/>
      <c r="AR20" s="646" t="n"/>
      <c r="AS20" s="646" t="n"/>
      <c r="AT20" s="646" t="n"/>
      <c r="AU20" s="646" t="n"/>
      <c r="AV20" s="646" t="n"/>
      <c r="AW20" s="646" t="n"/>
      <c r="AX20" s="646" t="n"/>
      <c r="AY20" s="646" t="n"/>
      <c r="AZ20" s="646" t="n"/>
      <c r="BA20" s="646" t="n"/>
      <c r="BB20" s="646" t="n"/>
      <c r="BC20" s="646" t="n"/>
      <c r="BD20" s="646" t="n"/>
      <c r="BE20" s="646" t="n"/>
      <c r="BF20" s="647" t="n"/>
      <c r="BG20" s="703">
        <f>SUM(D20:BF20)</f>
        <v/>
      </c>
    </row>
    <row r="21" ht="15" customHeight="1" s="754">
      <c r="A21" s="775" t="n"/>
      <c r="B21" s="734" t="inlineStr">
        <is>
          <t>CO</t>
        </is>
      </c>
      <c r="C21" s="641" t="inlineStr">
        <is>
          <t>핑키니하이브리드비즈5kg</t>
        </is>
      </c>
      <c r="D21" s="642" t="n">
        <v>9</v>
      </c>
      <c r="E21" s="642" t="n"/>
      <c r="F21" s="642" t="n"/>
      <c r="G21" s="642" t="n"/>
      <c r="H21" s="642" t="n"/>
      <c r="I21" s="642" t="n"/>
      <c r="J21" s="642" t="n"/>
      <c r="K21" s="642" t="n"/>
      <c r="L21" s="642" t="n"/>
      <c r="M21" s="642" t="n"/>
      <c r="N21" s="642" t="n"/>
      <c r="O21" s="642" t="n"/>
      <c r="P21" s="642" t="n"/>
      <c r="Q21" s="642" t="n"/>
      <c r="R21" s="642" t="n"/>
      <c r="S21" s="642" t="n"/>
      <c r="T21" s="642" t="n"/>
      <c r="U21" s="642" t="n"/>
      <c r="V21" s="645" t="n"/>
      <c r="W21" s="646" t="n"/>
      <c r="X21" s="646" t="n"/>
      <c r="Y21" s="646" t="n"/>
      <c r="Z21" s="646" t="n"/>
      <c r="AA21" s="646" t="n"/>
      <c r="AB21" s="645" t="n"/>
      <c r="AC21" s="646" t="n">
        <v>3</v>
      </c>
      <c r="AD21" s="646" t="n"/>
      <c r="AE21" s="646" t="n"/>
      <c r="AF21" s="646" t="n"/>
      <c r="AG21" s="646" t="n"/>
      <c r="AH21" s="646" t="n"/>
      <c r="AI21" s="646" t="n"/>
      <c r="AJ21" s="960" t="n">
        <v>1</v>
      </c>
      <c r="AK21" s="646" t="n"/>
      <c r="AL21" s="646" t="n"/>
      <c r="AM21" s="646" t="n"/>
      <c r="AN21" s="646" t="n"/>
      <c r="AO21" s="646" t="n"/>
      <c r="AP21" s="646" t="n"/>
      <c r="AQ21" s="646" t="n"/>
      <c r="AR21" s="646" t="n"/>
      <c r="AS21" s="646" t="n"/>
      <c r="AT21" s="646" t="n"/>
      <c r="AU21" s="646" t="n"/>
      <c r="AV21" s="646" t="n"/>
      <c r="AW21" s="646" t="n"/>
      <c r="AX21" s="646" t="n"/>
      <c r="AY21" s="646" t="n"/>
      <c r="AZ21" s="646" t="n"/>
      <c r="BA21" s="646" t="n"/>
      <c r="BB21" s="646" t="n"/>
      <c r="BC21" s="646" t="n"/>
      <c r="BD21" s="646" t="n"/>
      <c r="BE21" s="646" t="n"/>
      <c r="BF21" s="647" t="n"/>
      <c r="BG21" s="703">
        <f>SUM(D21:BF21)</f>
        <v/>
      </c>
    </row>
    <row r="22" ht="15" customHeight="1" s="754">
      <c r="A22" s="704" t="inlineStr">
        <is>
          <t>P0000BLD</t>
        </is>
      </c>
      <c r="B22" s="659" t="inlineStr">
        <is>
          <t>F</t>
        </is>
      </c>
      <c r="C22" s="641" t="inlineStr">
        <is>
          <t>라이코드림하이브리드비즈800</t>
        </is>
      </c>
      <c r="D22" s="642" t="n"/>
      <c r="E22" s="642" t="n"/>
      <c r="F22" s="642" t="n"/>
      <c r="G22" s="642" t="n"/>
      <c r="H22" s="642" t="n"/>
      <c r="I22" s="642" t="n"/>
      <c r="J22" s="642" t="n"/>
      <c r="K22" s="642" t="n"/>
      <c r="L22" s="642" t="n"/>
      <c r="M22" s="642" t="n"/>
      <c r="N22" s="642" t="n"/>
      <c r="O22" s="642" t="n"/>
      <c r="P22" s="642" t="n"/>
      <c r="Q22" s="642" t="n"/>
      <c r="R22" s="642" t="n"/>
      <c r="S22" s="642" t="n"/>
      <c r="T22" s="642" t="n"/>
      <c r="U22" s="642" t="n"/>
      <c r="V22" s="645" t="n"/>
      <c r="W22" s="645" t="n"/>
      <c r="X22" s="645" t="n"/>
      <c r="Y22" s="645" t="n"/>
      <c r="Z22" s="645" t="n"/>
      <c r="AA22" s="645" t="n"/>
      <c r="AB22" s="645" t="n"/>
      <c r="AC22" s="646" t="n"/>
      <c r="AD22" s="646" t="n"/>
      <c r="AE22" s="646" t="n"/>
      <c r="AF22" s="646" t="n"/>
      <c r="AG22" s="646" t="n"/>
      <c r="AH22" s="646" t="n"/>
      <c r="AI22" s="646" t="n"/>
      <c r="AJ22" s="646" t="n"/>
      <c r="AK22" s="646" t="n"/>
      <c r="AL22" s="646" t="n"/>
      <c r="AM22" s="646" t="n"/>
      <c r="AN22" s="646" t="n"/>
      <c r="AO22" s="646" t="n"/>
      <c r="AP22" s="646" t="n"/>
      <c r="AQ22" s="646" t="n"/>
      <c r="AR22" s="646" t="n"/>
      <c r="AS22" s="646" t="n"/>
      <c r="AT22" s="646" t="n"/>
      <c r="AU22" s="646" t="n"/>
      <c r="AV22" s="646" t="n"/>
      <c r="AW22" s="646" t="n"/>
      <c r="AX22" s="646" t="n"/>
      <c r="AY22" s="646" t="n"/>
      <c r="AZ22" s="646" t="n"/>
      <c r="BA22" s="646" t="n"/>
      <c r="BB22" s="646" t="n"/>
      <c r="BC22" s="646" t="n"/>
      <c r="BD22" s="646" t="n"/>
      <c r="BE22" s="646" t="n"/>
      <c r="BF22" s="647" t="n"/>
      <c r="BG22" s="703">
        <f>SUM(D22:BF22)</f>
        <v/>
      </c>
    </row>
    <row r="23" ht="15" customHeight="1" s="754">
      <c r="A23" s="774" t="n"/>
      <c r="B23" s="395" t="inlineStr">
        <is>
          <t>G</t>
        </is>
      </c>
      <c r="C23" s="641" t="inlineStr">
        <is>
          <t>라이코젯 라벤더 비즈 왁스 800g</t>
        </is>
      </c>
      <c r="D23" s="642" t="n"/>
      <c r="E23" s="642" t="n"/>
      <c r="F23" s="642" t="n"/>
      <c r="G23" s="642" t="n"/>
      <c r="H23" s="642" t="n"/>
      <c r="I23" s="642" t="n"/>
      <c r="J23" s="642" t="n"/>
      <c r="K23" s="642" t="n"/>
      <c r="L23" s="642" t="n"/>
      <c r="M23" s="642" t="n"/>
      <c r="N23" s="642" t="n"/>
      <c r="O23" s="642" t="n"/>
      <c r="P23" s="642" t="n"/>
      <c r="Q23" s="642" t="n"/>
      <c r="R23" s="642" t="n"/>
      <c r="S23" s="642" t="n"/>
      <c r="T23" s="642" t="n"/>
      <c r="U23" s="642" t="n"/>
      <c r="V23" s="645" t="n"/>
      <c r="W23" s="645" t="n"/>
      <c r="X23" s="645" t="n"/>
      <c r="Y23" s="645" t="n"/>
      <c r="Z23" s="645" t="n"/>
      <c r="AA23" s="645" t="n"/>
      <c r="AB23" s="645" t="n"/>
      <c r="AC23" s="646" t="n"/>
      <c r="AD23" s="646" t="n"/>
      <c r="AE23" s="646" t="n"/>
      <c r="AF23" s="646" t="n"/>
      <c r="AG23" s="646" t="n"/>
      <c r="AH23" s="646" t="n"/>
      <c r="AI23" s="646" t="n"/>
      <c r="AJ23" s="646" t="n"/>
      <c r="AK23" s="646" t="n"/>
      <c r="AL23" s="646" t="n"/>
      <c r="AM23" s="646" t="n"/>
      <c r="AN23" s="646" t="n"/>
      <c r="AO23" s="646" t="n"/>
      <c r="AP23" s="646" t="n"/>
      <c r="AQ23" s="646" t="n"/>
      <c r="AR23" s="646" t="n"/>
      <c r="AS23" s="646" t="n"/>
      <c r="AT23" s="646" t="n"/>
      <c r="AU23" s="646" t="n"/>
      <c r="AV23" s="646" t="n"/>
      <c r="AW23" s="646" t="n"/>
      <c r="AX23" s="646" t="n"/>
      <c r="AY23" s="646" t="n"/>
      <c r="AZ23" s="646" t="n"/>
      <c r="BA23" s="646" t="n"/>
      <c r="BB23" s="646" t="n"/>
      <c r="BC23" s="646" t="n"/>
      <c r="BD23" s="646" t="n"/>
      <c r="BE23" s="646" t="n"/>
      <c r="BF23" s="647" t="n"/>
      <c r="BG23" s="703">
        <f>SUM(D23:BF23)</f>
        <v/>
      </c>
    </row>
    <row r="24" ht="15" customHeight="1" s="754">
      <c r="A24" s="774" t="n"/>
      <c r="B24" s="395" t="inlineStr">
        <is>
          <t>H</t>
        </is>
      </c>
      <c r="C24" s="641" t="inlineStr">
        <is>
          <t>로제트 비즈 왁스 800g</t>
        </is>
      </c>
      <c r="D24" s="642" t="n"/>
      <c r="E24" s="642" t="n"/>
      <c r="F24" s="642" t="n"/>
      <c r="G24" s="642" t="n"/>
      <c r="H24" s="642" t="n"/>
      <c r="I24" s="642" t="n"/>
      <c r="J24" s="642" t="n"/>
      <c r="K24" s="642" t="n"/>
      <c r="L24" s="642" t="n"/>
      <c r="M24" s="642" t="n"/>
      <c r="N24" s="642" t="n"/>
      <c r="O24" s="642" t="n"/>
      <c r="P24" s="642" t="n"/>
      <c r="Q24" s="642" t="n"/>
      <c r="R24" s="642" t="n"/>
      <c r="S24" s="642" t="n"/>
      <c r="T24" s="642" t="n"/>
      <c r="U24" s="642" t="n"/>
      <c r="V24" s="645" t="n"/>
      <c r="W24" s="645" t="n"/>
      <c r="X24" s="645" t="n"/>
      <c r="Y24" s="645" t="n"/>
      <c r="Z24" s="645" t="n"/>
      <c r="AA24" s="645" t="n"/>
      <c r="AB24" s="645" t="n"/>
      <c r="AC24" s="646" t="n"/>
      <c r="AD24" s="646" t="n"/>
      <c r="AE24" s="646" t="n"/>
      <c r="AF24" s="646" t="n"/>
      <c r="AG24" s="646" t="n"/>
      <c r="AH24" s="646" t="n"/>
      <c r="AI24" s="646" t="n"/>
      <c r="AJ24" s="646" t="n"/>
      <c r="AK24" s="646" t="n"/>
      <c r="AL24" s="646" t="n"/>
      <c r="AM24" s="646" t="n"/>
      <c r="AN24" s="646" t="n"/>
      <c r="AO24" s="646" t="n"/>
      <c r="AP24" s="646" t="n"/>
      <c r="AQ24" s="646" t="n"/>
      <c r="AR24" s="646" t="n"/>
      <c r="AS24" s="646" t="n"/>
      <c r="AT24" s="646" t="n"/>
      <c r="AU24" s="646" t="n"/>
      <c r="AV24" s="646" t="n"/>
      <c r="AW24" s="646" t="n"/>
      <c r="AX24" s="646" t="n"/>
      <c r="AY24" s="646" t="n"/>
      <c r="AZ24" s="646" t="n"/>
      <c r="BA24" s="646" t="n"/>
      <c r="BB24" s="646" t="n"/>
      <c r="BC24" s="646" t="n"/>
      <c r="BD24" s="646" t="n"/>
      <c r="BE24" s="646" t="n"/>
      <c r="BF24" s="647" t="n"/>
      <c r="BG24" s="703">
        <f>SUM(D24:BF24)</f>
        <v/>
      </c>
    </row>
    <row r="25" ht="15" customHeight="1" s="754">
      <c r="A25" s="775" t="n"/>
      <c r="B25" s="734" t="inlineStr">
        <is>
          <t>I</t>
        </is>
      </c>
      <c r="C25" s="641" t="inlineStr">
        <is>
          <t>핑키니 하이브리드 비즈 왁스 800g</t>
        </is>
      </c>
      <c r="D25" s="642" t="n"/>
      <c r="E25" s="642" t="n"/>
      <c r="F25" s="642" t="n"/>
      <c r="G25" s="642" t="n"/>
      <c r="H25" s="642" t="n"/>
      <c r="I25" s="642" t="n"/>
      <c r="J25" s="642" t="n"/>
      <c r="K25" s="642" t="n"/>
      <c r="L25" s="642" t="n"/>
      <c r="M25" s="642" t="n"/>
      <c r="N25" s="642" t="n"/>
      <c r="O25" s="642" t="n"/>
      <c r="P25" s="642" t="n"/>
      <c r="Q25" s="642" t="n"/>
      <c r="R25" s="642" t="n"/>
      <c r="S25" s="642" t="n"/>
      <c r="T25" s="642" t="n"/>
      <c r="U25" s="642" t="n"/>
      <c r="V25" s="645" t="n"/>
      <c r="W25" s="645" t="n"/>
      <c r="X25" s="645" t="n"/>
      <c r="Y25" s="645" t="n"/>
      <c r="Z25" s="645" t="n"/>
      <c r="AA25" s="645" t="n"/>
      <c r="AB25" s="645" t="n"/>
      <c r="AC25" s="646" t="n"/>
      <c r="AD25" s="646" t="n"/>
      <c r="AE25" s="646" t="n"/>
      <c r="AF25" s="646" t="n"/>
      <c r="AG25" s="646" t="n"/>
      <c r="AH25" s="646" t="n"/>
      <c r="AI25" s="646" t="n"/>
      <c r="AJ25" s="646" t="n"/>
      <c r="AK25" s="646" t="n"/>
      <c r="AL25" s="646" t="n"/>
      <c r="AM25" s="646" t="n"/>
      <c r="AN25" s="646" t="n"/>
      <c r="AO25" s="646" t="n"/>
      <c r="AP25" s="646" t="n"/>
      <c r="AQ25" s="646" t="n"/>
      <c r="AR25" s="646" t="n"/>
      <c r="AS25" s="646" t="n"/>
      <c r="AT25" s="646" t="n"/>
      <c r="AU25" s="646" t="n"/>
      <c r="AV25" s="646" t="n"/>
      <c r="AW25" s="646" t="n"/>
      <c r="AX25" s="646" t="n"/>
      <c r="AY25" s="646" t="n"/>
      <c r="AZ25" s="646" t="n"/>
      <c r="BA25" s="646" t="n"/>
      <c r="BB25" s="646" t="n"/>
      <c r="BC25" s="646" t="n"/>
      <c r="BD25" s="646" t="n"/>
      <c r="BE25" s="646" t="n"/>
      <c r="BF25" s="647" t="n"/>
      <c r="BG25" s="703">
        <f>SUM(D25:BF25)</f>
        <v/>
      </c>
    </row>
    <row r="26" ht="15" customFormat="1" customHeight="1" s="632">
      <c r="A26" s="651" t="inlineStr">
        <is>
          <t>P0000BMJ</t>
        </is>
      </c>
      <c r="B26" s="651" t="inlineStr">
        <is>
          <t xml:space="preserve"> -</t>
        </is>
      </c>
      <c r="C26" s="649" t="inlineStr">
        <is>
          <t>선샤인 비즈왁스 800g (1박스 18개)</t>
        </is>
      </c>
      <c r="D26" s="650" t="n">
        <v>4</v>
      </c>
      <c r="E26" s="650" t="n"/>
      <c r="F26" s="650" t="n"/>
      <c r="G26" s="650" t="n"/>
      <c r="H26" s="650" t="n"/>
      <c r="I26" s="650" t="n"/>
      <c r="J26" s="650" t="n"/>
      <c r="K26" s="650" t="n"/>
      <c r="L26" s="650" t="n"/>
      <c r="M26" s="650" t="n"/>
      <c r="N26" s="650" t="n"/>
      <c r="O26" s="650" t="n"/>
      <c r="P26" s="650" t="n"/>
      <c r="Q26" s="650" t="n"/>
      <c r="R26" s="650" t="n"/>
      <c r="S26" s="650" t="n"/>
      <c r="T26" s="650" t="n"/>
      <c r="U26" s="650" t="n"/>
      <c r="V26" s="650" t="n"/>
      <c r="W26" s="650" t="n"/>
      <c r="X26" s="650" t="n"/>
      <c r="Y26" s="650" t="n"/>
      <c r="Z26" s="650" t="n"/>
      <c r="AA26" s="650" t="n"/>
      <c r="AB26" s="650" t="n"/>
      <c r="AC26" s="650" t="n"/>
      <c r="AD26" s="650" t="n"/>
      <c r="AE26" s="650" t="n"/>
      <c r="AF26" s="650" t="n"/>
      <c r="AG26" s="650" t="n"/>
      <c r="AH26" s="650" t="n"/>
      <c r="AI26" s="650" t="n"/>
      <c r="AJ26" s="650" t="n"/>
      <c r="AK26" s="650" t="n"/>
      <c r="AL26" s="650" t="n"/>
      <c r="AM26" s="650" t="n"/>
      <c r="AN26" s="650" t="n"/>
      <c r="AO26" s="650" t="n"/>
      <c r="AP26" s="650" t="n"/>
      <c r="AQ26" s="650" t="n"/>
      <c r="AR26" s="650" t="n"/>
      <c r="AS26" s="650" t="n"/>
      <c r="AT26" s="650" t="n"/>
      <c r="AU26" s="650" t="n"/>
      <c r="AV26" s="650" t="n"/>
      <c r="AW26" s="650" t="n"/>
      <c r="AX26" s="650" t="n"/>
      <c r="AY26" s="650" t="n"/>
      <c r="AZ26" s="650" t="n"/>
      <c r="BA26" s="650" t="n"/>
      <c r="BB26" s="650" t="n"/>
      <c r="BC26" s="650" t="n"/>
      <c r="BD26" s="650" t="n"/>
      <c r="BE26" s="650" t="n"/>
      <c r="BF26" s="650" t="n"/>
      <c r="BG26" s="651">
        <f>SUM(D26:BF26)</f>
        <v/>
      </c>
    </row>
    <row r="27" ht="15" customHeight="1" s="754">
      <c r="A27" s="621" t="inlineStr">
        <is>
          <t>P0000BMI</t>
        </is>
      </c>
      <c r="B27" s="657" t="inlineStr">
        <is>
          <t xml:space="preserve"> -</t>
        </is>
      </c>
      <c r="C27" s="641" t="inlineStr">
        <is>
          <t>선샤인비즈왁스800</t>
        </is>
      </c>
      <c r="D27" s="642" t="n">
        <v>30</v>
      </c>
      <c r="E27" s="642" t="n"/>
      <c r="F27" s="642" t="n"/>
      <c r="G27" s="642" t="n"/>
      <c r="H27" s="642" t="n"/>
      <c r="I27" s="642" t="n"/>
      <c r="J27" s="642" t="n"/>
      <c r="K27" s="642" t="n"/>
      <c r="L27" s="642" t="n"/>
      <c r="M27" s="642" t="n"/>
      <c r="N27" s="642" t="n"/>
      <c r="O27" s="642" t="n"/>
      <c r="P27" s="646" t="n"/>
      <c r="Q27" s="642" t="n"/>
      <c r="R27" s="642" t="n"/>
      <c r="S27" s="642" t="n"/>
      <c r="T27" s="642" t="n"/>
      <c r="U27" s="642" t="n"/>
      <c r="V27" s="645" t="n"/>
      <c r="W27" s="645" t="n"/>
      <c r="X27" s="645" t="n"/>
      <c r="Y27" s="645" t="n"/>
      <c r="Z27" s="645" t="n"/>
      <c r="AA27" s="645" t="n"/>
      <c r="AB27" s="645" t="n"/>
      <c r="AC27" s="646" t="n"/>
      <c r="AD27" s="646" t="n"/>
      <c r="AE27" s="646" t="n"/>
      <c r="AF27" s="646" t="n"/>
      <c r="AG27" s="646" t="n"/>
      <c r="AH27" s="646" t="n"/>
      <c r="AI27" s="646" t="n"/>
      <c r="AJ27" s="646" t="n"/>
      <c r="AK27" s="646" t="n"/>
      <c r="AL27" s="646" t="n"/>
      <c r="AM27" s="646" t="n"/>
      <c r="AN27" s="646" t="n"/>
      <c r="AO27" s="646" t="n"/>
      <c r="AP27" s="646" t="n"/>
      <c r="AQ27" s="646" t="n"/>
      <c r="AR27" s="646" t="n"/>
      <c r="AS27" s="646" t="n"/>
      <c r="AT27" s="646" t="n"/>
      <c r="AU27" s="646" t="n"/>
      <c r="AV27" s="646" t="n"/>
      <c r="AW27" s="646" t="n"/>
      <c r="AX27" s="646" t="n"/>
      <c r="AY27" s="646" t="n"/>
      <c r="AZ27" s="646" t="n"/>
      <c r="BA27" s="646" t="n"/>
      <c r="BB27" s="646" t="n"/>
      <c r="BC27" s="646" t="n"/>
      <c r="BD27" s="646" t="n"/>
      <c r="BE27" s="646" t="n"/>
      <c r="BF27" s="648" t="n"/>
      <c r="BG27" s="703">
        <f>SUM(D27:BF27)</f>
        <v/>
      </c>
    </row>
    <row r="28" ht="15" customFormat="1" customHeight="1" s="24">
      <c r="A28" s="439" t="inlineStr">
        <is>
          <t>500g총합계</t>
        </is>
      </c>
      <c r="B28" s="660" t="n"/>
      <c r="C28" s="626" t="n"/>
      <c r="D28" s="675">
        <f>SUM(D10:D27)</f>
        <v/>
      </c>
      <c r="E28" s="675">
        <f>SUM(E10:E27)</f>
        <v/>
      </c>
      <c r="F28" s="675">
        <f>SUM(F10:F27)</f>
        <v/>
      </c>
      <c r="G28" s="675">
        <f>SUM(G10:G27)</f>
        <v/>
      </c>
      <c r="H28" s="675">
        <f>SUM(H10:H27)</f>
        <v/>
      </c>
      <c r="I28" s="675">
        <f>SUM(I10:I27)</f>
        <v/>
      </c>
      <c r="J28" s="675">
        <f>SUM(J10:J27)</f>
        <v/>
      </c>
      <c r="K28" s="675">
        <f>SUM(K10:K27)</f>
        <v/>
      </c>
      <c r="L28" s="675">
        <f>SUM(L10:L27)</f>
        <v/>
      </c>
      <c r="M28" s="675">
        <f>SUM(M10:M27)</f>
        <v/>
      </c>
      <c r="N28" s="675">
        <f>SUM(N10:N27)</f>
        <v/>
      </c>
      <c r="O28" s="675">
        <f>SUM(O10:O27)</f>
        <v/>
      </c>
      <c r="P28" s="675">
        <f>SUM(P10:P27)</f>
        <v/>
      </c>
      <c r="Q28" s="675">
        <f>SUM(Q10:Q27)</f>
        <v/>
      </c>
      <c r="R28" s="675">
        <f>SUM(R10:R27)</f>
        <v/>
      </c>
      <c r="S28" s="675">
        <f>SUM(S10:S27)</f>
        <v/>
      </c>
      <c r="T28" s="675">
        <f>SUM(T10:T27)</f>
        <v/>
      </c>
      <c r="U28" s="675">
        <f>SUM(U10:U27)</f>
        <v/>
      </c>
      <c r="V28" s="675">
        <f>SUM(V10:V27)</f>
        <v/>
      </c>
      <c r="W28" s="675">
        <f>SUM(W10:W27)</f>
        <v/>
      </c>
      <c r="X28" s="675">
        <f>SUM(X10:X27)</f>
        <v/>
      </c>
      <c r="Y28" s="675">
        <f>SUM(Y10:Y27)</f>
        <v/>
      </c>
      <c r="Z28" s="675">
        <f>SUM(Z10:Z27)</f>
        <v/>
      </c>
      <c r="AA28" s="675">
        <f>SUM(AA10:AA27)</f>
        <v/>
      </c>
      <c r="AB28" s="675">
        <f>SUM(AB10:AB27)</f>
        <v/>
      </c>
      <c r="AC28" s="675">
        <f>SUM(AC10:AC27)</f>
        <v/>
      </c>
      <c r="AD28" s="675">
        <f>SUM(AD10:AD27)</f>
        <v/>
      </c>
      <c r="AE28" s="675">
        <f>SUM(AE10:AE27)</f>
        <v/>
      </c>
      <c r="AF28" s="675">
        <f>SUM(AF10:AF27)</f>
        <v/>
      </c>
      <c r="AG28" s="675">
        <f>SUM(AG10:AG27)</f>
        <v/>
      </c>
      <c r="AH28" s="675">
        <f>SUM(AH10:AH27)</f>
        <v/>
      </c>
      <c r="AI28" s="675">
        <f>SUM(AI10:AI27)</f>
        <v/>
      </c>
      <c r="AJ28" s="675">
        <f>SUM(AJ10:AJ27)</f>
        <v/>
      </c>
      <c r="AK28" s="675">
        <f>SUM(AK10:AK27)</f>
        <v/>
      </c>
      <c r="AL28" s="675">
        <f>SUM(AL10:AL27)</f>
        <v/>
      </c>
      <c r="AM28" s="675">
        <f>SUM(AM10:AM27)</f>
        <v/>
      </c>
      <c r="AN28" s="675">
        <f>SUM(AN10:AN27)</f>
        <v/>
      </c>
      <c r="AO28" s="675">
        <f>SUM(AO10:AO27)</f>
        <v/>
      </c>
      <c r="AP28" s="675">
        <f>SUM(AP10:AP27)</f>
        <v/>
      </c>
      <c r="AQ28" s="675">
        <f>SUM(AQ10:AQ27)</f>
        <v/>
      </c>
      <c r="AR28" s="675">
        <f>SUM(AR10:AR27)</f>
        <v/>
      </c>
      <c r="AS28" s="675">
        <f>SUM(AS10:AS27)</f>
        <v/>
      </c>
      <c r="AT28" s="675">
        <f>SUM(AT10:AT27)</f>
        <v/>
      </c>
      <c r="AU28" s="675">
        <f>SUM(AU10:AU27)</f>
        <v/>
      </c>
      <c r="AV28" s="675">
        <f>SUM(AV10:AV27)</f>
        <v/>
      </c>
      <c r="AW28" s="675">
        <f>SUM(AW10:AW27)</f>
        <v/>
      </c>
      <c r="AX28" s="675">
        <f>SUM(AX10:AX27)</f>
        <v/>
      </c>
      <c r="AY28" s="675">
        <f>SUM(AY10:AY27)</f>
        <v/>
      </c>
      <c r="AZ28" s="675">
        <f>SUM(AZ10:AZ27)</f>
        <v/>
      </c>
      <c r="BA28" s="675">
        <f>SUM(BA10:BA27)</f>
        <v/>
      </c>
      <c r="BB28" s="675">
        <f>SUM(BB10:BB27)</f>
        <v/>
      </c>
      <c r="BC28" s="675">
        <f>SUM(BC10:BC27)</f>
        <v/>
      </c>
      <c r="BD28" s="675">
        <f>SUM(BD10:BD27)</f>
        <v/>
      </c>
      <c r="BE28" s="675">
        <f>SUM(BE10:BE27)</f>
        <v/>
      </c>
      <c r="BF28" s="675">
        <f>SUM(BF10:BF27)</f>
        <v/>
      </c>
      <c r="BG28" s="662">
        <f>SUM(BG10:BG27)</f>
        <v/>
      </c>
    </row>
    <row r="29" ht="15" customHeight="1" s="754">
      <c r="A29" s="961" t="inlineStr">
        <is>
          <t>P00000ZB</t>
        </is>
      </c>
      <c r="B29" s="664" t="inlineStr">
        <is>
          <t>A</t>
        </is>
      </c>
      <c r="C29" s="665" t="inlineStr">
        <is>
          <t>라이콘컵왁스비즈(로제트)</t>
        </is>
      </c>
      <c r="D29" s="666" t="n">
        <v>2</v>
      </c>
      <c r="E29" s="666" t="n"/>
      <c r="F29" s="666" t="n"/>
      <c r="G29" s="666" t="n"/>
      <c r="H29" s="666" t="n"/>
      <c r="I29" s="666" t="n"/>
      <c r="J29" s="666" t="n"/>
      <c r="K29" s="666" t="n"/>
      <c r="L29" s="666" t="n"/>
      <c r="M29" s="666" t="n"/>
      <c r="N29" s="666" t="n"/>
      <c r="O29" s="666" t="n"/>
      <c r="P29" s="666" t="n"/>
      <c r="Q29" s="666" t="n"/>
      <c r="R29" s="666" t="n"/>
      <c r="S29" s="666" t="n"/>
      <c r="T29" s="666" t="n"/>
      <c r="U29" s="666" t="n"/>
      <c r="V29" s="667" t="n"/>
      <c r="W29" s="667" t="n"/>
      <c r="X29" s="667" t="n"/>
      <c r="Y29" s="667" t="n"/>
      <c r="Z29" s="667" t="n"/>
      <c r="AA29" s="667" t="n"/>
      <c r="AB29" s="667" t="n"/>
      <c r="AC29" s="668" t="n"/>
      <c r="AD29" s="668" t="n"/>
      <c r="AE29" s="668" t="n"/>
      <c r="AF29" s="668" t="n"/>
      <c r="AG29" s="668" t="n"/>
      <c r="AH29" s="668" t="n"/>
      <c r="AI29" s="668" t="n"/>
      <c r="AJ29" s="668" t="n"/>
      <c r="AK29" s="668" t="n"/>
      <c r="AL29" s="668" t="n"/>
      <c r="AM29" s="668" t="n"/>
      <c r="AN29" s="668" t="n"/>
      <c r="AO29" s="668" t="n">
        <v>1</v>
      </c>
      <c r="AP29" s="668" t="n"/>
      <c r="AQ29" s="668" t="n"/>
      <c r="AR29" s="668" t="n"/>
      <c r="AS29" s="668" t="n"/>
      <c r="AT29" s="668" t="n"/>
      <c r="AU29" s="668" t="n"/>
      <c r="AV29" s="668" t="n"/>
      <c r="AW29" s="668" t="n"/>
      <c r="AX29" s="668" t="n"/>
      <c r="AY29" s="668" t="n"/>
      <c r="AZ29" s="668" t="n"/>
      <c r="BA29" s="668" t="n"/>
      <c r="BB29" s="668" t="n"/>
      <c r="BC29" s="668" t="n"/>
      <c r="BD29" s="668" t="n"/>
      <c r="BE29" s="669" t="n"/>
      <c r="BF29" s="669" t="n"/>
      <c r="BG29" s="670">
        <f>SUM(D29:BF29)</f>
        <v/>
      </c>
    </row>
    <row r="30" ht="15" customHeight="1" s="754">
      <c r="A30" s="962" t="n"/>
      <c r="B30" s="664" t="inlineStr">
        <is>
          <t>B</t>
        </is>
      </c>
      <c r="C30" s="665" t="inlineStr">
        <is>
          <t>라이콘컵왁스비즈(라벤다)</t>
        </is>
      </c>
      <c r="D30" s="666" t="n">
        <v>6</v>
      </c>
      <c r="E30" s="666" t="n"/>
      <c r="F30" s="666" t="n"/>
      <c r="G30" s="666" t="n"/>
      <c r="H30" s="666" t="n"/>
      <c r="I30" s="666" t="n"/>
      <c r="J30" s="666" t="n"/>
      <c r="K30" s="666" t="n"/>
      <c r="L30" s="666" t="n"/>
      <c r="M30" s="666" t="n"/>
      <c r="N30" s="666" t="n"/>
      <c r="O30" s="666" t="n"/>
      <c r="P30" s="666" t="n"/>
      <c r="Q30" s="666" t="n"/>
      <c r="R30" s="666" t="n"/>
      <c r="S30" s="666" t="n"/>
      <c r="T30" s="666" t="n"/>
      <c r="U30" s="666" t="n"/>
      <c r="V30" s="667" t="n"/>
      <c r="W30" s="667" t="n"/>
      <c r="X30" s="667" t="n"/>
      <c r="Y30" s="667" t="n"/>
      <c r="Z30" s="667" t="n"/>
      <c r="AA30" s="667" t="n"/>
      <c r="AB30" s="667" t="n"/>
      <c r="AC30" s="668" t="n"/>
      <c r="AD30" s="668" t="n"/>
      <c r="AE30" s="668" t="n"/>
      <c r="AF30" s="668" t="n"/>
      <c r="AG30" s="668" t="n"/>
      <c r="AH30" s="668" t="n"/>
      <c r="AI30" s="668" t="n"/>
      <c r="AJ30" s="668" t="n"/>
      <c r="AK30" s="668" t="n"/>
      <c r="AL30" s="668" t="n"/>
      <c r="AM30" s="668" t="n"/>
      <c r="AN30" s="668" t="n"/>
      <c r="AO30" s="668" t="n"/>
      <c r="AP30" s="668" t="n">
        <v>1</v>
      </c>
      <c r="AQ30" s="668" t="n"/>
      <c r="AR30" s="668" t="n"/>
      <c r="AS30" s="668" t="n"/>
      <c r="AT30" s="668" t="n"/>
      <c r="AU30" s="668" t="n"/>
      <c r="AV30" s="668" t="n"/>
      <c r="AW30" s="668" t="n"/>
      <c r="AX30" s="668" t="n"/>
      <c r="AY30" s="668" t="n"/>
      <c r="AZ30" s="668" t="n"/>
      <c r="BA30" s="668" t="n"/>
      <c r="BB30" s="668" t="n"/>
      <c r="BC30" s="668" t="n"/>
      <c r="BD30" s="668" t="n"/>
      <c r="BE30" s="669" t="n"/>
      <c r="BF30" s="669" t="n"/>
      <c r="BG30" s="670">
        <f>SUM(D30:BF30)</f>
        <v/>
      </c>
    </row>
    <row r="31" ht="15" customHeight="1" s="754">
      <c r="A31" s="962" t="n"/>
      <c r="B31" s="664" t="inlineStr">
        <is>
          <t>C</t>
        </is>
      </c>
      <c r="C31" s="665" t="inlineStr">
        <is>
          <t>라이콘컵왁스비즈(하이브리드)</t>
        </is>
      </c>
      <c r="D31" s="666" t="n">
        <v>1</v>
      </c>
      <c r="E31" s="666" t="n"/>
      <c r="F31" s="666" t="n"/>
      <c r="G31" s="666" t="n"/>
      <c r="H31" s="666" t="n"/>
      <c r="I31" s="666" t="n"/>
      <c r="J31" s="666" t="n"/>
      <c r="K31" s="666" t="n"/>
      <c r="L31" s="666" t="n"/>
      <c r="M31" s="666" t="n"/>
      <c r="N31" s="666" t="n"/>
      <c r="O31" s="666" t="n"/>
      <c r="P31" s="666" t="n"/>
      <c r="Q31" s="666" t="n"/>
      <c r="R31" s="666" t="n"/>
      <c r="S31" s="666" t="n"/>
      <c r="T31" s="666" t="n"/>
      <c r="U31" s="666" t="n"/>
      <c r="V31" s="667" t="n"/>
      <c r="W31" s="667" t="n"/>
      <c r="X31" s="667" t="n"/>
      <c r="Y31" s="667" t="n"/>
      <c r="Z31" s="667" t="n"/>
      <c r="AA31" s="667" t="n"/>
      <c r="AB31" s="667" t="n"/>
      <c r="AC31" s="668" t="n"/>
      <c r="AD31" s="668" t="n"/>
      <c r="AE31" s="668" t="n"/>
      <c r="AF31" s="668" t="n"/>
      <c r="AG31" s="668" t="n"/>
      <c r="AH31" s="668" t="n"/>
      <c r="AI31" s="668" t="n"/>
      <c r="AJ31" s="668" t="n"/>
      <c r="AK31" s="668" t="n"/>
      <c r="AL31" s="668" t="n"/>
      <c r="AM31" s="668" t="n">
        <v>5</v>
      </c>
      <c r="AN31" s="668" t="n"/>
      <c r="AO31" s="668" t="n"/>
      <c r="AP31" s="668" t="n"/>
      <c r="AQ31" s="668" t="n"/>
      <c r="AR31" s="668" t="n"/>
      <c r="AS31" s="668" t="n"/>
      <c r="AT31" s="668" t="n"/>
      <c r="AU31" s="668" t="n"/>
      <c r="AV31" s="668" t="n"/>
      <c r="AW31" s="668" t="n"/>
      <c r="AX31" s="668" t="n"/>
      <c r="AY31" s="668" t="n"/>
      <c r="AZ31" s="668" t="n"/>
      <c r="BA31" s="668" t="n"/>
      <c r="BB31" s="668" t="n"/>
      <c r="BC31" s="668" t="n"/>
      <c r="BD31" s="668" t="n"/>
      <c r="BE31" s="669" t="n"/>
      <c r="BF31" s="669" t="n"/>
      <c r="BG31" s="670">
        <f>SUM(D31:BF31)</f>
        <v/>
      </c>
    </row>
    <row r="32" ht="15" customHeight="1" s="754">
      <c r="A32" s="963" t="n"/>
      <c r="B32" s="664" t="inlineStr">
        <is>
          <t>D</t>
        </is>
      </c>
      <c r="C32" s="665" t="inlineStr">
        <is>
          <t>라이콘컵왁스비즈(핑키니)</t>
        </is>
      </c>
      <c r="D32" s="666" t="n">
        <v>6</v>
      </c>
      <c r="E32" s="666" t="n"/>
      <c r="F32" s="666" t="n"/>
      <c r="G32" s="666" t="n"/>
      <c r="H32" s="666" t="n"/>
      <c r="I32" s="666" t="n"/>
      <c r="J32" s="666" t="n"/>
      <c r="K32" s="666" t="n"/>
      <c r="L32" s="666" t="n"/>
      <c r="M32" s="666" t="n"/>
      <c r="N32" s="666" t="n"/>
      <c r="O32" s="666" t="n"/>
      <c r="P32" s="666" t="n"/>
      <c r="Q32" s="666" t="n"/>
      <c r="R32" s="666" t="n"/>
      <c r="S32" s="666" t="n"/>
      <c r="T32" s="666" t="n"/>
      <c r="U32" s="666" t="n"/>
      <c r="V32" s="667" t="n"/>
      <c r="W32" s="667" t="n"/>
      <c r="X32" s="667" t="n"/>
      <c r="Y32" s="667" t="n"/>
      <c r="Z32" s="667" t="n"/>
      <c r="AA32" s="667" t="n"/>
      <c r="AB32" s="667" t="n"/>
      <c r="AC32" s="668" t="n"/>
      <c r="AD32" s="668" t="n"/>
      <c r="AE32" s="668" t="n"/>
      <c r="AF32" s="668" t="n"/>
      <c r="AG32" s="668" t="n"/>
      <c r="AH32" s="668" t="n"/>
      <c r="AI32" s="668" t="n"/>
      <c r="AJ32" s="668" t="n"/>
      <c r="AK32" s="668" t="n"/>
      <c r="AL32" s="668" t="n"/>
      <c r="AM32" s="668" t="n"/>
      <c r="AN32" s="668" t="n">
        <v>7</v>
      </c>
      <c r="AO32" s="668" t="n"/>
      <c r="AP32" s="668" t="n"/>
      <c r="AQ32" s="668" t="n"/>
      <c r="AR32" s="668" t="n"/>
      <c r="AS32" s="668" t="n"/>
      <c r="AT32" s="668" t="n"/>
      <c r="AU32" s="668" t="n"/>
      <c r="AV32" s="668" t="n"/>
      <c r="AW32" s="668" t="n"/>
      <c r="AX32" s="668" t="n"/>
      <c r="AY32" s="668" t="n"/>
      <c r="AZ32" s="668" t="n"/>
      <c r="BA32" s="668" t="n"/>
      <c r="BB32" s="668" t="n"/>
      <c r="BC32" s="668" t="n"/>
      <c r="BD32" s="668" t="n"/>
      <c r="BE32" s="669" t="n"/>
      <c r="BF32" s="669" t="n"/>
      <c r="BG32" s="670">
        <f>SUM(D32:BF32)</f>
        <v/>
      </c>
    </row>
    <row r="33" ht="15" customHeight="1" s="754">
      <c r="A33" s="663" t="inlineStr">
        <is>
          <t>P00000UH</t>
        </is>
      </c>
      <c r="B33" s="664" t="inlineStr">
        <is>
          <t>-</t>
        </is>
      </c>
      <c r="C33" s="665" t="inlineStr">
        <is>
          <t>핑키니하이브리드하드</t>
        </is>
      </c>
      <c r="D33" s="666" t="n">
        <v>44</v>
      </c>
      <c r="E33" s="666" t="n"/>
      <c r="F33" s="666" t="n"/>
      <c r="G33" s="666" t="n"/>
      <c r="H33" s="666" t="n"/>
      <c r="I33" s="666" t="n"/>
      <c r="J33" s="666" t="n"/>
      <c r="K33" s="666" t="n"/>
      <c r="L33" s="666" t="n"/>
      <c r="M33" s="666" t="n"/>
      <c r="N33" s="666" t="n"/>
      <c r="O33" s="666" t="n"/>
      <c r="P33" s="666" t="n"/>
      <c r="Q33" s="666" t="n"/>
      <c r="R33" s="666" t="n"/>
      <c r="S33" s="666" t="n"/>
      <c r="T33" s="666" t="n"/>
      <c r="U33" s="666" t="n"/>
      <c r="V33" s="667" t="n">
        <v>153</v>
      </c>
      <c r="W33" s="667" t="n"/>
      <c r="X33" s="667" t="n"/>
      <c r="Y33" s="667" t="n"/>
      <c r="Z33" s="667" t="n"/>
      <c r="AA33" s="667" t="n"/>
      <c r="AB33" s="667" t="n"/>
      <c r="AC33" s="668" t="n"/>
      <c r="AD33" s="668" t="n"/>
      <c r="AE33" s="668" t="n"/>
      <c r="AF33" s="668" t="n"/>
      <c r="AG33" s="668" t="n"/>
      <c r="AH33" s="668" t="n"/>
      <c r="AI33" s="668" t="n"/>
      <c r="AJ33" s="668" t="n"/>
      <c r="AK33" s="668" t="n"/>
      <c r="AL33" s="668" t="n"/>
      <c r="AM33" s="668" t="n"/>
      <c r="AN33" s="668" t="n"/>
      <c r="AO33" s="668" t="n"/>
      <c r="AP33" s="668" t="n"/>
      <c r="AQ33" s="668" t="n"/>
      <c r="AR33" s="668" t="n"/>
      <c r="AS33" s="668" t="n"/>
      <c r="AT33" s="668" t="n"/>
      <c r="AU33" s="668" t="n"/>
      <c r="AV33" s="668" t="n"/>
      <c r="AW33" s="668" t="n"/>
      <c r="AX33" s="668" t="n"/>
      <c r="AY33" s="668" t="n"/>
      <c r="AZ33" s="668" t="n"/>
      <c r="BA33" s="668" t="n"/>
      <c r="BB33" s="668" t="n"/>
      <c r="BC33" s="668" t="n"/>
      <c r="BD33" s="668" t="n">
        <v>917</v>
      </c>
      <c r="BE33" s="669" t="n"/>
      <c r="BF33" s="669" t="n"/>
      <c r="BG33" s="670">
        <f>SUM(D33:BF33)</f>
        <v/>
      </c>
    </row>
    <row r="34" ht="15" customHeight="1" s="754">
      <c r="A34" s="663" t="inlineStr">
        <is>
          <t>P00000TI</t>
        </is>
      </c>
      <c r="B34" s="664" t="inlineStr">
        <is>
          <t>-</t>
        </is>
      </c>
      <c r="C34" s="665" t="inlineStr">
        <is>
          <t>루비하드</t>
        </is>
      </c>
      <c r="D34" s="666" t="n">
        <v>58</v>
      </c>
      <c r="E34" s="666" t="n"/>
      <c r="F34" s="666" t="n"/>
      <c r="G34" s="666" t="n"/>
      <c r="H34" s="666" t="n"/>
      <c r="I34" s="666" t="n"/>
      <c r="J34" s="666" t="n"/>
      <c r="K34" s="666" t="n"/>
      <c r="L34" s="666" t="n"/>
      <c r="M34" s="666" t="n"/>
      <c r="N34" s="666" t="n"/>
      <c r="O34" s="666" t="n"/>
      <c r="P34" s="666" t="n"/>
      <c r="Q34" s="666" t="n"/>
      <c r="R34" s="666" t="n"/>
      <c r="S34" s="666" t="n"/>
      <c r="T34" s="666" t="n"/>
      <c r="U34" s="666" t="n">
        <v>312</v>
      </c>
      <c r="V34" s="667" t="n"/>
      <c r="W34" s="667" t="n"/>
      <c r="X34" s="667" t="n"/>
      <c r="Y34" s="667" t="n"/>
      <c r="Z34" s="667" t="n"/>
      <c r="AA34" s="667" t="n"/>
      <c r="AB34" s="667" t="n"/>
      <c r="AC34" s="668" t="n"/>
      <c r="AD34" s="668" t="n"/>
      <c r="AE34" s="668" t="n"/>
      <c r="AF34" s="668" t="n"/>
      <c r="AG34" s="668" t="n"/>
      <c r="AH34" s="668" t="n"/>
      <c r="AI34" s="668" t="n"/>
      <c r="AJ34" s="668" t="n"/>
      <c r="AK34" s="668" t="n"/>
      <c r="AL34" s="668" t="n"/>
      <c r="AM34" s="668" t="n"/>
      <c r="AN34" s="668" t="n"/>
      <c r="AO34" s="668" t="n"/>
      <c r="AP34" s="668" t="n"/>
      <c r="AQ34" s="668" t="n"/>
      <c r="AR34" s="668" t="n"/>
      <c r="AS34" s="668" t="n">
        <v>773</v>
      </c>
      <c r="AT34" s="668" t="n"/>
      <c r="AU34" s="668" t="n"/>
      <c r="AV34" s="668" t="n"/>
      <c r="AW34" s="668" t="n"/>
      <c r="AX34" s="668" t="n"/>
      <c r="AY34" s="668" t="n"/>
      <c r="AZ34" s="668" t="n"/>
      <c r="BA34" s="668" t="n"/>
      <c r="BB34" s="668" t="n"/>
      <c r="BC34" s="668" t="n"/>
      <c r="BD34" s="668" t="n"/>
      <c r="BE34" s="669" t="n"/>
      <c r="BF34" s="669" t="n"/>
      <c r="BG34" s="670">
        <f>SUM(D34:BF34)</f>
        <v/>
      </c>
    </row>
    <row r="35" ht="15" customHeight="1" s="754">
      <c r="A35" s="663" t="inlineStr">
        <is>
          <t>P00000BY</t>
        </is>
      </c>
      <c r="B35" s="664" t="inlineStr">
        <is>
          <t>-</t>
        </is>
      </c>
      <c r="C35" s="665" t="inlineStr">
        <is>
          <t>라이코젯데저트하드</t>
        </is>
      </c>
      <c r="D35" s="666" t="n">
        <v>31</v>
      </c>
      <c r="E35" s="666" t="n"/>
      <c r="F35" s="666" t="n"/>
      <c r="G35" s="666" t="n"/>
      <c r="H35" s="666" t="n"/>
      <c r="I35" s="666" t="n"/>
      <c r="J35" s="666" t="n"/>
      <c r="K35" s="666" t="n"/>
      <c r="L35" s="666" t="n"/>
      <c r="M35" s="666" t="n"/>
      <c r="N35" s="666" t="n"/>
      <c r="O35" s="666" t="n"/>
      <c r="P35" s="666" t="n"/>
      <c r="Q35" s="666" t="n"/>
      <c r="R35" s="666" t="n"/>
      <c r="S35" s="666" t="n">
        <v>104</v>
      </c>
      <c r="T35" s="666" t="n"/>
      <c r="U35" s="666" t="n"/>
      <c r="V35" s="667" t="n"/>
      <c r="W35" s="667" t="n"/>
      <c r="X35" s="667" t="n"/>
      <c r="Y35" s="667" t="n"/>
      <c r="Z35" s="667" t="n"/>
      <c r="AA35" s="667" t="n"/>
      <c r="AB35" s="667" t="n"/>
      <c r="AC35" s="668" t="n"/>
      <c r="AD35" s="668" t="n"/>
      <c r="AE35" s="668" t="n"/>
      <c r="AF35" s="668" t="n"/>
      <c r="AG35" s="668" t="n"/>
      <c r="AH35" s="668" t="n"/>
      <c r="AI35" s="668" t="n"/>
      <c r="AJ35" s="668" t="n"/>
      <c r="AK35" s="668" t="n"/>
      <c r="AL35" s="668" t="n"/>
      <c r="AM35" s="668" t="n"/>
      <c r="AN35" s="668" t="n"/>
      <c r="AO35" s="668" t="n"/>
      <c r="AP35" s="668" t="n"/>
      <c r="AQ35" s="668" t="n"/>
      <c r="AR35" s="668" t="n"/>
      <c r="AS35" s="668" t="n"/>
      <c r="AT35" s="668" t="n"/>
      <c r="AU35" s="964" t="n"/>
      <c r="AV35" s="668" t="n"/>
      <c r="AW35" s="668" t="n"/>
      <c r="AX35" s="965" t="n">
        <v>670</v>
      </c>
      <c r="AY35" s="668" t="n"/>
      <c r="AZ35" s="668" t="n"/>
      <c r="BA35" s="668" t="n"/>
      <c r="BB35" s="668" t="n"/>
      <c r="BC35" s="668" t="n"/>
      <c r="BD35" s="668" t="n"/>
      <c r="BE35" s="669" t="n"/>
      <c r="BF35" s="669" t="n"/>
      <c r="BG35" s="670">
        <f>SUM(D35:BF35)</f>
        <v/>
      </c>
    </row>
    <row r="36" ht="15" customHeight="1" s="754">
      <c r="A36" s="663" t="inlineStr">
        <is>
          <t>P00000BZ</t>
        </is>
      </c>
      <c r="B36" s="664" t="inlineStr">
        <is>
          <t>-</t>
        </is>
      </c>
      <c r="C36" s="665" t="inlineStr">
        <is>
          <t>라이코젯라벤더하드</t>
        </is>
      </c>
      <c r="D36" s="666" t="n">
        <v>15</v>
      </c>
      <c r="E36" s="666" t="n"/>
      <c r="F36" s="666" t="n"/>
      <c r="G36" s="666" t="n"/>
      <c r="H36" s="666" t="n"/>
      <c r="I36" s="666" t="n"/>
      <c r="J36" s="666" t="n"/>
      <c r="K36" s="666" t="n"/>
      <c r="L36" s="666" t="n"/>
      <c r="M36" s="666" t="n"/>
      <c r="N36" s="666" t="n"/>
      <c r="O36" s="666" t="n"/>
      <c r="P36" s="666" t="n"/>
      <c r="Q36" s="666" t="n"/>
      <c r="R36" s="666" t="n"/>
      <c r="S36" s="666" t="n"/>
      <c r="T36" s="666" t="n">
        <v>93</v>
      </c>
      <c r="U36" s="666" t="n"/>
      <c r="V36" s="667" t="n"/>
      <c r="W36" s="667" t="n"/>
      <c r="X36" s="667" t="n"/>
      <c r="Y36" s="667" t="n"/>
      <c r="Z36" s="667" t="n"/>
      <c r="AA36" s="667" t="n"/>
      <c r="AB36" s="667" t="n"/>
      <c r="AC36" s="668" t="n"/>
      <c r="AD36" s="668" t="n"/>
      <c r="AE36" s="668" t="n"/>
      <c r="AF36" s="668" t="n"/>
      <c r="AG36" s="668" t="n"/>
      <c r="AH36" s="668" t="n"/>
      <c r="AI36" s="668" t="n"/>
      <c r="AJ36" s="668" t="n"/>
      <c r="AK36" s="668" t="n"/>
      <c r="AL36" s="668" t="n"/>
      <c r="AM36" s="668" t="n"/>
      <c r="AN36" s="668" t="n"/>
      <c r="AO36" s="668" t="n"/>
      <c r="AP36" s="668" t="n"/>
      <c r="AQ36" s="668" t="n"/>
      <c r="AR36" s="668" t="n"/>
      <c r="AS36" s="668" t="n"/>
      <c r="AT36" s="668" t="n"/>
      <c r="AU36" s="668" t="n"/>
      <c r="AV36" s="668" t="n"/>
      <c r="AW36" s="668" t="n"/>
      <c r="AX36" s="668" t="n"/>
      <c r="AY36" s="964" t="n"/>
      <c r="AZ36" s="965" t="n">
        <v>216</v>
      </c>
      <c r="BA36" s="668" t="n"/>
      <c r="BB36" s="668" t="n"/>
      <c r="BC36" s="668" t="n"/>
      <c r="BD36" s="668" t="n"/>
      <c r="BE36" s="669" t="n"/>
      <c r="BF36" s="669" t="n"/>
      <c r="BG36" s="670">
        <f>SUM(D36:BF36)</f>
        <v/>
      </c>
    </row>
    <row r="37" ht="15" customHeight="1" s="754">
      <c r="A37" s="663" t="inlineStr">
        <is>
          <t>P00000CH</t>
        </is>
      </c>
      <c r="B37" s="664" t="inlineStr">
        <is>
          <t>-</t>
        </is>
      </c>
      <c r="C37" s="665" t="inlineStr">
        <is>
          <t>로즈퓨어하드</t>
        </is>
      </c>
      <c r="D37" s="666" t="n">
        <v>11</v>
      </c>
      <c r="E37" s="666" t="n"/>
      <c r="F37" s="666" t="n"/>
      <c r="G37" s="666" t="n"/>
      <c r="H37" s="666" t="n"/>
      <c r="I37" s="666" t="n"/>
      <c r="J37" s="666" t="n"/>
      <c r="K37" s="666" t="n"/>
      <c r="L37" s="666" t="n"/>
      <c r="M37" s="666" t="n"/>
      <c r="N37" s="666" t="n"/>
      <c r="O37" s="666" t="n"/>
      <c r="P37" s="666" t="n"/>
      <c r="Q37" s="666" t="n">
        <v>100</v>
      </c>
      <c r="R37" s="666" t="n"/>
      <c r="S37" s="666" t="n"/>
      <c r="T37" s="666" t="n"/>
      <c r="U37" s="666" t="n"/>
      <c r="V37" s="667" t="n"/>
      <c r="W37" s="667" t="n"/>
      <c r="X37" s="667" t="n"/>
      <c r="Y37" s="667" t="n"/>
      <c r="Z37" s="667" t="n"/>
      <c r="AA37" s="667" t="n"/>
      <c r="AB37" s="667" t="n"/>
      <c r="AC37" s="668" t="n"/>
      <c r="AD37" s="668" t="n"/>
      <c r="AE37" s="668" t="n"/>
      <c r="AF37" s="668" t="n"/>
      <c r="AG37" s="668" t="n"/>
      <c r="AH37" s="668" t="n"/>
      <c r="AI37" s="668" t="n"/>
      <c r="AJ37" s="668" t="n"/>
      <c r="AK37" s="668" t="n"/>
      <c r="AL37" s="668" t="n"/>
      <c r="AM37" s="668" t="n"/>
      <c r="AN37" s="668" t="n"/>
      <c r="AO37" s="668" t="n"/>
      <c r="AP37" s="668" t="n"/>
      <c r="AQ37" s="668" t="n"/>
      <c r="AR37" s="668" t="n"/>
      <c r="AS37" s="668" t="n"/>
      <c r="AT37" s="668" t="n"/>
      <c r="AU37" s="668" t="n"/>
      <c r="AV37" s="964" t="n"/>
      <c r="AW37" s="668" t="n"/>
      <c r="AX37" s="964" t="n"/>
      <c r="AY37" s="668" t="n"/>
      <c r="AZ37" s="668" t="n"/>
      <c r="BA37" s="668" t="n"/>
      <c r="BB37" s="668" t="n"/>
      <c r="BC37" s="965" t="n">
        <v>268</v>
      </c>
      <c r="BD37" s="668" t="n"/>
      <c r="BE37" s="669" t="n"/>
      <c r="BF37" s="669" t="n"/>
      <c r="BG37" s="670">
        <f>SUM(D37:BF37)</f>
        <v/>
      </c>
    </row>
    <row r="38" ht="15" customHeight="1" s="754">
      <c r="A38" s="663" t="inlineStr">
        <is>
          <t>P00000CG</t>
        </is>
      </c>
      <c r="B38" s="664" t="inlineStr">
        <is>
          <t>-</t>
        </is>
      </c>
      <c r="C38" s="665" t="inlineStr">
        <is>
          <t>맨니피코하드</t>
        </is>
      </c>
      <c r="D38" s="666" t="n">
        <v>27</v>
      </c>
      <c r="E38" s="666" t="n"/>
      <c r="F38" s="666" t="n"/>
      <c r="G38" s="666" t="n"/>
      <c r="H38" s="666" t="n"/>
      <c r="I38" s="666" t="n"/>
      <c r="J38" s="666" t="n"/>
      <c r="K38" s="666" t="n"/>
      <c r="L38" s="666" t="n"/>
      <c r="M38" s="964" t="n"/>
      <c r="N38" s="965" t="n">
        <v>104</v>
      </c>
      <c r="O38" s="666" t="n"/>
      <c r="P38" s="666" t="n"/>
      <c r="Q38" s="666" t="n"/>
      <c r="R38" s="666" t="n"/>
      <c r="S38" s="666" t="n"/>
      <c r="T38" s="666" t="n"/>
      <c r="U38" s="666" t="n"/>
      <c r="V38" s="667" t="n"/>
      <c r="W38" s="667" t="n"/>
      <c r="X38" s="667" t="n"/>
      <c r="Y38" s="667" t="n"/>
      <c r="Z38" s="667" t="n"/>
      <c r="AA38" s="667" t="n"/>
      <c r="AB38" s="667" t="n"/>
      <c r="AC38" s="668" t="n"/>
      <c r="AD38" s="668" t="n"/>
      <c r="AE38" s="668" t="n"/>
      <c r="AF38" s="668" t="n"/>
      <c r="AG38" s="668" t="n"/>
      <c r="AH38" s="668" t="n"/>
      <c r="AI38" s="668" t="n"/>
      <c r="AJ38" s="668" t="n"/>
      <c r="AK38" s="668" t="n"/>
      <c r="AL38" s="668" t="n"/>
      <c r="AM38" s="668" t="n"/>
      <c r="AN38" s="668" t="n"/>
      <c r="AO38" s="668" t="n"/>
      <c r="AP38" s="668" t="n"/>
      <c r="AQ38" s="668" t="n"/>
      <c r="AR38" s="668" t="n"/>
      <c r="AS38" s="668" t="n"/>
      <c r="AT38" s="668" t="n"/>
      <c r="AU38" s="668" t="n"/>
      <c r="AV38" s="668" t="n"/>
      <c r="AW38" s="964" t="n"/>
      <c r="AX38" s="668" t="n"/>
      <c r="AY38" s="668" t="n"/>
      <c r="AZ38" s="668" t="n"/>
      <c r="BA38" s="668" t="n"/>
      <c r="BB38" s="965" t="n">
        <v>419</v>
      </c>
      <c r="BC38" s="668" t="n"/>
      <c r="BD38" s="668" t="n"/>
      <c r="BE38" s="669" t="n"/>
      <c r="BF38" s="669" t="n"/>
      <c r="BG38" s="670">
        <f>SUM(D38:BF38)</f>
        <v/>
      </c>
    </row>
    <row r="39" ht="15" customHeight="1" s="754">
      <c r="A39" s="663" t="inlineStr">
        <is>
          <t>P00000CA</t>
        </is>
      </c>
      <c r="B39" s="664" t="inlineStr">
        <is>
          <t>-</t>
        </is>
      </c>
      <c r="C39" s="665" t="inlineStr">
        <is>
          <t>올리브하드</t>
        </is>
      </c>
      <c r="D39" s="666" t="n"/>
      <c r="E39" s="666" t="n"/>
      <c r="F39" s="666" t="n"/>
      <c r="G39" s="666" t="n"/>
      <c r="H39" s="666" t="n"/>
      <c r="I39" s="666" t="n"/>
      <c r="J39" s="666" t="n"/>
      <c r="K39" s="666" t="n"/>
      <c r="L39" s="666" t="n"/>
      <c r="M39" s="666" t="n"/>
      <c r="N39" s="666" t="n"/>
      <c r="O39" s="666" t="n"/>
      <c r="P39" s="666" t="n"/>
      <c r="Q39" s="666" t="n"/>
      <c r="R39" s="666" t="n"/>
      <c r="S39" s="666" t="n"/>
      <c r="T39" s="666" t="n"/>
      <c r="U39" s="666" t="n"/>
      <c r="V39" s="667" t="n"/>
      <c r="W39" s="667" t="n"/>
      <c r="X39" s="667" t="n"/>
      <c r="Y39" s="667" t="n"/>
      <c r="Z39" s="667" t="n"/>
      <c r="AA39" s="667" t="n"/>
      <c r="AB39" s="667" t="n"/>
      <c r="AC39" s="668" t="n"/>
      <c r="AD39" s="668" t="n"/>
      <c r="AE39" s="668" t="n"/>
      <c r="AF39" s="668" t="n"/>
      <c r="AG39" s="668" t="n"/>
      <c r="AH39" s="668" t="n"/>
      <c r="AI39" s="668" t="n"/>
      <c r="AJ39" s="668" t="n"/>
      <c r="AK39" s="668" t="n"/>
      <c r="AL39" s="668" t="n"/>
      <c r="AM39" s="668" t="n"/>
      <c r="AN39" s="668" t="n"/>
      <c r="AO39" s="668" t="n"/>
      <c r="AP39" s="668" t="n"/>
      <c r="AQ39" s="668" t="n"/>
      <c r="AR39" s="668" t="n"/>
      <c r="AS39" s="668" t="n"/>
      <c r="AT39" s="668" t="n"/>
      <c r="AU39" s="668" t="n"/>
      <c r="AV39" s="668" t="n"/>
      <c r="AW39" s="668" t="n"/>
      <c r="AX39" s="668" t="n"/>
      <c r="AY39" s="668" t="n"/>
      <c r="AZ39" s="668" t="n"/>
      <c r="BA39" s="668" t="n"/>
      <c r="BB39" s="668" t="n"/>
      <c r="BC39" s="668" t="n"/>
      <c r="BD39" s="668" t="n"/>
      <c r="BE39" s="669" t="n"/>
      <c r="BF39" s="669" t="n"/>
      <c r="BG39" s="670">
        <f>SUM(D39:BF39)</f>
        <v/>
      </c>
    </row>
    <row r="40" ht="15" customHeight="1" s="754">
      <c r="A40" s="663" t="inlineStr">
        <is>
          <t>P00000BW</t>
        </is>
      </c>
      <c r="B40" s="664" t="inlineStr">
        <is>
          <t>-</t>
        </is>
      </c>
      <c r="C40" s="665" t="inlineStr">
        <is>
          <t>라이코플렉스바닐라하드</t>
        </is>
      </c>
      <c r="D40" s="666" t="n">
        <v>7</v>
      </c>
      <c r="E40" s="666" t="n"/>
      <c r="F40" s="666" t="n"/>
      <c r="G40" s="666" t="n"/>
      <c r="H40" s="666" t="n"/>
      <c r="I40" s="666" t="n"/>
      <c r="J40" s="666" t="n"/>
      <c r="K40" s="666" t="n"/>
      <c r="L40" s="666" t="n"/>
      <c r="M40" s="666" t="n"/>
      <c r="N40" s="666" t="n"/>
      <c r="O40" s="666" t="n">
        <v>9</v>
      </c>
      <c r="P40" s="666" t="n"/>
      <c r="Q40" s="666" t="n"/>
      <c r="R40" s="666" t="n"/>
      <c r="S40" s="666" t="n"/>
      <c r="T40" s="666" t="n"/>
      <c r="U40" s="666" t="n"/>
      <c r="V40" s="667" t="n"/>
      <c r="W40" s="667" t="n"/>
      <c r="X40" s="667" t="n"/>
      <c r="Y40" s="667" t="n"/>
      <c r="Z40" s="667" t="n"/>
      <c r="AA40" s="667" t="n"/>
      <c r="AB40" s="667" t="n"/>
      <c r="AC40" s="668" t="n"/>
      <c r="AD40" s="668" t="n"/>
      <c r="AE40" s="668" t="n"/>
      <c r="AF40" s="668" t="n"/>
      <c r="AG40" s="668" t="n"/>
      <c r="AH40" s="668" t="n"/>
      <c r="AI40" s="668" t="n"/>
      <c r="AJ40" s="668" t="n"/>
      <c r="AK40" s="668" t="n"/>
      <c r="AL40" s="668" t="n"/>
      <c r="AM40" s="668" t="n"/>
      <c r="AN40" s="668" t="n"/>
      <c r="AO40" s="668" t="n"/>
      <c r="AP40" s="668" t="n"/>
      <c r="AQ40" s="668" t="n"/>
      <c r="AR40" s="668" t="n"/>
      <c r="AS40" s="668" t="n"/>
      <c r="AT40" s="668" t="n"/>
      <c r="AU40" s="668" t="n"/>
      <c r="AV40" s="668" t="n"/>
      <c r="AW40" s="668" t="n"/>
      <c r="AX40" s="668" t="n"/>
      <c r="AY40" s="965" t="n">
        <v>43</v>
      </c>
      <c r="AZ40" s="668" t="n"/>
      <c r="BA40" s="668" t="n"/>
      <c r="BB40" s="668" t="n"/>
      <c r="BC40" s="668" t="n"/>
      <c r="BD40" s="964" t="n"/>
      <c r="BE40" s="669" t="n"/>
      <c r="BF40" s="669" t="n"/>
      <c r="BG40" s="670">
        <f>SUM(D40:BF40)</f>
        <v/>
      </c>
    </row>
    <row r="41" ht="15" customHeight="1" s="754">
      <c r="A41" s="663" t="inlineStr">
        <is>
          <t>P00000CI</t>
        </is>
      </c>
      <c r="B41" s="664" t="inlineStr">
        <is>
          <t>-</t>
        </is>
      </c>
      <c r="C41" s="665" t="inlineStr">
        <is>
          <t>소베리딜리셔스하드</t>
        </is>
      </c>
      <c r="D41" s="666" t="n">
        <v>6</v>
      </c>
      <c r="E41" s="666" t="n"/>
      <c r="F41" s="666" t="n"/>
      <c r="G41" s="666" t="n"/>
      <c r="H41" s="666" t="n"/>
      <c r="I41" s="666" t="n"/>
      <c r="J41" s="666" t="n"/>
      <c r="K41" s="666" t="n"/>
      <c r="L41" s="666" t="n"/>
      <c r="M41" s="666" t="n"/>
      <c r="N41" s="666" t="n"/>
      <c r="O41" s="666" t="n"/>
      <c r="P41" s="666" t="n"/>
      <c r="Q41" s="666" t="n"/>
      <c r="R41" s="666" t="n">
        <v>50</v>
      </c>
      <c r="S41" s="666" t="n"/>
      <c r="T41" s="666" t="n"/>
      <c r="U41" s="666" t="n"/>
      <c r="V41" s="667" t="n"/>
      <c r="W41" s="667" t="n"/>
      <c r="X41" s="667" t="n"/>
      <c r="Y41" s="667" t="n"/>
      <c r="Z41" s="667" t="n"/>
      <c r="AA41" s="667" t="n"/>
      <c r="AB41" s="667" t="n"/>
      <c r="AC41" s="668" t="n"/>
      <c r="AD41" s="668" t="n"/>
      <c r="AE41" s="668" t="n"/>
      <c r="AF41" s="668" t="n"/>
      <c r="AG41" s="668" t="n"/>
      <c r="AH41" s="668" t="n"/>
      <c r="AI41" s="668" t="n"/>
      <c r="AJ41" s="668" t="n"/>
      <c r="AK41" s="668" t="n"/>
      <c r="AL41" s="668" t="n"/>
      <c r="AM41" s="668" t="n"/>
      <c r="AN41" s="668" t="n"/>
      <c r="AO41" s="668" t="n"/>
      <c r="AP41" s="668" t="n"/>
      <c r="AQ41" s="668" t="n"/>
      <c r="AR41" s="668" t="n"/>
      <c r="AS41" s="668" t="n"/>
      <c r="AT41" s="668" t="n"/>
      <c r="AU41" s="668" t="n"/>
      <c r="AV41" s="668" t="n"/>
      <c r="AW41" s="668" t="n"/>
      <c r="AX41" s="668" t="n"/>
      <c r="AY41" s="668" t="n"/>
      <c r="AZ41" s="668" t="n"/>
      <c r="BA41" s="668" t="n">
        <v>135</v>
      </c>
      <c r="BB41" s="668" t="n"/>
      <c r="BC41" s="668" t="n"/>
      <c r="BD41" s="668" t="n"/>
      <c r="BE41" s="669" t="n"/>
      <c r="BF41" s="669" t="n"/>
      <c r="BG41" s="670">
        <f>SUM(D41:BF41)</f>
        <v/>
      </c>
    </row>
    <row r="42" ht="15" customHeight="1" s="754">
      <c r="A42" s="663" t="inlineStr">
        <is>
          <t>P00000CE</t>
        </is>
      </c>
      <c r="B42" s="664" t="inlineStr">
        <is>
          <t>-</t>
        </is>
      </c>
      <c r="C42" s="665" t="inlineStr">
        <is>
          <t>아쥴렌하드</t>
        </is>
      </c>
      <c r="D42" s="666" t="n">
        <v>5</v>
      </c>
      <c r="E42" s="666" t="n"/>
      <c r="F42" s="666" t="n"/>
      <c r="G42" s="666" t="n"/>
      <c r="H42" s="666" t="n"/>
      <c r="I42" s="666" t="n"/>
      <c r="J42" s="666" t="n"/>
      <c r="K42" s="666" t="n">
        <v>11</v>
      </c>
      <c r="L42" s="666" t="n"/>
      <c r="M42" s="666" t="n"/>
      <c r="N42" s="666" t="n"/>
      <c r="O42" s="666" t="n"/>
      <c r="P42" s="666" t="n"/>
      <c r="Q42" s="666" t="n"/>
      <c r="R42" s="666" t="n"/>
      <c r="S42" s="666" t="n"/>
      <c r="T42" s="666" t="n"/>
      <c r="U42" s="666" t="n"/>
      <c r="V42" s="667" t="n"/>
      <c r="W42" s="667" t="n"/>
      <c r="X42" s="667" t="n"/>
      <c r="Y42" s="667" t="n"/>
      <c r="Z42" s="667" t="n"/>
      <c r="AA42" s="667" t="n"/>
      <c r="AB42" s="667" t="n"/>
      <c r="AC42" s="668" t="n"/>
      <c r="AD42" s="668" t="n"/>
      <c r="AE42" s="668" t="n"/>
      <c r="AF42" s="668" t="n"/>
      <c r="AG42" s="668" t="n"/>
      <c r="AH42" s="668" t="n"/>
      <c r="AI42" s="668" t="n"/>
      <c r="AJ42" s="668" t="n"/>
      <c r="AK42" s="668" t="n"/>
      <c r="AL42" s="668" t="n"/>
      <c r="AM42" s="668" t="n"/>
      <c r="AN42" s="668" t="n"/>
      <c r="AO42" s="668" t="n"/>
      <c r="AP42" s="668" t="n"/>
      <c r="AQ42" s="668" t="n"/>
      <c r="AR42" s="668" t="n"/>
      <c r="AS42" s="668" t="n"/>
      <c r="AT42" s="668" t="n"/>
      <c r="AU42" s="668" t="n"/>
      <c r="AV42" s="965" t="n">
        <v>46</v>
      </c>
      <c r="AW42" s="668" t="n"/>
      <c r="AX42" s="668" t="n"/>
      <c r="AY42" s="668" t="n"/>
      <c r="AZ42" s="964" t="n"/>
      <c r="BA42" s="668" t="n"/>
      <c r="BB42" s="668" t="n"/>
      <c r="BC42" s="668" t="n"/>
      <c r="BD42" s="668" t="n"/>
      <c r="BE42" s="669" t="n"/>
      <c r="BF42" s="669" t="n"/>
      <c r="BG42" s="670">
        <f>SUM(D42:BF42)</f>
        <v/>
      </c>
    </row>
    <row r="43" ht="15" customHeight="1" s="754">
      <c r="A43" s="663" t="inlineStr">
        <is>
          <t>P00000KH</t>
        </is>
      </c>
      <c r="B43" s="664" t="inlineStr">
        <is>
          <t>-</t>
        </is>
      </c>
      <c r="C43" s="665" t="inlineStr">
        <is>
          <t>액티브골드</t>
        </is>
      </c>
      <c r="D43" s="666" t="n"/>
      <c r="E43" s="666" t="n"/>
      <c r="F43" s="666" t="n"/>
      <c r="G43" s="666" t="n"/>
      <c r="H43" s="666" t="n"/>
      <c r="I43" s="666" t="n"/>
      <c r="J43" s="666" t="n"/>
      <c r="K43" s="666" t="n"/>
      <c r="L43" s="666" t="n"/>
      <c r="M43" s="666" t="n"/>
      <c r="N43" s="666" t="n"/>
      <c r="O43" s="666" t="n"/>
      <c r="P43" s="666" t="n"/>
      <c r="Q43" s="666" t="n"/>
      <c r="R43" s="666" t="n"/>
      <c r="S43" s="666" t="n"/>
      <c r="T43" s="666" t="n"/>
      <c r="U43" s="666" t="n"/>
      <c r="V43" s="667" t="n"/>
      <c r="W43" s="667" t="n"/>
      <c r="X43" s="667" t="n"/>
      <c r="Y43" s="667" t="n"/>
      <c r="Z43" s="667" t="n"/>
      <c r="AA43" s="667" t="n"/>
      <c r="AB43" s="667" t="n"/>
      <c r="AC43" s="668" t="n"/>
      <c r="AD43" s="668" t="n"/>
      <c r="AE43" s="668" t="n"/>
      <c r="AF43" s="668" t="n"/>
      <c r="AG43" s="668" t="n"/>
      <c r="AH43" s="668" t="n"/>
      <c r="AI43" s="668" t="n"/>
      <c r="AJ43" s="668" t="n"/>
      <c r="AK43" s="668" t="n"/>
      <c r="AL43" s="668" t="n"/>
      <c r="AM43" s="668" t="n"/>
      <c r="AN43" s="668" t="n"/>
      <c r="AO43" s="668" t="n"/>
      <c r="AP43" s="668" t="n"/>
      <c r="AQ43" s="668" t="n"/>
      <c r="AR43" s="668" t="n"/>
      <c r="AS43" s="668" t="n"/>
      <c r="AT43" s="668" t="n"/>
      <c r="AU43" s="668" t="n"/>
      <c r="AV43" s="668" t="n"/>
      <c r="AW43" s="668" t="n"/>
      <c r="AX43" s="668" t="n"/>
      <c r="AY43" s="668" t="n"/>
      <c r="AZ43" s="668" t="n"/>
      <c r="BA43" s="668" t="n"/>
      <c r="BB43" s="668" t="n"/>
      <c r="BC43" s="668" t="n"/>
      <c r="BD43" s="668" t="n"/>
      <c r="BE43" s="669" t="n"/>
      <c r="BF43" s="669" t="n"/>
      <c r="BG43" s="670">
        <f>SUM(D43:BF43)</f>
        <v/>
      </c>
    </row>
    <row r="44" ht="15" customHeight="1" s="754">
      <c r="A44" s="663" t="inlineStr">
        <is>
          <t>P00000CD</t>
        </is>
      </c>
      <c r="B44" s="664" t="inlineStr">
        <is>
          <t>-</t>
        </is>
      </c>
      <c r="C44" s="665" t="inlineStr">
        <is>
          <t>알로에베라하드</t>
        </is>
      </c>
      <c r="D44" s="666" t="n">
        <v>11</v>
      </c>
      <c r="E44" s="666" t="n"/>
      <c r="F44" s="666" t="n"/>
      <c r="G44" s="666" t="n"/>
      <c r="H44" s="666" t="n"/>
      <c r="I44" s="666" t="n"/>
      <c r="J44" s="666" t="n"/>
      <c r="K44" s="666" t="n"/>
      <c r="L44" s="666" t="n"/>
      <c r="M44" s="666" t="n"/>
      <c r="N44" s="666" t="n"/>
      <c r="O44" s="666" t="n"/>
      <c r="P44" s="666" t="n">
        <v>18</v>
      </c>
      <c r="Q44" s="666" t="n"/>
      <c r="R44" s="666" t="n"/>
      <c r="S44" s="666" t="n"/>
      <c r="T44" s="666" t="n"/>
      <c r="U44" s="666" t="n"/>
      <c r="V44" s="667" t="n"/>
      <c r="W44" s="667" t="n"/>
      <c r="X44" s="667" t="n"/>
      <c r="Y44" s="667" t="n"/>
      <c r="Z44" s="667" t="n"/>
      <c r="AA44" s="667" t="n"/>
      <c r="AB44" s="667" t="n"/>
      <c r="AC44" s="668" t="n"/>
      <c r="AD44" s="668" t="n"/>
      <c r="AE44" s="668" t="n"/>
      <c r="AF44" s="668" t="n"/>
      <c r="AG44" s="668" t="n"/>
      <c r="AH44" s="668" t="n"/>
      <c r="AI44" s="668" t="n"/>
      <c r="AJ44" s="668" t="n"/>
      <c r="AK44" s="668" t="n"/>
      <c r="AL44" s="668" t="n"/>
      <c r="AM44" s="668" t="n"/>
      <c r="AN44" s="668" t="n"/>
      <c r="AO44" s="668" t="n"/>
      <c r="AP44" s="668" t="n"/>
      <c r="AQ44" s="668" t="n"/>
      <c r="AR44" s="668" t="n"/>
      <c r="AS44" s="668" t="n"/>
      <c r="AT44" s="668" t="n">
        <v>217</v>
      </c>
      <c r="AU44" s="668" t="n"/>
      <c r="AV44" s="668" t="n"/>
      <c r="AW44" s="668" t="n"/>
      <c r="AX44" s="668" t="n"/>
      <c r="AY44" s="668" t="n"/>
      <c r="AZ44" s="668" t="n"/>
      <c r="BA44" s="668" t="n"/>
      <c r="BB44" s="668" t="n"/>
      <c r="BC44" s="668" t="n"/>
      <c r="BD44" s="668" t="n"/>
      <c r="BE44" s="669" t="n"/>
      <c r="BF44" s="669" t="n"/>
      <c r="BG44" s="670">
        <f>SUM(D44:BF44)</f>
        <v/>
      </c>
    </row>
    <row r="45" ht="15" customHeight="1" s="754">
      <c r="A45" s="663" t="inlineStr">
        <is>
          <t>P00000CF</t>
        </is>
      </c>
      <c r="B45" s="664" t="inlineStr">
        <is>
          <t>-</t>
        </is>
      </c>
      <c r="C45" s="665" t="inlineStr">
        <is>
          <t>아프리콧하드</t>
        </is>
      </c>
      <c r="D45" s="666" t="n">
        <v>1</v>
      </c>
      <c r="E45" s="666" t="n"/>
      <c r="F45" s="666" t="n"/>
      <c r="G45" s="666" t="n"/>
      <c r="H45" s="666" t="n"/>
      <c r="I45" s="666" t="n"/>
      <c r="J45" s="666" t="n"/>
      <c r="K45" s="666" t="n"/>
      <c r="L45" s="666" t="n"/>
      <c r="M45" s="666" t="n"/>
      <c r="N45" s="666" t="n"/>
      <c r="O45" s="666" t="n"/>
      <c r="P45" s="666" t="n"/>
      <c r="Q45" s="666" t="n"/>
      <c r="R45" s="666" t="n"/>
      <c r="S45" s="666" t="n"/>
      <c r="T45" s="666" t="n"/>
      <c r="U45" s="666" t="n"/>
      <c r="V45" s="667" t="n"/>
      <c r="W45" s="667" t="n"/>
      <c r="X45" s="667" t="n"/>
      <c r="Y45" s="667" t="n"/>
      <c r="Z45" s="667" t="n"/>
      <c r="AA45" s="667" t="n"/>
      <c r="AB45" s="667" t="n"/>
      <c r="AC45" s="668" t="n"/>
      <c r="AD45" s="668" t="n"/>
      <c r="AE45" s="668" t="n"/>
      <c r="AF45" s="668" t="n"/>
      <c r="AG45" s="668" t="n"/>
      <c r="AH45" s="668" t="n"/>
      <c r="AI45" s="668" t="n"/>
      <c r="AJ45" s="668" t="n"/>
      <c r="AK45" s="668" t="n"/>
      <c r="AL45" s="668" t="n"/>
      <c r="AM45" s="668" t="n"/>
      <c r="AN45" s="668" t="n"/>
      <c r="AO45" s="668" t="n"/>
      <c r="AP45" s="668" t="n"/>
      <c r="AQ45" s="668" t="n"/>
      <c r="AR45" s="668" t="n"/>
      <c r="AS45" s="668" t="n"/>
      <c r="AT45" s="668" t="n"/>
      <c r="AU45" s="668" t="n"/>
      <c r="AV45" s="668" t="n"/>
      <c r="AW45" s="668" t="n"/>
      <c r="AX45" s="668" t="n"/>
      <c r="AY45" s="668" t="n"/>
      <c r="AZ45" s="668" t="n"/>
      <c r="BA45" s="668" t="n"/>
      <c r="BB45" s="668" t="n"/>
      <c r="BC45" s="668" t="n"/>
      <c r="BD45" s="668" t="n"/>
      <c r="BE45" s="669" t="n"/>
      <c r="BF45" s="669" t="n"/>
      <c r="BG45" s="670">
        <f>SUM(D45:BF45)</f>
        <v/>
      </c>
    </row>
    <row r="46" ht="15" customHeight="1" s="754">
      <c r="A46" s="439" t="inlineStr">
        <is>
          <t>1kg총합계</t>
        </is>
      </c>
      <c r="B46" s="671" t="n"/>
      <c r="C46" s="672" t="n"/>
      <c r="D46" s="676">
        <f>SUM(D33:D45)</f>
        <v/>
      </c>
      <c r="E46" s="676">
        <f>SUM(E33:E45)</f>
        <v/>
      </c>
      <c r="F46" s="676">
        <f>SUM(F33:F45)</f>
        <v/>
      </c>
      <c r="G46" s="676">
        <f>SUM(G33:G45)</f>
        <v/>
      </c>
      <c r="H46" s="676">
        <f>SUM(H33:H45)</f>
        <v/>
      </c>
      <c r="I46" s="676">
        <f>SUM(I33:I45)</f>
        <v/>
      </c>
      <c r="J46" s="676">
        <f>SUM(J33:J45)</f>
        <v/>
      </c>
      <c r="K46" s="676">
        <f>SUM(K33:K45)</f>
        <v/>
      </c>
      <c r="L46" s="676">
        <f>SUM(L33:L45)</f>
        <v/>
      </c>
      <c r="M46" s="676">
        <f>SUM(M33:M45)</f>
        <v/>
      </c>
      <c r="N46" s="676">
        <f>SUM(N33:N45)</f>
        <v/>
      </c>
      <c r="O46" s="676">
        <f>SUM(O33:O45)</f>
        <v/>
      </c>
      <c r="P46" s="676">
        <f>SUM(P33:P45)</f>
        <v/>
      </c>
      <c r="Q46" s="676">
        <f>SUM(Q33:Q45)</f>
        <v/>
      </c>
      <c r="R46" s="676">
        <f>SUM(R33:R45)</f>
        <v/>
      </c>
      <c r="S46" s="676">
        <f>SUM(S33:S45)</f>
        <v/>
      </c>
      <c r="T46" s="676">
        <f>SUM(T33:T45)</f>
        <v/>
      </c>
      <c r="U46" s="676">
        <f>SUM(U33:U45)</f>
        <v/>
      </c>
      <c r="V46" s="676">
        <f>SUM(V33:V45)</f>
        <v/>
      </c>
      <c r="W46" s="676">
        <f>SUM(W33:W45)</f>
        <v/>
      </c>
      <c r="X46" s="676">
        <f>SUM(X33:X45)</f>
        <v/>
      </c>
      <c r="Y46" s="676">
        <f>SUM(Y33:Y45)</f>
        <v/>
      </c>
      <c r="Z46" s="676">
        <f>SUM(Z33:Z45)</f>
        <v/>
      </c>
      <c r="AA46" s="676">
        <f>SUM(AA33:AA45)</f>
        <v/>
      </c>
      <c r="AB46" s="676">
        <f>SUM(AB33:AB45)</f>
        <v/>
      </c>
      <c r="AC46" s="676">
        <f>SUM(AC33:AC45)</f>
        <v/>
      </c>
      <c r="AD46" s="676">
        <f>SUM(AD33:AD45)</f>
        <v/>
      </c>
      <c r="AE46" s="676">
        <f>SUM(AE33:AE45)</f>
        <v/>
      </c>
      <c r="AF46" s="676">
        <f>SUM(AF33:AF45)</f>
        <v/>
      </c>
      <c r="AG46" s="676">
        <f>SUM(AG33:AG45)</f>
        <v/>
      </c>
      <c r="AH46" s="676">
        <f>SUM(AH33:AH45)</f>
        <v/>
      </c>
      <c r="AI46" s="676">
        <f>SUM(AI33:AI45)</f>
        <v/>
      </c>
      <c r="AJ46" s="676">
        <f>SUM(AJ33:AJ45)</f>
        <v/>
      </c>
      <c r="AK46" s="676">
        <f>SUM(AK33:AK45)</f>
        <v/>
      </c>
      <c r="AL46" s="676">
        <f>SUM(AL33:AL45)</f>
        <v/>
      </c>
      <c r="AM46" s="676">
        <f>SUM(AM33:AM45)</f>
        <v/>
      </c>
      <c r="AN46" s="676">
        <f>SUM(AN33:AN45)</f>
        <v/>
      </c>
      <c r="AO46" s="676">
        <f>SUM(AO33:AO45)</f>
        <v/>
      </c>
      <c r="AP46" s="676">
        <f>SUM(AP33:AP45)</f>
        <v/>
      </c>
      <c r="AQ46" s="676">
        <f>SUM(AQ33:AQ45)</f>
        <v/>
      </c>
      <c r="AR46" s="676">
        <f>SUM(AR33:AR45)</f>
        <v/>
      </c>
      <c r="AS46" s="676">
        <f>SUM(AS33:AS45)</f>
        <v/>
      </c>
      <c r="AT46" s="676">
        <f>SUM(AT33:AT45)</f>
        <v/>
      </c>
      <c r="AU46" s="676">
        <f>SUM(AU33:AU45)</f>
        <v/>
      </c>
      <c r="AV46" s="676">
        <f>SUM(AV33:AV45)</f>
        <v/>
      </c>
      <c r="AW46" s="676">
        <f>SUM(AW33:AW45)</f>
        <v/>
      </c>
      <c r="AX46" s="676">
        <f>SUM(AX33:AX45)</f>
        <v/>
      </c>
      <c r="AY46" s="676">
        <f>SUM(AY33:AY45)</f>
        <v/>
      </c>
      <c r="AZ46" s="676">
        <f>SUM(AZ33:AZ45)</f>
        <v/>
      </c>
      <c r="BA46" s="676">
        <f>SUM(BA33:BA45)</f>
        <v/>
      </c>
      <c r="BB46" s="676">
        <f>SUM(BB33:BB45)</f>
        <v/>
      </c>
      <c r="BC46" s="676">
        <f>SUM(BC33:BC45)</f>
        <v/>
      </c>
      <c r="BD46" s="676">
        <f>SUM(BD33:BD45)</f>
        <v/>
      </c>
      <c r="BE46" s="676">
        <f>SUM(BE33:BE45)</f>
        <v/>
      </c>
      <c r="BF46" s="676">
        <f>SUM(BF33:BF45)</f>
        <v/>
      </c>
      <c r="BG46" s="676">
        <f>SUM(BG33:BG45)</f>
        <v/>
      </c>
    </row>
  </sheetData>
  <mergeCells count="19">
    <mergeCell ref="AS6:BD6"/>
    <mergeCell ref="AD7:AJ7"/>
    <mergeCell ref="AK6:AN6"/>
    <mergeCell ref="AO6:AR6"/>
    <mergeCell ref="E4:AC5"/>
    <mergeCell ref="AS7:BD7"/>
    <mergeCell ref="AK7:AN7"/>
    <mergeCell ref="AO7:AR7"/>
    <mergeCell ref="D6:D8"/>
    <mergeCell ref="A15:A21"/>
    <mergeCell ref="W6:AC6"/>
    <mergeCell ref="E6:I6"/>
    <mergeCell ref="A29:A32"/>
    <mergeCell ref="J6:V6"/>
    <mergeCell ref="A22:A25"/>
    <mergeCell ref="AD6:AJ6"/>
    <mergeCell ref="E7:I7"/>
    <mergeCell ref="W7:AC7"/>
    <mergeCell ref="J7:V7"/>
  </mergeCells>
  <pageMargins left="0.7" right="0.7" top="0.75" bottom="0.75" header="0.511805555555555" footer="0.511805555555555"/>
  <pageSetup orientation="portrait" paperSize="9" firstPageNumber="0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ko-KR</dc:language>
  <dcterms:created xmlns:dcterms="http://purl.org/dc/terms/" xmlns:xsi="http://www.w3.org/2001/XMLSchema-instance" xsi:type="dcterms:W3CDTF">2019-08-11T10:53:43Z</dcterms:created>
  <dcterms:modified xmlns:dcterms="http://purl.org/dc/terms/" xmlns:xsi="http://www.w3.org/2001/XMLSchema-instance" xsi:type="dcterms:W3CDTF">2026-05-22T20:23:54Z</dcterms:modified>
  <cp:lastModifiedBy>rossi</cp:lastModifiedBy>
  <cp:revision>2</cp:revision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15.0300</vt:lpwstr>
  </property>
  <property name="DocSecurity" fmtid="{D5CDD505-2E9C-101B-9397-08002B2CF9AE}" pid="3">
    <vt:i4 xmlns:vt="http://schemas.openxmlformats.org/officeDocument/2006/docPropsVTypes">0</vt:i4>
  </property>
  <property name="HyperlinksChanged" fmtid="{D5CDD505-2E9C-101B-9397-08002B2CF9AE}" pid="4">
    <vt:bool xmlns:vt="http://schemas.openxmlformats.org/officeDocument/2006/docPropsVTypes">0</vt:bool>
  </property>
  <property name="LinksUpToDate" fmtid="{D5CDD505-2E9C-101B-9397-08002B2CF9AE}" pid="5">
    <vt:bool xmlns:vt="http://schemas.openxmlformats.org/officeDocument/2006/docPropsVTypes">0</vt:bool>
  </property>
  <property name="ScaleCrop" fmtid="{D5CDD505-2E9C-101B-9397-08002B2CF9AE}" pid="6">
    <vt:bool xmlns:vt="http://schemas.openxmlformats.org/officeDocument/2006/docPropsVTypes">0</vt:bool>
  </property>
  <property name="ShareDoc" fmtid="{D5CDD505-2E9C-101B-9397-08002B2CF9AE}" pid="7">
    <vt:bool xmlns:vt="http://schemas.openxmlformats.org/officeDocument/2006/docPropsVTypes">0</vt:bool>
  </property>
</Properties>
</file>