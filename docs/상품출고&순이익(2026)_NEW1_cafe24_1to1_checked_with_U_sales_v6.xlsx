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F13D0676-24BF-48A3-AF8D-56AD395ABB51}" xr6:coauthVersionLast="47" xr6:coauthVersionMax="47" xr10:uidLastSave="{00000000-0000-0000-0000-000000000000}"/>
  <bookViews>
    <workbookView xWindow="-120" yWindow="-120" windowWidth="29040" windowHeight="15720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6" r:id="rId5"/>
    <sheet name="세트할인품목" sheetId="7" r:id="rId6"/>
    <sheet name="세트할인 구조설계" sheetId="8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3" i="8" l="1"/>
  <c r="Q28" i="8"/>
  <c r="Q29" i="8"/>
  <c r="Q30" i="8"/>
  <c r="Q27" i="8"/>
  <c r="D47" i="6" l="1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<sst xmlns="http://schemas.openxmlformats.org/spreadsheetml/2006/main" count="4600" uniqueCount="1160">
  <si>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</si>
  <si>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</si>
  <si>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</si>
  <si>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</si>
  <si>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</si>
  <si>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</si>
  <si>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</si>
  <si>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</si>
  <si>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</si>
  <si>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</si>
  <si>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</si>
  <si>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</si>
  <si>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</si>
  <si>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</si>
  <si>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</si>
  <si>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</si>
  <si>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</si>
  <si>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</si>
  <si>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</si>
  <si>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</si>
  <si>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</si>
  <si>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</si>
  <si>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</si>
  <si>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</si>
  <si>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</si>
  <si>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</si>
  <si>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</si>
  <si>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</si>
  <si>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</si>
  <si>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</si>
  <si>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</si>
  <si>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</si>
  <si>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</si>
  <si>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</si>
  <si>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</si>
  <si>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</si>
  <si>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</si>
  <si>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</si>
  <si>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</si>
  <si>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</si>
  <si>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</si>
  <si>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</si>
  <si>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</si>
  <si>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</si>
  <si>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</si>
  <si>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</si>
  <si>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</si>
  <si>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</si>
  <si>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</si>
  <si>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</si>
  <si>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</si>
  <si>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</si>
  <si>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</si>
  <si>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</si>
  <si>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</si>
  <si>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</si>
  <si>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</si>
  <si>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</si>
  <si>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</si>
  <si>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</si>
  <si>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</si>
  <si>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</si>
  <si>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</si>
  <si>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</si>
  <si>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</si>
  <si>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</si>
  <si>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</si>
  <si>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</si>
  <si>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</si>
  <si>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</si>
  <si>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</si>
  <si>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</si>
  <si>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</si>
  <si>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</si>
  <si>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</si>
  <si>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</si>
  <si>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</si>
  <si>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</si>
  <si>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</si>
  <si>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</si>
  <si>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</si>
  <si>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</si>
  <si>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</si>
  <si>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</si>
  <si>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</si>
  <si>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</si>
  <si>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</si>
  <si>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</si>
  <si>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</si>
  <si>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</si>
  <si>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</si>
  <si>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</si>
  <si>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</si>
  <si>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</si>
  <si>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</si>
  <si>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</si>
  <si>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</si>
  <si>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</si>
  <si>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</si>
  <si>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</si>
  <si>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</si>
  <si>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</si>
  <si>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</si>
  <si>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</si>
  <si>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</si>
  <si>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</si>
  <si>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</si>
  <si>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</si>
  <si>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</si>
  <si>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</si>
  <si>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</si>
  <si>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</si>
  <si>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</si>
  <si>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</si>
  <si>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</si>
  <si>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</si>
  <si>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</si>
  <si>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</si>
  <si>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</si>
  <si>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</si>
  <si>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</si>
  <si>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</si>
  <si>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</si>
  <si>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</si>
  <si>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</si>
  <si>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</si>
  <si>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</si>
  <si>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</si>
  <si>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</si>
  <si>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</si>
  <si>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</si>
  <si>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</si>
  <si>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</si>
  <si>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</si>
  <si>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</si>
  <si>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</si>
  <si>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</si>
  <si>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</si>
  <si>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</si>
  <si>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</si>
  <si>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</si>
  <si>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</si>
  <si>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</si>
  <si>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</si>
  <si>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</si>
  <si>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</si>
  <si>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</si>
  <si>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</si>
  <si>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</si>
  <si>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</si>
  <si>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</si>
  <si>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</si>
  <si>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</si>
  <si>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</si>
  <si>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</si>
  <si>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</si>
  <si>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</si>
  <si>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</si>
  <si>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</si>
  <si>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</si>
  <si>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</si>
  <si>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</si>
  <si>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</si>
  <si>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</si>
  <si>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</si>
  <si>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</si>
  <si>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</si>
  <si>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</si>
  <si>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</si>
  <si>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</si>
  <si>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</si>
  <si>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</si>
  <si>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</si>
  <si>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</si>
  <si>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</si>
  <si>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</si>
  <si>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</si>
  <si>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</si>
  <si>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</si>
  <si>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</si>
  <si>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</si>
  <si>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</si>
  <si>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</si>
  <si>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</si>
  <si>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</si>
  <si>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</si>
  <si>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</si>
  <si>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</si>
  <si>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</si>
  <si>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</si>
  <si>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</si>
  <si>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</si>
  <si>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</si>
  <si>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</si>
  <si>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</si>
  <si>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</si>
  <si>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</si>
  <si>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</si>
  <si>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</si>
  <si>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</si>
  <si>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</si>
  <si>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</si>
  <si>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</si>
  <si>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</si>
  <si>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</si>
  <si>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</si>
  <si>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</si>
  <si>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</si>
  <si>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</si>
  <si>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</si>
  <si>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</si>
  <si>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</si>
  <si>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</si>
  <si>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</si>
  <si>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</si>
  <si>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</si>
  <si>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</si>
  <si>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</si>
  <si>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</si>
  <si>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</si>
  <si>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</si>
  <si>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</si>
  <si>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</si>
  <si>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</si>
  <si>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</si>
  <si>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</si>
  <si>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</si>
  <si>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</si>
  <si>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</si>
  <si>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</si>
  <si>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</si>
  <si>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</si>
  <si>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</si>
  <si>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</si>
  <si>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</si>
  <si>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</si>
  <si>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</si>
  <si>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</si>
  <si>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</si>
  <si>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</si>
  <si>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</si>
  <si>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</si>
  <si>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</si>
  <si>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</si>
  <si>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</si>
  <si>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</si>
  <si>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</si>
  <si>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</si>
  <si>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</si>
  <si>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</si>
  <si>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</si>
  <si>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</si>
  <si>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</si>
  <si>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</si>
  <si>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</si>
  <si>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</si>
  <si>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</si>
  <si>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</si>
  <si>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</si>
  <si>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</si>
  <si>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</si>
  <si>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</si>
  <si>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</si>
  <si>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</si>
  <si>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</si>
  <si>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</si>
  <si>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</si>
  <si>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</si>
  <si>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</si>
  <si>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</si>
  <si>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</si>
  <si>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</si>
  <si>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</si>
  <si>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</si>
  <si>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</si>
  <si>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</si>
  <si>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</si>
  <si>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</si>
  <si>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</si>
  <si>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</si>
  <si>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</si>
  <si>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</si>
  <si>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</si>
  <si>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</si>
  <si>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</si>
  <si>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</si>
  <si>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</si>
  <si>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</si>
  <si>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</si>
  <si>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</si>
  <si>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</si>
  <si>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</si>
  <si>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</si>
  <si>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</si>
  <si>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</si>
  <si>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</si>
  <si>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</si>
  <si>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</si>
  <si>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</si>
  <si>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</si>
  <si>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</si>
  <si>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</si>
  <si>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</si>
  <si>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</si>
  <si>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</si>
  <si>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</si>
  <si>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</si>
  <si>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</si>
  <si>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</si>
  <si>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</si>
  <si>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</si>
  <si>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</si>
  <si>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</si>
  <si>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</si>
  <si>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</si>
  <si>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</si>
  <si>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</si>
  <si>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</si>
  <si>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</si>
  <si>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</si>
  <si>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</si>
  <si>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</si>
  <si>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</si>
  <si>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</si>
  <si>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</si>
  <si>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</si>
  <si>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</si>
  <si>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</si>
  <si>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</si>
  <si>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</si>
  <si>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</si>
  <si>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</si>
  <si>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</si>
  <si>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</si>
  <si>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</si>
  <si>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</si>
  <si>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</si>
  <si>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</si>
  <si>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</si>
  <si>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</si>
  <si>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</si>
  <si>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</si>
  <si>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</si>
  <si>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</si>
  <si>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</si>
  <si>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</si>
  <si>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</si>
  <si>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</si>
  <si>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</si>
  <si>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</si>
  <si>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</si>
  <si>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</si>
  <si>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</si>
  <si>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</si>
  <si>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</si>
  <si>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</si>
  <si>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</si>
  <si>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</si>
  <si>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</si>
  <si>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</si>
  <si>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</si>
  <si>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</si>
  <si>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</si>
  <si>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</si>
  <si>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</si>
  <si>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</si>
  <si>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</si>
  <si>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</si>
  <si>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</si>
  <si>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</si>
  <si>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</si>
  <si>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</si>
  <si>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</si>
  <si>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</si>
  <si>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</si>
  <si>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</si>
  <si>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</si>
  <si>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</si>
  <si>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</si>
  <si>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</si>
  <si>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</si>
  <si>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</si>
  <si>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</si>
  <si>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</si>
  <si>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</si>
  <si>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</si>
  <si>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</si>
  <si>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</si>
  <si>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</si>
  <si>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</si>
  <si>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</si>
  <si>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</si>
  <si>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</si>
  <si>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</si>
  <si>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</si>
  <si>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</si>
  <si>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</si>
  <si>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</si>
  <si>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</si>
  <si>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</si>
  <si>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</si>
  <si>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</si>
  <si>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</si>
  <si>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</si>
  <si>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</si>
  <si>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</si>
  <si>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</si>
  <si>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</si>
  <si>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</si>
  <si>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</si>
  <si>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</si>
  <si>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</si>
  <si>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</si>
  <si>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</si>
  <si>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</si>
  <si>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</si>
  <si>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</si>
  <si>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</si>
  <si>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</si>
  <si>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</si>
  <si>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</si>
  <si>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</si>
  <si>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</si>
  <si>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</si>
  <si>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</si>
  <si>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</si>
  <si>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</si>
  <si>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</si>
  <si>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</si>
  <si>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</si>
  <si>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</si>
  <si>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</si>
  <si>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</si>
  <si>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</si>
  <si>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</si>
  <si>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</si>
  <si>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</si>
  <si>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</si>
  <si>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</si>
  <si>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</si>
  <si>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</si>
  <si>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</si>
  <si>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</si>
  <si>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</si>
  <si>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</si>
  <si>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</si>
  <si>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</si>
  <si>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</si>
  <si>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</si>
  <si>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</si>
  <si>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</si>
  <si>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</si>
  <si>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</si>
  <si>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</si>
  <si>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</si>
  <si>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</si>
  <si>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</si>
  <si>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</si>
  <si>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</si>
  <si>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</si>
  <si>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</si>
  <si>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</si>
  <si>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</si>
  <si>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</si>
  <si>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</si>
  <si>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</si>
  <si>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</si>
  <si>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</si>
  <si>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</si>
  <si>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</si>
  <si>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</si>
  <si>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</si>
  <si>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</si>
  <si>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</si>
  <si>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</si>
  <si>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</si>
  <si>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</si>
  <si>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</si>
  <si>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</si>
  <si>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</si>
  <si>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</si>
  <si>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</si>
  <si>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</si>
  <si>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</si>
  <si>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</si>
  <si>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</si>
  <si>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</si>
  <si>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</si>
  <si>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</si>
  <si>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</si>
  <si>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</si>
  <si>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</si>
  <si>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</si>
  <si>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</si>
  <si>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</si>
  <si>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</si>
  <si>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</si>
  <si>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</si>
  <si>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</si>
  <si>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</si>
  <si>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</si>
  <si>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</si>
  <si>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</si>
  <si>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</si>
  <si>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</si>
  <si>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</si>
  <si>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</si>
  <si>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</si>
  <si>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</si>
  <si>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</si>
  <si>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</si>
  <si>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</si>
  <si>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</si>
  <si>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</si>
  <si>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</si>
  <si>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</si>
  <si>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</si>
  <si>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</si>
  <si>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</si>
  <si>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</si>
  <si>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</si>
  <si>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</si>
  <si>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</si>
  <si>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</si>
  <si>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</si>
  <si>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</si>
  <si>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</si>
  <si>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</si>
  <si>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</si>
  <si>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</si>
  <si>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</si>
  <si>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</si>
  <si>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</si>
  <si>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</si>
  <si>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</si>
  <si>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</si>
  <si>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</si>
  <si>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</si>
  <si>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</si>
  <si>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</si>
  <si>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</si>
  <si>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</si>
  <si>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</si>
  <si>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</si>
  <si>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</si>
  <si>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</si>
  <si>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</si>
  <si>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</si>
  <si>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</si>
  <si>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</si>
  <si>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</si>
  <si>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</si>
  <si>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</si>
  <si>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</si>
  <si>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</si>
  <si>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</si>
  <si>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</si>
  <si>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</si>
  <si>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</si>
  <si>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</si>
  <si>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</si>
  <si>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</si>
  <si>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</si>
  <si>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</si>
  <si>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</si>
  <si>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</si>
  <si>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</si>
  <si>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</si>
  <si>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</si>
  <si>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</si>
  <si>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</si>
  <si>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</si>
  <si>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</si>
  <si>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</si>
  <si>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</si>
  <si>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</si>
  <si>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</si>
  <si>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</si>
  <si>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</si>
  <si>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</si>
  <si>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</si>
  <si>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</si>
  <si>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</si>
  <si>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</si>
  <si>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</si>
  <si>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</si>
  <si>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</si>
  <si>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</si>
  <si>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</si>
  <si>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</si>
  <si>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</si>
  <si>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</si>
  <si>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</si>
  <si>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</si>
  <si>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</si>
  <si>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</si>
  <si>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</si>
  <si>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</si>
  <si>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</si>
  <si>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</si>
  <si>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</si>
  <si>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</si>
  <si>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</si>
  <si>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</si>
  <si>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</si>
  <si>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</si>
  <si>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</si>
  <si>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</si>
  <si>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</si>
  <si>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</si>
  <si>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</si>
  <si>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</si>
  <si>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</si>
  <si>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</si>
  <si>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</si>
  <si>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</si>
  <si>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</si>
  <si>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</si>
  <si>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</si>
  <si>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</si>
  <si>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</si>
  <si>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</si>
  <si>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</si>
  <si>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</si>
  <si>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</si>
  <si>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</si>
  <si>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</si>
  <si>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</si>
  <si>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</si>
  <si>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</si>
  <si>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</si>
  <si>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</si>
  <si>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</si>
  <si>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</si>
  <si>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</si>
  <si>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</si>
  <si>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</si>
  <si>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</si>
  <si>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</si>
  <si>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</si>
  <si>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</si>
  <si>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</si>
  <si>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</si>
  <si>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</si>
  <si>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</si>
  <si>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</si>
  <si>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</si>
  <si>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</si>
  <si>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</si>
  <si>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</si>
  <si>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</si>
  <si>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</si>
  <si>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</si>
  <si>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</si>
  <si>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</si>
  <si>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</si>
  <si>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</si>
  <si>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</si>
  <si>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</si>
  <si>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</si>
  <si>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</si>
  <si>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</si>
  <si>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</si>
  <si>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</si>
  <si>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</si>
  <si>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</si>
  <si>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</si>
  <si>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</si>
  <si>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</si>
  <si>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</si>
  <si>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</si>
  <si>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</si>
  <si>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</si>
  <si>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</si>
  <si>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</si>
  <si>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</si>
  <si>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</si>
  <si>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</si>
  <si>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</si>
  <si>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</si>
  <si>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</si>
  <si>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</si>
  <si>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</si>
  <si>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</si>
  <si>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</si>
  <si>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</si>
  <si>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</si>
  <si>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</si>
  <si>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</si>
  <si>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</si>
  <si>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</si>
  <si>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</si>
  <si>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</si>
  <si>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</si>
  <si>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</si>
  <si>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</si>
  <si>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</si>
  <si>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</si>
  <si>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</si>
  <si>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</si>
  <si>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</si>
  <si>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</si>
  <si>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</si>
  <si>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</si>
  <si>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</si>
  <si>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</si>
  <si>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</si>
  <si>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</si>
  <si>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</si>
  <si>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</si>
  <si>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</si>
  <si>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</si>
  <si>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</si>
  <si>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</si>
  <si>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</si>
  <si>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</si>
  <si>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</si>
  <si>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</si>
  <si>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</si>
  <si>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</si>
  <si>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</si>
  <si>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</si>
  <si>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</si>
  <si>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</si>
  <si>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</si>
  <si>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</si>
  <si>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</si>
  <si>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</si>
  <si>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</si>
  <si>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</si>
  <si>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</si>
  <si>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</si>
  <si>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</si>
  <si>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</si>
  <si>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</si>
  <si>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</si>
  <si>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</si>
  <si>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</si>
  <si>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</si>
  <si>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</si>
  <si>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</si>
  <si>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</si>
  <si>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</si>
  <si>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</si>
  <si>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</si>
  <si>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</si>
  <si>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</si>
  <si>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</si>
  <si>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</si>
  <si>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</si>
  <si>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</si>
  <si>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</si>
  <si>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</si>
  <si>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</si>
  <si>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</si>
  <si>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</si>
  <si>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</si>
  <si>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</si>
  <si>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</si>
  <si>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</si>
  <si>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</si>
  <si>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</si>
  <si>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</si>
  <si>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</si>
  <si>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</si>
  <si>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</si>
  <si>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</si>
  <si>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</si>
  <si>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</si>
  <si>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</si>
  <si>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</si>
  <si>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</si>
  <si>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</si>
  <si>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</si>
  <si>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</si>
  <si>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</si>
  <si>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</si>
  <si>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</si>
  <si>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</si>
  <si>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</si>
  <si>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</si>
  <si>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</si>
  <si>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</si>
  <si>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</si>
  <si>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</si>
  <si>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</si>
  <si>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</si>
  <si>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</si>
  <si>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</si>
  <si>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</si>
  <si>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</si>
  <si>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</si>
  <si>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</si>
  <si>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</si>
  <si>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</si>
  <si>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</si>
  <si>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</si>
  <si>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</si>
  <si>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</si>
  <si>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</si>
  <si>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</si>
  <si>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</si>
  <si>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</si>
  <si>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</si>
  <si>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</si>
  <si>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</si>
  <si>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</si>
  <si>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</si>
  <si>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</si>
  <si>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</si>
  <si>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</si>
  <si>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</si>
  <si>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</si>
  <si>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</si>
  <si>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</si>
  <si>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</si>
  <si>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</si>
  <si>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</si>
  <si>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</si>
  <si>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</si>
  <si>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</si>
  <si>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</si>
  <si>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</si>
  <si>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</si>
  <si>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</si>
  <si>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</si>
  <si>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</si>
  <si>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</si>
  <si>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</si>
  <si>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</si>
  <si>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</si>
  <si>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</si>
  <si>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</si>
  <si>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</si>
  <si>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</si>
  <si>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</si>
  <si>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</si>
  <si>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</si>
  <si>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</si>
  <si>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</si>
  <si>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</si>
  <si>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</si>
  <si>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</si>
  <si>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</si>
  <si>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</si>
  <si>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</si>
  <si>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</si>
  <si>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</si>
  <si>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</si>
  <si>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</si>
  <si>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</si>
  <si>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</si>
  <si>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</si>
  <si>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</si>
  <si>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</si>
  <si>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</si>
  <si>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</si>
  <si>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</si>
  <si>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</si>
  <si>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</si>
  <si>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</si>
  <si>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</si>
  <si>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</si>
  <si>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</si>
  <si>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</si>
  <si>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</si>
  <si>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</si>
  <si>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</si>
  <si>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</si>
  <si>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</si>
  <si>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</si>
  <si>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</si>
  <si>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</si>
  <si>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</si>
  <si>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</si>
  <si>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</si>
  <si>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</si>
  <si>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</si>
  <si>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</si>
  <si>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</si>
  <si>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</si>
  <si>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</si>
  <si>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</si>
  <si>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</si>
  <si>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</si>
  <si>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</si>
  <si>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</si>
  <si>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</si>
  <si>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</si>
  <si>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</si>
  <si>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</si>
  <si>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</si>
  <si>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</si>
  <si>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</si>
  <si>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</si>
  <si>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</si>
  <si>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</si>
  <si>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</si>
  <si>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</si>
  <si>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</si>
  <si>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</si>
  <si>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</si>
  <si>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</si>
  <si>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</si>
  <si>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</si>
  <si>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</si>
  <si>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</si>
  <si>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</si>
  <si>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</si>
  <si>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</si>
  <si>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</si>
  <si>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</si>
  <si>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</si>
  <si>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</si>
  <si>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</si>
  <si>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</si>
  <si>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</si>
  <si>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</si>
  <si>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</si>
  <si>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</si>
  <si>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</si>
  <si>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</si>
  <si>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</si>
  <si>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</si>
  <si>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</si>
  <si>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</si>
  <si>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</si>
  <si>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</si>
  <si>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</si>
  <si>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</si>
  <si>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</si>
  <si>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</si>
  <si>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</si>
  <si>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</si>
  <si>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</si>
  <si>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</si>
  <si>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</si>
  <si>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</si>
  <si>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</si>
  <si>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</si>
  <si>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</si>
  <si>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</si>
  <si>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</si>
  <si>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</si>
  <si>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</si>
  <si>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</si>
  <si>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</si>
  <si>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</si>
  <si>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</si>
  <si>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</si>
  <si>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</si>
  <si>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</si>
  <si>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</si>
  <si>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</si>
  <si>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</si>
  <si>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</si>
  <si>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</si>
  <si>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</si>
  <si>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</si>
  <si>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</si>
  <si>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</si>
  <si>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</si>
  <si>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</si>
  <si>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</si>
  <si>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</si>
  <si>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</si>
  <si>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</si>
  <si>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</si>
  <si>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</si>
  <si>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</si>
  <si>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</si>
  <si>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</si>
  <si>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</si>
  <si>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</si>
  <si>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</si>
  <si>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</si>
  <si>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</si>
  <si>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</si>
  <si>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</si>
  <si>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</si>
  <si>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</si>
  <si>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</si>
  <si>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</si>
  <si>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</si>
  <si>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</si>
  <si>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</si>
  <si>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</si>
  <si>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</si>
  <si>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</si>
  <si>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</si>
  <si>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</si>
  <si>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</si>
  <si>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</si>
  <si>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</si>
  <si>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</si>
  <si>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</si>
  <si>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</si>
  <si>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</si>
  <si>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</si>
  <si>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</si>
  <si>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</si>
  <si>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</si>
  <si>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</si>
  <si>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</si>
  <si>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</si>
  <si>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</si>
  <si>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</si>
  <si>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</si>
  <si>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</si>
  <si>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</si>
  <si>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</si>
  <si>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</si>
  <si>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</si>
  <si>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</si>
  <si>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</si>
  <si>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</si>
  <si>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</si>
  <si>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</si>
  <si>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</si>
  <si>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</si>
  <si>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</si>
  <si>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</si>
  <si>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</si>
  <si>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</si>
  <si>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</si>
  <si>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</si>
  <si>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</si>
  <si>
    <t>P0000BMJ</t>
    <phoneticPr fontId="53" type="noConversion"/>
  </si>
  <si>
    <t>상품코드</t>
    <phoneticPr fontId="53" type="noConversion"/>
  </si>
  <si>
    <t>합계금액</t>
    <phoneticPr fontId="53" type="noConversion"/>
  </si>
  <si>
    <t>품명</t>
    <phoneticPr fontId="53" type="noConversion"/>
  </si>
  <si>
    <t>컵비즈왁스(G25~28)</t>
    <phoneticPr fontId="53" type="noConversion"/>
  </si>
  <si>
    <t>제모스킨(I206)</t>
    <phoneticPr fontId="53" type="noConversion"/>
  </si>
  <si>
    <t>제모오일(I207)</t>
    <phoneticPr fontId="53" type="noConversion"/>
  </si>
  <si>
    <t>베이비히터(I255)</t>
    <phoneticPr fontId="53" type="noConversion"/>
  </si>
  <si>
    <t>할인금액</t>
    <phoneticPr fontId="53" type="noConversion"/>
  </si>
  <si>
    <t>아이브로우500(F7)</t>
    <phoneticPr fontId="53" type="noConversion"/>
  </si>
  <si>
    <t>제모스킨(F206)</t>
    <phoneticPr fontId="53" type="noConversion"/>
  </si>
  <si>
    <t>제모오일(F207)</t>
    <phoneticPr fontId="53" type="noConversion"/>
  </si>
  <si>
    <t>리본미스트(F189)</t>
    <phoneticPr fontId="53" type="noConversion"/>
  </si>
  <si>
    <t>시카팩5개입(F190)</t>
    <phoneticPr fontId="53" type="noConversion"/>
  </si>
  <si>
    <t>베이비히터(F255)</t>
    <phoneticPr fontId="53" type="noConversion"/>
  </si>
  <si>
    <t>페이스스파츌라</t>
    <phoneticPr fontId="53" type="noConversion"/>
  </si>
  <si>
    <t>1,600*5</t>
    <phoneticPr fontId="53" type="noConversion"/>
  </si>
  <si>
    <t>로즈퓨어하드(G33)</t>
    <phoneticPr fontId="53" type="noConversion"/>
  </si>
  <si>
    <t>바닐라스트립(G53)</t>
    <phoneticPr fontId="53" type="noConversion"/>
  </si>
  <si>
    <t>미니전후5종(F80)</t>
    <phoneticPr fontId="53" type="noConversion"/>
  </si>
  <si>
    <t>인그로운125(F150)</t>
    <phoneticPr fontId="53" type="noConversion"/>
  </si>
  <si>
    <t>2구워머기(F254)</t>
    <phoneticPr fontId="53" type="noConversion"/>
  </si>
  <si>
    <t>부직포250(I272)</t>
    <phoneticPr fontId="53" type="noConversion"/>
  </si>
  <si>
    <t>페이스스파츌라(I281)</t>
    <phoneticPr fontId="53" type="noConversion"/>
  </si>
  <si>
    <t>바디스파츌라(I277)</t>
    <phoneticPr fontId="53" type="noConversion"/>
  </si>
  <si>
    <t>메탈스파츌라(I282)</t>
    <phoneticPr fontId="53" type="noConversion"/>
  </si>
  <si>
    <t>미니석류4개(F94)</t>
    <phoneticPr fontId="53" type="noConversion"/>
  </si>
  <si>
    <t>미니라벤다4개(F95)</t>
    <phoneticPr fontId="53" type="noConversion"/>
  </si>
  <si>
    <t>미니자몽2개(F93)</t>
    <phoneticPr fontId="53" type="noConversion"/>
  </si>
  <si>
    <t>6,720*4</t>
    <phoneticPr fontId="53" type="noConversion"/>
  </si>
  <si>
    <t>6,720*2</t>
    <phoneticPr fontId="53" type="noConversion"/>
  </si>
  <si>
    <t>포레스트바디워시10개(I205)</t>
    <phoneticPr fontId="53" type="noConversion"/>
  </si>
  <si>
    <t>화이트브라질팩50개입(E248)</t>
    <phoneticPr fontId="53" type="noConversion"/>
  </si>
  <si>
    <t>9,600*10</t>
    <phoneticPr fontId="53" type="noConversion"/>
  </si>
  <si>
    <t>1,400*50</t>
    <phoneticPr fontId="53" type="noConversion"/>
  </si>
  <si>
    <t>품명옆에 엑셀행표시</t>
    <phoneticPr fontId="53" type="noConversion"/>
  </si>
  <si>
    <t>D</t>
    <phoneticPr fontId="53" type="noConversion"/>
  </si>
  <si>
    <t>E</t>
    <phoneticPr fontId="53" type="noConversion"/>
  </si>
  <si>
    <t>H</t>
    <phoneticPr fontId="53" type="noConversion"/>
  </si>
  <si>
    <t>I</t>
    <phoneticPr fontId="53" type="noConversion"/>
  </si>
  <si>
    <t>C</t>
    <phoneticPr fontId="53" type="noConversion"/>
  </si>
  <si>
    <t>컵왁스 선택 : 로제트 컵 왁스 비즈 110g</t>
  </si>
  <si>
    <t>컵왁스 선택 : 라벤더 컵 왁스 비즈 110g</t>
  </si>
  <si>
    <t>컵왁스 선택 : 하이브리드 컵 왁스 비즈 110g</t>
  </si>
  <si>
    <t>컵왁스 선택 : 핑키니 컵 왁스 비즈 110g</t>
  </si>
  <si>
    <t>옵션명</t>
    <phoneticPr fontId="53" type="noConversion"/>
  </si>
  <si>
    <t>옵션코드</t>
    <phoneticPr fontId="53" type="noConversion"/>
  </si>
  <si>
    <t>상품명</t>
    <phoneticPr fontId="53" type="noConversion"/>
  </si>
  <si>
    <t>라이콘 컵 왁스 비즈 110g 4종 (로제트 / 라벤더 / 하이브리드 / 핑키니)</t>
    <phoneticPr fontId="53" type="noConversion"/>
  </si>
  <si>
    <t>정상가</t>
    <phoneticPr fontId="53" type="noConversion"/>
  </si>
  <si>
    <t>엑셀위치</t>
    <phoneticPr fontId="53" type="noConversion"/>
  </si>
  <si>
    <t>G25</t>
    <phoneticPr fontId="53" type="noConversion"/>
  </si>
  <si>
    <t>G26</t>
  </si>
  <si>
    <t>G27</t>
  </si>
  <si>
    <t>G28</t>
  </si>
  <si>
    <t>제모미인 페이스왁싱 스킨클렌져 &amp; 왁싱 프리오일 100mL</t>
    <phoneticPr fontId="53" type="noConversion"/>
  </si>
  <si>
    <t>왁싱 스킨클렌져 100mL</t>
  </si>
  <si>
    <t>왁싱 프리오일 100mL</t>
  </si>
  <si>
    <t>라이콘워머기 2구 / 자디니 베이비 히터기 220g</t>
  </si>
  <si>
    <t>M</t>
    <phoneticPr fontId="53" type="noConversion"/>
  </si>
  <si>
    <t>N</t>
    <phoneticPr fontId="53" type="noConversion"/>
  </si>
  <si>
    <t>2구워머기(1000+1000)</t>
  </si>
  <si>
    <t>자디니베이비히터(220g)</t>
  </si>
  <si>
    <t>자디니 베이비 히터(220g)</t>
  </si>
  <si>
    <t xml:space="preserve"> -</t>
    <phoneticPr fontId="53" type="noConversion"/>
  </si>
  <si>
    <t>라이콘 컵 왁스 비즈 110g 세트 (로제트 / 라벤더 / 하이브리드 / 핑키니)</t>
    <phoneticPr fontId="53" type="noConversion"/>
  </si>
  <si>
    <t>컵왁스 선택 : 로제트 컵 왁스 비즈 세트 110g</t>
    <phoneticPr fontId="53" type="noConversion"/>
  </si>
  <si>
    <t>컵왁스 선택 : 라벤더 컵 왁스 비즈 세트 110g</t>
    <phoneticPr fontId="53" type="noConversion"/>
  </si>
  <si>
    <t>컵왁스 선택 : 하이브리드 컵 왁스 비즈 세트 110g</t>
    <phoneticPr fontId="53" type="noConversion"/>
  </si>
  <si>
    <t>컵왁스 선택 : 핑키니 컵 왁스 비즈 세트 110g</t>
    <phoneticPr fontId="53" type="noConversion"/>
  </si>
  <si>
    <t>P00000ZB</t>
    <phoneticPr fontId="53" type="noConversion"/>
  </si>
  <si>
    <t>P00000ZB/A</t>
    <phoneticPr fontId="53" type="noConversion"/>
  </si>
  <si>
    <t>P00001ZB/B</t>
    <phoneticPr fontId="53" type="noConversion"/>
  </si>
  <si>
    <t>P00002ZB/C</t>
    <phoneticPr fontId="53" type="noConversion"/>
  </si>
  <si>
    <t>P00003ZB/D</t>
    <phoneticPr fontId="53" type="noConversion"/>
  </si>
  <si>
    <t>세트 상품코드</t>
    <phoneticPr fontId="53" type="noConversion"/>
  </si>
  <si>
    <t>P00000ZA</t>
    <phoneticPr fontId="53" type="noConversion"/>
  </si>
  <si>
    <t>P00000ZA/A</t>
    <phoneticPr fontId="53" type="noConversion"/>
  </si>
  <si>
    <t>P00000ZA/B</t>
    <phoneticPr fontId="53" type="noConversion"/>
  </si>
  <si>
    <t>P00000VK</t>
    <phoneticPr fontId="53" type="noConversion"/>
  </si>
  <si>
    <t>P00000VK/N</t>
    <phoneticPr fontId="53" type="noConversion"/>
  </si>
  <si>
    <t>합계</t>
    <phoneticPr fontId="53" type="noConversion"/>
  </si>
  <si>
    <t>세트 상품명</t>
    <phoneticPr fontId="53" type="noConversion"/>
  </si>
  <si>
    <t>라이코젯아이브로우(Lycojet Eyebrow Hot Wax) 500g</t>
  </si>
  <si>
    <t>매칭 옵션</t>
    <phoneticPr fontId="53" type="noConversion"/>
  </si>
  <si>
    <t>매칭 옵션가격</t>
    <phoneticPr fontId="53" type="noConversion"/>
  </si>
  <si>
    <t>F7</t>
    <phoneticPr fontId="53" type="noConversion"/>
  </si>
  <si>
    <t>자디니 리본 미스트 110ml (모공/인그로운 케어)</t>
  </si>
  <si>
    <t>F189</t>
    <phoneticPr fontId="53" type="noConversion"/>
  </si>
  <si>
    <t>P00000XW</t>
    <phoneticPr fontId="53" type="noConversion"/>
  </si>
  <si>
    <t>선택 : 자디니 시카 마스크 1Box(5개입)</t>
  </si>
  <si>
    <t>선택 : 50개 묶음(단상자 미포함)</t>
    <phoneticPr fontId="53" type="noConversion"/>
  </si>
  <si>
    <t>F190</t>
    <phoneticPr fontId="53" type="noConversion"/>
  </si>
  <si>
    <t>시카팩5개입(F190) &lt;- F191??</t>
    <phoneticPr fontId="53" type="noConversion"/>
  </si>
  <si>
    <t>자디니 시카 마스크 (1박스 5매입 / 50매 번들)</t>
  </si>
  <si>
    <t>페이스스파츌라 &lt;- I281 ??</t>
    <phoneticPr fontId="53" type="noConversion"/>
  </si>
  <si>
    <t>P00000TX</t>
    <phoneticPr fontId="53" type="noConversion"/>
  </si>
  <si>
    <t>스파츌러 박스 구매시(바디, 패들팝, 페이셜) 할인</t>
  </si>
  <si>
    <t>선택 : 패들팝스파츌라(박스구매 100개)</t>
    <phoneticPr fontId="53" type="noConversion"/>
  </si>
  <si>
    <t>선택 : 바디스파츌라(박스구매 100개)</t>
    <phoneticPr fontId="53" type="noConversion"/>
  </si>
  <si>
    <t>선택 : 페이셜스파츌라(박스구매 100개)</t>
    <phoneticPr fontId="53" type="noConversion"/>
  </si>
  <si>
    <t>F</t>
    <phoneticPr fontId="53" type="noConversion"/>
  </si>
  <si>
    <t>G</t>
    <phoneticPr fontId="53" type="noConversion"/>
  </si>
  <si>
    <t>패들팝 스파츌러(박스 구매 100개)</t>
    <phoneticPr fontId="53" type="noConversion"/>
  </si>
  <si>
    <t>P00000HT</t>
    <phoneticPr fontId="53" type="noConversion"/>
  </si>
  <si>
    <t>P00000XU</t>
    <phoneticPr fontId="53" type="noConversion"/>
  </si>
  <si>
    <t>페이셜 스파츌러(박스 구매 100개)</t>
    <phoneticPr fontId="53" type="noConversion"/>
  </si>
  <si>
    <t>바디 스파츌러(박스 구매 100개)</t>
    <phoneticPr fontId="53" type="noConversion"/>
  </si>
  <si>
    <t>I277</t>
    <phoneticPr fontId="53" type="noConversion"/>
  </si>
  <si>
    <t>I279</t>
    <phoneticPr fontId="53" type="noConversion"/>
  </si>
  <si>
    <t>I281</t>
    <phoneticPr fontId="53" type="noConversion"/>
  </si>
  <si>
    <t>현재 Cafe24 마스터</t>
  </si>
  <si>
    <t>현재 API 확인</t>
  </si>
  <si>
    <t>과거 주문 이력 기준</t>
    <phoneticPr fontId="53" type="noConversion"/>
  </si>
  <si>
    <t>2026-04 주문 API 확인</t>
  </si>
  <si>
    <t>기준표시</t>
    <phoneticPr fontId="53" type="noConversion"/>
  </si>
  <si>
    <t>확인메모</t>
    <phoneticPr fontId="53" type="noConversion"/>
  </si>
  <si>
    <t>현재 Cafe24 마스터</t>
    <phoneticPr fontId="53" type="noConversion"/>
  </si>
  <si>
    <t>과거/미사용 후보</t>
  </si>
  <si>
    <t>F255, I255</t>
    <phoneticPr fontId="53" type="noConversion"/>
  </si>
  <si>
    <t>F206, I206</t>
    <phoneticPr fontId="53" type="noConversion"/>
  </si>
  <si>
    <t>F207, I207</t>
    <phoneticPr fontId="53" type="noConversion"/>
  </si>
  <si>
    <t>현재 variant API 빈 객체</t>
    <phoneticPr fontId="53" type="noConversion"/>
  </si>
  <si>
    <t>2026-01, 2026-03 주문 API 확인, 4월 주문 없음</t>
    <phoneticPr fontId="53" type="noConversion"/>
  </si>
  <si>
    <t>P00000ZA/A</t>
  </si>
  <si>
    <t>P00000ZA/B</t>
  </si>
  <si>
    <t>P00000XU/A</t>
  </si>
  <si>
    <t>P00000XW/B</t>
  </si>
  <si>
    <t>P00000VK/N</t>
  </si>
  <si>
    <t>P00000TX/D</t>
  </si>
  <si>
    <t>제모미인 페이스왁싱 스타터 키트20%할인</t>
  </si>
  <si>
    <t>P00000HT/A</t>
    <phoneticPr fontId="53" type="noConversion"/>
  </si>
  <si>
    <t>P00000TX/D는 2026-04 주문 이력 기준, 현재 Cafe24 마스터는 P00000TX/H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</si>
</sst>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1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0"/>
      <color rgb="FF000000"/>
      <name val="Arial Unicode MS"/>
      <family val="2"/>
    </font>
    <font>
      <sz val="11"/>
      <color theme="0" tint="-0.14999847407452621"/>
      <name val="맑은 고딕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90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3" fontId="36" fillId="0" borderId="3" xfId="0" applyNumberFormat="1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179" fontId="1" fillId="0" borderId="0" xfId="0" applyNumberFormat="1" applyFont="1" applyAlignment="1">
      <alignment vertical="center"/>
    </xf>
    <xf numFmtId="178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7" fillId="0" borderId="3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1" fillId="20" borderId="3" xfId="0" applyFont="1" applyFill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78" fontId="1" fillId="0" borderId="0" xfId="0" applyNumberFormat="1" applyFont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78" fontId="1" fillId="21" borderId="3" xfId="0" applyNumberFormat="1" applyFont="1" applyFill="1" applyBorder="1" applyAlignment="1">
      <alignment horizontal="center"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8" fontId="1" fillId="0" borderId="8" xfId="0" applyNumberFormat="1" applyFont="1" applyBorder="1" applyAlignment="1">
      <alignment vertical="center"/>
    </xf>
    <xf numFmtId="0" fontId="1" fillId="22" borderId="39" xfId="0" applyFont="1" applyFill="1" applyBorder="1" applyAlignment="1">
      <alignment vertical="center"/>
    </xf>
    <xf numFmtId="0" fontId="96" fillId="22" borderId="40" xfId="0" applyFont="1" applyFill="1" applyBorder="1" applyAlignment="1">
      <alignment vertical="center"/>
    </xf>
    <xf numFmtId="178" fontId="1" fillId="22" borderId="40" xfId="0" applyNumberFormat="1" applyFont="1" applyFill="1" applyBorder="1" applyAlignment="1">
      <alignment vertical="center"/>
    </xf>
    <xf numFmtId="0" fontId="1" fillId="22" borderId="2" xfId="0" applyFont="1" applyFill="1" applyBorder="1" applyAlignment="1">
      <alignment vertical="center"/>
    </xf>
    <xf numFmtId="0" fontId="97" fillId="22" borderId="3" xfId="0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77" fillId="22" borderId="3" xfId="0" applyFont="1" applyFill="1" applyBorder="1" applyAlignment="1">
      <alignment vertical="center"/>
    </xf>
    <xf numFmtId="0" fontId="1" fillId="22" borderId="46" xfId="0" applyFont="1" applyFill="1" applyBorder="1" applyAlignment="1">
      <alignment vertical="center"/>
    </xf>
    <xf numFmtId="0" fontId="77" fillId="22" borderId="46" xfId="0" applyFont="1" applyFill="1" applyBorder="1" applyAlignment="1">
      <alignment vertical="center"/>
    </xf>
    <xf numFmtId="178" fontId="1" fillId="22" borderId="46" xfId="0" applyNumberFormat="1" applyFont="1" applyFill="1" applyBorder="1" applyAlignment="1">
      <alignment vertical="center"/>
    </xf>
    <xf numFmtId="0" fontId="1" fillId="22" borderId="47" xfId="0" applyFont="1" applyFill="1" applyBorder="1" applyAlignment="1">
      <alignment vertical="center"/>
    </xf>
    <xf numFmtId="0" fontId="98" fillId="22" borderId="40" xfId="0" applyFont="1" applyFill="1" applyBorder="1" applyAlignment="1">
      <alignment vertical="center"/>
    </xf>
    <xf numFmtId="0" fontId="1" fillId="22" borderId="40" xfId="0" applyFont="1" applyFill="1" applyBorder="1" applyAlignment="1">
      <alignment vertical="center"/>
    </xf>
    <xf numFmtId="0" fontId="77" fillId="22" borderId="40" xfId="0" applyFont="1" applyFill="1" applyBorder="1" applyAlignment="1">
      <alignment vertical="center"/>
    </xf>
    <xf numFmtId="178" fontId="77" fillId="22" borderId="40" xfId="0" applyNumberFormat="1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77" fillId="22" borderId="1" xfId="0" applyFont="1" applyFill="1" applyBorder="1" applyAlignment="1">
      <alignment vertical="center"/>
    </xf>
    <xf numFmtId="178" fontId="1" fillId="22" borderId="1" xfId="0" applyNumberFormat="1" applyFont="1" applyFill="1" applyBorder="1" applyAlignment="1">
      <alignment vertical="center"/>
    </xf>
    <xf numFmtId="0" fontId="77" fillId="22" borderId="3" xfId="0" applyFont="1" applyFill="1" applyBorder="1" applyAlignment="1">
      <alignment vertical="center" wrapText="1"/>
    </xf>
    <xf numFmtId="0" fontId="1" fillId="22" borderId="3" xfId="0" applyFont="1" applyFill="1" applyBorder="1" applyAlignment="1">
      <alignment horizontal="center" vertical="center"/>
    </xf>
    <xf numFmtId="178" fontId="77" fillId="22" borderId="3" xfId="0" applyNumberFormat="1" applyFont="1" applyFill="1" applyBorder="1" applyAlignment="1">
      <alignment vertical="center"/>
    </xf>
    <xf numFmtId="0" fontId="98" fillId="22" borderId="0" xfId="0" applyFont="1" applyFill="1" applyBorder="1" applyAlignment="1">
      <alignment vertical="center"/>
    </xf>
    <xf numFmtId="178" fontId="77" fillId="22" borderId="46" xfId="0" applyNumberFormat="1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horizontal="center" vertical="center"/>
    </xf>
    <xf numFmtId="0" fontId="1" fillId="22" borderId="8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179" fontId="1" fillId="21" borderId="3" xfId="0" applyNumberFormat="1" applyFont="1" applyFill="1" applyBorder="1" applyAlignment="1">
      <alignment horizontal="center" vertical="center"/>
    </xf>
    <xf numFmtId="178" fontId="1" fillId="0" borderId="4" xfId="0" applyNumberFormat="1" applyFont="1" applyBorder="1" applyAlignment="1">
      <alignment vertical="center"/>
    </xf>
    <xf numFmtId="0" fontId="98" fillId="22" borderId="1" xfId="0" applyFont="1" applyFill="1" applyBorder="1" applyAlignment="1">
      <alignment vertical="center"/>
    </xf>
    <xf numFmtId="178" fontId="1" fillId="22" borderId="46" xfId="0" applyNumberFormat="1" applyFont="1" applyFill="1" applyBorder="1" applyAlignment="1">
      <alignment horizontal="center" vertical="center"/>
    </xf>
    <xf numFmtId="0" fontId="100" fillId="23" borderId="8" xfId="0" applyFont="1" applyFill="1" applyBorder="1" applyAlignment="1">
      <alignment vertical="center"/>
    </xf>
    <xf numFmtId="0" fontId="100" fillId="23" borderId="0" xfId="0" applyFont="1" applyFill="1" applyBorder="1" applyAlignment="1">
      <alignment vertical="center" wrapText="1"/>
    </xf>
    <xf numFmtId="178" fontId="100" fillId="23" borderId="8" xfId="0" applyNumberFormat="1" applyFont="1" applyFill="1" applyBorder="1" applyAlignment="1">
      <alignment vertical="center"/>
    </xf>
    <xf numFmtId="0" fontId="100" fillId="23" borderId="3" xfId="0" applyFont="1" applyFill="1" applyBorder="1" applyAlignment="1">
      <alignment horizontal="center" vertical="center"/>
    </xf>
    <xf numFmtId="0" fontId="100" fillId="23" borderId="3" xfId="0" applyFont="1" applyFill="1" applyBorder="1" applyAlignment="1">
      <alignment vertical="center"/>
    </xf>
    <xf numFmtId="178" fontId="100" fillId="23" borderId="3" xfId="0" applyNumberFormat="1" applyFont="1" applyFill="1" applyBorder="1" applyAlignment="1">
      <alignment vertical="center"/>
    </xf>
    <xf numFmtId="178" fontId="100" fillId="23" borderId="3" xfId="0" applyNumberFormat="1" applyFont="1" applyFill="1" applyBorder="1" applyAlignment="1">
      <alignment horizontal="center" vertical="center"/>
    </xf>
    <xf numFmtId="0" fontId="99" fillId="0" borderId="3" xfId="0" applyFont="1" applyBorder="1" applyAlignment="1">
      <alignment vertical="center"/>
    </xf>
    <xf numFmtId="0" fontId="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/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98" fillId="22" borderId="4" xfId="0" applyFont="1" applyFill="1" applyBorder="1" applyAlignment="1">
      <alignment vertical="center"/>
    </xf>
    <xf numFmtId="0" fontId="1" fillId="22" borderId="4" xfId="0" applyFont="1" applyFill="1" applyBorder="1" applyAlignment="1">
      <alignment vertical="center"/>
    </xf>
    <xf numFmtId="0" fontId="1" fillId="22" borderId="45" xfId="0" applyFont="1" applyFill="1" applyBorder="1" applyAlignment="1">
      <alignment vertical="center"/>
    </xf>
    <xf numFmtId="0" fontId="77" fillId="22" borderId="41" xfId="0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1" fillId="22" borderId="44" xfId="0" applyFont="1" applyFill="1" applyBorder="1" applyAlignment="1">
      <alignment vertical="center"/>
    </xf>
    <xf numFmtId="179" fontId="1" fillId="0" borderId="0" xfId="0" applyNumberFormat="1" applyFont="1" applyAlignment="1">
      <alignment horizontal="center" vertical="center"/>
    </xf>
    <xf numFmtId="0" fontId="96" fillId="22" borderId="38" xfId="0" applyFont="1" applyFill="1" applyBorder="1" applyAlignment="1">
      <alignment vertical="center"/>
    </xf>
    <xf numFmtId="0" fontId="1" fillId="22" borderId="8" xfId="0" applyFont="1" applyFill="1" applyBorder="1" applyAlignment="1">
      <alignment vertical="center"/>
    </xf>
    <xf numFmtId="0" fontId="1" fillId="22" borderId="37" xfId="0" applyFont="1" applyFill="1" applyBorder="1" applyAlignment="1">
      <alignment vertical="center"/>
    </xf>
    <xf numFmtId="0" fontId="1" fillId="22" borderId="42" xfId="0" applyFont="1" applyFill="1" applyBorder="1" applyAlignment="1">
      <alignment vertical="center"/>
    </xf>
    <xf numFmtId="0" fontId="1" fillId="22" borderId="43" xfId="0" applyFont="1" applyFill="1" applyBorder="1" applyAlignment="1">
      <alignment vertical="center"/>
    </xf>
    <xf numFmtId="0" fontId="1" fillId="22" borderId="1" xfId="0" applyFont="1" applyFill="1" applyBorder="1" applyAlignment="1">
      <alignment vertical="center"/>
    </xf>
    <xf numFmtId="0" fontId="98" fillId="22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3" fontId="1" fillId="0" borderId="3" xfId="0" applyNumberFormat="1" applyFont="1" applyBorder="1" applyAlignment="1">
      <alignment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78" fontId="1" fillId="0" borderId="12" xfId="0" applyNumberFormat="1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179" fontId="1" fillId="0" borderId="0" xfId="0" applyNumberFormat="1" applyFont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0" borderId="0" xfId="0" applyFont="1" applyBorder="1" applyAlignment="1">
      <alignment vertical="center"/>
    </xf>
    <xf numFmtId="0" fontId="97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/>
    </xf>
    <xf numFmtId="0" fontId="99" fillId="0" borderId="0" xfId="0" applyFont="1" applyBorder="1" applyAlignment="1">
      <alignment vertical="center"/>
    </xf>
    <xf numFmtId="179" fontId="1" fillId="0" borderId="0" xfId="0" applyNumberFormat="1" applyFont="1" applyFill="1" applyBorder="1" applyAlignment="1">
      <alignment horizontal="center" vertical="center"/>
    </xf>
    <xf numFmtId="178" fontId="1" fillId="21" borderId="3" xfId="0" applyNumberFormat="1" applyFont="1" applyFill="1" applyBorder="1" applyAlignment="1">
      <alignment horizontal="center" vertical="center" wrapText="1"/>
    </xf>
    <xf numFmtId="179" fontId="1" fillId="21" borderId="3" xfId="0" applyNumberFormat="1" applyFont="1" applyFill="1" applyBorder="1" applyAlignment="1">
      <alignment horizontal="center" vertical="center" wrapText="1"/>
    </xf>
    <xf numFmtId="0" fontId="1" fillId="21" borderId="3" xfId="0" applyFont="1" applyFill="1" applyBorder="1" applyAlignment="1">
      <alignment horizontal="center" vertical="center" wrapText="1"/>
    </xf>
    <xf numFmtId="179" fontId="1" fillId="0" borderId="2" xfId="0" applyNumberFormat="1" applyFont="1" applyBorder="1" applyAlignment="1">
      <alignment vertical="center"/>
    </xf>
    <xf numFmtId="0" fontId="99" fillId="0" borderId="2" xfId="0" applyFont="1" applyBorder="1" applyAlignment="1">
      <alignment vertical="center"/>
    </xf>
    <xf numFmtId="0" fontId="1" fillId="21" borderId="1" xfId="0" applyFont="1" applyFill="1" applyBorder="1" applyAlignment="1">
      <alignment horizontal="center" vertical="center"/>
    </xf>
    <xf numFmtId="179" fontId="1" fillId="0" borderId="8" xfId="0" applyNumberFormat="1" applyFont="1" applyBorder="1" applyAlignment="1">
      <alignment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22" borderId="1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18" t="s">
        <v>25</v>
      </c>
      <c r="M6" s="815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826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823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823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823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823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823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823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823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817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827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823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823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817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18" t="s">
        <v>25</v>
      </c>
      <c r="M47" s="815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18" t="s">
        <v>25</v>
      </c>
      <c r="M67" s="815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4" t="s">
        <v>157</v>
      </c>
      <c r="I85" s="815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18" t="s">
        <v>25</v>
      </c>
      <c r="M87" s="815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18" t="s">
        <v>25</v>
      </c>
      <c r="M106" s="815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18" t="s">
        <v>25</v>
      </c>
      <c r="M122" s="815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18" t="s">
        <v>25</v>
      </c>
      <c r="M128" s="815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18" t="s">
        <v>25</v>
      </c>
      <c r="M136" s="815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18" t="s">
        <v>25</v>
      </c>
      <c r="M149" s="815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18" t="s">
        <v>25</v>
      </c>
      <c r="M170" s="815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825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817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827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817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827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817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819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817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819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817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819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823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817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824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823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823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818" t="s">
        <v>431</v>
      </c>
      <c r="M225" s="815"/>
      <c r="N225" s="815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828" t="s">
        <v>446</v>
      </c>
      <c r="M232" s="829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818" t="s">
        <v>474</v>
      </c>
      <c r="M248" s="815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818" t="s">
        <v>474</v>
      </c>
      <c r="M262" s="815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819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817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820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817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820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823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817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820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823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823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817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820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817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816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823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817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816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817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816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817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820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817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826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823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823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823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823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823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823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823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823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823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823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823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823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823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823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823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823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823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823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823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823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823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823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823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823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823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823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823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823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823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823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823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823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823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823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823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823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823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823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823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823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823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823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823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823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823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823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823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823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823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823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823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823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823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823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823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823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823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823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823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823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823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823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823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823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823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823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823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823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817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826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823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823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823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823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823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823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823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823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823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823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823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823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823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823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823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823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823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823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823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823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823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823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823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823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823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823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823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823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823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823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823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823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823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823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823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823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823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823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823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823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823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823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823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823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823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823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823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823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823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823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823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823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823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823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823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823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823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823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823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823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823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823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823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823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823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823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823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823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817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826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823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823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823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817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821" t="s">
        <v>694</v>
      </c>
      <c r="J490" s="822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18" t="s">
        <v>25</v>
      </c>
      <c r="M6" s="815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826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823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823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823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823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823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823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823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817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827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823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823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817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18" t="s">
        <v>25</v>
      </c>
      <c r="M47" s="815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18" t="s">
        <v>25</v>
      </c>
      <c r="M67" s="815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4" t="s">
        <v>157</v>
      </c>
      <c r="I85" s="815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18" t="s">
        <v>25</v>
      </c>
      <c r="M87" s="815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18" t="s">
        <v>25</v>
      </c>
      <c r="M106" s="815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18" t="s">
        <v>25</v>
      </c>
      <c r="M122" s="815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18" t="s">
        <v>25</v>
      </c>
      <c r="M128" s="815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18" t="s">
        <v>25</v>
      </c>
      <c r="M136" s="815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18" t="s">
        <v>25</v>
      </c>
      <c r="M149" s="815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18" t="s">
        <v>25</v>
      </c>
      <c r="M170" s="815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825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817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827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817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827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817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819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817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819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817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819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823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817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824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823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823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818" t="s">
        <v>431</v>
      </c>
      <c r="M227" s="815"/>
      <c r="N227" s="815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828" t="s">
        <v>446</v>
      </c>
      <c r="M234" s="829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818" t="s">
        <v>474</v>
      </c>
      <c r="M250" s="815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818" t="s">
        <v>474</v>
      </c>
      <c r="M264" s="815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819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817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820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817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820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823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817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820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823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823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817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820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817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816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823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817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816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817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816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817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820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817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826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823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823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823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823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823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823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823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823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823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823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823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823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823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823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823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823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823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82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823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823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82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823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823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823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82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823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82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823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823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823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823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823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823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823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823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823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823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823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823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823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823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823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823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823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823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82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82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82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82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82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82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82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823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82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82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823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823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82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823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823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823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823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823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823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823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823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823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823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817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826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823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823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823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823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823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823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823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823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82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823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823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823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823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823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823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823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823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82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82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823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82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823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82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823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82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823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82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823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823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823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823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823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823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823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823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823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823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823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82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823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823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823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823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823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823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82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82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82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82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82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82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82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823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82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82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823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823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82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823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823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823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823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823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823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823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823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823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823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817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826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823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823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823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817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821" t="s">
        <v>694</v>
      </c>
      <c r="J492" s="822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67:M67"/>
    <mergeCell ref="B13:B21"/>
    <mergeCell ref="L47:M47"/>
    <mergeCell ref="L87:M87"/>
    <mergeCell ref="L106:M10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18" t="s">
        <v>25</v>
      </c>
      <c r="M6" s="815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826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823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823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823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823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823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823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823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817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827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823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823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817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18" t="s">
        <v>25</v>
      </c>
      <c r="M47" s="815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18" t="s">
        <v>25</v>
      </c>
      <c r="M67" s="815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4" t="s">
        <v>157</v>
      </c>
      <c r="I85" s="815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18" t="s">
        <v>25</v>
      </c>
      <c r="M87" s="815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18" t="s">
        <v>25</v>
      </c>
      <c r="M106" s="815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18" t="s">
        <v>25</v>
      </c>
      <c r="M122" s="815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18" t="s">
        <v>25</v>
      </c>
      <c r="M128" s="815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18" t="s">
        <v>25</v>
      </c>
      <c r="M136" s="815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18" t="s">
        <v>25</v>
      </c>
      <c r="M149" s="815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18" t="s">
        <v>25</v>
      </c>
      <c r="M170" s="815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825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817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827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817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827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817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819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817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819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817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819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823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817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824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823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823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818" t="s">
        <v>431</v>
      </c>
      <c r="M228" s="815"/>
      <c r="N228" s="815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828" t="s">
        <v>446</v>
      </c>
      <c r="M235" s="829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818" t="s">
        <v>474</v>
      </c>
      <c r="M251" s="815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818" t="s">
        <v>474</v>
      </c>
      <c r="M265" s="815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819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817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820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817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820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823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817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820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823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823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817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820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817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816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823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817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816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817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816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817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820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817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826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823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823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823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823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823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823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823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823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823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823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823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823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823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82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823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823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82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823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823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823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82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823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82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823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823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823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823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823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823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823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823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823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823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823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823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823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823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823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823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823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823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82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82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82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82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82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82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82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823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82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82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823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823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82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823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823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823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823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823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823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823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823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823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823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82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823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823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823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817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826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823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823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823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823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82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823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823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823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823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823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823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823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823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82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82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823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82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823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82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823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82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823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82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823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823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823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823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823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823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823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823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823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823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823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82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823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823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823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823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823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823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82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82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82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82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82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82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82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823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82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82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823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823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82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823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823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823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823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823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823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823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823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823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823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823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823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823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823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817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826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823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823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823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817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821" t="s">
        <v>694</v>
      </c>
      <c r="J496" s="822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57" zoomScale="80" zoomScaleNormal="80" workbookViewId="0">
      <selection activeCell="A277" sqref="A277:XFD277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18" t="s">
        <v>25</v>
      </c>
      <c r="M6" s="815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826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823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823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823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823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823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823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823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817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827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823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823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817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18" t="s">
        <v>25</v>
      </c>
      <c r="M47" s="815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818" t="s">
        <v>25</v>
      </c>
      <c r="M66" s="815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814" t="s">
        <v>157</v>
      </c>
      <c r="I84" s="815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818" t="s">
        <v>25</v>
      </c>
      <c r="M86" s="815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818" t="s">
        <v>25</v>
      </c>
      <c r="M105" s="815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818" t="s">
        <v>25</v>
      </c>
      <c r="M121" s="815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818" t="s">
        <v>25</v>
      </c>
      <c r="M127" s="815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818" t="s">
        <v>25</v>
      </c>
      <c r="M135" s="815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818" t="s">
        <v>25</v>
      </c>
      <c r="M148" s="815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818" t="s">
        <v>25</v>
      </c>
      <c r="M169" s="815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825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817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827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817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827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817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819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817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819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817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819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823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817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824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823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823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818" t="s">
        <v>431</v>
      </c>
      <c r="M230" s="815"/>
      <c r="N230" s="815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828" t="s">
        <v>446</v>
      </c>
      <c r="M237" s="829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818" t="s">
        <v>474</v>
      </c>
      <c r="M253" s="815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818" t="s">
        <v>474</v>
      </c>
      <c r="M267" s="815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819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817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820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817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820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823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817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820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823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823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817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820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817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816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823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817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816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817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816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817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820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817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826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823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823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823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823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823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823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823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823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823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823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823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82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823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823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82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823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823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823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82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823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82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823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823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823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823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823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823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823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823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823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823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823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823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823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823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823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823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823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823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82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82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82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82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82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82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82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823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82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82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823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823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82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823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823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823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823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823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823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823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823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823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823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82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823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823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823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823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823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817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826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823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823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82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823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823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823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823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823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823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823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823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82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82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823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82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823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82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823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82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823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82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823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823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823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823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823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823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823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823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823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823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823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82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823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823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823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823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823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823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82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82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82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82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82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82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82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823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82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82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823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823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82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823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823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823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823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823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823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823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823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823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823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823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823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823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823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823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823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817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826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823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823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823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817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821" t="s">
        <v>694</v>
      </c>
      <c r="J498" s="822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833" t="s">
        <v>766</v>
      </c>
      <c r="F4" s="834"/>
      <c r="G4" s="834"/>
      <c r="H4" s="834"/>
      <c r="I4" s="834"/>
      <c r="J4" s="834"/>
      <c r="K4" s="834"/>
      <c r="L4" s="834"/>
      <c r="M4" s="834"/>
      <c r="N4" s="834"/>
      <c r="O4" s="834"/>
      <c r="P4" s="834"/>
      <c r="Q4" s="834"/>
      <c r="R4" s="834"/>
      <c r="S4" s="834"/>
      <c r="T4" s="834"/>
      <c r="U4" s="834"/>
      <c r="V4" s="834"/>
      <c r="W4" s="834"/>
      <c r="X4" s="834"/>
      <c r="Y4" s="834"/>
      <c r="Z4" s="834"/>
      <c r="AA4" s="834"/>
      <c r="AB4" s="834"/>
      <c r="AC4" s="835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836"/>
      <c r="F5" s="837"/>
      <c r="G5" s="837"/>
      <c r="H5" s="837"/>
      <c r="I5" s="837"/>
      <c r="J5" s="837"/>
      <c r="K5" s="837"/>
      <c r="L5" s="837"/>
      <c r="M5" s="837"/>
      <c r="N5" s="837"/>
      <c r="O5" s="837"/>
      <c r="P5" s="837"/>
      <c r="Q5" s="837"/>
      <c r="R5" s="837"/>
      <c r="S5" s="837"/>
      <c r="T5" s="837"/>
      <c r="U5" s="837"/>
      <c r="V5" s="822"/>
      <c r="W5" s="822"/>
      <c r="X5" s="822"/>
      <c r="Y5" s="822"/>
      <c r="Z5" s="822"/>
      <c r="AA5" s="822"/>
      <c r="AB5" s="822"/>
      <c r="AC5" s="838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844" t="s">
        <v>4</v>
      </c>
      <c r="E6" s="845" t="s">
        <v>1015</v>
      </c>
      <c r="F6" s="815"/>
      <c r="G6" s="815"/>
      <c r="H6" s="815"/>
      <c r="I6" s="830"/>
      <c r="J6" s="845" t="s">
        <v>1016</v>
      </c>
      <c r="K6" s="815"/>
      <c r="L6" s="815"/>
      <c r="M6" s="815"/>
      <c r="N6" s="815"/>
      <c r="O6" s="815"/>
      <c r="P6" s="815"/>
      <c r="Q6" s="815"/>
      <c r="R6" s="815"/>
      <c r="S6" s="815"/>
      <c r="T6" s="815"/>
      <c r="U6" s="815"/>
      <c r="V6" s="830"/>
      <c r="W6" s="845" t="s">
        <v>1017</v>
      </c>
      <c r="X6" s="815"/>
      <c r="Y6" s="815"/>
      <c r="Z6" s="815"/>
      <c r="AA6" s="815"/>
      <c r="AB6" s="815"/>
      <c r="AC6" s="830"/>
      <c r="AD6" s="827" t="s">
        <v>1018</v>
      </c>
      <c r="AE6" s="815"/>
      <c r="AF6" s="815"/>
      <c r="AG6" s="815"/>
      <c r="AH6" s="815"/>
      <c r="AI6" s="815"/>
      <c r="AJ6" s="830"/>
      <c r="AK6" s="832" t="s">
        <v>1019</v>
      </c>
      <c r="AL6" s="815"/>
      <c r="AM6" s="815"/>
      <c r="AN6" s="830"/>
      <c r="AO6" s="825" t="s">
        <v>1020</v>
      </c>
      <c r="AP6" s="815"/>
      <c r="AQ6" s="815"/>
      <c r="AR6" s="830"/>
      <c r="AS6" s="827" t="s">
        <v>1021</v>
      </c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30"/>
      <c r="BE6" s="472" t="s">
        <v>1013</v>
      </c>
      <c r="BF6" s="672" t="s">
        <v>1011</v>
      </c>
      <c r="BG6" s="433"/>
    </row>
    <row r="7" spans="1:59" ht="60.75" customHeight="1">
      <c r="D7" s="823"/>
      <c r="E7" s="849" t="s">
        <v>948</v>
      </c>
      <c r="F7" s="815"/>
      <c r="G7" s="815"/>
      <c r="H7" s="815"/>
      <c r="I7" s="830"/>
      <c r="J7" s="849" t="s">
        <v>949</v>
      </c>
      <c r="K7" s="815"/>
      <c r="L7" s="815"/>
      <c r="M7" s="815"/>
      <c r="N7" s="815"/>
      <c r="O7" s="815"/>
      <c r="P7" s="815"/>
      <c r="Q7" s="815"/>
      <c r="R7" s="815"/>
      <c r="S7" s="815"/>
      <c r="T7" s="815"/>
      <c r="U7" s="815"/>
      <c r="V7" s="830"/>
      <c r="W7" s="850" t="s">
        <v>950</v>
      </c>
      <c r="X7" s="840"/>
      <c r="Y7" s="840"/>
      <c r="Z7" s="840"/>
      <c r="AA7" s="840"/>
      <c r="AB7" s="840"/>
      <c r="AC7" s="843"/>
      <c r="AD7" s="831" t="s">
        <v>950</v>
      </c>
      <c r="AE7" s="815"/>
      <c r="AF7" s="815"/>
      <c r="AG7" s="815"/>
      <c r="AH7" s="815"/>
      <c r="AI7" s="815"/>
      <c r="AJ7" s="830"/>
      <c r="AK7" s="841" t="s">
        <v>951</v>
      </c>
      <c r="AL7" s="815"/>
      <c r="AM7" s="815"/>
      <c r="AN7" s="830"/>
      <c r="AO7" s="842" t="s">
        <v>952</v>
      </c>
      <c r="AP7" s="840"/>
      <c r="AQ7" s="840"/>
      <c r="AR7" s="843"/>
      <c r="AS7" s="839" t="s">
        <v>1022</v>
      </c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817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1014</v>
      </c>
      <c r="BF8" s="674" t="s">
        <v>1012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44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1014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1014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38"/>
      <c r="BG11" s="471">
        <f t="shared" si="0"/>
        <v>5</v>
      </c>
    </row>
    <row r="12" spans="1:59" ht="15" customHeight="1">
      <c r="A12" s="473" t="s">
        <v>36</v>
      </c>
      <c r="B12" s="445" t="s">
        <v>1014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38"/>
      <c r="BG12" s="471">
        <f t="shared" si="0"/>
        <v>5</v>
      </c>
    </row>
    <row r="13" spans="1:59" ht="15" customHeight="1">
      <c r="A13" s="473" t="s">
        <v>1023</v>
      </c>
      <c r="B13" s="445" t="s">
        <v>1014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38"/>
      <c r="BG13" s="471">
        <f t="shared" si="0"/>
        <v>24</v>
      </c>
    </row>
    <row r="14" spans="1:59" ht="15" customHeight="1">
      <c r="A14" s="278" t="s">
        <v>41</v>
      </c>
      <c r="B14" s="445" t="s">
        <v>1014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39"/>
      <c r="BG14" s="471">
        <f t="shared" si="0"/>
        <v>6</v>
      </c>
    </row>
    <row r="15" spans="1:59" ht="15" customHeight="1">
      <c r="A15" s="825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40"/>
      <c r="BG15" s="471">
        <f t="shared" si="0"/>
        <v>1</v>
      </c>
    </row>
    <row r="16" spans="1:59" ht="15" customHeight="1">
      <c r="A16" s="823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40"/>
      <c r="BG16" s="471">
        <f t="shared" si="0"/>
        <v>3</v>
      </c>
    </row>
    <row r="17" spans="1:59" ht="15" customHeight="1">
      <c r="A17" s="823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40"/>
      <c r="BG17" s="471">
        <f t="shared" si="0"/>
        <v>8</v>
      </c>
    </row>
    <row r="18" spans="1:59" ht="15" customHeight="1">
      <c r="A18" s="823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39"/>
      <c r="BG18" s="471">
        <f t="shared" si="0"/>
        <v>3</v>
      </c>
    </row>
    <row r="19" spans="1:59" ht="15" customHeight="1">
      <c r="A19" s="823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39"/>
      <c r="BG19" s="471">
        <f t="shared" si="0"/>
        <v>2</v>
      </c>
    </row>
    <row r="20" spans="1:59" ht="15" customHeight="1">
      <c r="A20" s="823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39"/>
      <c r="BG20" s="471">
        <f t="shared" si="0"/>
        <v>3</v>
      </c>
    </row>
    <row r="21" spans="1:59" ht="15" customHeight="1">
      <c r="A21" s="817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39"/>
      <c r="BG21" s="471">
        <f t="shared" si="0"/>
        <v>13</v>
      </c>
    </row>
    <row r="22" spans="1:59" ht="15" customHeight="1">
      <c r="A22" s="825" t="s">
        <v>1024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39"/>
      <c r="BG22" s="471">
        <f t="shared" si="0"/>
        <v>0</v>
      </c>
    </row>
    <row r="23" spans="1:59" ht="15" customHeight="1">
      <c r="A23" s="823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39"/>
      <c r="BG23" s="471">
        <f t="shared" si="0"/>
        <v>0</v>
      </c>
    </row>
    <row r="24" spans="1:59" ht="15" customHeight="1">
      <c r="A24" s="823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39"/>
      <c r="BG24" s="471">
        <f t="shared" si="0"/>
        <v>0</v>
      </c>
    </row>
    <row r="25" spans="1:59" ht="15" customHeight="1">
      <c r="A25" s="817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39"/>
      <c r="BG25" s="471">
        <f t="shared" si="0"/>
        <v>0</v>
      </c>
    </row>
    <row r="26" spans="1:59" s="427" customFormat="1" ht="15" customHeight="1">
      <c r="A26" s="441" t="s">
        <v>1027</v>
      </c>
      <c r="B26" s="441" t="s">
        <v>1014</v>
      </c>
      <c r="C26" s="439" t="s">
        <v>1009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1010</v>
      </c>
      <c r="B27" s="445" t="s">
        <v>1014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40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846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41"/>
      <c r="BF30" s="736"/>
      <c r="BG30" s="457">
        <f t="shared" ref="BG30:BG46" si="3">SUM(D30:BF30)</f>
        <v>3</v>
      </c>
    </row>
    <row r="31" spans="1:59" ht="15" customHeight="1">
      <c r="A31" s="847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42"/>
      <c r="BF31" s="736"/>
      <c r="BG31" s="457">
        <f t="shared" si="3"/>
        <v>7</v>
      </c>
    </row>
    <row r="32" spans="1:59" ht="15" customHeight="1">
      <c r="A32" s="847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42"/>
      <c r="BF32" s="736"/>
      <c r="BG32" s="457">
        <f t="shared" si="3"/>
        <v>6</v>
      </c>
    </row>
    <row r="33" spans="1:59" ht="15" customHeight="1">
      <c r="A33" s="848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42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1014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42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1014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42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1014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42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1014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42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1014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42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1014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42"/>
      <c r="BF39" s="736"/>
      <c r="BG39" s="457">
        <f t="shared" si="3"/>
        <v>550</v>
      </c>
    </row>
    <row r="40" spans="1:59" ht="15" customHeight="1">
      <c r="A40" s="451" t="s">
        <v>1025</v>
      </c>
      <c r="B40" s="452" t="s">
        <v>1014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42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1014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42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1014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42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1014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42"/>
      <c r="BF43" s="736"/>
      <c r="BG43" s="457">
        <f t="shared" si="3"/>
        <v>62</v>
      </c>
    </row>
    <row r="44" spans="1:59" ht="15" customHeight="1">
      <c r="A44" s="451" t="s">
        <v>1026</v>
      </c>
      <c r="B44" s="452" t="s">
        <v>1014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42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1014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42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1014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43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>SUM(D30:D46)</f>
        <v>231</v>
      </c>
      <c r="E47" s="675">
        <f>SUM(E30:E46)</f>
        <v>0</v>
      </c>
      <c r="F47" s="675">
        <f t="shared" ref="F47:BG47" si="4">SUM(F30:F46)</f>
        <v>0</v>
      </c>
      <c r="G47" s="675">
        <f t="shared" si="4"/>
        <v>0</v>
      </c>
      <c r="H47" s="696">
        <f t="shared" si="4"/>
        <v>0</v>
      </c>
      <c r="I47" s="675">
        <f t="shared" si="4"/>
        <v>0</v>
      </c>
      <c r="J47" s="675">
        <f t="shared" si="4"/>
        <v>0</v>
      </c>
      <c r="K47" s="696">
        <f t="shared" si="4"/>
        <v>11</v>
      </c>
      <c r="L47" s="675">
        <f t="shared" si="4"/>
        <v>0</v>
      </c>
      <c r="M47" s="675">
        <f t="shared" si="4"/>
        <v>0</v>
      </c>
      <c r="N47" s="696">
        <f t="shared" si="4"/>
        <v>104</v>
      </c>
      <c r="O47" s="696">
        <f t="shared" si="4"/>
        <v>9</v>
      </c>
      <c r="P47" s="696">
        <f t="shared" si="4"/>
        <v>18</v>
      </c>
      <c r="Q47" s="696">
        <f t="shared" si="4"/>
        <v>100</v>
      </c>
      <c r="R47" s="696">
        <f t="shared" si="4"/>
        <v>50</v>
      </c>
      <c r="S47" s="696">
        <f t="shared" si="4"/>
        <v>104</v>
      </c>
      <c r="T47" s="696">
        <f t="shared" si="4"/>
        <v>93</v>
      </c>
      <c r="U47" s="696">
        <f t="shared" si="4"/>
        <v>312</v>
      </c>
      <c r="V47" s="696">
        <f t="shared" si="4"/>
        <v>153</v>
      </c>
      <c r="W47" s="675">
        <f t="shared" si="4"/>
        <v>0</v>
      </c>
      <c r="X47" s="675">
        <f t="shared" si="4"/>
        <v>0</v>
      </c>
      <c r="Y47" s="696">
        <f t="shared" si="4"/>
        <v>0</v>
      </c>
      <c r="Z47" s="696">
        <f t="shared" si="4"/>
        <v>0</v>
      </c>
      <c r="AA47" s="675">
        <f t="shared" si="4"/>
        <v>0</v>
      </c>
      <c r="AB47" s="675">
        <f t="shared" si="4"/>
        <v>0</v>
      </c>
      <c r="AC47" s="696">
        <f t="shared" si="4"/>
        <v>0</v>
      </c>
      <c r="AD47" s="675">
        <f t="shared" si="4"/>
        <v>0</v>
      </c>
      <c r="AE47" s="675">
        <f t="shared" si="4"/>
        <v>0</v>
      </c>
      <c r="AF47" s="675">
        <f t="shared" si="4"/>
        <v>0</v>
      </c>
      <c r="AG47" s="675">
        <f t="shared" si="4"/>
        <v>0</v>
      </c>
      <c r="AH47" s="675">
        <f t="shared" si="4"/>
        <v>0</v>
      </c>
      <c r="AI47" s="675">
        <f t="shared" si="4"/>
        <v>0</v>
      </c>
      <c r="AJ47" s="696">
        <f t="shared" si="4"/>
        <v>0</v>
      </c>
      <c r="AK47" s="675">
        <f t="shared" si="4"/>
        <v>0</v>
      </c>
      <c r="AL47" s="675">
        <f t="shared" si="4"/>
        <v>0</v>
      </c>
      <c r="AM47" s="696">
        <f t="shared" si="4"/>
        <v>5</v>
      </c>
      <c r="AN47" s="696">
        <f t="shared" si="4"/>
        <v>7</v>
      </c>
      <c r="AO47" s="696">
        <f t="shared" si="4"/>
        <v>1</v>
      </c>
      <c r="AP47" s="696">
        <f t="shared" si="4"/>
        <v>1</v>
      </c>
      <c r="AQ47" s="675">
        <f t="shared" si="4"/>
        <v>0</v>
      </c>
      <c r="AR47" s="675">
        <f t="shared" si="4"/>
        <v>0</v>
      </c>
      <c r="AS47" s="696">
        <f t="shared" si="4"/>
        <v>773</v>
      </c>
      <c r="AT47" s="696">
        <f t="shared" si="4"/>
        <v>217</v>
      </c>
      <c r="AU47" s="675">
        <f t="shared" si="4"/>
        <v>0</v>
      </c>
      <c r="AV47" s="696">
        <f t="shared" si="4"/>
        <v>46</v>
      </c>
      <c r="AW47" s="675">
        <f t="shared" si="4"/>
        <v>0</v>
      </c>
      <c r="AX47" s="696">
        <f t="shared" si="4"/>
        <v>670</v>
      </c>
      <c r="AY47" s="696">
        <f t="shared" si="4"/>
        <v>43</v>
      </c>
      <c r="AZ47" s="733">
        <f t="shared" si="4"/>
        <v>216</v>
      </c>
      <c r="BA47" s="734">
        <f t="shared" si="4"/>
        <v>135</v>
      </c>
      <c r="BB47" s="735">
        <f t="shared" si="4"/>
        <v>419</v>
      </c>
      <c r="BC47" s="696">
        <f t="shared" si="4"/>
        <v>268</v>
      </c>
      <c r="BD47" s="696">
        <f t="shared" si="4"/>
        <v>917</v>
      </c>
      <c r="BE47" s="696">
        <f t="shared" si="4"/>
        <v>0</v>
      </c>
      <c r="BF47" s="675">
        <f t="shared" si="4"/>
        <v>0</v>
      </c>
      <c r="BG47" s="675">
        <f t="shared" si="4"/>
        <v>4903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6E5F-4B78-4F75-9382-8E3234998A52}">
  <dimension ref="A3:L23"/>
  <sheetViews>
    <sheetView workbookViewId="0">
      <selection activeCell="E9" sqref="E9"/>
    </sheetView>
  </sheetViews>
  <sheetFormatPr defaultRowHeight="16.5"/>
  <cols>
    <col min="1" max="1" width="9.75" bestFit="1" customWidth="1"/>
    <col min="2" max="2" width="8" bestFit="1" customWidth="1"/>
    <col min="3" max="3" width="23.25" bestFit="1" customWidth="1"/>
    <col min="4" max="4" width="23.75" bestFit="1" customWidth="1"/>
    <col min="5" max="5" width="14.375" bestFit="1" customWidth="1"/>
    <col min="6" max="6" width="15.5" bestFit="1" customWidth="1"/>
    <col min="7" max="7" width="15.375" bestFit="1" customWidth="1"/>
    <col min="8" max="8" width="14.375" bestFit="1" customWidth="1"/>
    <col min="9" max="9" width="17.75" bestFit="1" customWidth="1"/>
    <col min="10" max="11" width="16" bestFit="1" customWidth="1"/>
    <col min="12" max="12" width="8" bestFit="1" customWidth="1"/>
  </cols>
  <sheetData>
    <row r="3" spans="1:12">
      <c r="A3" s="746" t="s">
        <v>1028</v>
      </c>
      <c r="B3" s="746"/>
      <c r="C3" s="746"/>
      <c r="D3" s="746"/>
      <c r="E3" s="746"/>
      <c r="F3" s="746"/>
      <c r="G3" s="746"/>
      <c r="H3" s="746"/>
      <c r="I3" s="746"/>
      <c r="J3" s="746"/>
      <c r="K3" s="746"/>
      <c r="L3" s="746" t="s">
        <v>1029</v>
      </c>
    </row>
    <row r="4" spans="1:12">
      <c r="A4" s="851" t="s">
        <v>1020</v>
      </c>
      <c r="B4" s="112" t="s">
        <v>1030</v>
      </c>
      <c r="C4" s="747" t="s">
        <v>1031</v>
      </c>
      <c r="D4" s="747" t="s">
        <v>1032</v>
      </c>
      <c r="E4" s="747" t="s">
        <v>1033</v>
      </c>
      <c r="F4" s="747" t="s">
        <v>1034</v>
      </c>
      <c r="G4" s="747"/>
      <c r="H4" s="747"/>
      <c r="I4" s="747"/>
      <c r="J4" s="747"/>
      <c r="K4" s="747"/>
      <c r="L4" s="853">
        <v>44380</v>
      </c>
    </row>
    <row r="5" spans="1:12">
      <c r="A5" s="852"/>
      <c r="B5" s="112" t="s">
        <v>1035</v>
      </c>
      <c r="C5" s="751">
        <v>4340</v>
      </c>
      <c r="D5" s="751">
        <v>4620</v>
      </c>
      <c r="E5" s="751">
        <v>4620</v>
      </c>
      <c r="F5" s="751">
        <v>30800</v>
      </c>
      <c r="G5" s="115"/>
      <c r="H5" s="115"/>
      <c r="I5" s="115"/>
      <c r="J5" s="115"/>
      <c r="K5" s="115"/>
      <c r="L5" s="853"/>
    </row>
    <row r="6" spans="1:12">
      <c r="A6" s="851" t="s">
        <v>1013</v>
      </c>
      <c r="B6" s="112" t="s">
        <v>1030</v>
      </c>
      <c r="C6" s="747" t="s">
        <v>1036</v>
      </c>
      <c r="D6" s="747" t="s">
        <v>1037</v>
      </c>
      <c r="E6" s="747" t="s">
        <v>1038</v>
      </c>
      <c r="F6" s="747" t="s">
        <v>1039</v>
      </c>
      <c r="G6" s="768" t="s">
        <v>1040</v>
      </c>
      <c r="H6" s="747" t="s">
        <v>1041</v>
      </c>
      <c r="I6" s="768" t="s">
        <v>1042</v>
      </c>
      <c r="J6" s="747"/>
      <c r="K6" s="747"/>
      <c r="L6" s="853">
        <v>91360</v>
      </c>
    </row>
    <row r="7" spans="1:12">
      <c r="A7" s="852"/>
      <c r="B7" s="112" t="s">
        <v>1035</v>
      </c>
      <c r="C7" s="749">
        <v>21040</v>
      </c>
      <c r="D7" s="749">
        <v>5300</v>
      </c>
      <c r="E7" s="749">
        <v>5300</v>
      </c>
      <c r="F7" s="749">
        <v>12800</v>
      </c>
      <c r="G7" s="769" t="s">
        <v>1043</v>
      </c>
      <c r="H7" s="749">
        <v>36920</v>
      </c>
      <c r="I7" s="749">
        <v>2000</v>
      </c>
      <c r="J7" s="750"/>
      <c r="K7" s="750"/>
      <c r="L7" s="853"/>
    </row>
    <row r="8" spans="1:12">
      <c r="A8" s="857" t="s">
        <v>1011</v>
      </c>
      <c r="B8" s="112" t="s">
        <v>1030</v>
      </c>
      <c r="C8" s="747" t="s">
        <v>1044</v>
      </c>
      <c r="D8" s="747" t="s">
        <v>1045</v>
      </c>
      <c r="E8" s="747" t="s">
        <v>1046</v>
      </c>
      <c r="F8" s="747" t="s">
        <v>1047</v>
      </c>
      <c r="G8" s="747" t="s">
        <v>1048</v>
      </c>
      <c r="H8" s="747" t="s">
        <v>1049</v>
      </c>
      <c r="I8" s="747" t="s">
        <v>1050</v>
      </c>
      <c r="J8" s="747" t="s">
        <v>1051</v>
      </c>
      <c r="K8" s="747" t="s">
        <v>1052</v>
      </c>
      <c r="L8" s="853">
        <v>304080</v>
      </c>
    </row>
    <row r="9" spans="1:12">
      <c r="A9" s="858"/>
      <c r="B9" s="112" t="s">
        <v>1035</v>
      </c>
      <c r="C9" s="749">
        <v>30240</v>
      </c>
      <c r="D9" s="749">
        <v>27760</v>
      </c>
      <c r="E9" s="749">
        <v>37600</v>
      </c>
      <c r="F9" s="749">
        <v>11760</v>
      </c>
      <c r="G9" s="749">
        <v>163200</v>
      </c>
      <c r="H9" s="749">
        <v>14400</v>
      </c>
      <c r="I9" s="749">
        <v>2000</v>
      </c>
      <c r="J9" s="749">
        <v>2000</v>
      </c>
      <c r="K9" s="749">
        <v>15120</v>
      </c>
      <c r="L9" s="853"/>
    </row>
    <row r="10" spans="1:12">
      <c r="A10" s="851" t="s">
        <v>160</v>
      </c>
      <c r="B10" s="112" t="s">
        <v>1030</v>
      </c>
      <c r="C10" s="747" t="s">
        <v>1053</v>
      </c>
      <c r="D10" s="747" t="s">
        <v>1054</v>
      </c>
      <c r="E10" s="747" t="s">
        <v>1055</v>
      </c>
      <c r="F10" s="747"/>
      <c r="G10" s="747"/>
      <c r="H10" s="747"/>
      <c r="I10" s="747"/>
      <c r="J10" s="747"/>
      <c r="K10" s="747"/>
      <c r="L10" s="853">
        <v>67200</v>
      </c>
    </row>
    <row r="11" spans="1:12">
      <c r="A11" s="852"/>
      <c r="B11" s="112" t="s">
        <v>1035</v>
      </c>
      <c r="C11" s="750" t="s">
        <v>1056</v>
      </c>
      <c r="D11" s="750" t="s">
        <v>1056</v>
      </c>
      <c r="E11" s="750" t="s">
        <v>1057</v>
      </c>
      <c r="F11" s="750"/>
      <c r="G11" s="750"/>
      <c r="H11" s="750"/>
      <c r="I11" s="750"/>
      <c r="J11" s="750"/>
      <c r="K11" s="750"/>
      <c r="L11" s="854"/>
    </row>
    <row r="12" spans="1:12">
      <c r="A12" s="855" t="s">
        <v>325</v>
      </c>
      <c r="B12" s="112" t="s">
        <v>1030</v>
      </c>
      <c r="C12" s="747" t="s">
        <v>1058</v>
      </c>
      <c r="D12" s="747" t="s">
        <v>1059</v>
      </c>
      <c r="E12" s="747"/>
      <c r="F12" s="747"/>
      <c r="G12" s="747"/>
      <c r="H12" s="747"/>
      <c r="I12" s="747"/>
      <c r="J12" s="747"/>
      <c r="K12" s="747"/>
      <c r="L12" s="853">
        <v>166000</v>
      </c>
    </row>
    <row r="13" spans="1:12">
      <c r="A13" s="856"/>
      <c r="B13" s="112" t="s">
        <v>1035</v>
      </c>
      <c r="C13" s="749" t="s">
        <v>1060</v>
      </c>
      <c r="D13" s="749" t="s">
        <v>1061</v>
      </c>
      <c r="E13" s="750"/>
      <c r="F13" s="750"/>
      <c r="G13" s="750"/>
      <c r="H13" s="750"/>
      <c r="I13" s="750"/>
      <c r="J13" s="750"/>
      <c r="K13" s="750"/>
      <c r="L13" s="854"/>
    </row>
    <row r="14" spans="1:12">
      <c r="A14" s="746"/>
      <c r="B14" s="746"/>
      <c r="C14" s="746"/>
      <c r="D14" s="746"/>
      <c r="E14" s="746"/>
      <c r="F14" s="746"/>
      <c r="G14" s="746"/>
      <c r="H14" s="746"/>
      <c r="I14" s="746"/>
      <c r="J14" s="746"/>
      <c r="K14" s="746"/>
      <c r="L14" s="746"/>
    </row>
    <row r="15" spans="1:12">
      <c r="A15" s="746"/>
      <c r="B15" s="746"/>
      <c r="C15" s="748" t="s">
        <v>1062</v>
      </c>
      <c r="D15" s="746"/>
      <c r="E15" s="746"/>
      <c r="F15" s="746"/>
      <c r="G15" s="746"/>
      <c r="H15" s="746"/>
      <c r="I15" s="746"/>
      <c r="J15" s="746"/>
      <c r="K15" s="746"/>
      <c r="L15" s="746"/>
    </row>
    <row r="22" spans="7:9">
      <c r="G22" s="768" t="s">
        <v>1120</v>
      </c>
      <c r="I22" s="768" t="s">
        <v>1122</v>
      </c>
    </row>
    <row r="23" spans="7:9">
      <c r="G23" s="769" t="s">
        <v>1043</v>
      </c>
    </row>
  </sheetData>
  <mergeCells count="10">
    <mergeCell ref="A10:A11"/>
    <mergeCell ref="L10:L11"/>
    <mergeCell ref="A12:A13"/>
    <mergeCell ref="L12:L13"/>
    <mergeCell ref="A4:A5"/>
    <mergeCell ref="L4:L5"/>
    <mergeCell ref="A6:A7"/>
    <mergeCell ref="L6:L7"/>
    <mergeCell ref="A8:A9"/>
    <mergeCell ref="L8:L9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35EA-E9A0-4F8E-979E-6E095A104BCC}">
  <dimension ref="A1:R33"/>
  <sheetViews>
    <sheetView tabSelected="1" topLeftCell="A11" workbookViewId="0">
      <selection activeCell="D38" sqref="D38"/>
    </sheetView>
  </sheetViews>
  <sheetFormatPr defaultRowHeight="16.5"/>
  <cols>
    <col min="1" max="1" width="14.625" style="142" customWidth="1"/>
    <col min="2" max="2" width="62.25" style="142" customWidth="1"/>
    <col min="3" max="3" width="9" style="142" bestFit="1" customWidth="1"/>
    <col min="4" max="4" width="46.5" style="142" bestFit="1" customWidth="1"/>
    <col min="5" max="5" width="9.875" style="142" bestFit="1" customWidth="1"/>
    <col min="6" max="6" width="14.625" style="752" customWidth="1"/>
    <col min="7" max="7" width="18.875" style="752" bestFit="1" customWidth="1"/>
    <col min="8" max="8" width="5.25" style="752" customWidth="1"/>
    <col min="9" max="9" width="12.25" style="752" bestFit="1" customWidth="1"/>
    <col min="10" max="10" width="12.25" style="753" bestFit="1" customWidth="1"/>
    <col min="11" max="11" width="12.375" style="737" bestFit="1" customWidth="1"/>
    <col min="12" max="12" width="13.75" style="142" bestFit="1" customWidth="1"/>
    <col min="13" max="13" width="13.625" style="142" bestFit="1" customWidth="1"/>
    <col min="14" max="14" width="12.375" style="142" bestFit="1" customWidth="1"/>
    <col min="15" max="15" width="13.75" style="142" bestFit="1" customWidth="1"/>
    <col min="16" max="16" width="7.375" style="142" customWidth="1"/>
    <col min="17" max="17" width="10.375" style="142" customWidth="1"/>
    <col min="18" max="18" width="44.25" style="142" customWidth="1"/>
    <col min="19" max="16384" width="9" style="142"/>
  </cols>
  <sheetData>
    <row r="1" spans="1:18">
      <c r="H1" s="871"/>
      <c r="I1" s="837"/>
      <c r="J1" s="142"/>
      <c r="K1" s="142"/>
    </row>
    <row r="2" spans="1:18">
      <c r="F2" s="763"/>
      <c r="H2" s="759"/>
      <c r="I2" s="737"/>
      <c r="J2" s="142"/>
      <c r="K2" s="142"/>
    </row>
    <row r="3" spans="1:18" s="737" customFormat="1" ht="17.25" thickBot="1">
      <c r="A3" s="770" t="s">
        <v>1028</v>
      </c>
      <c r="B3" s="770" t="s">
        <v>1074</v>
      </c>
      <c r="C3" s="770" t="s">
        <v>1073</v>
      </c>
      <c r="D3" s="770" t="s">
        <v>1072</v>
      </c>
      <c r="E3" s="771" t="s">
        <v>1076</v>
      </c>
      <c r="F3" s="801" t="s">
        <v>1077</v>
      </c>
      <c r="G3" s="767" t="s">
        <v>1142</v>
      </c>
      <c r="H3" s="895"/>
      <c r="P3" s="745"/>
      <c r="Q3" s="901" t="s">
        <v>1108</v>
      </c>
      <c r="R3" s="802" t="s">
        <v>1143</v>
      </c>
    </row>
    <row r="4" spans="1:18">
      <c r="A4" s="874" t="s">
        <v>1097</v>
      </c>
      <c r="B4" s="872" t="s">
        <v>1075</v>
      </c>
      <c r="C4" s="773" t="s">
        <v>1014</v>
      </c>
      <c r="D4" s="774" t="s">
        <v>1068</v>
      </c>
      <c r="E4" s="775">
        <v>6200</v>
      </c>
      <c r="F4" s="799" t="s">
        <v>1078</v>
      </c>
      <c r="G4" s="766"/>
      <c r="H4" s="886"/>
      <c r="I4" s="737"/>
      <c r="J4" s="142"/>
      <c r="K4" s="142"/>
      <c r="Q4" s="766"/>
      <c r="R4" s="899"/>
    </row>
    <row r="5" spans="1:18">
      <c r="A5" s="869"/>
      <c r="B5" s="866"/>
      <c r="C5" s="776" t="s">
        <v>1012</v>
      </c>
      <c r="D5" s="777" t="s">
        <v>1069</v>
      </c>
      <c r="E5" s="778">
        <v>6200</v>
      </c>
      <c r="F5" s="794" t="s">
        <v>1079</v>
      </c>
      <c r="G5" s="803"/>
      <c r="H5" s="886"/>
      <c r="I5" s="737"/>
      <c r="J5" s="142"/>
      <c r="K5" s="142"/>
      <c r="Q5" s="761"/>
      <c r="R5" s="899"/>
    </row>
    <row r="6" spans="1:18">
      <c r="A6" s="869"/>
      <c r="B6" s="866"/>
      <c r="C6" s="776" t="s">
        <v>1067</v>
      </c>
      <c r="D6" s="777" t="s">
        <v>1070</v>
      </c>
      <c r="E6" s="778">
        <v>6200</v>
      </c>
      <c r="F6" s="794" t="s">
        <v>1080</v>
      </c>
      <c r="G6" s="803"/>
      <c r="H6" s="886"/>
      <c r="I6" s="737"/>
      <c r="J6" s="142"/>
      <c r="K6" s="142"/>
      <c r="Q6" s="761"/>
      <c r="R6" s="899"/>
    </row>
    <row r="7" spans="1:18">
      <c r="A7" s="875"/>
      <c r="B7" s="873"/>
      <c r="C7" s="776" t="s">
        <v>1063</v>
      </c>
      <c r="D7" s="777" t="s">
        <v>1071</v>
      </c>
      <c r="E7" s="778">
        <v>6200</v>
      </c>
      <c r="F7" s="794" t="s">
        <v>1081</v>
      </c>
      <c r="G7" s="803"/>
      <c r="H7" s="886"/>
      <c r="I7" s="737"/>
      <c r="J7" s="142"/>
      <c r="K7" s="142"/>
      <c r="Q7" s="761"/>
      <c r="R7" s="899"/>
    </row>
    <row r="8" spans="1:18">
      <c r="A8" s="876" t="s">
        <v>1103</v>
      </c>
      <c r="B8" s="877" t="s">
        <v>1082</v>
      </c>
      <c r="C8" s="779" t="s">
        <v>1014</v>
      </c>
      <c r="D8" s="780" t="s">
        <v>1083</v>
      </c>
      <c r="E8" s="778">
        <v>6600</v>
      </c>
      <c r="F8" s="794" t="s">
        <v>1147</v>
      </c>
      <c r="G8" s="803"/>
      <c r="H8" s="886"/>
      <c r="I8" s="737"/>
      <c r="J8" s="142"/>
      <c r="K8" s="142"/>
      <c r="Q8" s="761"/>
      <c r="R8" s="899"/>
    </row>
    <row r="9" spans="1:18">
      <c r="A9" s="875"/>
      <c r="B9" s="873"/>
      <c r="C9" s="779" t="s">
        <v>1012</v>
      </c>
      <c r="D9" s="780" t="s">
        <v>1084</v>
      </c>
      <c r="E9" s="778">
        <v>6600</v>
      </c>
      <c r="F9" s="794" t="s">
        <v>1148</v>
      </c>
      <c r="G9" s="803"/>
      <c r="H9" s="886"/>
      <c r="I9" s="737"/>
      <c r="J9" s="142"/>
      <c r="K9" s="142"/>
      <c r="Q9" s="761"/>
      <c r="R9" s="899"/>
    </row>
    <row r="10" spans="1:18">
      <c r="A10" s="876" t="s">
        <v>1106</v>
      </c>
      <c r="B10" s="878" t="s">
        <v>1085</v>
      </c>
      <c r="C10" s="810" t="s">
        <v>1067</v>
      </c>
      <c r="D10" s="810" t="s">
        <v>1088</v>
      </c>
      <c r="E10" s="811">
        <v>195000</v>
      </c>
      <c r="F10" s="812"/>
      <c r="G10" s="813" t="s">
        <v>1145</v>
      </c>
      <c r="H10" s="894"/>
      <c r="I10" s="737"/>
      <c r="J10" s="142"/>
      <c r="K10" s="142"/>
      <c r="Q10" s="761"/>
      <c r="R10" s="900" t="s">
        <v>1149</v>
      </c>
    </row>
    <row r="11" spans="1:18">
      <c r="A11" s="869"/>
      <c r="B11" s="866"/>
      <c r="C11" s="810" t="s">
        <v>1063</v>
      </c>
      <c r="D11" s="810" t="s">
        <v>1090</v>
      </c>
      <c r="E11" s="811">
        <v>44000</v>
      </c>
      <c r="F11" s="812"/>
      <c r="G11" s="813" t="s">
        <v>1145</v>
      </c>
      <c r="H11" s="894"/>
      <c r="I11" s="737"/>
      <c r="J11" s="142"/>
      <c r="K11" s="142"/>
      <c r="Q11" s="761"/>
      <c r="R11" s="900" t="s">
        <v>1149</v>
      </c>
    </row>
    <row r="12" spans="1:18">
      <c r="A12" s="869"/>
      <c r="B12" s="866"/>
      <c r="C12" s="779" t="s">
        <v>1086</v>
      </c>
      <c r="D12" s="781" t="s">
        <v>1088</v>
      </c>
      <c r="E12" s="778">
        <v>204000</v>
      </c>
      <c r="F12" s="798"/>
      <c r="G12" s="813" t="s">
        <v>1138</v>
      </c>
      <c r="H12" s="894"/>
      <c r="I12" s="737"/>
      <c r="J12" s="142"/>
      <c r="K12" s="142"/>
      <c r="Q12" s="761"/>
      <c r="R12" s="900" t="s">
        <v>1139</v>
      </c>
    </row>
    <row r="13" spans="1:18" ht="17.25" thickBot="1">
      <c r="A13" s="870"/>
      <c r="B13" s="867"/>
      <c r="C13" s="782" t="s">
        <v>1087</v>
      </c>
      <c r="D13" s="783" t="s">
        <v>1089</v>
      </c>
      <c r="E13" s="784">
        <v>46200</v>
      </c>
      <c r="F13" s="907" t="s">
        <v>1146</v>
      </c>
      <c r="G13" s="813" t="s">
        <v>1138</v>
      </c>
      <c r="H13" s="894"/>
      <c r="I13" s="737"/>
      <c r="J13" s="142"/>
      <c r="K13" s="142"/>
      <c r="Q13" s="761"/>
      <c r="R13" s="900" t="s">
        <v>1139</v>
      </c>
    </row>
    <row r="14" spans="1:18">
      <c r="A14" s="785" t="s">
        <v>1131</v>
      </c>
      <c r="B14" s="786" t="s">
        <v>1110</v>
      </c>
      <c r="C14" s="787" t="s">
        <v>1014</v>
      </c>
      <c r="D14" s="788" t="s">
        <v>1091</v>
      </c>
      <c r="E14" s="789">
        <v>26300</v>
      </c>
      <c r="F14" s="798" t="s">
        <v>1113</v>
      </c>
      <c r="G14" s="803"/>
      <c r="H14" s="886"/>
      <c r="I14" s="737"/>
      <c r="J14" s="142"/>
      <c r="K14" s="142"/>
      <c r="Q14" s="761"/>
      <c r="R14" s="899"/>
    </row>
    <row r="15" spans="1:18">
      <c r="A15" s="790" t="s">
        <v>1132</v>
      </c>
      <c r="B15" s="804" t="s">
        <v>1114</v>
      </c>
      <c r="C15" s="791" t="s">
        <v>1014</v>
      </c>
      <c r="D15" s="791" t="s">
        <v>1091</v>
      </c>
      <c r="E15" s="792">
        <v>16000</v>
      </c>
      <c r="F15" s="799" t="s">
        <v>1115</v>
      </c>
      <c r="G15" s="803"/>
      <c r="H15" s="886"/>
      <c r="I15" s="737"/>
      <c r="J15" s="142"/>
      <c r="K15" s="142"/>
      <c r="Q15" s="761"/>
      <c r="R15" s="899"/>
    </row>
    <row r="16" spans="1:18">
      <c r="A16" s="864" t="s">
        <v>1116</v>
      </c>
      <c r="B16" s="863" t="s">
        <v>1121</v>
      </c>
      <c r="C16" s="779" t="s">
        <v>1012</v>
      </c>
      <c r="D16" s="793" t="s">
        <v>1117</v>
      </c>
      <c r="E16" s="778">
        <v>10000</v>
      </c>
      <c r="F16" s="794" t="s">
        <v>1119</v>
      </c>
      <c r="G16" s="803"/>
      <c r="H16" s="886"/>
      <c r="I16" s="737"/>
      <c r="J16" s="142"/>
      <c r="K16" s="142"/>
      <c r="Q16" s="761"/>
      <c r="R16" s="899"/>
    </row>
    <row r="17" spans="1:18">
      <c r="A17" s="864"/>
      <c r="B17" s="864"/>
      <c r="C17" s="779" t="s">
        <v>1067</v>
      </c>
      <c r="D17" s="781" t="s">
        <v>1118</v>
      </c>
      <c r="E17" s="778">
        <v>90000</v>
      </c>
      <c r="F17" s="794"/>
      <c r="G17" s="772"/>
      <c r="H17" s="886"/>
      <c r="I17" s="737"/>
      <c r="J17" s="142"/>
      <c r="K17" s="142"/>
      <c r="Q17" s="761"/>
      <c r="R17" s="899"/>
    </row>
    <row r="18" spans="1:18">
      <c r="A18" s="868" t="s">
        <v>1123</v>
      </c>
      <c r="B18" s="865" t="s">
        <v>1124</v>
      </c>
      <c r="C18" s="806" t="s">
        <v>1012</v>
      </c>
      <c r="D18" s="807" t="s">
        <v>1126</v>
      </c>
      <c r="E18" s="808">
        <v>170000</v>
      </c>
      <c r="F18" s="809" t="s">
        <v>1135</v>
      </c>
      <c r="G18" s="755" t="s">
        <v>1140</v>
      </c>
      <c r="H18" s="890"/>
      <c r="I18" s="800"/>
      <c r="J18" s="142"/>
      <c r="K18" s="142"/>
      <c r="Q18" s="761"/>
      <c r="R18" s="760" t="s">
        <v>1141</v>
      </c>
    </row>
    <row r="19" spans="1:18">
      <c r="A19" s="869"/>
      <c r="B19" s="866"/>
      <c r="C19" s="810" t="s">
        <v>1067</v>
      </c>
      <c r="D19" s="810" t="s">
        <v>1125</v>
      </c>
      <c r="E19" s="811">
        <v>170000</v>
      </c>
      <c r="F19" s="812" t="s">
        <v>1136</v>
      </c>
      <c r="G19" s="755" t="s">
        <v>1140</v>
      </c>
      <c r="H19" s="890"/>
      <c r="I19" s="800"/>
      <c r="J19" s="142"/>
      <c r="K19" s="142"/>
      <c r="Q19" s="761"/>
      <c r="R19" s="760" t="s">
        <v>1150</v>
      </c>
    </row>
    <row r="20" spans="1:18">
      <c r="A20" s="869"/>
      <c r="B20" s="866"/>
      <c r="C20" s="810" t="s">
        <v>1063</v>
      </c>
      <c r="D20" s="810" t="s">
        <v>1127</v>
      </c>
      <c r="E20" s="811">
        <v>170000</v>
      </c>
      <c r="F20" s="812" t="s">
        <v>1137</v>
      </c>
      <c r="G20" s="755" t="s">
        <v>1140</v>
      </c>
      <c r="H20" s="890"/>
      <c r="I20" s="800"/>
      <c r="J20" s="142"/>
      <c r="K20" s="142"/>
      <c r="Q20" s="761"/>
      <c r="R20" s="760" t="s">
        <v>1141</v>
      </c>
    </row>
    <row r="21" spans="1:18">
      <c r="A21" s="869"/>
      <c r="B21" s="866"/>
      <c r="C21" s="779" t="s">
        <v>1128</v>
      </c>
      <c r="D21" s="781" t="s">
        <v>1134</v>
      </c>
      <c r="E21" s="795">
        <v>170000</v>
      </c>
      <c r="F21" s="798" t="s">
        <v>1135</v>
      </c>
      <c r="G21" s="755" t="s">
        <v>1138</v>
      </c>
      <c r="H21" s="890"/>
      <c r="I21" s="800"/>
      <c r="J21" s="142"/>
      <c r="K21" s="142"/>
      <c r="Q21" s="761"/>
      <c r="R21" s="760" t="s">
        <v>1139</v>
      </c>
    </row>
    <row r="22" spans="1:18">
      <c r="A22" s="869"/>
      <c r="B22" s="866"/>
      <c r="C22" s="779" t="s">
        <v>1129</v>
      </c>
      <c r="D22" s="796" t="s">
        <v>1130</v>
      </c>
      <c r="E22" s="795">
        <v>170000</v>
      </c>
      <c r="F22" s="798" t="s">
        <v>1136</v>
      </c>
      <c r="G22" s="755" t="s">
        <v>1144</v>
      </c>
      <c r="H22" s="890"/>
      <c r="I22" s="800"/>
      <c r="J22" s="142"/>
      <c r="K22" s="142"/>
      <c r="Q22" s="761"/>
      <c r="R22" s="760" t="s">
        <v>1139</v>
      </c>
    </row>
    <row r="23" spans="1:18" ht="17.25" thickBot="1">
      <c r="A23" s="870"/>
      <c r="B23" s="867"/>
      <c r="C23" s="782" t="s">
        <v>1065</v>
      </c>
      <c r="D23" s="783" t="s">
        <v>1133</v>
      </c>
      <c r="E23" s="797">
        <v>170000</v>
      </c>
      <c r="F23" s="805" t="s">
        <v>1137</v>
      </c>
      <c r="G23" s="755" t="s">
        <v>1144</v>
      </c>
      <c r="H23" s="890"/>
      <c r="I23" s="800"/>
      <c r="J23" s="142"/>
      <c r="K23" s="142"/>
      <c r="Q23" s="761"/>
      <c r="R23" s="760" t="s">
        <v>1139</v>
      </c>
    </row>
    <row r="24" spans="1:18">
      <c r="H24" s="753"/>
      <c r="I24" s="737"/>
      <c r="J24" s="142"/>
      <c r="K24" s="142"/>
      <c r="Q24" s="761"/>
      <c r="R24" s="766"/>
    </row>
    <row r="25" spans="1:18">
      <c r="G25" s="884"/>
      <c r="H25" s="883"/>
      <c r="I25" s="885"/>
      <c r="Q25" s="761"/>
      <c r="R25" s="761"/>
    </row>
    <row r="26" spans="1:18">
      <c r="A26" s="758" t="s">
        <v>1102</v>
      </c>
      <c r="B26" s="758" t="s">
        <v>1109</v>
      </c>
      <c r="C26" s="758" t="s">
        <v>1073</v>
      </c>
      <c r="D26" s="758" t="s">
        <v>1072</v>
      </c>
      <c r="E26" s="882"/>
      <c r="F26" s="758" t="s">
        <v>1111</v>
      </c>
      <c r="G26" s="767" t="s">
        <v>1112</v>
      </c>
      <c r="H26" s="893"/>
      <c r="I26" s="767" t="s">
        <v>1104</v>
      </c>
      <c r="J26" s="767" t="s">
        <v>1105</v>
      </c>
      <c r="K26" s="767" t="s">
        <v>1107</v>
      </c>
      <c r="N26" s="882"/>
      <c r="Q26" s="903"/>
      <c r="R26" s="762"/>
    </row>
    <row r="27" spans="1:18">
      <c r="A27" s="859" t="s">
        <v>1020</v>
      </c>
      <c r="B27" s="862" t="s">
        <v>1092</v>
      </c>
      <c r="C27" s="766" t="s">
        <v>1063</v>
      </c>
      <c r="D27" s="757" t="s">
        <v>1093</v>
      </c>
      <c r="E27" s="763"/>
      <c r="F27" s="754" t="s">
        <v>1098</v>
      </c>
      <c r="G27" s="765">
        <v>4340</v>
      </c>
      <c r="H27" s="886"/>
      <c r="I27" s="887">
        <v>4620</v>
      </c>
      <c r="J27" s="887">
        <v>4620</v>
      </c>
      <c r="K27" s="887">
        <v>30800</v>
      </c>
      <c r="N27" s="886"/>
      <c r="Q27" s="902">
        <f>G27+$I$27+$J$27+$K$27</f>
        <v>44380</v>
      </c>
      <c r="R27" s="766"/>
    </row>
    <row r="28" spans="1:18">
      <c r="A28" s="860"/>
      <c r="B28" s="860"/>
      <c r="C28" s="760" t="s">
        <v>1064</v>
      </c>
      <c r="D28" s="756" t="s">
        <v>1094</v>
      </c>
      <c r="E28" s="763"/>
      <c r="F28" s="754" t="s">
        <v>1099</v>
      </c>
      <c r="G28" s="765">
        <v>4340</v>
      </c>
      <c r="H28" s="886"/>
      <c r="I28" s="888"/>
      <c r="J28" s="888"/>
      <c r="K28" s="888"/>
      <c r="N28" s="886"/>
      <c r="Q28" s="765">
        <f>G28+$I$27+$J$27+$K$27</f>
        <v>44380</v>
      </c>
      <c r="R28" s="761"/>
    </row>
    <row r="29" spans="1:18">
      <c r="A29" s="860"/>
      <c r="B29" s="860"/>
      <c r="C29" s="760" t="s">
        <v>1065</v>
      </c>
      <c r="D29" s="756" t="s">
        <v>1095</v>
      </c>
      <c r="E29" s="763"/>
      <c r="F29" s="754" t="s">
        <v>1100</v>
      </c>
      <c r="G29" s="765">
        <v>5580</v>
      </c>
      <c r="H29" s="886"/>
      <c r="I29" s="888"/>
      <c r="J29" s="888"/>
      <c r="K29" s="888"/>
      <c r="N29" s="886"/>
      <c r="Q29" s="765">
        <f>G29+$I$27+$J$27+$K$27</f>
        <v>45620</v>
      </c>
      <c r="R29" s="761"/>
    </row>
    <row r="30" spans="1:18">
      <c r="A30" s="861"/>
      <c r="B30" s="861"/>
      <c r="C30" s="760" t="s">
        <v>1066</v>
      </c>
      <c r="D30" s="756" t="s">
        <v>1096</v>
      </c>
      <c r="E30" s="763"/>
      <c r="F30" s="754" t="s">
        <v>1101</v>
      </c>
      <c r="G30" s="765">
        <v>5580</v>
      </c>
      <c r="H30" s="886"/>
      <c r="I30" s="889"/>
      <c r="J30" s="889"/>
      <c r="K30" s="889"/>
      <c r="N30" s="886"/>
      <c r="Q30" s="905">
        <f>G30+$I$27+$J$27+$K$27</f>
        <v>45620</v>
      </c>
      <c r="R30" s="762"/>
    </row>
    <row r="31" spans="1:18">
      <c r="A31" s="890"/>
      <c r="B31" s="890"/>
      <c r="C31" s="890"/>
      <c r="D31" s="891"/>
      <c r="E31" s="763"/>
      <c r="F31" s="763"/>
      <c r="G31" s="886"/>
      <c r="H31" s="886"/>
      <c r="I31" s="892"/>
      <c r="J31" s="892"/>
      <c r="K31" s="892"/>
      <c r="N31" s="886"/>
      <c r="Q31" s="905"/>
      <c r="R31" s="904"/>
    </row>
    <row r="32" spans="1:18">
      <c r="A32" s="758" t="s">
        <v>1102</v>
      </c>
      <c r="B32" s="758" t="s">
        <v>1109</v>
      </c>
      <c r="C32" s="758" t="s">
        <v>1073</v>
      </c>
      <c r="D32" s="758" t="s">
        <v>1072</v>
      </c>
      <c r="E32" s="763"/>
      <c r="F32" s="758" t="s">
        <v>1111</v>
      </c>
      <c r="G32" s="764" t="s">
        <v>1112</v>
      </c>
      <c r="H32" s="886"/>
      <c r="I32" s="896" t="s">
        <v>1158</v>
      </c>
      <c r="J32" s="896" t="s">
        <v>1151</v>
      </c>
      <c r="K32" s="896" t="s">
        <v>1152</v>
      </c>
      <c r="L32" s="897" t="s">
        <v>1153</v>
      </c>
      <c r="M32" s="898" t="s">
        <v>1154</v>
      </c>
      <c r="N32" s="898" t="s">
        <v>1155</v>
      </c>
      <c r="O32" s="898" t="s">
        <v>1156</v>
      </c>
      <c r="Q32" s="903"/>
      <c r="R32" s="906"/>
    </row>
    <row r="33" spans="1:18" ht="33">
      <c r="A33" s="755" t="s">
        <v>1013</v>
      </c>
      <c r="B33" s="755" t="s">
        <v>1157</v>
      </c>
      <c r="C33" s="755" t="s">
        <v>1014</v>
      </c>
      <c r="D33" s="756" t="s">
        <v>1091</v>
      </c>
      <c r="E33" s="763"/>
      <c r="F33" s="754" t="s">
        <v>1091</v>
      </c>
      <c r="G33" s="765">
        <v>0</v>
      </c>
      <c r="H33" s="886"/>
      <c r="I33" s="880">
        <v>21040</v>
      </c>
      <c r="J33" s="880">
        <v>5300</v>
      </c>
      <c r="K33" s="880">
        <v>5300</v>
      </c>
      <c r="L33" s="880">
        <v>12800</v>
      </c>
      <c r="M33" s="881">
        <v>8000</v>
      </c>
      <c r="N33" s="880">
        <v>36920</v>
      </c>
      <c r="O33" s="880">
        <v>2000</v>
      </c>
      <c r="Q33" s="765">
        <f>G33+$I$33+$J$33+$K$33+$L$33+$M$33+$N$33+$O$33</f>
        <v>91360</v>
      </c>
      <c r="R33" s="879" t="s">
        <v>1159</v>
      </c>
    </row>
  </sheetData>
  <mergeCells count="17">
    <mergeCell ref="J27:J30"/>
    <mergeCell ref="K27:K30"/>
    <mergeCell ref="A10:A13"/>
    <mergeCell ref="B10:B13"/>
    <mergeCell ref="I27:I30"/>
    <mergeCell ref="H1:I1"/>
    <mergeCell ref="B4:B7"/>
    <mergeCell ref="A4:A7"/>
    <mergeCell ref="A8:A9"/>
    <mergeCell ref="B8:B9"/>
    <mergeCell ref="G25:I25"/>
    <mergeCell ref="A27:A30"/>
    <mergeCell ref="B27:B30"/>
    <mergeCell ref="B16:B17"/>
    <mergeCell ref="A16:A17"/>
    <mergeCell ref="B18:B23"/>
    <mergeCell ref="A18:A23"/>
  </mergeCells>
  <phoneticPr fontId="5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2026-06-11T12:28:29Z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